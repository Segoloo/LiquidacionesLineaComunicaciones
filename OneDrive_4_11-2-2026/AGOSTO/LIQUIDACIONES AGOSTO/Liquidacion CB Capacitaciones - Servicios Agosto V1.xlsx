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codeName="ThisWorkbook"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AGOSTO/"/>
    </mc:Choice>
  </mc:AlternateContent>
  <xr:revisionPtr revIDLastSave="2" documentId="8_{51F3A26C-5BCA-47A5-90FA-D6B2B8AC9121}" xr6:coauthVersionLast="47" xr6:coauthVersionMax="47" xr10:uidLastSave="{B9A8F042-57BB-42F4-B072-7B1335DF0B00}"/>
  <bookViews>
    <workbookView xWindow="28680" yWindow="-120" windowWidth="29040" windowHeight="15720" tabRatio="903" activeTab="3" xr2:uid="{00000000-000D-0000-FFFF-FFFF00000000}"/>
  </bookViews>
  <sheets>
    <sheet name="CAPACITACIONES " sheetId="1" r:id="rId1"/>
    <sheet name="BASE FACTURACION 2025" sheetId="28" state="hidden" r:id="rId2"/>
    <sheet name="Tabla dinámica" sheetId="109" state="hidden" r:id="rId3"/>
    <sheet name="CAPACITACIONES APERTURAS" sheetId="106" r:id="rId4"/>
    <sheet name="CAPACITACION OC " sheetId="95" r:id="rId5"/>
    <sheet name="CENTRO DE COSTOS" sheetId="10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0" hidden="1">'CAPACITACIONES '!$A$1:$I$4</definedName>
    <definedName name="_xlnm._FilterDatabase" localSheetId="3" hidden="1">'CAPACITACIONES APERTURAS'!$A$1:$AC$466</definedName>
    <definedName name="_xlnm._FilterDatabase" localSheetId="5" hidden="1">'CENTRO DE COSTOS'!$A$1:$D$23</definedName>
    <definedName name="A" localSheetId="5">#REF!</definedName>
    <definedName name="A">#REF!</definedName>
    <definedName name="ACTIVIDAD" localSheetId="5">[1]Hoja2!$P$2:$P$30</definedName>
    <definedName name="Actividad">[2]Formulas!$H$2:$H$5000</definedName>
    <definedName name="Analistas">'[3]Listas Desplegables'!$T$2:$T$7</definedName>
    <definedName name="arearesponsable">'[4]Listas desplegables'!$BB$2:$BB$100</definedName>
    <definedName name="CCO" localSheetId="5">[5]Tecnicos!$A$2:$A$1000</definedName>
    <definedName name="CCO">[6]Tecnicos!$A$2:$A$1000</definedName>
    <definedName name="Clientes" localSheetId="5">[7]Clientes!$A$2:$A$100</definedName>
    <definedName name="Clientes">[2]Clientes!$A$2:$A$100</definedName>
    <definedName name="COORDINADOR">[1]Hoja2!$D$2:$D$30</definedName>
    <definedName name="Coordinadores" localSheetId="5">[8]Coordinadores!$A$2:$A$1000</definedName>
    <definedName name="Coordinadores">[2]Coordinadores!$A$2:$A$1000</definedName>
    <definedName name="DOCUMENTADOR">[1]Hoja2!$A$2:$A$30</definedName>
    <definedName name="ES">[1]Hoja2!$K$2:$K$30</definedName>
    <definedName name="ESS">[1]Hoja2!$K$2:$K$30</definedName>
    <definedName name="Estado" localSheetId="5">[7]Formulas!$K$2:$K$5000</definedName>
    <definedName name="Estado">[2]Formulas!$K$2:$K$5000</definedName>
    <definedName name="ESTADOACTIVIDAD">[1]Hoja2!$M$2:$M$30</definedName>
    <definedName name="ESTADOS" localSheetId="5">'[9]Listas desplegables'!$B$1:$D$1</definedName>
    <definedName name="ESTADOS">'[10]Listas desplegables'!$B$1:$D$1</definedName>
    <definedName name="ESTADOSCIERRES">'[11]lista desplegable'!$CX$1:$DA$1</definedName>
    <definedName name="Facturacion">'[12]Listas desplegables'!$AO$1:$AR$1</definedName>
    <definedName name="FACTURACIÓN" localSheetId="5">'[9]Listas desplegables'!$Y$1:$AB$1</definedName>
    <definedName name="FACTURACIÓN">'[10]Listas desplegables'!$Y$1:$AB$1</definedName>
    <definedName name="falla">#REF!</definedName>
    <definedName name="Fallas" localSheetId="5">'[13]Listas desplegables'!$F$2:$L$2</definedName>
    <definedName name="Fallas">'[14]Listas desplegables'!$F$2:$L$2</definedName>
    <definedName name="Grupo_Falla" localSheetId="5">'[15]Listas Desplegables'!$CH$2:$CH$5</definedName>
    <definedName name="Grupo_Falla">'[16]Listas Desplegables'!$CH$2:$CH$5</definedName>
    <definedName name="inconservmanager" localSheetId="5">'[17]Listas desplegables'!$BC$2:$BC$100</definedName>
    <definedName name="inconservmanager">'[4]Listas desplegables'!$BC$2:$BC$100</definedName>
    <definedName name="INCUMPLIMIENTO" localSheetId="5">'[4]Listas desplegables'!$AK$1:$AN$1</definedName>
    <definedName name="INCUMPLIMIENTO">'[18]Listas desplegables'!$AT$1:$AX$1</definedName>
    <definedName name="LISTA" localSheetId="5">[19]Dptos!$A$1139:$A$1171</definedName>
    <definedName name="LISTA">[19]Dptos!$A$1139:$A$1171</definedName>
    <definedName name="LISTA2" localSheetId="5">#REF!</definedName>
    <definedName name="LISTA2">[20]Hoja3!$A$1:$A$26</definedName>
    <definedName name="LOLO">[21]Coordinadores!$A$2:$A$1000</definedName>
    <definedName name="solicitudes" localSheetId="5">'[12]Listas desplegables'!$U$1:$AF$1</definedName>
    <definedName name="solicitudes">'[22]Listas desplegables'!$U$1:$AF$1</definedName>
    <definedName name="Tecnicos" localSheetId="5">[7]Tecnicos!$A$2:$A$1000</definedName>
    <definedName name="Tecnicos">[2]Tecnicos!$A$2:$A$1000</definedName>
    <definedName name="Version" localSheetId="5">[23]Formulas!$I$2:$I$3</definedName>
    <definedName name="Version">[2]Formulas!$I$2:$I$3</definedName>
  </definedNames>
  <calcPr calcId="191028"/>
  <pivotCaches>
    <pivotCache cacheId="2180"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06" l="1"/>
  <c r="C3" i="106"/>
  <c r="B4" i="106"/>
  <c r="C4" i="106"/>
  <c r="B5" i="106"/>
  <c r="C5" i="106"/>
  <c r="B6" i="106"/>
  <c r="C6" i="106"/>
  <c r="B7" i="106"/>
  <c r="C7" i="106"/>
  <c r="B8" i="106"/>
  <c r="C8" i="106"/>
  <c r="B9" i="106"/>
  <c r="C9" i="106"/>
  <c r="B10" i="106"/>
  <c r="C10" i="106"/>
  <c r="B11" i="106"/>
  <c r="C11" i="106"/>
  <c r="B12" i="106"/>
  <c r="C12" i="106"/>
  <c r="B13" i="106"/>
  <c r="C13" i="106"/>
  <c r="B14" i="106"/>
  <c r="C14" i="106"/>
  <c r="B15" i="106"/>
  <c r="C15" i="106"/>
  <c r="B16" i="106"/>
  <c r="C16" i="106"/>
  <c r="B17" i="106"/>
  <c r="C17" i="106"/>
  <c r="B18" i="106"/>
  <c r="C18" i="106"/>
  <c r="B19" i="106"/>
  <c r="C19" i="106"/>
  <c r="B20" i="106"/>
  <c r="C20" i="106"/>
  <c r="B21" i="106"/>
  <c r="C21" i="106"/>
  <c r="B22" i="106"/>
  <c r="C22" i="106"/>
  <c r="B23" i="106"/>
  <c r="C23" i="106"/>
  <c r="B24" i="106"/>
  <c r="C24" i="106"/>
  <c r="B25" i="106"/>
  <c r="C25" i="106"/>
  <c r="B26" i="106"/>
  <c r="C26" i="106"/>
  <c r="B27" i="106"/>
  <c r="C27" i="106"/>
  <c r="B28" i="106"/>
  <c r="C28" i="106"/>
  <c r="B29" i="106"/>
  <c r="C29" i="106"/>
  <c r="B30" i="106"/>
  <c r="C30" i="106"/>
  <c r="B31" i="106"/>
  <c r="C31" i="106"/>
  <c r="B32" i="106"/>
  <c r="C32" i="106"/>
  <c r="B33" i="106"/>
  <c r="C33" i="106"/>
  <c r="B34" i="106"/>
  <c r="C34" i="106"/>
  <c r="B35" i="106"/>
  <c r="C35" i="106"/>
  <c r="B36" i="106"/>
  <c r="C36" i="106"/>
  <c r="B37" i="106"/>
  <c r="C37" i="106"/>
  <c r="B38" i="106"/>
  <c r="C38" i="106"/>
  <c r="B39" i="106"/>
  <c r="C39" i="106"/>
  <c r="B40" i="106"/>
  <c r="C40" i="106"/>
  <c r="B41" i="106"/>
  <c r="C41" i="106"/>
  <c r="B42" i="106"/>
  <c r="C42" i="106"/>
  <c r="B43" i="106"/>
  <c r="C43" i="106"/>
  <c r="B44" i="106"/>
  <c r="C44" i="106"/>
  <c r="B45" i="106"/>
  <c r="C45" i="106"/>
  <c r="B46" i="106"/>
  <c r="C46" i="106"/>
  <c r="B47" i="106"/>
  <c r="C47" i="106"/>
  <c r="B48" i="106"/>
  <c r="C48" i="106"/>
  <c r="B49" i="106"/>
  <c r="C49" i="106"/>
  <c r="B50" i="106"/>
  <c r="C50" i="106"/>
  <c r="B51" i="106"/>
  <c r="C51" i="106"/>
  <c r="B52" i="106"/>
  <c r="C52" i="106"/>
  <c r="B53" i="106"/>
  <c r="C53" i="106"/>
  <c r="B54" i="106"/>
  <c r="C54" i="106"/>
  <c r="B55" i="106"/>
  <c r="C55" i="106"/>
  <c r="B56" i="106"/>
  <c r="C56" i="106"/>
  <c r="B57" i="106"/>
  <c r="C57" i="106"/>
  <c r="B58" i="106"/>
  <c r="C58" i="106"/>
  <c r="B59" i="106"/>
  <c r="C59" i="106"/>
  <c r="B60" i="106"/>
  <c r="C60" i="106"/>
  <c r="B61" i="106"/>
  <c r="C61" i="106"/>
  <c r="B62" i="106"/>
  <c r="C62" i="106"/>
  <c r="B63" i="106"/>
  <c r="C63" i="106"/>
  <c r="B64" i="106"/>
  <c r="C64" i="106"/>
  <c r="B65" i="106"/>
  <c r="C65" i="106"/>
  <c r="B66" i="106"/>
  <c r="C66" i="106"/>
  <c r="B67" i="106"/>
  <c r="C67" i="106"/>
  <c r="B68" i="106"/>
  <c r="C68" i="106"/>
  <c r="B69" i="106"/>
  <c r="C69" i="106"/>
  <c r="B70" i="106"/>
  <c r="C70" i="106"/>
  <c r="B71" i="106"/>
  <c r="C71" i="106"/>
  <c r="B72" i="106"/>
  <c r="C72" i="106"/>
  <c r="B73" i="106"/>
  <c r="C73" i="106"/>
  <c r="B74" i="106"/>
  <c r="C74" i="106"/>
  <c r="B75" i="106"/>
  <c r="C75" i="106"/>
  <c r="B76" i="106"/>
  <c r="C76" i="106"/>
  <c r="B77" i="106"/>
  <c r="C77" i="106"/>
  <c r="B78" i="106"/>
  <c r="C78" i="106"/>
  <c r="B79" i="106"/>
  <c r="C79" i="106"/>
  <c r="B80" i="106"/>
  <c r="C80" i="106"/>
  <c r="B81" i="106"/>
  <c r="C81" i="106"/>
  <c r="B82" i="106"/>
  <c r="C82" i="106"/>
  <c r="B83" i="106"/>
  <c r="C83" i="106"/>
  <c r="B84" i="106"/>
  <c r="C84" i="106"/>
  <c r="B85" i="106"/>
  <c r="C85" i="106"/>
  <c r="B86" i="106"/>
  <c r="C86" i="106"/>
  <c r="B87" i="106"/>
  <c r="C87" i="106"/>
  <c r="B88" i="106"/>
  <c r="C88" i="106"/>
  <c r="B89" i="106"/>
  <c r="C89" i="106"/>
  <c r="B90" i="106"/>
  <c r="C90" i="106"/>
  <c r="B91" i="106"/>
  <c r="C91" i="106"/>
  <c r="B92" i="106"/>
  <c r="C92" i="106"/>
  <c r="B93" i="106"/>
  <c r="C93" i="106"/>
  <c r="B94" i="106"/>
  <c r="C94" i="106"/>
  <c r="B95" i="106"/>
  <c r="C95" i="106"/>
  <c r="B96" i="106"/>
  <c r="C96" i="106"/>
  <c r="B97" i="106"/>
  <c r="C97" i="106"/>
  <c r="B98" i="106"/>
  <c r="C98" i="106"/>
  <c r="B99" i="106"/>
  <c r="C99" i="106"/>
  <c r="B100" i="106"/>
  <c r="C100" i="106"/>
  <c r="B101" i="106"/>
  <c r="C101" i="106"/>
  <c r="B102" i="106"/>
  <c r="C102" i="106"/>
  <c r="B103" i="106"/>
  <c r="C103" i="106"/>
  <c r="B104" i="106"/>
  <c r="C104" i="106"/>
  <c r="B105" i="106"/>
  <c r="C105" i="106"/>
  <c r="B106" i="106"/>
  <c r="C106" i="106"/>
  <c r="B107" i="106"/>
  <c r="C107" i="106"/>
  <c r="B108" i="106"/>
  <c r="C108" i="106"/>
  <c r="B109" i="106"/>
  <c r="C109" i="106"/>
  <c r="B110" i="106"/>
  <c r="C110" i="106"/>
  <c r="B111" i="106"/>
  <c r="C111" i="106"/>
  <c r="B112" i="106"/>
  <c r="C112" i="106"/>
  <c r="B113" i="106"/>
  <c r="C113" i="106"/>
  <c r="B114" i="106"/>
  <c r="C114" i="106"/>
  <c r="B115" i="106"/>
  <c r="C115" i="106"/>
  <c r="B116" i="106"/>
  <c r="C116" i="106"/>
  <c r="B117" i="106"/>
  <c r="C117" i="106"/>
  <c r="B118" i="106"/>
  <c r="C118" i="106"/>
  <c r="B119" i="106"/>
  <c r="C119" i="106"/>
  <c r="B120" i="106"/>
  <c r="C120" i="106"/>
  <c r="B121" i="106"/>
  <c r="C121" i="106"/>
  <c r="B122" i="106"/>
  <c r="C122" i="106"/>
  <c r="B123" i="106"/>
  <c r="C123" i="106"/>
  <c r="B124" i="106"/>
  <c r="C124" i="106"/>
  <c r="B125" i="106"/>
  <c r="C125" i="106"/>
  <c r="B126" i="106"/>
  <c r="C126" i="106"/>
  <c r="B127" i="106"/>
  <c r="C127" i="106"/>
  <c r="B128" i="106"/>
  <c r="C128" i="106"/>
  <c r="B129" i="106"/>
  <c r="C129" i="106"/>
  <c r="B130" i="106"/>
  <c r="C130" i="106"/>
  <c r="B131" i="106"/>
  <c r="C131" i="106"/>
  <c r="B132" i="106"/>
  <c r="C132" i="106"/>
  <c r="B133" i="106"/>
  <c r="C133" i="106"/>
  <c r="B134" i="106"/>
  <c r="C134" i="106"/>
  <c r="B135" i="106"/>
  <c r="C135" i="106"/>
  <c r="B136" i="106"/>
  <c r="C136" i="106"/>
  <c r="B137" i="106"/>
  <c r="C137" i="106"/>
  <c r="B138" i="106"/>
  <c r="C138" i="106"/>
  <c r="B139" i="106"/>
  <c r="C139" i="106"/>
  <c r="B140" i="106"/>
  <c r="C140" i="106"/>
  <c r="B141" i="106"/>
  <c r="C141" i="106"/>
  <c r="B142" i="106"/>
  <c r="C142" i="106"/>
  <c r="B143" i="106"/>
  <c r="C143" i="106"/>
  <c r="B144" i="106"/>
  <c r="C144" i="106"/>
  <c r="B145" i="106"/>
  <c r="C145" i="106"/>
  <c r="B146" i="106"/>
  <c r="C146" i="106"/>
  <c r="B147" i="106"/>
  <c r="C147" i="106"/>
  <c r="B148" i="106"/>
  <c r="C148" i="106"/>
  <c r="B149" i="106"/>
  <c r="C149" i="106"/>
  <c r="B150" i="106"/>
  <c r="C150" i="106"/>
  <c r="B151" i="106"/>
  <c r="C151" i="106"/>
  <c r="B152" i="106"/>
  <c r="C152" i="106"/>
  <c r="B153" i="106"/>
  <c r="C153" i="106"/>
  <c r="B154" i="106"/>
  <c r="C154" i="106"/>
  <c r="B155" i="106"/>
  <c r="C155" i="106"/>
  <c r="B156" i="106"/>
  <c r="C156" i="106"/>
  <c r="B157" i="106"/>
  <c r="C157" i="106"/>
  <c r="B158" i="106"/>
  <c r="C158" i="106"/>
  <c r="B159" i="106"/>
  <c r="C159" i="106"/>
  <c r="B160" i="106"/>
  <c r="C160" i="106"/>
  <c r="B161" i="106"/>
  <c r="C161" i="106"/>
  <c r="B162" i="106"/>
  <c r="C162" i="106"/>
  <c r="B163" i="106"/>
  <c r="C163" i="106"/>
  <c r="B164" i="106"/>
  <c r="C164" i="106"/>
  <c r="B165" i="106"/>
  <c r="C165" i="106"/>
  <c r="B166" i="106"/>
  <c r="C166" i="106"/>
  <c r="B167" i="106"/>
  <c r="C167" i="106"/>
  <c r="B168" i="106"/>
  <c r="C168" i="106"/>
  <c r="B169" i="106"/>
  <c r="C169" i="106"/>
  <c r="B170" i="106"/>
  <c r="C170" i="106"/>
  <c r="B171" i="106"/>
  <c r="C171" i="106"/>
  <c r="B172" i="106"/>
  <c r="C172" i="106"/>
  <c r="B173" i="106"/>
  <c r="C173" i="106"/>
  <c r="B174" i="106"/>
  <c r="C174" i="106"/>
  <c r="B175" i="106"/>
  <c r="C175" i="106"/>
  <c r="B176" i="106"/>
  <c r="C176" i="106"/>
  <c r="B177" i="106"/>
  <c r="C177" i="106"/>
  <c r="B178" i="106"/>
  <c r="C178" i="106"/>
  <c r="B179" i="106"/>
  <c r="C179" i="106"/>
  <c r="B180" i="106"/>
  <c r="C180" i="106"/>
  <c r="B181" i="106"/>
  <c r="C181" i="106"/>
  <c r="B182" i="106"/>
  <c r="C182" i="106"/>
  <c r="B183" i="106"/>
  <c r="C183" i="106"/>
  <c r="B184" i="106"/>
  <c r="C184" i="106"/>
  <c r="B185" i="106"/>
  <c r="C185" i="106"/>
  <c r="B186" i="106"/>
  <c r="C186" i="106"/>
  <c r="B187" i="106"/>
  <c r="C187" i="106"/>
  <c r="B188" i="106"/>
  <c r="C188" i="106"/>
  <c r="B189" i="106"/>
  <c r="C189" i="106"/>
  <c r="B190" i="106"/>
  <c r="C190" i="106"/>
  <c r="B191" i="106"/>
  <c r="C191" i="106"/>
  <c r="B192" i="106"/>
  <c r="C192" i="106"/>
  <c r="B193" i="106"/>
  <c r="C193" i="106"/>
  <c r="B194" i="106"/>
  <c r="C194" i="106"/>
  <c r="B195" i="106"/>
  <c r="C195" i="106"/>
  <c r="B196" i="106"/>
  <c r="C196" i="106"/>
  <c r="B197" i="106"/>
  <c r="C197" i="106"/>
  <c r="B198" i="106"/>
  <c r="C198" i="106"/>
  <c r="B199" i="106"/>
  <c r="C199" i="106"/>
  <c r="B200" i="106"/>
  <c r="C200" i="106"/>
  <c r="B201" i="106"/>
  <c r="C201" i="106"/>
  <c r="B202" i="106"/>
  <c r="C202" i="106"/>
  <c r="B203" i="106"/>
  <c r="C203" i="106"/>
  <c r="B204" i="106"/>
  <c r="C204" i="106"/>
  <c r="B205" i="106"/>
  <c r="C205" i="106"/>
  <c r="B206" i="106"/>
  <c r="C206" i="106"/>
  <c r="B207" i="106"/>
  <c r="C207" i="106"/>
  <c r="B208" i="106"/>
  <c r="C208" i="106"/>
  <c r="B209" i="106"/>
  <c r="C209" i="106"/>
  <c r="B210" i="106"/>
  <c r="C210" i="106"/>
  <c r="B211" i="106"/>
  <c r="C211" i="106"/>
  <c r="B212" i="106"/>
  <c r="C212" i="106"/>
  <c r="B213" i="106"/>
  <c r="C213" i="106"/>
  <c r="B214" i="106"/>
  <c r="C214" i="106"/>
  <c r="B215" i="106"/>
  <c r="C215" i="106"/>
  <c r="B216" i="106"/>
  <c r="C216" i="106"/>
  <c r="B217" i="106"/>
  <c r="C217" i="106"/>
  <c r="B218" i="106"/>
  <c r="C218" i="106"/>
  <c r="B219" i="106"/>
  <c r="C219" i="106"/>
  <c r="B220" i="106"/>
  <c r="C220" i="106"/>
  <c r="B221" i="106"/>
  <c r="C221" i="106"/>
  <c r="B222" i="106"/>
  <c r="C222" i="106"/>
  <c r="B223" i="106"/>
  <c r="C223" i="106"/>
  <c r="B224" i="106"/>
  <c r="C224" i="106"/>
  <c r="B225" i="106"/>
  <c r="C225" i="106"/>
  <c r="B226" i="106"/>
  <c r="C226" i="106"/>
  <c r="B227" i="106"/>
  <c r="C227" i="106"/>
  <c r="B228" i="106"/>
  <c r="C228" i="106"/>
  <c r="B229" i="106"/>
  <c r="C229" i="106"/>
  <c r="B230" i="106"/>
  <c r="C230" i="106"/>
  <c r="B231" i="106"/>
  <c r="C231" i="106"/>
  <c r="B232" i="106"/>
  <c r="C232" i="106"/>
  <c r="B233" i="106"/>
  <c r="C233" i="106"/>
  <c r="B234" i="106"/>
  <c r="C234" i="106"/>
  <c r="B235" i="106"/>
  <c r="C235" i="106"/>
  <c r="B236" i="106"/>
  <c r="C236" i="106"/>
  <c r="B237" i="106"/>
  <c r="C237" i="106"/>
  <c r="B238" i="106"/>
  <c r="C238" i="106"/>
  <c r="B239" i="106"/>
  <c r="C239" i="106"/>
  <c r="B240" i="106"/>
  <c r="C240" i="106"/>
  <c r="B241" i="106"/>
  <c r="C241" i="106"/>
  <c r="B242" i="106"/>
  <c r="C242" i="106"/>
  <c r="B243" i="106"/>
  <c r="C243" i="106"/>
  <c r="B244" i="106"/>
  <c r="C244" i="106"/>
  <c r="B245" i="106"/>
  <c r="C245" i="106"/>
  <c r="B246" i="106"/>
  <c r="C246" i="106"/>
  <c r="B247" i="106"/>
  <c r="C247" i="106"/>
  <c r="B248" i="106"/>
  <c r="C248" i="106"/>
  <c r="B249" i="106"/>
  <c r="C249" i="106"/>
  <c r="B250" i="106"/>
  <c r="C250" i="106"/>
  <c r="B251" i="106"/>
  <c r="C251" i="106"/>
  <c r="B252" i="106"/>
  <c r="C252" i="106"/>
  <c r="B253" i="106"/>
  <c r="C253" i="106"/>
  <c r="B254" i="106"/>
  <c r="C254" i="106"/>
  <c r="B255" i="106"/>
  <c r="C255" i="106"/>
  <c r="B256" i="106"/>
  <c r="C256" i="106"/>
  <c r="B257" i="106"/>
  <c r="C257" i="106"/>
  <c r="B258" i="106"/>
  <c r="C258" i="106"/>
  <c r="B259" i="106"/>
  <c r="C259" i="106"/>
  <c r="B260" i="106"/>
  <c r="C260" i="106"/>
  <c r="B261" i="106"/>
  <c r="C261" i="106"/>
  <c r="B262" i="106"/>
  <c r="C262" i="106"/>
  <c r="B263" i="106"/>
  <c r="C263" i="106"/>
  <c r="B264" i="106"/>
  <c r="C264" i="106"/>
  <c r="B265" i="106"/>
  <c r="C265" i="106"/>
  <c r="B266" i="106"/>
  <c r="C266" i="106"/>
  <c r="B267" i="106"/>
  <c r="C267" i="106"/>
  <c r="B268" i="106"/>
  <c r="C268" i="106"/>
  <c r="B269" i="106"/>
  <c r="C269" i="106"/>
  <c r="B270" i="106"/>
  <c r="C270" i="106"/>
  <c r="B271" i="106"/>
  <c r="C271" i="106"/>
  <c r="B272" i="106"/>
  <c r="C272" i="106"/>
  <c r="B273" i="106"/>
  <c r="C273" i="106"/>
  <c r="B274" i="106"/>
  <c r="C274" i="106"/>
  <c r="B275" i="106"/>
  <c r="C275" i="106"/>
  <c r="B276" i="106"/>
  <c r="C276" i="106"/>
  <c r="B277" i="106"/>
  <c r="C277" i="106"/>
  <c r="B278" i="106"/>
  <c r="C278" i="106"/>
  <c r="B279" i="106"/>
  <c r="C279" i="106"/>
  <c r="B280" i="106"/>
  <c r="C280" i="106"/>
  <c r="B281" i="106"/>
  <c r="C281" i="106"/>
  <c r="B282" i="106"/>
  <c r="C282" i="106"/>
  <c r="B283" i="106"/>
  <c r="C283" i="106"/>
  <c r="B284" i="106"/>
  <c r="C284" i="106"/>
  <c r="B285" i="106"/>
  <c r="C285" i="106"/>
  <c r="B286" i="106"/>
  <c r="C286" i="106"/>
  <c r="B287" i="106"/>
  <c r="C287" i="106"/>
  <c r="B288" i="106"/>
  <c r="C288" i="106"/>
  <c r="B289" i="106"/>
  <c r="C289" i="106"/>
  <c r="B290" i="106"/>
  <c r="C290" i="106"/>
  <c r="B291" i="106"/>
  <c r="C291" i="106"/>
  <c r="B292" i="106"/>
  <c r="C292" i="106"/>
  <c r="B293" i="106"/>
  <c r="C293" i="106"/>
  <c r="B294" i="106"/>
  <c r="C294" i="106"/>
  <c r="B295" i="106"/>
  <c r="C295" i="106"/>
  <c r="B296" i="106"/>
  <c r="C296" i="106"/>
  <c r="B297" i="106"/>
  <c r="C297" i="106"/>
  <c r="B298" i="106"/>
  <c r="C298" i="106"/>
  <c r="B299" i="106"/>
  <c r="C299" i="106"/>
  <c r="B300" i="106"/>
  <c r="C300" i="106"/>
  <c r="B301" i="106"/>
  <c r="C301" i="106"/>
  <c r="B302" i="106"/>
  <c r="C302" i="106"/>
  <c r="B303" i="106"/>
  <c r="C303" i="106"/>
  <c r="B304" i="106"/>
  <c r="C304" i="106"/>
  <c r="B305" i="106"/>
  <c r="C305" i="106"/>
  <c r="B306" i="106"/>
  <c r="C306" i="106"/>
  <c r="B307" i="106"/>
  <c r="C307" i="106"/>
  <c r="B308" i="106"/>
  <c r="C308" i="106"/>
  <c r="B309" i="106"/>
  <c r="C309" i="106"/>
  <c r="B310" i="106"/>
  <c r="C310" i="106"/>
  <c r="B311" i="106"/>
  <c r="C311" i="106"/>
  <c r="B312" i="106"/>
  <c r="C312" i="106"/>
  <c r="B313" i="106"/>
  <c r="C313" i="106"/>
  <c r="B314" i="106"/>
  <c r="C314" i="106"/>
  <c r="B315" i="106"/>
  <c r="C315" i="106"/>
  <c r="B316" i="106"/>
  <c r="C316" i="106"/>
  <c r="B317" i="106"/>
  <c r="C317" i="106"/>
  <c r="B318" i="106"/>
  <c r="C318" i="106"/>
  <c r="B319" i="106"/>
  <c r="C319" i="106"/>
  <c r="B320" i="106"/>
  <c r="C320" i="106"/>
  <c r="B321" i="106"/>
  <c r="C321" i="106"/>
  <c r="B322" i="106"/>
  <c r="C322" i="106"/>
  <c r="B323" i="106"/>
  <c r="C323" i="106"/>
  <c r="B324" i="106"/>
  <c r="C324" i="106"/>
  <c r="B325" i="106"/>
  <c r="C325" i="106"/>
  <c r="B326" i="106"/>
  <c r="C326" i="106"/>
  <c r="B327" i="106"/>
  <c r="C327" i="106"/>
  <c r="B328" i="106"/>
  <c r="C328" i="106"/>
  <c r="B329" i="106"/>
  <c r="C329" i="106"/>
  <c r="B330" i="106"/>
  <c r="C330" i="106"/>
  <c r="B331" i="106"/>
  <c r="C331" i="106"/>
  <c r="B332" i="106"/>
  <c r="C332" i="106"/>
  <c r="B333" i="106"/>
  <c r="C333" i="106"/>
  <c r="B334" i="106"/>
  <c r="C334" i="106"/>
  <c r="B335" i="106"/>
  <c r="C335" i="106"/>
  <c r="B336" i="106"/>
  <c r="C336" i="106"/>
  <c r="B337" i="106"/>
  <c r="C337" i="106"/>
  <c r="B338" i="106"/>
  <c r="C338" i="106"/>
  <c r="B339" i="106"/>
  <c r="C339" i="106"/>
  <c r="B340" i="106"/>
  <c r="C340" i="106"/>
  <c r="B341" i="106"/>
  <c r="C341" i="106"/>
  <c r="B342" i="106"/>
  <c r="C342" i="106"/>
  <c r="B343" i="106"/>
  <c r="C343" i="106"/>
  <c r="B344" i="106"/>
  <c r="C344" i="106"/>
  <c r="B345" i="106"/>
  <c r="C345" i="106"/>
  <c r="B346" i="106"/>
  <c r="C346" i="106"/>
  <c r="B347" i="106"/>
  <c r="C347" i="106"/>
  <c r="B348" i="106"/>
  <c r="C348" i="106"/>
  <c r="B349" i="106"/>
  <c r="C349" i="106"/>
  <c r="B350" i="106"/>
  <c r="C350" i="106"/>
  <c r="B351" i="106"/>
  <c r="C351" i="106"/>
  <c r="B352" i="106"/>
  <c r="C352" i="106"/>
  <c r="B353" i="106"/>
  <c r="C353" i="106"/>
  <c r="B354" i="106"/>
  <c r="C354" i="106"/>
  <c r="B355" i="106"/>
  <c r="C355" i="106"/>
  <c r="B356" i="106"/>
  <c r="C356" i="106"/>
  <c r="B357" i="106"/>
  <c r="C357" i="106"/>
  <c r="B358" i="106"/>
  <c r="C358" i="106"/>
  <c r="B359" i="106"/>
  <c r="C359" i="106"/>
  <c r="B360" i="106"/>
  <c r="C360" i="106"/>
  <c r="B361" i="106"/>
  <c r="C361" i="106"/>
  <c r="B362" i="106"/>
  <c r="C362" i="106"/>
  <c r="B363" i="106"/>
  <c r="C363" i="106"/>
  <c r="B364" i="106"/>
  <c r="C364" i="106"/>
  <c r="B365" i="106"/>
  <c r="C365" i="106"/>
  <c r="B366" i="106"/>
  <c r="C366" i="106"/>
  <c r="B367" i="106"/>
  <c r="C367" i="106"/>
  <c r="B368" i="106"/>
  <c r="C368" i="106"/>
  <c r="B369" i="106"/>
  <c r="C369" i="106"/>
  <c r="B370" i="106"/>
  <c r="C370" i="106"/>
  <c r="B371" i="106"/>
  <c r="C371" i="106"/>
  <c r="B372" i="106"/>
  <c r="C372" i="106"/>
  <c r="B373" i="106"/>
  <c r="C373" i="106"/>
  <c r="B374" i="106"/>
  <c r="C374" i="106"/>
  <c r="B375" i="106"/>
  <c r="C375" i="106"/>
  <c r="B376" i="106"/>
  <c r="C376" i="106"/>
  <c r="B377" i="106"/>
  <c r="C377" i="106"/>
  <c r="B378" i="106"/>
  <c r="C378" i="106"/>
  <c r="B379" i="106"/>
  <c r="C379" i="106"/>
  <c r="B380" i="106"/>
  <c r="C380" i="106"/>
  <c r="B381" i="106"/>
  <c r="C381" i="106"/>
  <c r="B382" i="106"/>
  <c r="C382" i="106"/>
  <c r="B383" i="106"/>
  <c r="C383" i="106"/>
  <c r="B384" i="106"/>
  <c r="C384" i="106"/>
  <c r="B385" i="106"/>
  <c r="C385" i="106"/>
  <c r="B386" i="106"/>
  <c r="C386" i="106"/>
  <c r="B387" i="106"/>
  <c r="C387" i="106"/>
  <c r="B388" i="106"/>
  <c r="C388" i="106"/>
  <c r="B389" i="106"/>
  <c r="C389" i="106"/>
  <c r="B390" i="106"/>
  <c r="C390" i="106"/>
  <c r="B391" i="106"/>
  <c r="C391" i="106"/>
  <c r="B392" i="106"/>
  <c r="C392" i="106"/>
  <c r="B393" i="106"/>
  <c r="C393" i="106"/>
  <c r="B394" i="106"/>
  <c r="C394" i="106"/>
  <c r="B395" i="106"/>
  <c r="C395" i="106"/>
  <c r="B396" i="106"/>
  <c r="C396" i="106"/>
  <c r="B397" i="106"/>
  <c r="C397" i="106"/>
  <c r="B398" i="106"/>
  <c r="C398" i="106"/>
  <c r="B399" i="106"/>
  <c r="C399" i="106"/>
  <c r="B400" i="106"/>
  <c r="C400" i="106"/>
  <c r="B401" i="106"/>
  <c r="C401" i="106"/>
  <c r="B402" i="106"/>
  <c r="C402" i="106"/>
  <c r="B403" i="106"/>
  <c r="C403" i="106"/>
  <c r="B404" i="106"/>
  <c r="C404" i="106"/>
  <c r="B405" i="106"/>
  <c r="C405" i="106"/>
  <c r="B406" i="106"/>
  <c r="C406" i="106"/>
  <c r="B407" i="106"/>
  <c r="C407" i="106"/>
  <c r="B408" i="106"/>
  <c r="C408" i="106"/>
  <c r="B409" i="106"/>
  <c r="C409" i="106"/>
  <c r="B410" i="106"/>
  <c r="C410" i="106"/>
  <c r="B411" i="106"/>
  <c r="C411" i="106"/>
  <c r="B412" i="106"/>
  <c r="C412" i="106"/>
  <c r="B413" i="106"/>
  <c r="C413" i="106"/>
  <c r="B414" i="106"/>
  <c r="C414" i="106"/>
  <c r="B415" i="106"/>
  <c r="C415" i="106"/>
  <c r="B416" i="106"/>
  <c r="C416" i="106"/>
  <c r="B417" i="106"/>
  <c r="C417" i="106"/>
  <c r="B418" i="106"/>
  <c r="C418" i="106"/>
  <c r="B419" i="106"/>
  <c r="C419" i="106"/>
  <c r="B420" i="106"/>
  <c r="C420" i="106"/>
  <c r="B421" i="106"/>
  <c r="C421" i="106"/>
  <c r="B422" i="106"/>
  <c r="C422" i="106"/>
  <c r="B423" i="106"/>
  <c r="C423" i="106"/>
  <c r="B424" i="106"/>
  <c r="C424" i="106"/>
  <c r="B425" i="106"/>
  <c r="C425" i="106"/>
  <c r="B426" i="106"/>
  <c r="C426" i="106"/>
  <c r="B427" i="106"/>
  <c r="C427" i="106"/>
  <c r="B428" i="106"/>
  <c r="C428" i="106"/>
  <c r="B429" i="106"/>
  <c r="C429" i="106"/>
  <c r="B430" i="106"/>
  <c r="C430" i="106"/>
  <c r="B431" i="106"/>
  <c r="C431" i="106"/>
  <c r="B432" i="106"/>
  <c r="C432" i="106"/>
  <c r="B433" i="106"/>
  <c r="C433" i="106"/>
  <c r="B434" i="106"/>
  <c r="C434" i="106"/>
  <c r="B435" i="106"/>
  <c r="C435" i="106"/>
  <c r="B436" i="106"/>
  <c r="C436" i="106"/>
  <c r="B437" i="106"/>
  <c r="C437" i="106"/>
  <c r="B438" i="106"/>
  <c r="C438" i="106"/>
  <c r="B439" i="106"/>
  <c r="C439" i="106"/>
  <c r="B440" i="106"/>
  <c r="C440" i="106"/>
  <c r="B441" i="106"/>
  <c r="C441" i="106"/>
  <c r="B442" i="106"/>
  <c r="C442" i="106"/>
  <c r="B443" i="106"/>
  <c r="C443" i="106"/>
  <c r="B444" i="106"/>
  <c r="C444" i="106"/>
  <c r="B445" i="106"/>
  <c r="C445" i="106"/>
  <c r="B446" i="106"/>
  <c r="C446" i="106"/>
  <c r="B447" i="106"/>
  <c r="C447" i="106"/>
  <c r="B448" i="106"/>
  <c r="C448" i="106"/>
  <c r="B449" i="106"/>
  <c r="C449" i="106"/>
  <c r="B450" i="106"/>
  <c r="C450" i="106"/>
  <c r="B451" i="106"/>
  <c r="C451" i="106"/>
  <c r="B452" i="106"/>
  <c r="C452" i="106"/>
  <c r="B453" i="106"/>
  <c r="C453" i="106"/>
  <c r="B454" i="106"/>
  <c r="C454" i="106"/>
  <c r="B455" i="106"/>
  <c r="C455" i="106"/>
  <c r="B456" i="106"/>
  <c r="C456" i="106"/>
  <c r="B457" i="106"/>
  <c r="C457" i="106"/>
  <c r="B458" i="106"/>
  <c r="C458" i="106"/>
  <c r="B459" i="106"/>
  <c r="C459" i="106"/>
  <c r="B460" i="106"/>
  <c r="C460" i="106"/>
  <c r="B461" i="106"/>
  <c r="C461" i="106"/>
  <c r="B462" i="106"/>
  <c r="C462" i="106"/>
  <c r="B463" i="106"/>
  <c r="C463" i="106"/>
  <c r="B464" i="106"/>
  <c r="C464" i="106"/>
  <c r="B465" i="106"/>
  <c r="C465" i="106"/>
  <c r="D17" i="28" l="1"/>
  <c r="D16" i="28"/>
  <c r="D15" i="28"/>
  <c r="D14" i="28"/>
  <c r="D13" i="28"/>
  <c r="C17" i="28"/>
  <c r="C16" i="28"/>
  <c r="C15" i="28"/>
  <c r="C14" i="28"/>
  <c r="C13" i="28"/>
  <c r="F4" i="28"/>
  <c r="F5" i="28"/>
  <c r="F6" i="28"/>
  <c r="F7" i="28"/>
  <c r="F3" i="28"/>
  <c r="E3" i="28"/>
  <c r="E7" i="28"/>
  <c r="E6" i="28"/>
  <c r="E5" i="28"/>
  <c r="E4" i="28"/>
  <c r="D7" i="28"/>
  <c r="D6" i="28"/>
  <c r="D5" i="28"/>
  <c r="D4" i="28"/>
  <c r="D3" i="28"/>
  <c r="C3" i="28"/>
  <c r="C7" i="28"/>
  <c r="C6" i="28"/>
  <c r="C5" i="28"/>
  <c r="C4" i="28"/>
  <c r="E5" i="109"/>
  <c r="E6" i="109"/>
  <c r="E7" i="109"/>
  <c r="E8" i="109"/>
  <c r="E9" i="109"/>
  <c r="E10" i="109"/>
  <c r="E4" i="109"/>
  <c r="B2" i="106"/>
  <c r="C2" i="106"/>
  <c r="AA2" i="106" l="1"/>
  <c r="AA3" i="106"/>
  <c r="AA4" i="106"/>
  <c r="AA5" i="106"/>
  <c r="AA6" i="106"/>
  <c r="AA7" i="106"/>
  <c r="AA8" i="106"/>
  <c r="AA9" i="106"/>
  <c r="AA10" i="106"/>
  <c r="AA11" i="106"/>
  <c r="AA12" i="106"/>
  <c r="AA13" i="106"/>
  <c r="AA14" i="106"/>
  <c r="AA15" i="106"/>
  <c r="AA16" i="106"/>
  <c r="AA17" i="106"/>
  <c r="AA18" i="106"/>
  <c r="AA19" i="106"/>
  <c r="AA20" i="106"/>
  <c r="AA21" i="106"/>
  <c r="AA22" i="106"/>
  <c r="AA23" i="106"/>
  <c r="AA24" i="106"/>
  <c r="AA25" i="106"/>
  <c r="AA26" i="106"/>
  <c r="AA27" i="106"/>
  <c r="AA28" i="106"/>
  <c r="AA29" i="106"/>
  <c r="AA30" i="106"/>
  <c r="AA31" i="106"/>
  <c r="AA32" i="106"/>
  <c r="AA33" i="106"/>
  <c r="AA34" i="106"/>
  <c r="AA35" i="106"/>
  <c r="AA36" i="106"/>
  <c r="AA37" i="106"/>
  <c r="AA38" i="106"/>
  <c r="AA39" i="106"/>
  <c r="AA40" i="106"/>
  <c r="AA41" i="106"/>
  <c r="AA42" i="106"/>
  <c r="AA43" i="106"/>
  <c r="AA44" i="106"/>
  <c r="AA45" i="106"/>
  <c r="AA46" i="106"/>
  <c r="AA47" i="106"/>
  <c r="AA48" i="106"/>
  <c r="AA49" i="106"/>
  <c r="AA50" i="106"/>
  <c r="AA51" i="106"/>
  <c r="AA52" i="106"/>
  <c r="AA53" i="106"/>
  <c r="AA54" i="106"/>
  <c r="AA55" i="106"/>
  <c r="AA56" i="106"/>
  <c r="AA57" i="106"/>
  <c r="AA58" i="106"/>
  <c r="AA59" i="106"/>
  <c r="AA60" i="106"/>
  <c r="AA61" i="106"/>
  <c r="AA62" i="106"/>
  <c r="AA63" i="106"/>
  <c r="AA64" i="106"/>
  <c r="AA65" i="106"/>
  <c r="AA66" i="106"/>
  <c r="AA67" i="106"/>
  <c r="AA68" i="106"/>
  <c r="AA69" i="106"/>
  <c r="AA70" i="106"/>
  <c r="AA71" i="106"/>
  <c r="AA72" i="106"/>
  <c r="AA73" i="106"/>
  <c r="AA74" i="106"/>
  <c r="AA75" i="106"/>
  <c r="AA76" i="106"/>
  <c r="AA77" i="106"/>
  <c r="AA78" i="106"/>
  <c r="AA79" i="106"/>
  <c r="AA80" i="106"/>
  <c r="AA81" i="106"/>
  <c r="AA82" i="106"/>
  <c r="AA83" i="106"/>
  <c r="AA84" i="106"/>
  <c r="AA85" i="106"/>
  <c r="AA86" i="106"/>
  <c r="AA87" i="106"/>
  <c r="AA88" i="106"/>
  <c r="AA89" i="106"/>
  <c r="AA90" i="106"/>
  <c r="AA91" i="106"/>
  <c r="AA92" i="106"/>
  <c r="AA93" i="106"/>
  <c r="AA94" i="106"/>
  <c r="AA95" i="106"/>
  <c r="AA96" i="106"/>
  <c r="AA97" i="106"/>
  <c r="AA98" i="106"/>
  <c r="AA99" i="106"/>
  <c r="AA100" i="106"/>
  <c r="AA101" i="106"/>
  <c r="AA102" i="106"/>
  <c r="AA103" i="106"/>
  <c r="AA104" i="106"/>
  <c r="AA105" i="106"/>
  <c r="AA106" i="106"/>
  <c r="AA107" i="106"/>
  <c r="AA108" i="106"/>
  <c r="AA109" i="106"/>
  <c r="AA110" i="106"/>
  <c r="AA111" i="106"/>
  <c r="AA112" i="106"/>
  <c r="AA113" i="106"/>
  <c r="AA114" i="106"/>
  <c r="AA115" i="106"/>
  <c r="AA116" i="106"/>
  <c r="AA117" i="106"/>
  <c r="AA118" i="106"/>
  <c r="AA119" i="106"/>
  <c r="AA120" i="106"/>
  <c r="AA121" i="106"/>
  <c r="AA122" i="106"/>
  <c r="AA123" i="106"/>
  <c r="AA124" i="106"/>
  <c r="AA125" i="106"/>
  <c r="AA126" i="106"/>
  <c r="AA127" i="106"/>
  <c r="AA128" i="106"/>
  <c r="AA129" i="106"/>
  <c r="AA130" i="106"/>
  <c r="AA131" i="106"/>
  <c r="AA132" i="106"/>
  <c r="AA133" i="106"/>
  <c r="AA134" i="106"/>
  <c r="AA135" i="106"/>
  <c r="AA136" i="106"/>
  <c r="AA137" i="106"/>
  <c r="AA138" i="106"/>
  <c r="AA139" i="106"/>
  <c r="AA140" i="106"/>
  <c r="AA141" i="106"/>
  <c r="AA142" i="106"/>
  <c r="AA143" i="106"/>
  <c r="AA144" i="106"/>
  <c r="AA145" i="106"/>
  <c r="AA146" i="106"/>
  <c r="AA147" i="106"/>
  <c r="AA148" i="106"/>
  <c r="AA149" i="106"/>
  <c r="AA150" i="106"/>
  <c r="AA151" i="106"/>
  <c r="AA152" i="106"/>
  <c r="AA153" i="106"/>
  <c r="AA154" i="106"/>
  <c r="AA155" i="106"/>
  <c r="AA156" i="106"/>
  <c r="AA157" i="106"/>
  <c r="AA158" i="106"/>
  <c r="AA159" i="106"/>
  <c r="AA160" i="106"/>
  <c r="AA161" i="106"/>
  <c r="AA162" i="106"/>
  <c r="AA163" i="106"/>
  <c r="AA164" i="106"/>
  <c r="AA165" i="106"/>
  <c r="AA166" i="106"/>
  <c r="AA167" i="106"/>
  <c r="AA168" i="106"/>
  <c r="AA169" i="106"/>
  <c r="AA170" i="106"/>
  <c r="AA171" i="106"/>
  <c r="AA172" i="106"/>
  <c r="AA173" i="106"/>
  <c r="AA174" i="106"/>
  <c r="AA175" i="106"/>
  <c r="AA176" i="106"/>
  <c r="AA177" i="106"/>
  <c r="AA178" i="106"/>
  <c r="AA179" i="106"/>
  <c r="AA180" i="106"/>
  <c r="AA181" i="106"/>
  <c r="AA182" i="106"/>
  <c r="AA183" i="106"/>
  <c r="AA184" i="106"/>
  <c r="AA185" i="106"/>
  <c r="AA186" i="106"/>
  <c r="AA187" i="106"/>
  <c r="AA188" i="106"/>
  <c r="AA189" i="106"/>
  <c r="AA190" i="106"/>
  <c r="AA191" i="106"/>
  <c r="AA192" i="106"/>
  <c r="AA193" i="106"/>
  <c r="AA194" i="106"/>
  <c r="AA195" i="106"/>
  <c r="AA196" i="106"/>
  <c r="AA197" i="106"/>
  <c r="AA198" i="106"/>
  <c r="AA199" i="106"/>
  <c r="AA200" i="106"/>
  <c r="AA201" i="106"/>
  <c r="AA202" i="106"/>
  <c r="AA203" i="106"/>
  <c r="AA204" i="106"/>
  <c r="AA205" i="106"/>
  <c r="AA206" i="106"/>
  <c r="AA207" i="106"/>
  <c r="AA208" i="106"/>
  <c r="AA209" i="106"/>
  <c r="AA210" i="106"/>
  <c r="AA211" i="106"/>
  <c r="AA212" i="106"/>
  <c r="AA213" i="106"/>
  <c r="AA214" i="106"/>
  <c r="AA215" i="106"/>
  <c r="AA216" i="106"/>
  <c r="AA217" i="106"/>
  <c r="AA218" i="106"/>
  <c r="AA219" i="106"/>
  <c r="AA220" i="106"/>
  <c r="AA221" i="106"/>
  <c r="AA222" i="106"/>
  <c r="AA223" i="106"/>
  <c r="AA224" i="106"/>
  <c r="AA225" i="106"/>
  <c r="AA226" i="106"/>
  <c r="AA227" i="106"/>
  <c r="AA228" i="106"/>
  <c r="AA229" i="106"/>
  <c r="AA230" i="106"/>
  <c r="AA231" i="106"/>
  <c r="AA232" i="106"/>
  <c r="AA233" i="106"/>
  <c r="AA234" i="106"/>
  <c r="AA235" i="106"/>
  <c r="AA236" i="106"/>
  <c r="AA237" i="106"/>
  <c r="AA238" i="106"/>
  <c r="AA239" i="106"/>
  <c r="AA240" i="106"/>
  <c r="AA241" i="106"/>
  <c r="AA242" i="106"/>
  <c r="AA243" i="106"/>
  <c r="AA244" i="106"/>
  <c r="AA245" i="106"/>
  <c r="AA246" i="106"/>
  <c r="AA247" i="106"/>
  <c r="AA248" i="106"/>
  <c r="AA249" i="106"/>
  <c r="AA250" i="106"/>
  <c r="AA251" i="106"/>
  <c r="AA252" i="106"/>
  <c r="AA253" i="106"/>
  <c r="AA254" i="106"/>
  <c r="AA255" i="106"/>
  <c r="AA256" i="106"/>
  <c r="AA257" i="106"/>
  <c r="AA258" i="106"/>
  <c r="AA259" i="106"/>
  <c r="AA260" i="106"/>
  <c r="AA261" i="106"/>
  <c r="AA262" i="106"/>
  <c r="AA263" i="106"/>
  <c r="AA264" i="106"/>
  <c r="AA265" i="106"/>
  <c r="AA266" i="106"/>
  <c r="AA267" i="106"/>
  <c r="AA268" i="106"/>
  <c r="AA269" i="106"/>
  <c r="AA270" i="106"/>
  <c r="AA271" i="106"/>
  <c r="AA272" i="106"/>
  <c r="AA273" i="106"/>
  <c r="AA274" i="106"/>
  <c r="AA275" i="106"/>
  <c r="AA276" i="106"/>
  <c r="AA277" i="106"/>
  <c r="AA278" i="106"/>
  <c r="AA279" i="106"/>
  <c r="AA280" i="106"/>
  <c r="AA281" i="106"/>
  <c r="AA282" i="106"/>
  <c r="AA283" i="106"/>
  <c r="AA284" i="106"/>
  <c r="AA285" i="106"/>
  <c r="AA286" i="106"/>
  <c r="AA287" i="106"/>
  <c r="AA288" i="106"/>
  <c r="AA289" i="106"/>
  <c r="AA290" i="106"/>
  <c r="AA291" i="106"/>
  <c r="AA292" i="106"/>
  <c r="AA293" i="106"/>
  <c r="AA294" i="106"/>
  <c r="AA295" i="106"/>
  <c r="AA296" i="106"/>
  <c r="AA297" i="106"/>
  <c r="AA298" i="106"/>
  <c r="AA299" i="106"/>
  <c r="AA300" i="106"/>
  <c r="AA301" i="106"/>
  <c r="AA302" i="106"/>
  <c r="AA303" i="106"/>
  <c r="AA304" i="106"/>
  <c r="AA305" i="106"/>
  <c r="AA306" i="106"/>
  <c r="AA307" i="106"/>
  <c r="AA308" i="106"/>
  <c r="AA309" i="106"/>
  <c r="AA310" i="106"/>
  <c r="AA311" i="106"/>
  <c r="AA312" i="106"/>
  <c r="AA313" i="106"/>
  <c r="AA314" i="106"/>
  <c r="AA315" i="106"/>
  <c r="AA316" i="106"/>
  <c r="AA317" i="106"/>
  <c r="AA318" i="106"/>
  <c r="AA319" i="106"/>
  <c r="AA320" i="106"/>
  <c r="AA321" i="106"/>
  <c r="AA322" i="106"/>
  <c r="AA323" i="106"/>
  <c r="AA324" i="106"/>
  <c r="AA325" i="106"/>
  <c r="AA326" i="106"/>
  <c r="AA327" i="106"/>
  <c r="AA328" i="106"/>
  <c r="AA329" i="106"/>
  <c r="AA330" i="106"/>
  <c r="AA331" i="106"/>
  <c r="AA332" i="106"/>
  <c r="AA333" i="106"/>
  <c r="AA334" i="106"/>
  <c r="AA335" i="106"/>
  <c r="AA336" i="106"/>
  <c r="AA337" i="106"/>
  <c r="AA338" i="106"/>
  <c r="AA339" i="106"/>
  <c r="AA340" i="106"/>
  <c r="AA341" i="106"/>
  <c r="AA342" i="106"/>
  <c r="AA343" i="106"/>
  <c r="AA344" i="106"/>
  <c r="AA345" i="106"/>
  <c r="AA346" i="106"/>
  <c r="AA347" i="106"/>
  <c r="AA348" i="106"/>
  <c r="AA349" i="106"/>
  <c r="AA350" i="106"/>
  <c r="AA351" i="106"/>
  <c r="AA352" i="106"/>
  <c r="AA353" i="106"/>
  <c r="AA354" i="106"/>
  <c r="AA355" i="106"/>
  <c r="AA356" i="106"/>
  <c r="AA357" i="106"/>
  <c r="AA358" i="106"/>
  <c r="AA359" i="106"/>
  <c r="AA360" i="106"/>
  <c r="AA361" i="106"/>
  <c r="AA362" i="106"/>
  <c r="AA363" i="106"/>
  <c r="AA364" i="106"/>
  <c r="AA365" i="106"/>
  <c r="AA366" i="106"/>
  <c r="AA367" i="106"/>
  <c r="AA368" i="106"/>
  <c r="AA369" i="106"/>
  <c r="AA370" i="106"/>
  <c r="AA371" i="106"/>
  <c r="AA372" i="106"/>
  <c r="AA373" i="106"/>
  <c r="AA374" i="106"/>
  <c r="AA375" i="106"/>
  <c r="AA376" i="106"/>
  <c r="AA377" i="106"/>
  <c r="AA378" i="106"/>
  <c r="AA379" i="106"/>
  <c r="AA380" i="106"/>
  <c r="AA381" i="106"/>
  <c r="AA382" i="106"/>
  <c r="AA383" i="106"/>
  <c r="AA384" i="106"/>
  <c r="AA385" i="106"/>
  <c r="AA386" i="106"/>
  <c r="AA387" i="106"/>
  <c r="AA388" i="106"/>
  <c r="AA389" i="106"/>
  <c r="AA390" i="106"/>
  <c r="AA391" i="106"/>
  <c r="AA392" i="106"/>
  <c r="AA393" i="106"/>
  <c r="AA394" i="106"/>
  <c r="AA395" i="106"/>
  <c r="AA396" i="106"/>
  <c r="AA397" i="106"/>
  <c r="AA398" i="106"/>
  <c r="AA399" i="106"/>
  <c r="AA400" i="106"/>
  <c r="AA401" i="106"/>
  <c r="AA402" i="106"/>
  <c r="AA403" i="106"/>
  <c r="AA404" i="106"/>
  <c r="AA405" i="106"/>
  <c r="AA406" i="106"/>
  <c r="AA407" i="106"/>
  <c r="AA408" i="106"/>
  <c r="AA409" i="106"/>
  <c r="AA410" i="106"/>
  <c r="AA411" i="106"/>
  <c r="AA412" i="106"/>
  <c r="AA413" i="106"/>
  <c r="AA414" i="106"/>
  <c r="AA415" i="106"/>
  <c r="AA416" i="106"/>
  <c r="AA417" i="106"/>
  <c r="AA418" i="106"/>
  <c r="AA419" i="106"/>
  <c r="AA420" i="106"/>
  <c r="AA421" i="106"/>
  <c r="AA422" i="106"/>
  <c r="AA423" i="106"/>
  <c r="AA424" i="106"/>
  <c r="AA425" i="106"/>
  <c r="AA426" i="106"/>
  <c r="AA427" i="106"/>
  <c r="AA428" i="106"/>
  <c r="AA429" i="106"/>
  <c r="AA430" i="106"/>
  <c r="AA431" i="106"/>
  <c r="AA432" i="106"/>
  <c r="AA433" i="106"/>
  <c r="AA434" i="106"/>
  <c r="AA435" i="106"/>
  <c r="AA436" i="106"/>
  <c r="AA437" i="106"/>
  <c r="AA438" i="106"/>
  <c r="AA439" i="106"/>
  <c r="AA440" i="106"/>
  <c r="AA441" i="106"/>
  <c r="AA442" i="106"/>
  <c r="AA443" i="106"/>
  <c r="AA444" i="106"/>
  <c r="AA445" i="106"/>
  <c r="AA446" i="106"/>
  <c r="AA447" i="106"/>
  <c r="AA448" i="106"/>
  <c r="AA449" i="106"/>
  <c r="AA450" i="106"/>
  <c r="AA451" i="106"/>
  <c r="AA452" i="106"/>
  <c r="AA453" i="106"/>
  <c r="AA454" i="106"/>
  <c r="AA455" i="106"/>
  <c r="AA456" i="106"/>
  <c r="AA457" i="106"/>
  <c r="AA458" i="106"/>
  <c r="AA459" i="106"/>
  <c r="AA460" i="106"/>
  <c r="AA461" i="106"/>
  <c r="AA462" i="106"/>
  <c r="AA463" i="106"/>
  <c r="AA464" i="106"/>
  <c r="AA465" i="106"/>
  <c r="AB3" i="106"/>
  <c r="AB4" i="106"/>
  <c r="AB5" i="106"/>
  <c r="AB6" i="106"/>
  <c r="AB7" i="106"/>
  <c r="AB8" i="106"/>
  <c r="AB9" i="106"/>
  <c r="AB10" i="106"/>
  <c r="AB11" i="106"/>
  <c r="AB12" i="106"/>
  <c r="AB13" i="106"/>
  <c r="AB14" i="106"/>
  <c r="AB15" i="106"/>
  <c r="AB16" i="106"/>
  <c r="AB17" i="106"/>
  <c r="AB18" i="106"/>
  <c r="AB19" i="106"/>
  <c r="AB20" i="106"/>
  <c r="AB21" i="106"/>
  <c r="AB22" i="106"/>
  <c r="AB23" i="106"/>
  <c r="AB24" i="106"/>
  <c r="AB25" i="106"/>
  <c r="AB26" i="106"/>
  <c r="AB27" i="106"/>
  <c r="AB28" i="106"/>
  <c r="AB29" i="106"/>
  <c r="AB30" i="106"/>
  <c r="AB31" i="106"/>
  <c r="AB32" i="106"/>
  <c r="AB33" i="106"/>
  <c r="AB34" i="106"/>
  <c r="AB35" i="106"/>
  <c r="AB36" i="106"/>
  <c r="AB37" i="106"/>
  <c r="AB38" i="106"/>
  <c r="AB39" i="106"/>
  <c r="AB40" i="106"/>
  <c r="AB41" i="106"/>
  <c r="AB42" i="106"/>
  <c r="AB43" i="106"/>
  <c r="AB44" i="106"/>
  <c r="AB45" i="106"/>
  <c r="AB46" i="106"/>
  <c r="AB47" i="106"/>
  <c r="AB48" i="106"/>
  <c r="AB49" i="106"/>
  <c r="AB50" i="106"/>
  <c r="AB51" i="106"/>
  <c r="AB52" i="106"/>
  <c r="AB53" i="106"/>
  <c r="AB54" i="106"/>
  <c r="AB55" i="106"/>
  <c r="AB56" i="106"/>
  <c r="AB57" i="106"/>
  <c r="AB58" i="106"/>
  <c r="AB59" i="106"/>
  <c r="AB60" i="106"/>
  <c r="AB61" i="106"/>
  <c r="AB62" i="106"/>
  <c r="AB63" i="106"/>
  <c r="AB64" i="106"/>
  <c r="AB65" i="106"/>
  <c r="AB66" i="106"/>
  <c r="AB67" i="106"/>
  <c r="AB68" i="106"/>
  <c r="AB69" i="106"/>
  <c r="AB70" i="106"/>
  <c r="AB71" i="106"/>
  <c r="AB72" i="106"/>
  <c r="AB73" i="106"/>
  <c r="AB74" i="106"/>
  <c r="AB75" i="106"/>
  <c r="AB76" i="106"/>
  <c r="AB77" i="106"/>
  <c r="AB78" i="106"/>
  <c r="AB79" i="106"/>
  <c r="AB80" i="106"/>
  <c r="AB81" i="106"/>
  <c r="AB82" i="106"/>
  <c r="AB83" i="106"/>
  <c r="AB84" i="106"/>
  <c r="AB85" i="106"/>
  <c r="AB86" i="106"/>
  <c r="AB87" i="106"/>
  <c r="AB88" i="106"/>
  <c r="AB89" i="106"/>
  <c r="AB90" i="106"/>
  <c r="AB91" i="106"/>
  <c r="AB92" i="106"/>
  <c r="AB93" i="106"/>
  <c r="AB94" i="106"/>
  <c r="AB95" i="106"/>
  <c r="AB96" i="106"/>
  <c r="AB97" i="106"/>
  <c r="AB98" i="106"/>
  <c r="AB99" i="106"/>
  <c r="AB100" i="106"/>
  <c r="AB101" i="106"/>
  <c r="AB102" i="106"/>
  <c r="AB103" i="106"/>
  <c r="AB104" i="106"/>
  <c r="AB105" i="106"/>
  <c r="AB106" i="106"/>
  <c r="AB107" i="106"/>
  <c r="AB108" i="106"/>
  <c r="AB109" i="106"/>
  <c r="AB110" i="106"/>
  <c r="AB111" i="106"/>
  <c r="AB112" i="106"/>
  <c r="AB113" i="106"/>
  <c r="AB114" i="106"/>
  <c r="AB115" i="106"/>
  <c r="AB116" i="106"/>
  <c r="AB117" i="106"/>
  <c r="AB118" i="106"/>
  <c r="AB119" i="106"/>
  <c r="AB120" i="106"/>
  <c r="AB121" i="106"/>
  <c r="AB122" i="106"/>
  <c r="AB123" i="106"/>
  <c r="AB124" i="106"/>
  <c r="AB125" i="106"/>
  <c r="AB126" i="106"/>
  <c r="AB127" i="106"/>
  <c r="AB128" i="106"/>
  <c r="AB129" i="106"/>
  <c r="AB130" i="106"/>
  <c r="AB131" i="106"/>
  <c r="AB132" i="106"/>
  <c r="AB133" i="106"/>
  <c r="AB134" i="106"/>
  <c r="AB135" i="106"/>
  <c r="AB136" i="106"/>
  <c r="AB137" i="106"/>
  <c r="AB138" i="106"/>
  <c r="AB139" i="106"/>
  <c r="AB140" i="106"/>
  <c r="AB141" i="106"/>
  <c r="AB142" i="106"/>
  <c r="AB143" i="106"/>
  <c r="AB144" i="106"/>
  <c r="AB145" i="106"/>
  <c r="AB146" i="106"/>
  <c r="AB147" i="106"/>
  <c r="AB148" i="106"/>
  <c r="AB149" i="106"/>
  <c r="AB150" i="106"/>
  <c r="AB151" i="106"/>
  <c r="AB152" i="106"/>
  <c r="AB153" i="106"/>
  <c r="AB154" i="106"/>
  <c r="AB155" i="106"/>
  <c r="AB156" i="106"/>
  <c r="AB157" i="106"/>
  <c r="AB158" i="106"/>
  <c r="AB159" i="106"/>
  <c r="AB160" i="106"/>
  <c r="AB161" i="106"/>
  <c r="AB162" i="106"/>
  <c r="AB163" i="106"/>
  <c r="AB164" i="106"/>
  <c r="AB165" i="106"/>
  <c r="AB166" i="106"/>
  <c r="AB167" i="106"/>
  <c r="AB168" i="106"/>
  <c r="AB169" i="106"/>
  <c r="AB170" i="106"/>
  <c r="AB171" i="106"/>
  <c r="AB172" i="106"/>
  <c r="AB173" i="106"/>
  <c r="AB174" i="106"/>
  <c r="AB175" i="106"/>
  <c r="AB176" i="106"/>
  <c r="AB177" i="106"/>
  <c r="AB178" i="106"/>
  <c r="AB179" i="106"/>
  <c r="AB180" i="106"/>
  <c r="AB181" i="106"/>
  <c r="AB182" i="106"/>
  <c r="AB183" i="106"/>
  <c r="AB184" i="106"/>
  <c r="AB185" i="106"/>
  <c r="AB186" i="106"/>
  <c r="AB187" i="106"/>
  <c r="AB188" i="106"/>
  <c r="AB189" i="106"/>
  <c r="AB190" i="106"/>
  <c r="AB191" i="106"/>
  <c r="AB192" i="106"/>
  <c r="AB193" i="106"/>
  <c r="AB194" i="106"/>
  <c r="AB195" i="106"/>
  <c r="AB196" i="106"/>
  <c r="AB197" i="106"/>
  <c r="AB198" i="106"/>
  <c r="AB199" i="106"/>
  <c r="AB200" i="106"/>
  <c r="AB201" i="106"/>
  <c r="AB202" i="106"/>
  <c r="AB203" i="106"/>
  <c r="AB204" i="106"/>
  <c r="AB205" i="106"/>
  <c r="AB206" i="106"/>
  <c r="AB207" i="106"/>
  <c r="AB208" i="106"/>
  <c r="AB209" i="106"/>
  <c r="AB210" i="106"/>
  <c r="AB211" i="106"/>
  <c r="AB212" i="106"/>
  <c r="AB213" i="106"/>
  <c r="AB214" i="106"/>
  <c r="AB215" i="106"/>
  <c r="AB216" i="106"/>
  <c r="AB217" i="106"/>
  <c r="AB218" i="106"/>
  <c r="AB219" i="106"/>
  <c r="AB220" i="106"/>
  <c r="AB221" i="106"/>
  <c r="AB222" i="106"/>
  <c r="AB223" i="106"/>
  <c r="AB224" i="106"/>
  <c r="AB225" i="106"/>
  <c r="AB226" i="106"/>
  <c r="AB227" i="106"/>
  <c r="AB228" i="106"/>
  <c r="AB229" i="106"/>
  <c r="AB230" i="106"/>
  <c r="AB231" i="106"/>
  <c r="AB232" i="106"/>
  <c r="AB233" i="106"/>
  <c r="AB234" i="106"/>
  <c r="AB235" i="106"/>
  <c r="AB236" i="106"/>
  <c r="AB237" i="106"/>
  <c r="AB238" i="106"/>
  <c r="AB239" i="106"/>
  <c r="AB240" i="106"/>
  <c r="AB241" i="106"/>
  <c r="AB242" i="106"/>
  <c r="AB243" i="106"/>
  <c r="AB244" i="106"/>
  <c r="AB245" i="106"/>
  <c r="AB246" i="106"/>
  <c r="AB247" i="106"/>
  <c r="AB248" i="106"/>
  <c r="AB249" i="106"/>
  <c r="AB250" i="106"/>
  <c r="AB251" i="106"/>
  <c r="AB252" i="106"/>
  <c r="AB253" i="106"/>
  <c r="AB254" i="106"/>
  <c r="AB255" i="106"/>
  <c r="AB256" i="106"/>
  <c r="AB257" i="106"/>
  <c r="AB258" i="106"/>
  <c r="AB259" i="106"/>
  <c r="AB260" i="106"/>
  <c r="AB261" i="106"/>
  <c r="AB262" i="106"/>
  <c r="AB263" i="106"/>
  <c r="AB264" i="106"/>
  <c r="AB265" i="106"/>
  <c r="AB266" i="106"/>
  <c r="AB267" i="106"/>
  <c r="AB268" i="106"/>
  <c r="AB269" i="106"/>
  <c r="AB270" i="106"/>
  <c r="AB271" i="106"/>
  <c r="AB272" i="106"/>
  <c r="AB273" i="106"/>
  <c r="AB274" i="106"/>
  <c r="AB275" i="106"/>
  <c r="AB276" i="106"/>
  <c r="AB277" i="106"/>
  <c r="AB278" i="106"/>
  <c r="AB279" i="106"/>
  <c r="AB280" i="106"/>
  <c r="AB281" i="106"/>
  <c r="AB282" i="106"/>
  <c r="AB283" i="106"/>
  <c r="AB284" i="106"/>
  <c r="AB285" i="106"/>
  <c r="AB286" i="106"/>
  <c r="AB287" i="106"/>
  <c r="AB288" i="106"/>
  <c r="AB289" i="106"/>
  <c r="AB290" i="106"/>
  <c r="AB291" i="106"/>
  <c r="AB292" i="106"/>
  <c r="AB293" i="106"/>
  <c r="AB294" i="106"/>
  <c r="AB295" i="106"/>
  <c r="AB296" i="106"/>
  <c r="AB297" i="106"/>
  <c r="AB298" i="106"/>
  <c r="AB299" i="106"/>
  <c r="AB300" i="106"/>
  <c r="AB301" i="106"/>
  <c r="AB302" i="106"/>
  <c r="AB303" i="106"/>
  <c r="AB304" i="106"/>
  <c r="AB305" i="106"/>
  <c r="AB306" i="106"/>
  <c r="AB307" i="106"/>
  <c r="AB308" i="106"/>
  <c r="AB309" i="106"/>
  <c r="AB310" i="106"/>
  <c r="AB311" i="106"/>
  <c r="AB312" i="106"/>
  <c r="AB313" i="106"/>
  <c r="AB314" i="106"/>
  <c r="AB315" i="106"/>
  <c r="AB316" i="106"/>
  <c r="AB317" i="106"/>
  <c r="AB318" i="106"/>
  <c r="AB319" i="106"/>
  <c r="AB320" i="106"/>
  <c r="AB321" i="106"/>
  <c r="AB322" i="106"/>
  <c r="AB323" i="106"/>
  <c r="AB324" i="106"/>
  <c r="AB325" i="106"/>
  <c r="AB326" i="106"/>
  <c r="AB327" i="106"/>
  <c r="AB328" i="106"/>
  <c r="AB329" i="106"/>
  <c r="AB330" i="106"/>
  <c r="AB331" i="106"/>
  <c r="AB332" i="106"/>
  <c r="AB333" i="106"/>
  <c r="AB334" i="106"/>
  <c r="AB335" i="106"/>
  <c r="AB336" i="106"/>
  <c r="AB337" i="106"/>
  <c r="AB338" i="106"/>
  <c r="AB339" i="106"/>
  <c r="AB340" i="106"/>
  <c r="AB341" i="106"/>
  <c r="AB342" i="106"/>
  <c r="AB343" i="106"/>
  <c r="AB344" i="106"/>
  <c r="AB345" i="106"/>
  <c r="AB346" i="106"/>
  <c r="AB347" i="106"/>
  <c r="AB348" i="106"/>
  <c r="AB349" i="106"/>
  <c r="AB350" i="106"/>
  <c r="AB351" i="106"/>
  <c r="AB352" i="106"/>
  <c r="AB353" i="106"/>
  <c r="AB354" i="106"/>
  <c r="AB355" i="106"/>
  <c r="AB356" i="106"/>
  <c r="AB357" i="106"/>
  <c r="AB358" i="106"/>
  <c r="AB359" i="106"/>
  <c r="AB360" i="106"/>
  <c r="AB361" i="106"/>
  <c r="AB362" i="106"/>
  <c r="AB363" i="106"/>
  <c r="AB364" i="106"/>
  <c r="AB365" i="106"/>
  <c r="AB366" i="106"/>
  <c r="AB367" i="106"/>
  <c r="AB368" i="106"/>
  <c r="AB369" i="106"/>
  <c r="AB370" i="106"/>
  <c r="AB371" i="106"/>
  <c r="AB372" i="106"/>
  <c r="AB373" i="106"/>
  <c r="AB374" i="106"/>
  <c r="AB375" i="106"/>
  <c r="AB376" i="106"/>
  <c r="AB377" i="106"/>
  <c r="AB378" i="106"/>
  <c r="AB379" i="106"/>
  <c r="AB380" i="106"/>
  <c r="AB381" i="106"/>
  <c r="AB382" i="106"/>
  <c r="AB383" i="106"/>
  <c r="AB384" i="106"/>
  <c r="AB385" i="106"/>
  <c r="AB386" i="106"/>
  <c r="AB387" i="106"/>
  <c r="AB388" i="106"/>
  <c r="AB389" i="106"/>
  <c r="AB390" i="106"/>
  <c r="AB391" i="106"/>
  <c r="AB392" i="106"/>
  <c r="AB393" i="106"/>
  <c r="AB394" i="106"/>
  <c r="AB395" i="106"/>
  <c r="AB396" i="106"/>
  <c r="AB397" i="106"/>
  <c r="AB398" i="106"/>
  <c r="AB399" i="106"/>
  <c r="AB400" i="106"/>
  <c r="AB401" i="106"/>
  <c r="AB402" i="106"/>
  <c r="AB403" i="106"/>
  <c r="AB404" i="106"/>
  <c r="AB405" i="106"/>
  <c r="AB406" i="106"/>
  <c r="AB407" i="106"/>
  <c r="AB408" i="106"/>
  <c r="AB409" i="106"/>
  <c r="AB410" i="106"/>
  <c r="AB411" i="106"/>
  <c r="AB412" i="106"/>
  <c r="AB413" i="106"/>
  <c r="AB414" i="106"/>
  <c r="AB415" i="106"/>
  <c r="AB416" i="106"/>
  <c r="AB417" i="106"/>
  <c r="AB418" i="106"/>
  <c r="AB419" i="106"/>
  <c r="AB420" i="106"/>
  <c r="AB421" i="106"/>
  <c r="AB422" i="106"/>
  <c r="AB423" i="106"/>
  <c r="AB424" i="106"/>
  <c r="AB425" i="106"/>
  <c r="AB426" i="106"/>
  <c r="AB427" i="106"/>
  <c r="AB428" i="106"/>
  <c r="AB429" i="106"/>
  <c r="AB430" i="106"/>
  <c r="AB431" i="106"/>
  <c r="AB432" i="106"/>
  <c r="AB433" i="106"/>
  <c r="AB434" i="106"/>
  <c r="AB435" i="106"/>
  <c r="AB436" i="106"/>
  <c r="AB437" i="106"/>
  <c r="AB438" i="106"/>
  <c r="AB439" i="106"/>
  <c r="AB440" i="106"/>
  <c r="AB441" i="106"/>
  <c r="AB442" i="106"/>
  <c r="AB443" i="106"/>
  <c r="AB444" i="106"/>
  <c r="AB445" i="106"/>
  <c r="AB446" i="106"/>
  <c r="AB447" i="106"/>
  <c r="AB448" i="106"/>
  <c r="AB449" i="106"/>
  <c r="AB450" i="106"/>
  <c r="AB451" i="106"/>
  <c r="AB452" i="106"/>
  <c r="AB453" i="106"/>
  <c r="AB454" i="106"/>
  <c r="AB455" i="106"/>
  <c r="AB456" i="106"/>
  <c r="AB457" i="106"/>
  <c r="AB458" i="106"/>
  <c r="AB459" i="106"/>
  <c r="AB460" i="106"/>
  <c r="AB461" i="106"/>
  <c r="AB462" i="106"/>
  <c r="AB463" i="106"/>
  <c r="AB464" i="106"/>
  <c r="AB465" i="106"/>
  <c r="AV2" i="95"/>
  <c r="AW2" i="95" s="1"/>
  <c r="C2" i="95"/>
  <c r="B2" i="95"/>
  <c r="AC117" i="106" l="1"/>
  <c r="AC465" i="106"/>
  <c r="AC464" i="106"/>
  <c r="AC463" i="106"/>
  <c r="AC462" i="106"/>
  <c r="AC461" i="106"/>
  <c r="AC460" i="106"/>
  <c r="AC459" i="106"/>
  <c r="AC458" i="106"/>
  <c r="AC457" i="106"/>
  <c r="AC456" i="106"/>
  <c r="AC455" i="106"/>
  <c r="AC454" i="106"/>
  <c r="AC453" i="106"/>
  <c r="AC452" i="106"/>
  <c r="AC451" i="106"/>
  <c r="AC450" i="106"/>
  <c r="AC449" i="106"/>
  <c r="AC448" i="106"/>
  <c r="AC447" i="106"/>
  <c r="AC446" i="106"/>
  <c r="AC445" i="106"/>
  <c r="AC444" i="106"/>
  <c r="AC443" i="106"/>
  <c r="AC442" i="106"/>
  <c r="AC441" i="106"/>
  <c r="AC440" i="106"/>
  <c r="AC439" i="106"/>
  <c r="AC438" i="106"/>
  <c r="AC437" i="106"/>
  <c r="AC436" i="106"/>
  <c r="AC435" i="106"/>
  <c r="AC434" i="106"/>
  <c r="AC433" i="106"/>
  <c r="AC432" i="106"/>
  <c r="AC431" i="106"/>
  <c r="AC430" i="106"/>
  <c r="AC429" i="106"/>
  <c r="AC428" i="106"/>
  <c r="AC427" i="106"/>
  <c r="AC426" i="106"/>
  <c r="AC425" i="106"/>
  <c r="AC424" i="106"/>
  <c r="AC423" i="106"/>
  <c r="AC422" i="106"/>
  <c r="AC421" i="106"/>
  <c r="AC420" i="106"/>
  <c r="AC419" i="106"/>
  <c r="AC418" i="106"/>
  <c r="AC417" i="106"/>
  <c r="AC416" i="106"/>
  <c r="AC415" i="106"/>
  <c r="AC414" i="106"/>
  <c r="AC413" i="106"/>
  <c r="AC412" i="106"/>
  <c r="AC411" i="106"/>
  <c r="AC410" i="106"/>
  <c r="AC409" i="106"/>
  <c r="AC408" i="106"/>
  <c r="AC407" i="106"/>
  <c r="AC406" i="106"/>
  <c r="AC405" i="106"/>
  <c r="AC404" i="106"/>
  <c r="AC403" i="106"/>
  <c r="AC402" i="106"/>
  <c r="AC401" i="106"/>
  <c r="AC400" i="106"/>
  <c r="AC399" i="106"/>
  <c r="AC398" i="106"/>
  <c r="AC397" i="106"/>
  <c r="AC396" i="106"/>
  <c r="AC395" i="106"/>
  <c r="AC394" i="106"/>
  <c r="AC393" i="106"/>
  <c r="AC392" i="106"/>
  <c r="AC391" i="106"/>
  <c r="AC390" i="106"/>
  <c r="AC389" i="106"/>
  <c r="AC388" i="106"/>
  <c r="AC387" i="106"/>
  <c r="AC386" i="106"/>
  <c r="AC385" i="106"/>
  <c r="AC384" i="106"/>
  <c r="AC383" i="106"/>
  <c r="AC382" i="106"/>
  <c r="AC381" i="106"/>
  <c r="AC380" i="106"/>
  <c r="AC379" i="106"/>
  <c r="AC378" i="106"/>
  <c r="AC377" i="106"/>
  <c r="AC376" i="106"/>
  <c r="AC375" i="106"/>
  <c r="AC374" i="106"/>
  <c r="AC373" i="106"/>
  <c r="AC372" i="106"/>
  <c r="AC371" i="106"/>
  <c r="AC370" i="106"/>
  <c r="AC369" i="106"/>
  <c r="AC368" i="106"/>
  <c r="AC367" i="106"/>
  <c r="AC366" i="106"/>
  <c r="AC365" i="106"/>
  <c r="AC364" i="106"/>
  <c r="AC363" i="106"/>
  <c r="AC362" i="106"/>
  <c r="AC361" i="106"/>
  <c r="AC360" i="106"/>
  <c r="AC359" i="106"/>
  <c r="AC358" i="106"/>
  <c r="AC357" i="106"/>
  <c r="AC356" i="106"/>
  <c r="AC355" i="106"/>
  <c r="AC354" i="106"/>
  <c r="AC353" i="106"/>
  <c r="AC352" i="106"/>
  <c r="AC351" i="106"/>
  <c r="AC350" i="106"/>
  <c r="AC349" i="106"/>
  <c r="AC348" i="106"/>
  <c r="AC347" i="106"/>
  <c r="AC346" i="106"/>
  <c r="AC345" i="106"/>
  <c r="AC344" i="106"/>
  <c r="AC343" i="106"/>
  <c r="AC342" i="106"/>
  <c r="AC341" i="106"/>
  <c r="AC340" i="106"/>
  <c r="AC339" i="106"/>
  <c r="AC338" i="106"/>
  <c r="AC337" i="106"/>
  <c r="AC336" i="106"/>
  <c r="AC335" i="106"/>
  <c r="AC334" i="106"/>
  <c r="AC333" i="106"/>
  <c r="AC332" i="106"/>
  <c r="AC331" i="106"/>
  <c r="AC330" i="106"/>
  <c r="AC329" i="106"/>
  <c r="AC328" i="106"/>
  <c r="AC327" i="106"/>
  <c r="AC326" i="106"/>
  <c r="AC325" i="106"/>
  <c r="AC324" i="106"/>
  <c r="AC323" i="106"/>
  <c r="AC322" i="106"/>
  <c r="AC321" i="106"/>
  <c r="AC320" i="106"/>
  <c r="AC319" i="106"/>
  <c r="AC318" i="106"/>
  <c r="AC317" i="106"/>
  <c r="AC316" i="106"/>
  <c r="AC315" i="106"/>
  <c r="AC314" i="106"/>
  <c r="AC313" i="106"/>
  <c r="AC312" i="106"/>
  <c r="AC311" i="106"/>
  <c r="AC310" i="106"/>
  <c r="AC309" i="106"/>
  <c r="AC308" i="106"/>
  <c r="AC307" i="106"/>
  <c r="AC306" i="106"/>
  <c r="AC305" i="106"/>
  <c r="AC304" i="106"/>
  <c r="AC303" i="106"/>
  <c r="AC302" i="106"/>
  <c r="AC301" i="106"/>
  <c r="AC300" i="106"/>
  <c r="AC299" i="106"/>
  <c r="AC298" i="106"/>
  <c r="AC297" i="106"/>
  <c r="AC296" i="106"/>
  <c r="AC295" i="106"/>
  <c r="AC294" i="106"/>
  <c r="AC293" i="106"/>
  <c r="AC292" i="106"/>
  <c r="AC291" i="106"/>
  <c r="AC290" i="106"/>
  <c r="AC289" i="106"/>
  <c r="AC288" i="106"/>
  <c r="AC287" i="106"/>
  <c r="AC286" i="106"/>
  <c r="AC285" i="106"/>
  <c r="AC284" i="106"/>
  <c r="AC283" i="106"/>
  <c r="AC282" i="106"/>
  <c r="AC281" i="106"/>
  <c r="AC280" i="106"/>
  <c r="AC279" i="106"/>
  <c r="AC278" i="106"/>
  <c r="AC277" i="106"/>
  <c r="AC276" i="106"/>
  <c r="AC275" i="106"/>
  <c r="AC274" i="106"/>
  <c r="AC273" i="106"/>
  <c r="AC272" i="106"/>
  <c r="AC271" i="106"/>
  <c r="AC270" i="106"/>
  <c r="AC269" i="106"/>
  <c r="AC268" i="106"/>
  <c r="AC267" i="106"/>
  <c r="AC266" i="106"/>
  <c r="AC265" i="106"/>
  <c r="AC264" i="106"/>
  <c r="AC263" i="106"/>
  <c r="AC262" i="106"/>
  <c r="AC261" i="106"/>
  <c r="AC260" i="106"/>
  <c r="AC259" i="106"/>
  <c r="AC258" i="106"/>
  <c r="AC257" i="106"/>
  <c r="AC256" i="106"/>
  <c r="AC255" i="106"/>
  <c r="AC254" i="106"/>
  <c r="AC253" i="106"/>
  <c r="AC252" i="106"/>
  <c r="AC251" i="106"/>
  <c r="AC250" i="106"/>
  <c r="AC249" i="106"/>
  <c r="AC248" i="106"/>
  <c r="AC247" i="106"/>
  <c r="AC246" i="106"/>
  <c r="AC245" i="106"/>
  <c r="AC244" i="106"/>
  <c r="AC243" i="106"/>
  <c r="AC242" i="106"/>
  <c r="AC241" i="106"/>
  <c r="AC240" i="106"/>
  <c r="AC239" i="106"/>
  <c r="AC238" i="106"/>
  <c r="AC237" i="106"/>
  <c r="AC236" i="106"/>
  <c r="AC235" i="106"/>
  <c r="AC234" i="106"/>
  <c r="AC233" i="106"/>
  <c r="AC232" i="106"/>
  <c r="AC231" i="106"/>
  <c r="AC230" i="106"/>
  <c r="AC229" i="106"/>
  <c r="AC228" i="106"/>
  <c r="AC227" i="106"/>
  <c r="AC226" i="106"/>
  <c r="AC225" i="106"/>
  <c r="AC224" i="106"/>
  <c r="AC223" i="106"/>
  <c r="AC222" i="106"/>
  <c r="AC221" i="106"/>
  <c r="AC220" i="106"/>
  <c r="AC219" i="106"/>
  <c r="AC218" i="106"/>
  <c r="AC217" i="106"/>
  <c r="AC216" i="106"/>
  <c r="AC215" i="106"/>
  <c r="AC214" i="106"/>
  <c r="AC213" i="106"/>
  <c r="AC212" i="106"/>
  <c r="AC211" i="106"/>
  <c r="AC210" i="106"/>
  <c r="AC209" i="106"/>
  <c r="AC208" i="106"/>
  <c r="AC207" i="106"/>
  <c r="AC206" i="106"/>
  <c r="AC205" i="106"/>
  <c r="AC204" i="106"/>
  <c r="AC203" i="106"/>
  <c r="AC202" i="106"/>
  <c r="AC201" i="106"/>
  <c r="AC200" i="106"/>
  <c r="AC199" i="106"/>
  <c r="AC198" i="106"/>
  <c r="AC197" i="106"/>
  <c r="AC196" i="106"/>
  <c r="AC195" i="106"/>
  <c r="AC194" i="106"/>
  <c r="AC193" i="106"/>
  <c r="AC192" i="106"/>
  <c r="AC191" i="106"/>
  <c r="AC190" i="106"/>
  <c r="AC189" i="106"/>
  <c r="AC188" i="106"/>
  <c r="AC187" i="106"/>
  <c r="AC186" i="106"/>
  <c r="AC185" i="106"/>
  <c r="AC184" i="106"/>
  <c r="AC183" i="106"/>
  <c r="AC182" i="106"/>
  <c r="AC181" i="106"/>
  <c r="AC180" i="106"/>
  <c r="AC179" i="106"/>
  <c r="AC178" i="106"/>
  <c r="AC177" i="106"/>
  <c r="AC176" i="106"/>
  <c r="AC175" i="106"/>
  <c r="AC174" i="106"/>
  <c r="AC173" i="106"/>
  <c r="AC172" i="106"/>
  <c r="AC171" i="106"/>
  <c r="AC170" i="106"/>
  <c r="AC169" i="106"/>
  <c r="AC168" i="106"/>
  <c r="AC167" i="106"/>
  <c r="AC166" i="106"/>
  <c r="AC165" i="106"/>
  <c r="AC164" i="106"/>
  <c r="AC163" i="106"/>
  <c r="AC162" i="106"/>
  <c r="AC161" i="106"/>
  <c r="AC160" i="106"/>
  <c r="AC159" i="106"/>
  <c r="AC158" i="106"/>
  <c r="AC157" i="106"/>
  <c r="AC156" i="106"/>
  <c r="AC155" i="106"/>
  <c r="AC154" i="106"/>
  <c r="AC153" i="106"/>
  <c r="AC152" i="106"/>
  <c r="AC151" i="106"/>
  <c r="AC150" i="106"/>
  <c r="AC149" i="106"/>
  <c r="AC148" i="106"/>
  <c r="AC147" i="106"/>
  <c r="AC146" i="106"/>
  <c r="AC145" i="106"/>
  <c r="AC144" i="106"/>
  <c r="AC143" i="106"/>
  <c r="AC142" i="106"/>
  <c r="AC141" i="106"/>
  <c r="AC140" i="106"/>
  <c r="AC139" i="106"/>
  <c r="AC138" i="106"/>
  <c r="AC137" i="106"/>
  <c r="AC136" i="106"/>
  <c r="AC135" i="106"/>
  <c r="AC134" i="106"/>
  <c r="AC133" i="106"/>
  <c r="AC132" i="106"/>
  <c r="AC131" i="106"/>
  <c r="AC130" i="106"/>
  <c r="AC129" i="106"/>
  <c r="AC128" i="106"/>
  <c r="AC127" i="106"/>
  <c r="AC126" i="106"/>
  <c r="AC125" i="106"/>
  <c r="AC124" i="106"/>
  <c r="AC123" i="106"/>
  <c r="AC122" i="106"/>
  <c r="AC121" i="106"/>
  <c r="AC120" i="106"/>
  <c r="AC119" i="106"/>
  <c r="AC118" i="106"/>
  <c r="AC116" i="106"/>
  <c r="AC115" i="106"/>
  <c r="AC114" i="106"/>
  <c r="AC113" i="106"/>
  <c r="AC112" i="106"/>
  <c r="AC111" i="106"/>
  <c r="AC110" i="106"/>
  <c r="AC109" i="106"/>
  <c r="AC108" i="106"/>
  <c r="AC107" i="106"/>
  <c r="AC106" i="106"/>
  <c r="AC105" i="106"/>
  <c r="AC104" i="106"/>
  <c r="AC103" i="106"/>
  <c r="AC102" i="106"/>
  <c r="AC101" i="106"/>
  <c r="AC100" i="106"/>
  <c r="AC99" i="106"/>
  <c r="AC98" i="106"/>
  <c r="AC97" i="106"/>
  <c r="AC96" i="106"/>
  <c r="AC95" i="106"/>
  <c r="AC94" i="106"/>
  <c r="AC93" i="106"/>
  <c r="AC92" i="106"/>
  <c r="AC91" i="106"/>
  <c r="AC90" i="106"/>
  <c r="AC89" i="106"/>
  <c r="AC88" i="106"/>
  <c r="AC87" i="106"/>
  <c r="AC86" i="106"/>
  <c r="AC85" i="106"/>
  <c r="AC84" i="106"/>
  <c r="AC83" i="106"/>
  <c r="AC82" i="106"/>
  <c r="AC81" i="106"/>
  <c r="AC80" i="106"/>
  <c r="AC79" i="106"/>
  <c r="AC78" i="106"/>
  <c r="AC77" i="106"/>
  <c r="AC76" i="106"/>
  <c r="AC75" i="106"/>
  <c r="AC74" i="106"/>
  <c r="AC73" i="106"/>
  <c r="AC72" i="106"/>
  <c r="AC71" i="106"/>
  <c r="AC70" i="106"/>
  <c r="AC69" i="106"/>
  <c r="AC68" i="106"/>
  <c r="AC67" i="106"/>
  <c r="AC66" i="106"/>
  <c r="AC65" i="106"/>
  <c r="AC64" i="106"/>
  <c r="AC63" i="106"/>
  <c r="AC62" i="106"/>
  <c r="AC61" i="106"/>
  <c r="AC60" i="106"/>
  <c r="AC59" i="106"/>
  <c r="AC58" i="106"/>
  <c r="AC57" i="106"/>
  <c r="AC56" i="106"/>
  <c r="AC55" i="106"/>
  <c r="AC54" i="106"/>
  <c r="AC53" i="106"/>
  <c r="AC52" i="106"/>
  <c r="AC51" i="106"/>
  <c r="AC50" i="106"/>
  <c r="AC49" i="106"/>
  <c r="AC48" i="106"/>
  <c r="AC47" i="106"/>
  <c r="AC46" i="106"/>
  <c r="AC45" i="106"/>
  <c r="AC44" i="106"/>
  <c r="AC43" i="106"/>
  <c r="AC42" i="106"/>
  <c r="AC41" i="106"/>
  <c r="AC40" i="106"/>
  <c r="AC39" i="106"/>
  <c r="AC38" i="106"/>
  <c r="AC37" i="106"/>
  <c r="AC36" i="106"/>
  <c r="AC35" i="106"/>
  <c r="AC34" i="106"/>
  <c r="AC33" i="106"/>
  <c r="AC32" i="106"/>
  <c r="AC31" i="106"/>
  <c r="AC30" i="106"/>
  <c r="AC29" i="106"/>
  <c r="AC28" i="106"/>
  <c r="AC27" i="106"/>
  <c r="AC26" i="106"/>
  <c r="AC25" i="106"/>
  <c r="AC24" i="106"/>
  <c r="AC23" i="106"/>
  <c r="AC22" i="106"/>
  <c r="AC21" i="106"/>
  <c r="AC20" i="106"/>
  <c r="AC19" i="106"/>
  <c r="AC18" i="106"/>
  <c r="AC17" i="106"/>
  <c r="AC16" i="106"/>
  <c r="AC15" i="106"/>
  <c r="AC14" i="106"/>
  <c r="AC13" i="106"/>
  <c r="AC12" i="106"/>
  <c r="AC11" i="106"/>
  <c r="AC10" i="106"/>
  <c r="AC9" i="106"/>
  <c r="AC8" i="106"/>
  <c r="AC7" i="106"/>
  <c r="AC6" i="106"/>
  <c r="AC5" i="106"/>
  <c r="AC4" i="106"/>
  <c r="AC3" i="106"/>
  <c r="AW3" i="95"/>
  <c r="H3" i="1" s="1"/>
  <c r="I3" i="1" s="1"/>
  <c r="AB2" i="106"/>
  <c r="F3" i="1"/>
  <c r="A3" i="1"/>
  <c r="F2" i="1"/>
  <c r="AC2" i="106" l="1"/>
  <c r="AC466" i="106" s="1"/>
  <c r="F4" i="1"/>
  <c r="H2" i="1" l="1"/>
  <c r="G2" i="1"/>
  <c r="H4" i="1" l="1"/>
  <c r="I2" i="1" l="1"/>
  <c r="I4" i="1" s="1"/>
</calcChain>
</file>

<file path=xl/sharedStrings.xml><?xml version="1.0" encoding="utf-8"?>
<sst xmlns="http://schemas.openxmlformats.org/spreadsheetml/2006/main" count="8597" uniqueCount="2726">
  <si>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</si>
  <si>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</si>
  <si>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</si>
  <si>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</si>
  <si>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</si>
  <si>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</si>
  <si>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</si>
  <si>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</si>
  <si>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</si>
  <si>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AGOSTO DE 2025</t>
  </si>
  <si>
    <t>811013990-5</t>
  </si>
  <si>
    <t>LINEA COMUNICACIONES</t>
  </si>
  <si>
    <t>CAPACITACION CORRESPONSALES BANCARIOS APERTURAS</t>
  </si>
  <si>
    <t>CAPACITACION CORRESPONSALES BANCARIOS</t>
  </si>
  <si>
    <t>CAPACITACION CORRESPONSALES BANCARIOS OC</t>
  </si>
  <si>
    <t>TOTAL</t>
  </si>
  <si>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</si>
  <si>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</si>
  <si>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</si>
  <si>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</si>
  <si>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</si>
  <si>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</si>
  <si>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</si>
  <si>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</si>
  <si>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</si>
  <si>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</si>
  <si>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</si>
  <si>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</si>
  <si>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</si>
  <si>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</si>
  <si>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</si>
  <si>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</si>
  <si>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</si>
  <si>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</si>
  <si>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</si>
  <si>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</si>
  <si>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</si>
  <si>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</si>
  <si>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</si>
  <si>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</si>
  <si>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</si>
  <si>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</si>
  <si>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COORDINADOR</t>
  </si>
  <si>
    <t>CENTRO DE COSTOS LÍNEACOM</t>
  </si>
  <si>
    <t xml:space="preserve">Suma de  VALOR TOTAL </t>
  </si>
  <si>
    <t>Suma de  VALOR TOTAL 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</si>
  <si>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</si>
  <si>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</si>
  <si>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</si>
  <si>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</si>
  <si>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</si>
  <si>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</si>
  <si>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</si>
  <si>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</si>
  <si>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</si>
  <si>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</si>
  <si>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</si>
  <si>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</si>
  <si>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</si>
  <si>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</si>
  <si>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</si>
  <si>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</si>
  <si>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</si>
  <si>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</si>
  <si>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</si>
  <si>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</si>
  <si>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</si>
  <si>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</si>
  <si>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</si>
  <si>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</si>
  <si>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</si>
  <si>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</si>
  <si>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</si>
  <si>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</si>
  <si>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</si>
  <si>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</si>
  <si>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</si>
  <si>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</si>
  <si>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</si>
  <si>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</si>
  <si>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</si>
  <si>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</si>
  <si>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</si>
  <si>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CAPACITACIÓN COMPLETA</t>
  </si>
  <si>
    <t>CAPACITACIÓN ESPECÍFICA</t>
  </si>
  <si>
    <t>VALOR CAPACITACIÓN COMPLETA</t>
  </si>
  <si>
    <t>VALOR CAPACITACIÓN ESPECÍFICA</t>
  </si>
  <si>
    <t xml:space="preserve"> VALOR TOTAL </t>
  </si>
  <si>
    <t>NEIVA</t>
  </si>
  <si>
    <t>TA-25-897275</t>
  </si>
  <si>
    <t>APERTURA</t>
  </si>
  <si>
    <t>CB CRECIMIENTO - NUEVO</t>
  </si>
  <si>
    <t>CAQUETA</t>
  </si>
  <si>
    <t>FLORENCIA</t>
  </si>
  <si>
    <t>BARRIO BUENOS AIRES FLORENCIA 1</t>
  </si>
  <si>
    <t>REDEBAN</t>
  </si>
  <si>
    <t>FO-25-1293630</t>
  </si>
  <si>
    <t>UNO A UNO</t>
  </si>
  <si>
    <t>EJECUTADO</t>
  </si>
  <si>
    <t>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t>
  </si>
  <si>
    <t>VISITA_TÉCNICA</t>
  </si>
  <si>
    <t>V8ZZZ345</t>
  </si>
  <si>
    <t>TIPO IV</t>
  </si>
  <si>
    <t>TERRESTRE</t>
  </si>
  <si>
    <t>DEVIA REINOSO JUAN CARLOS</t>
  </si>
  <si>
    <t>TA-25-897283</t>
  </si>
  <si>
    <t>BARRIO SIETE DE AGOSTO FLORENCIA 7</t>
  </si>
  <si>
    <t>FO-25-1293646</t>
  </si>
  <si>
    <t>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t>
  </si>
  <si>
    <t>V8ZZZ349</t>
  </si>
  <si>
    <t>PASTO</t>
  </si>
  <si>
    <t>TA-25-897342</t>
  </si>
  <si>
    <t>NARIÑO</t>
  </si>
  <si>
    <t>MAGUI</t>
  </si>
  <si>
    <t>BARRIO CRR BRISAS DE HAMBURGO MAGUI</t>
  </si>
  <si>
    <t>FO-25-1293775</t>
  </si>
  <si>
    <t>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</si>
  <si>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V8ZZZ380</t>
  </si>
  <si>
    <t>TIPO IV ESPECIAL</t>
  </si>
  <si>
    <t>FLUVIAL</t>
  </si>
  <si>
    <t>PAZ MARTINEZ RICHARD HUMBERTO</t>
  </si>
  <si>
    <t>TA-25-897364</t>
  </si>
  <si>
    <t>BARRIO LA PISTA MAGUI</t>
  </si>
  <si>
    <t>FO-25-1293834</t>
  </si>
  <si>
    <t>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</si>
  <si>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V8ZZZ393</t>
  </si>
  <si>
    <t>YOPAL</t>
  </si>
  <si>
    <t>TA-25-897375</t>
  </si>
  <si>
    <t>CASANARE</t>
  </si>
  <si>
    <t>BARRIO LA ESPERANZA YOPAL 6</t>
  </si>
  <si>
    <t>FO-25-1293877</t>
  </si>
  <si>
    <t>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t>
  </si>
  <si>
    <t>V8ZZZ402</t>
  </si>
  <si>
    <t>TIPO I</t>
  </si>
  <si>
    <t>BERNAL ELAICA EDGAR ALEXIS</t>
  </si>
  <si>
    <t>MEDELLIN</t>
  </si>
  <si>
    <t>TA-25-904686</t>
  </si>
  <si>
    <t>CB CRECIMIENTO ALIANZA - NUEVO</t>
  </si>
  <si>
    <t>ANTIOQUIA</t>
  </si>
  <si>
    <t>DISTRICOL VARIEDADES Y DETALLE</t>
  </si>
  <si>
    <t>FO-25-1306012</t>
  </si>
  <si>
    <t>AGREGADOR</t>
  </si>
  <si>
    <t>DISTRICOL</t>
  </si>
  <si>
    <t>30/07/2025 PROGRAMACIÓN REALIZADA POR LA ALIANZA 1/08/2025 SE REALIZA INSTALACIÓN DE CORRESPONSAL, SE INSTALAN EQUIPOS CON PRUEBAS EXITOSAS, SE CAPACITA Y SE EVALÚA AL CLIENTE, SE INSTALA PUBLICIDAD COMPLETA, CB QUEDA OPERATIVO. USUARIO SOMOS BANCOLOMBIA ACTIVO</t>
  </si>
  <si>
    <t>VAZZZ340</t>
  </si>
  <si>
    <t>BARRIENTOS HERNANDEZ CRISTIAN HORACIO</t>
  </si>
  <si>
    <t>TA-25-904688</t>
  </si>
  <si>
    <t>DISTRICOL PAPELERIA LA PIZARRA</t>
  </si>
  <si>
    <t>FO-25-1306018</t>
  </si>
  <si>
    <t>VAZZZ341</t>
  </si>
  <si>
    <t>PAREJA ECHAVARRIA JHON DAVID</t>
  </si>
  <si>
    <t>TA-25-904689</t>
  </si>
  <si>
    <t>BELLO</t>
  </si>
  <si>
    <t>DISTRICOL ABARROTES EL PUERTO</t>
  </si>
  <si>
    <t>FO-25-1306022</t>
  </si>
  <si>
    <t>VAZZZ342</t>
  </si>
  <si>
    <t>TA-25-904063</t>
  </si>
  <si>
    <t>MONTERREY</t>
  </si>
  <si>
    <t>BARRIO ALCARAVANES MONTERREY 1</t>
  </si>
  <si>
    <t>FO-25-1304972</t>
  </si>
  <si>
    <t>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t>
  </si>
  <si>
    <t>VAZZZ361</t>
  </si>
  <si>
    <t>TIPO II</t>
  </si>
  <si>
    <t>TUNJA</t>
  </si>
  <si>
    <t>TA-25-904065</t>
  </si>
  <si>
    <t>BOYACA</t>
  </si>
  <si>
    <t>MONGUA</t>
  </si>
  <si>
    <t>BARRIO CENTRO MONGUA 1</t>
  </si>
  <si>
    <t>FO-25-1304982</t>
  </si>
  <si>
    <t>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t>
  </si>
  <si>
    <t>VAZZZ363</t>
  </si>
  <si>
    <t>SOLER HOYOS CRISTIAN LEONARDO</t>
  </si>
  <si>
    <t>TA-25-904066</t>
  </si>
  <si>
    <t>HUILA</t>
  </si>
  <si>
    <t>GIGANTE</t>
  </si>
  <si>
    <t>BARRIO CENTRO GIGANTE  6</t>
  </si>
  <si>
    <t>FO-25-1304987</t>
  </si>
  <si>
    <t>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</si>
  <si>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VAZZZ364</t>
  </si>
  <si>
    <t>DIAZ VARGAS JONATHAN MIGUEL</t>
  </si>
  <si>
    <t>CALI</t>
  </si>
  <si>
    <t>TA-25-904070</t>
  </si>
  <si>
    <t>CAMBIO DE RAZON SOCIAL</t>
  </si>
  <si>
    <t>CAUCA</t>
  </si>
  <si>
    <t>CORINTO</t>
  </si>
  <si>
    <t>BARRIO CENTRO CORINTO 9</t>
  </si>
  <si>
    <t>FO-25-1305008</t>
  </si>
  <si>
    <t>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</si>
  <si>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VAZZZ368</t>
  </si>
  <si>
    <t>TIPO III</t>
  </si>
  <si>
    <t>PAREDES CASTILLO DIEGO</t>
  </si>
  <si>
    <t>TA-25-904072</t>
  </si>
  <si>
    <t>BARRIO BELEN MALIBU MEDELLIN</t>
  </si>
  <si>
    <t>FO-25-1305019</t>
  </si>
  <si>
    <t>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</si>
  <si>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VAZZZ370</t>
  </si>
  <si>
    <t>QUINTERO SANCHEZ JUAN SEBASTIAN</t>
  </si>
  <si>
    <t>TA-25-904073</t>
  </si>
  <si>
    <t>ROBERTO PAYAN</t>
  </si>
  <si>
    <t>BARRIO LA PRIMAVERA ROBERTO PAYAN</t>
  </si>
  <si>
    <t>FO-25-1305024</t>
  </si>
  <si>
    <t>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t>
  </si>
  <si>
    <t>VAZZZ371</t>
  </si>
  <si>
    <t>TA-25-904074</t>
  </si>
  <si>
    <t>PUPIALES</t>
  </si>
  <si>
    <t>BARRIO EL CENTRO PUPIALES 1</t>
  </si>
  <si>
    <t>FO-25-1305027</t>
  </si>
  <si>
    <t>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</si>
  <si>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VAZZZ372</t>
  </si>
  <si>
    <t>REMICIO AMADO JOHN HEBER</t>
  </si>
  <si>
    <t>TA-25-904075</t>
  </si>
  <si>
    <t>BARRIO LA CALLE  CUATE MAGUI</t>
  </si>
  <si>
    <t>FO-25-1305033</t>
  </si>
  <si>
    <t>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t>
  </si>
  <si>
    <t>VAZZZ373</t>
  </si>
  <si>
    <t>TA-25-904086</t>
  </si>
  <si>
    <t>BARRIO BELEN MEDELLIN 17</t>
  </si>
  <si>
    <t>FO-25-1305052</t>
  </si>
  <si>
    <t>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t>
  </si>
  <si>
    <t>VAZZZ377</t>
  </si>
  <si>
    <t>VILLAVICENCIO</t>
  </si>
  <si>
    <t>TA-25-904088</t>
  </si>
  <si>
    <t>META</t>
  </si>
  <si>
    <t>GRANADA</t>
  </si>
  <si>
    <t>BARRIO CENTRO GRANADA  1</t>
  </si>
  <si>
    <t>FO-25-1305055</t>
  </si>
  <si>
    <t>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t>
  </si>
  <si>
    <t>VAZZZ378</t>
  </si>
  <si>
    <t>ROZO JIMENEZ EDGAR ARMANDO</t>
  </si>
  <si>
    <t>BUCARAMANGA</t>
  </si>
  <si>
    <t>TA-25-904091</t>
  </si>
  <si>
    <t>BOLIVAR</t>
  </si>
  <si>
    <t>SANTA ROSA DEL SUR</t>
  </si>
  <si>
    <t>BARRIO LA FERIA SANTA ROSA DEL SUR</t>
  </si>
  <si>
    <t>FO-25-1305064</t>
  </si>
  <si>
    <t>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t>
  </si>
  <si>
    <t>VAZZZ381</t>
  </si>
  <si>
    <t>TERRESTRE/FLUVIAL</t>
  </si>
  <si>
    <t>ORTEBARRERAGA MARLON STWAR</t>
  </si>
  <si>
    <t>TA-25-904092</t>
  </si>
  <si>
    <t>BARRIO CENTRO FLORENCIA 39</t>
  </si>
  <si>
    <t>FO-25-1305067</t>
  </si>
  <si>
    <t>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t>
  </si>
  <si>
    <t>VAZZZ382</t>
  </si>
  <si>
    <t>BERMUDEZ SANCHEZ JOSE NEYBER</t>
  </si>
  <si>
    <t>CUCUTA</t>
  </si>
  <si>
    <t>TA-25-904094</t>
  </si>
  <si>
    <t>NORTE DE SANTANDER</t>
  </si>
  <si>
    <t>OCAÑA</t>
  </si>
  <si>
    <t>BARRIO JUAN 23  OCAÑA</t>
  </si>
  <si>
    <t>FO-25-1305075</t>
  </si>
  <si>
    <t>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t>
  </si>
  <si>
    <t>VAZZZ384</t>
  </si>
  <si>
    <t>GELVEZ MOGOLLON JOSE ELISEO</t>
  </si>
  <si>
    <t>TA-25-904098</t>
  </si>
  <si>
    <t>CALDONO</t>
  </si>
  <si>
    <t>BARRIO PESCADOR CALDONO</t>
  </si>
  <si>
    <t>FO-25-1305084</t>
  </si>
  <si>
    <t>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t>
  </si>
  <si>
    <t>VAZZZ386</t>
  </si>
  <si>
    <t>GIMBUEL LASSO LUIS GERMAN</t>
  </si>
  <si>
    <t>CARTAGENA</t>
  </si>
  <si>
    <t>TA-25-904100</t>
  </si>
  <si>
    <t>MARIA LA BAJA</t>
  </si>
  <si>
    <t>BARRIO VRD NUEVA ESPERANZA MARIA LA BAJA</t>
  </si>
  <si>
    <t>FO-25-1305093</t>
  </si>
  <si>
    <t>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t>
  </si>
  <si>
    <t>VAZZZ388</t>
  </si>
  <si>
    <t>MARTINEZ SALGUEDO ANDRES AUGUSTO</t>
  </si>
  <si>
    <t>TA-25-904101</t>
  </si>
  <si>
    <t>LA PLATA</t>
  </si>
  <si>
    <t>BARRIO LA POLA LA PLATA 5</t>
  </si>
  <si>
    <t>FO-25-1305096</t>
  </si>
  <si>
    <t>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t>
  </si>
  <si>
    <t>VAZZZ389</t>
  </si>
  <si>
    <t>ANDRADE HERNANDEZ JUAN CARLOS</t>
  </si>
  <si>
    <t>TA-25-904105</t>
  </si>
  <si>
    <t>BARRIO CAICEDO MEDELLIN 17</t>
  </si>
  <si>
    <t>FO-25-1305113</t>
  </si>
  <si>
    <t>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t>
  </si>
  <si>
    <t>VAZZZ393</t>
  </si>
  <si>
    <t>TA-25-904106</t>
  </si>
  <si>
    <t>SOGAMOSO</t>
  </si>
  <si>
    <t>BARRIO GUSTAVO JIMENEZ SOGAMOSO 4</t>
  </si>
  <si>
    <t>FO-25-1305118</t>
  </si>
  <si>
    <t>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</si>
  <si>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VAZZZ395</t>
  </si>
  <si>
    <t>TA-25-904110</t>
  </si>
  <si>
    <t>BARRANCA DE UPIA</t>
  </si>
  <si>
    <t>BARRIO LIBERTAD I BARRANCA DE UPIA</t>
  </si>
  <si>
    <t>FO-25-1305133</t>
  </si>
  <si>
    <t>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</si>
  <si>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VAZZZ398</t>
  </si>
  <si>
    <t>PEDREROS CONTRERAS MICHAEL STEVENS</t>
  </si>
  <si>
    <t>TA-25-904116</t>
  </si>
  <si>
    <t>BARRIO CORR PUERTO VENUS NARIÑO</t>
  </si>
  <si>
    <t>FO-25-1305143</t>
  </si>
  <si>
    <t>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t>
  </si>
  <si>
    <t>VAZZZ401</t>
  </si>
  <si>
    <t>MARTINEZ TOVAR OSCAR DAVID</t>
  </si>
  <si>
    <t>TA-25-915445</t>
  </si>
  <si>
    <t>BARRIO LA LIBERTAD FLORENCIA 2</t>
  </si>
  <si>
    <t>FO-25-1316240</t>
  </si>
  <si>
    <t>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</si>
  <si>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F7ZZZ994</t>
  </si>
  <si>
    <t>BARRANQUILLA</t>
  </si>
  <si>
    <t>TA-25-915446</t>
  </si>
  <si>
    <t>ATLANTICO</t>
  </si>
  <si>
    <t>MALAMBO</t>
  </si>
  <si>
    <t>BARRIO CONCOR MALAMBO 4</t>
  </si>
  <si>
    <t>FO-25-1316244</t>
  </si>
  <si>
    <t>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</si>
  <si>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F7ZZZ995</t>
  </si>
  <si>
    <t>PORRAS CASTRO DARLON NASCK</t>
  </si>
  <si>
    <t>TA-25-915451</t>
  </si>
  <si>
    <t>BARRIO NIÑA CECI CUCUTA 9</t>
  </si>
  <si>
    <t>FO-25-1316254</t>
  </si>
  <si>
    <t>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</si>
  <si>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F7ZZZ996</t>
  </si>
  <si>
    <t>DURAN ACOSTA FRANK YONNY</t>
  </si>
  <si>
    <t>TA-25-915453</t>
  </si>
  <si>
    <t>BARRIO BAMBO OCAÑA</t>
  </si>
  <si>
    <t>FO-25-1316260</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</si>
  <si>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t>
  </si>
  <si>
    <t>F7ZZZ997</t>
  </si>
  <si>
    <t>PACHECO BUITRAGO JAVIER ALONSO</t>
  </si>
  <si>
    <t>TA-25-915455</t>
  </si>
  <si>
    <t>BARRIO EL LIBANO OCAÑA 1</t>
  </si>
  <si>
    <t>FO-25-1316266</t>
  </si>
  <si>
    <t>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t>
  </si>
  <si>
    <t>F7ZZZ998</t>
  </si>
  <si>
    <t>SINCELEJO</t>
  </si>
  <si>
    <t>TA-25-915456</t>
  </si>
  <si>
    <t>SUCRE</t>
  </si>
  <si>
    <t>BARRIO EL CABRERO SINCELEJO</t>
  </si>
  <si>
    <t>FO-25-1316271</t>
  </si>
  <si>
    <t>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</si>
  <si>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F7ZZZ999</t>
  </si>
  <si>
    <t>SANTOS GUZMAN CHRISTIAN FELIPE</t>
  </si>
  <si>
    <t>MONTERIA</t>
  </si>
  <si>
    <t>TA-25-915457</t>
  </si>
  <si>
    <t>CORDOBA</t>
  </si>
  <si>
    <t>BARRIO URBINA MONTERIA</t>
  </si>
  <si>
    <t>FO-25-1316273</t>
  </si>
  <si>
    <t>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t>
  </si>
  <si>
    <t>F8ZZZ000</t>
  </si>
  <si>
    <t>GONZALEZ FERRER JESUS ALEXANDER</t>
  </si>
  <si>
    <t>TA-25-915458</t>
  </si>
  <si>
    <t>BARRIO CALLEJON CUCUTA 22</t>
  </si>
  <si>
    <t>FO-25-1316279</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</si>
  <si>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</si>
  <si>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F8ZZZ001</t>
  </si>
  <si>
    <t>NARANJO AFANADOR RUBEN JESUS</t>
  </si>
  <si>
    <t>TA-25-915459</t>
  </si>
  <si>
    <t>BARRIO EL CARMEN OCAÑA 1</t>
  </si>
  <si>
    <t>FO-25-1316282</t>
  </si>
  <si>
    <t>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t>
  </si>
  <si>
    <t>F8ZZZ002</t>
  </si>
  <si>
    <t>GONZALEZ ESTUPIÑAN YEISON WALTER ANTONIO</t>
  </si>
  <si>
    <t>VALLEDUPAR</t>
  </si>
  <si>
    <t>TA-25-915460</t>
  </si>
  <si>
    <t>CESAR</t>
  </si>
  <si>
    <t>AGUACHICA</t>
  </si>
  <si>
    <t>BARRIO LA SABANITA AGUACHICA 1</t>
  </si>
  <si>
    <t>FO-25-1316290</t>
  </si>
  <si>
    <t>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</si>
  <si>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F8ZZZ003</t>
  </si>
  <si>
    <t>MONTES DIAZ JOHN FRED</t>
  </si>
  <si>
    <t>TA-25-915461</t>
  </si>
  <si>
    <t>BARRIO AMBERES CARTAGENA DE INDIAS 3</t>
  </si>
  <si>
    <t>FO-25-1316299</t>
  </si>
  <si>
    <t>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</si>
  <si>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F8ZZZ004</t>
  </si>
  <si>
    <t>CANEDO HERRERA ALEXANDER</t>
  </si>
  <si>
    <t>TA-25-915463</t>
  </si>
  <si>
    <t>BARRIO SAN MARTIN SANTA ROSA DEL SUR 3</t>
  </si>
  <si>
    <t>FO-25-1316304</t>
  </si>
  <si>
    <t>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t>
  </si>
  <si>
    <t>F8ZZZ005</t>
  </si>
  <si>
    <t>TA-25-915464</t>
  </si>
  <si>
    <t>VALLE DEL CAUCA</t>
  </si>
  <si>
    <t>BARRIO SAN PASCUAL CALI 2</t>
  </si>
  <si>
    <t>FO-25-1316308</t>
  </si>
  <si>
    <t>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</si>
  <si>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F8ZZZ006</t>
  </si>
  <si>
    <t>TA-25-915467</t>
  </si>
  <si>
    <t>TAMINANGO</t>
  </si>
  <si>
    <t>BARRIO EL PRADO TAMINANGO 3</t>
  </si>
  <si>
    <t>FO-25-1316317</t>
  </si>
  <si>
    <t>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</si>
  <si>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F8ZZZ007</t>
  </si>
  <si>
    <t>BOGOTA</t>
  </si>
  <si>
    <t>TA-25-915468</t>
  </si>
  <si>
    <t>CUNDINAMARCA</t>
  </si>
  <si>
    <t>BARRIO LA ISABELLA BOGOTA</t>
  </si>
  <si>
    <t>FO-25-1328346</t>
  </si>
  <si>
    <t>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t>
  </si>
  <si>
    <t>F8ZZZ008</t>
  </si>
  <si>
    <t>GALINDO ROJAS LUIS FELIPE</t>
  </si>
  <si>
    <t>MANIZALES</t>
  </si>
  <si>
    <t>TA-25-915469</t>
  </si>
  <si>
    <t>CALDAS</t>
  </si>
  <si>
    <t>BARRIO GUAYACANES MANIZALES 1</t>
  </si>
  <si>
    <t>FO-25-1316329</t>
  </si>
  <si>
    <t>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</si>
  <si>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F8ZZZ009</t>
  </si>
  <si>
    <t>AGUIRRE HENAO RAUL EDUARDO</t>
  </si>
  <si>
    <t>TA-25-915470</t>
  </si>
  <si>
    <t>BARRIO SAN JAVIER LA LOMA MEDELLIN 1</t>
  </si>
  <si>
    <t>FO-25-1316336</t>
  </si>
  <si>
    <t xml:space="preserve">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t>
  </si>
  <si>
    <t>F8ZZZ010</t>
  </si>
  <si>
    <t>BADEL ACUÑA LUIS ALBERTO</t>
  </si>
  <si>
    <t>PEREIRA</t>
  </si>
  <si>
    <t>TA-25-915471</t>
  </si>
  <si>
    <t>TORO</t>
  </si>
  <si>
    <t>BARRIO BULEVAR AVENIDA TORO</t>
  </si>
  <si>
    <t>FO-25-1316342</t>
  </si>
  <si>
    <t>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t>
  </si>
  <si>
    <t>F8ZZZ011</t>
  </si>
  <si>
    <t>FRANCO CAÑAVERAL YAMID RAUL</t>
  </si>
  <si>
    <t>TA-25-915472</t>
  </si>
  <si>
    <t>BARRIO CHAGUALO MEDELLIN 4</t>
  </si>
  <si>
    <t>FO-25-1316348</t>
  </si>
  <si>
    <t>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t>
  </si>
  <si>
    <t>F8ZZZ013</t>
  </si>
  <si>
    <t>TA-25-915473</t>
  </si>
  <si>
    <t>BARRIO VILLAS DEL DORADO BOGOTA 8</t>
  </si>
  <si>
    <t>FO-25-1316351</t>
  </si>
  <si>
    <t>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</si>
  <si>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F8ZZZ014</t>
  </si>
  <si>
    <t>MURCIA HERNANDEZ HARVEY IGNACIO</t>
  </si>
  <si>
    <t>TA-25-915474</t>
  </si>
  <si>
    <t>VILLA RICA</t>
  </si>
  <si>
    <t>BARRIO CENTRO VILLA RICA  4</t>
  </si>
  <si>
    <t>FO-25-1316356</t>
  </si>
  <si>
    <t>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</si>
  <si>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F8ZZZ015</t>
  </si>
  <si>
    <t>HERRERA MONAR GEOVANNY</t>
  </si>
  <si>
    <t>TA-25-915475</t>
  </si>
  <si>
    <t>SAN ANDRES DE TUMACO</t>
  </si>
  <si>
    <t>BARRIO SABALETA SAN ANDRES DE TUMACO</t>
  </si>
  <si>
    <t>FO-25-1316359</t>
  </si>
  <si>
    <t>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t>
  </si>
  <si>
    <t>F8ZZZ016</t>
  </si>
  <si>
    <t>TA-25-915476</t>
  </si>
  <si>
    <t>BARRIO FELIDIA CALI</t>
  </si>
  <si>
    <t>FO-25-1316363</t>
  </si>
  <si>
    <t>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t>
  </si>
  <si>
    <t>F8ZZZ017</t>
  </si>
  <si>
    <t>BOLAÑOS TABORDA JORGE ENRIQUE</t>
  </si>
  <si>
    <t>TA-25-915477</t>
  </si>
  <si>
    <t>BARRIO TRONCAL CALI 1</t>
  </si>
  <si>
    <t>FO-25-1316366</t>
  </si>
  <si>
    <t>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</si>
  <si>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F8ZZZ018</t>
  </si>
  <si>
    <t>TORRES GARCIA JENDRY JOSE</t>
  </si>
  <si>
    <t>TA-25-915478</t>
  </si>
  <si>
    <t>ANAPOIMA</t>
  </si>
  <si>
    <t>BARRIO CENTRO ANAPOIMA ANAPOIMA 1</t>
  </si>
  <si>
    <t>FO-25-1316370</t>
  </si>
  <si>
    <t>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</si>
  <si>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F8ZZZ019</t>
  </si>
  <si>
    <t>GOMEZ VEGA DAVID SNEYDER</t>
  </si>
  <si>
    <t>TA-25-915479</t>
  </si>
  <si>
    <t>BARRIO CERVANTES MANIZALES 3</t>
  </si>
  <si>
    <t>FO-25-1316376</t>
  </si>
  <si>
    <t>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</si>
  <si>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F8ZZZ020</t>
  </si>
  <si>
    <t>ARROYAVE CANO MANUEL GUILLERMO</t>
  </si>
  <si>
    <t>TA-25-915483</t>
  </si>
  <si>
    <t>LOS PATIOS</t>
  </si>
  <si>
    <t>BARRIO RECTA COROZAL LOS PATIOS</t>
  </si>
  <si>
    <t>FO-25-1316381</t>
  </si>
  <si>
    <t>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t>
  </si>
  <si>
    <t>F8ZZZ021</t>
  </si>
  <si>
    <t>TA-25-915486</t>
  </si>
  <si>
    <t>BARRIO MARIA FERNANDA TUNJA 1</t>
  </si>
  <si>
    <t>FO-25-1316385</t>
  </si>
  <si>
    <t>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t>
  </si>
  <si>
    <t>F8ZZZ022</t>
  </si>
  <si>
    <t>HERRERA GARZON JEYSON STEVENT</t>
  </si>
  <si>
    <t>TA-25-915489</t>
  </si>
  <si>
    <t>TARQUI</t>
  </si>
  <si>
    <t>BARRIO LA LOMA - BODEGA TARQUI</t>
  </si>
  <si>
    <t>FO-25-1316391</t>
  </si>
  <si>
    <t>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t>
  </si>
  <si>
    <t>F8ZZZ023</t>
  </si>
  <si>
    <t>TA-25-915493</t>
  </si>
  <si>
    <t>BARRIO SAN MARTIN SANTA ROSA DEL SUR 4</t>
  </si>
  <si>
    <t>FO-25-1316401</t>
  </si>
  <si>
    <t>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t>
  </si>
  <si>
    <t>F8ZZZ024</t>
  </si>
  <si>
    <t>TA-25-915494</t>
  </si>
  <si>
    <t>BARRIO LA IGUALDAD BOGOTA 3</t>
  </si>
  <si>
    <t>FO-25-1316407</t>
  </si>
  <si>
    <t>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t>
  </si>
  <si>
    <t>F8ZZZ025</t>
  </si>
  <si>
    <t>GARCIA PASTRANA KEVIN FERNANDO</t>
  </si>
  <si>
    <t>TA-25-915495</t>
  </si>
  <si>
    <t>PATIA</t>
  </si>
  <si>
    <t>BARRIO LA CENTRAL PATIA 6</t>
  </si>
  <si>
    <t>FO-25-1316417</t>
  </si>
  <si>
    <t>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</si>
  <si>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F8ZZZ026</t>
  </si>
  <si>
    <t>TA-25-915497</t>
  </si>
  <si>
    <t>QUINDIO</t>
  </si>
  <si>
    <t>ARMENIA</t>
  </si>
  <si>
    <t>BARRIO SAN JOSE ARMENIA 1</t>
  </si>
  <si>
    <t>FO-25-1316427</t>
  </si>
  <si>
    <t>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t>
  </si>
  <si>
    <t>F8ZZZ028</t>
  </si>
  <si>
    <t>SANCHEZ SOLORZANO JUAN SEBASTIAN</t>
  </si>
  <si>
    <t>TA-25-915498</t>
  </si>
  <si>
    <t>RESTREPO</t>
  </si>
  <si>
    <t>BARRIO CENTRO RESTREPO 7</t>
  </si>
  <si>
    <t>FO-25-1316432</t>
  </si>
  <si>
    <t>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t>
  </si>
  <si>
    <t>F8ZZZ029</t>
  </si>
  <si>
    <t>TA-25-915499</t>
  </si>
  <si>
    <t>BARRIO EL TESORO BOGOTA 5</t>
  </si>
  <si>
    <t>FO-25-1316436</t>
  </si>
  <si>
    <t>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</si>
  <si>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F8ZZZ030</t>
  </si>
  <si>
    <t>BUSTOS MORA DIEGO MANUEL</t>
  </si>
  <si>
    <t>TA-25-915500</t>
  </si>
  <si>
    <t>BARRIO TRINIDAD BOGOTA 2</t>
  </si>
  <si>
    <t>FO-25-1316439</t>
  </si>
  <si>
    <t>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</si>
  <si>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F8ZZZ031</t>
  </si>
  <si>
    <t>TA-25-915501</t>
  </si>
  <si>
    <t>RISARALDA</t>
  </si>
  <si>
    <t>BARRIO EL JARDIN ETAPA 3 PEREIRA</t>
  </si>
  <si>
    <t>FO-25-1316441</t>
  </si>
  <si>
    <t>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t>
  </si>
  <si>
    <t>F8ZZZ033</t>
  </si>
  <si>
    <t>TA-25-915502</t>
  </si>
  <si>
    <t>SANTIAGO DE TOLU</t>
  </si>
  <si>
    <t>BARRIO EL ARROYITO SANTIAGO DE TOLU</t>
  </si>
  <si>
    <t>FO-25-1316445</t>
  </si>
  <si>
    <t>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</si>
  <si>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F8ZZZ034</t>
  </si>
  <si>
    <t>TA-25-915504</t>
  </si>
  <si>
    <t>DUITAMA</t>
  </si>
  <si>
    <t>BARRIO VEREDA LA TRINIDAD DUITAMA 2</t>
  </si>
  <si>
    <t>FO-25-1316450</t>
  </si>
  <si>
    <t>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t>
  </si>
  <si>
    <t>F8ZZZ035</t>
  </si>
  <si>
    <t>RODRIGUEZ MURCIA YERSON IVAN</t>
  </si>
  <si>
    <t>TA-25-915513</t>
  </si>
  <si>
    <t>PITALITO</t>
  </si>
  <si>
    <t xml:space="preserve">BARRIO PARAISO  PITALITO </t>
  </si>
  <si>
    <t>FO-25-1316460</t>
  </si>
  <si>
    <t>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t>
  </si>
  <si>
    <t>F8ZZZ037</t>
  </si>
  <si>
    <t>APARTADO</t>
  </si>
  <si>
    <t>TA-25-915515</t>
  </si>
  <si>
    <t>NECOCLI</t>
  </si>
  <si>
    <t>BARRIO CL PRINCIPAL CORREGIMIENTO EL TOTUMO NECOCLI ANTI  NECOCLI</t>
  </si>
  <si>
    <t>FO-25-1316465</t>
  </si>
  <si>
    <t>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t>
  </si>
  <si>
    <t>F8ZZZ038</t>
  </si>
  <si>
    <t>SALDARRIAGA MIRANDA SANTIAGO</t>
  </si>
  <si>
    <t>TA-25-915519</t>
  </si>
  <si>
    <t>TENA</t>
  </si>
  <si>
    <t>BARRIO GUASIMAL TENA TENA</t>
  </si>
  <si>
    <t>FO-25-1316472</t>
  </si>
  <si>
    <t>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</si>
  <si>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F8ZZZ039</t>
  </si>
  <si>
    <t>TA-25-915520</t>
  </si>
  <si>
    <t>AGUADAS</t>
  </si>
  <si>
    <t>BARRIO OLIVARES SECTOR LA Y  AGUADAS</t>
  </si>
  <si>
    <t>FO-25-1316477</t>
  </si>
  <si>
    <t>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</si>
  <si>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F8ZZZ040</t>
  </si>
  <si>
    <t>TA-25-915522</t>
  </si>
  <si>
    <t>BARRIO VINA DEL RIO MANIZALES</t>
  </si>
  <si>
    <t>FO-25-1316479</t>
  </si>
  <si>
    <t>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</si>
  <si>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F8ZZZ041</t>
  </si>
  <si>
    <t>TA-25-915523</t>
  </si>
  <si>
    <t>SUTATAUSA</t>
  </si>
  <si>
    <t>BARRIO CENTRO SUTATAUSA CENTRO</t>
  </si>
  <si>
    <t>FO-25-1316485</t>
  </si>
  <si>
    <t>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</si>
  <si>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F8ZZZ042</t>
  </si>
  <si>
    <t>TA-25-915526</t>
  </si>
  <si>
    <t>LORICA</t>
  </si>
  <si>
    <t>BARRIO SAN MIGUEL LORICA</t>
  </si>
  <si>
    <t>FO-25-1316489</t>
  </si>
  <si>
    <t>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t>
  </si>
  <si>
    <t>F8ZZZ044</t>
  </si>
  <si>
    <t>TA-25-915529</t>
  </si>
  <si>
    <t>BARRIO VEREDA LA ZABALETA SAN ANDRES DE TUMACO</t>
  </si>
  <si>
    <t>FO-25-1316499</t>
  </si>
  <si>
    <t>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t>
  </si>
  <si>
    <t>F8ZZZ047</t>
  </si>
  <si>
    <t>TA-25-915535</t>
  </si>
  <si>
    <t>BARRIO SAN BLAS BOGOTA 6</t>
  </si>
  <si>
    <t>FO-25-1316505</t>
  </si>
  <si>
    <t>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t>
  </si>
  <si>
    <t>F8ZZZ048</t>
  </si>
  <si>
    <t>ROMERO ROJAS BREIDY JHOHAN</t>
  </si>
  <si>
    <t>TA-25-915536</t>
  </si>
  <si>
    <t>ITUANGO</t>
  </si>
  <si>
    <t>BARRIO CARRERA RUIZ ITUANGO</t>
  </si>
  <si>
    <t>FO-25-1316508</t>
  </si>
  <si>
    <t>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t>
  </si>
  <si>
    <t>F8ZZZ049</t>
  </si>
  <si>
    <t>DIAZ ZABALA FRANCIS DUBAN</t>
  </si>
  <si>
    <t>TA-25-915537</t>
  </si>
  <si>
    <t>SAN MARCOS</t>
  </si>
  <si>
    <t>BARRIO SUCRE SAN MARCOS 1</t>
  </si>
  <si>
    <t>FO-25-1316511</t>
  </si>
  <si>
    <t>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t>
  </si>
  <si>
    <t>F8ZZZ050</t>
  </si>
  <si>
    <t>CASSIANI PEREZ RAUL RAMIRO</t>
  </si>
  <si>
    <t>TA-25-915539</t>
  </si>
  <si>
    <t>BARRIO CARACOLI NEIVA</t>
  </si>
  <si>
    <t>FO-25-1316514</t>
  </si>
  <si>
    <t>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</si>
  <si>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F8ZZZ051</t>
  </si>
  <si>
    <t>IBAGUE</t>
  </si>
  <si>
    <t>TA-25-915540</t>
  </si>
  <si>
    <t>TOLIMA</t>
  </si>
  <si>
    <t>BARRIO SAN SIMON PARTE BAJA IBAGUE 4</t>
  </si>
  <si>
    <t>FO-25-1316516</t>
  </si>
  <si>
    <t>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</si>
  <si>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F8ZZZ052</t>
  </si>
  <si>
    <t>BARRAGAN TAFUR EDWIN ESTEBAN</t>
  </si>
  <si>
    <t>TA-25-930967</t>
  </si>
  <si>
    <t>PTM MEDELLIN AMALINA MULTISERV</t>
  </si>
  <si>
    <t>FO-25-1338727</t>
  </si>
  <si>
    <t>COMCARD - PTM</t>
  </si>
  <si>
    <t>06-08 PROGRAMACIÓN REALIZADA POR LA ALIANZA 11/08/2025 SE REALIZA INSTALACIÓN DE CORRESPONSAL, SE INSTALAN EQUIPOS CON PRUEBAS EXITOSAS, SE CAPACITA Y SE EVALÚA AL CLIENTE, SE INSTALA PUBLICIDAD COMPLETA, CB QUEDA OPERATIVO. USUARIO SOMOS BANCOLOMBIA ACTIVO</t>
  </si>
  <si>
    <t>FGZZZ992</t>
  </si>
  <si>
    <t>TA-25-930968</t>
  </si>
  <si>
    <t>PTM MEDELLIN VARIEDADES LA CHI</t>
  </si>
  <si>
    <t>FO-25-1338736</t>
  </si>
  <si>
    <t>FGZZZ993</t>
  </si>
  <si>
    <t>TA-25-930969</t>
  </si>
  <si>
    <t>PTM MEDELLIN DEPOSITO ELFERRET</t>
  </si>
  <si>
    <t>FO-25-1338743</t>
  </si>
  <si>
    <t>FGZZZ994</t>
  </si>
  <si>
    <t>TA-25-930972</t>
  </si>
  <si>
    <t>PTM MEDELLIN DROGUERIA FARMA 2</t>
  </si>
  <si>
    <t>FO-25-1338750</t>
  </si>
  <si>
    <t>FGZZZ995</t>
  </si>
  <si>
    <t>TA-25-930974</t>
  </si>
  <si>
    <t>PTM BELLO CRIPTOFUA</t>
  </si>
  <si>
    <t>FO-25-1338756</t>
  </si>
  <si>
    <t>06-08 PROGRAMACIÓN REALIZADA POR LA ALIANZA 8/08/2025 SE REALIZA INSTALACIÓN DE CORRESPONSAL, SE INSTALAN EQUIPOS CON PRUEBAS EXITOSAS, SE CAPACITA Y SE EVALÚA AL CLIENTE, SE INSTALA PUBLICIDAD COMPLETA, CB QUEDA OPERATIVO. USUARIO SOMOS BANCOLOMBIA ACTIVO</t>
  </si>
  <si>
    <t>FGZZZ996</t>
  </si>
  <si>
    <t>TA-25-930975</t>
  </si>
  <si>
    <t>PTM BELLO UNIVERSO CONSTRUCTOR</t>
  </si>
  <si>
    <t>FO-25-1338762</t>
  </si>
  <si>
    <t>FGZZZ997</t>
  </si>
  <si>
    <t>TA-25-930976</t>
  </si>
  <si>
    <t>BURITICA</t>
  </si>
  <si>
    <t>PTM BURITICA VARIEDADES EL CAR</t>
  </si>
  <si>
    <t>FO-25-1338770</t>
  </si>
  <si>
    <t>FGZZZ998</t>
  </si>
  <si>
    <t>TA-25-930977</t>
  </si>
  <si>
    <t>CACERES</t>
  </si>
  <si>
    <t>PTM CACERES DROGUERIA GALENO Y</t>
  </si>
  <si>
    <t>FO-25-1338778</t>
  </si>
  <si>
    <t>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t>
  </si>
  <si>
    <t>FGZZZ999</t>
  </si>
  <si>
    <t>TA-25-930978</t>
  </si>
  <si>
    <t>CAUCASIA</t>
  </si>
  <si>
    <t>PTM CAUCASIA VARIEDADES LERS</t>
  </si>
  <si>
    <t>FO-25-1338785</t>
  </si>
  <si>
    <t>FHZZZ000</t>
  </si>
  <si>
    <t>TA-25-930980</t>
  </si>
  <si>
    <t>MARINILLA</t>
  </si>
  <si>
    <t>PTM MARINILLA PAPELERIA Y VARI</t>
  </si>
  <si>
    <t>FO-25-1338794</t>
  </si>
  <si>
    <t>FHZZZ001</t>
  </si>
  <si>
    <t>TA-25-930983</t>
  </si>
  <si>
    <t>TURBO</t>
  </si>
  <si>
    <t>PTM TURBO MICELANIA Y PAPELERI</t>
  </si>
  <si>
    <t>FO-25-1338808</t>
  </si>
  <si>
    <t>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t>
  </si>
  <si>
    <t>FHZZZ003</t>
  </si>
  <si>
    <t>TA-25-930985</t>
  </si>
  <si>
    <t>PTM TURBO SERVIDOGAS FLOREZ</t>
  </si>
  <si>
    <t>FO-25-1338816</t>
  </si>
  <si>
    <t>FHZZZ004</t>
  </si>
  <si>
    <t>TA-25-930986</t>
  </si>
  <si>
    <t>PTM BARRANQUILLA VARIEDADES Y</t>
  </si>
  <si>
    <t>FO-25-1338823</t>
  </si>
  <si>
    <t>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t>
  </si>
  <si>
    <t>FHZZZ005</t>
  </si>
  <si>
    <t>DE AVILA SIADES ALBERTO ENRIQUE</t>
  </si>
  <si>
    <t>TA-25-930991</t>
  </si>
  <si>
    <t>PTM CARTAGENA DROGUERIA Y FARM</t>
  </si>
  <si>
    <t>FO-25-1338829</t>
  </si>
  <si>
    <t>FHZZZ006</t>
  </si>
  <si>
    <t>TA-25-931004</t>
  </si>
  <si>
    <t>CIRCASIA</t>
  </si>
  <si>
    <t>PTM CIRCASIA CREDIPLAN VENTA D</t>
  </si>
  <si>
    <t>FO-25-1338842</t>
  </si>
  <si>
    <t>FHZZZ007</t>
  </si>
  <si>
    <t>TA-25-931026</t>
  </si>
  <si>
    <t>PTM PEREIRA YOUR NEW LOOK</t>
  </si>
  <si>
    <t>FO-25-1338850</t>
  </si>
  <si>
    <t>06-08 PROGRAMACIÓN REALIZADA POR LA ALIANZA 11-08 SE REALIZA INSTALACIÓN DE CORRESPONSAL, SE INSTALAN EQUIPOS CON PRUEBAS EXITOSAS, SE CAPACITA Y SE EVALÚA AL CLIENTE, SE INSTALA PUBLICIDAD COMPLETA, CB QUEDA OPERATIVO. USUARIO SOMOS BANCOLOMBIA ACTIVO</t>
  </si>
  <si>
    <t>FHZZZ008</t>
  </si>
  <si>
    <t>TA-25-931034</t>
  </si>
  <si>
    <t>DOSQUEBRADAS</t>
  </si>
  <si>
    <t>PTM DOSQUEBRADAS APOTEOSICA PE</t>
  </si>
  <si>
    <t>FO-25-1338859</t>
  </si>
  <si>
    <t>FHZZZ009</t>
  </si>
  <si>
    <t>TA-25-931044</t>
  </si>
  <si>
    <t>SANTANDER</t>
  </si>
  <si>
    <t>PTM BUCARAMANGA TIENDA NINO MA</t>
  </si>
  <si>
    <t>FO-25-1338872</t>
  </si>
  <si>
    <t>FHZZZ010</t>
  </si>
  <si>
    <t>TA-25-931065</t>
  </si>
  <si>
    <t>PTM BUCARAMANGA TERRAZEO FRESH</t>
  </si>
  <si>
    <t>FO-25-1338883</t>
  </si>
  <si>
    <t>FHZZZ011</t>
  </si>
  <si>
    <t>TA-25-931066</t>
  </si>
  <si>
    <t>BARRANCABERMEJA</t>
  </si>
  <si>
    <t>PTM BARRANCABERMEJA PAPELERIA</t>
  </si>
  <si>
    <t>FO-25-1338890</t>
  </si>
  <si>
    <t>FHZZZ012</t>
  </si>
  <si>
    <t>TA-25-931067</t>
  </si>
  <si>
    <t>GIRON</t>
  </si>
  <si>
    <t>PTM GIRON VARIEDADES ANDINAS</t>
  </si>
  <si>
    <t>FO-25-1338899</t>
  </si>
  <si>
    <t>FHZZZ013</t>
  </si>
  <si>
    <t>SANTOS GONZALEZ JOHAN FABIAN</t>
  </si>
  <si>
    <t>TA-25-931068</t>
  </si>
  <si>
    <t>PTM GIRON KYOMU DISTRIBUCIONES</t>
  </si>
  <si>
    <t>FO-25-1338907</t>
  </si>
  <si>
    <t>FHZZZ014</t>
  </si>
  <si>
    <t>TA-25-931069</t>
  </si>
  <si>
    <t>PIEDECUESTA</t>
  </si>
  <si>
    <t>PTM PIEDECUESTA PLANET SCHOOLL</t>
  </si>
  <si>
    <t>FO-25-1338916</t>
  </si>
  <si>
    <t>FHZZZ015</t>
  </si>
  <si>
    <t>PEÑA DIAZ IVAN YESID</t>
  </si>
  <si>
    <t>TA-25-931070</t>
  </si>
  <si>
    <t>PTM IBAGUE TIENDA DONDE PITA</t>
  </si>
  <si>
    <t>FO-25-1338925</t>
  </si>
  <si>
    <t>FHZZZ016</t>
  </si>
  <si>
    <t>TA-25-931072</t>
  </si>
  <si>
    <t>PTM CALI CELURAIGOZA S.A.S.</t>
  </si>
  <si>
    <t>FO-25-1338933</t>
  </si>
  <si>
    <t>FHZZZ017</t>
  </si>
  <si>
    <t>TA-25-931084</t>
  </si>
  <si>
    <t>PTM CALI POLLOS COLORADO</t>
  </si>
  <si>
    <t>FO-25-1338945</t>
  </si>
  <si>
    <t>FHZZZ018</t>
  </si>
  <si>
    <t>TA-25-931102</t>
  </si>
  <si>
    <t>PTM CALI MULTISERVICIOS DAOR</t>
  </si>
  <si>
    <t>FO-25-1338956</t>
  </si>
  <si>
    <t>FHZZZ019</t>
  </si>
  <si>
    <t>TA-25-931115</t>
  </si>
  <si>
    <t>PTM CALI MINIMARKET FULL HOGAR</t>
  </si>
  <si>
    <t>FO-25-1338965</t>
  </si>
  <si>
    <t>FHZZZ020</t>
  </si>
  <si>
    <t>TA-25-931124</t>
  </si>
  <si>
    <t>PTM YOPAL FULL MOBILE STORE</t>
  </si>
  <si>
    <t>FO-25-1338974</t>
  </si>
  <si>
    <t>FHZZZ021</t>
  </si>
  <si>
    <t>TA-25-931137</t>
  </si>
  <si>
    <t>PTM BOGOTA NISSI PERSONALIZADO</t>
  </si>
  <si>
    <t>FO-25-1338987</t>
  </si>
  <si>
    <t>FHZZZ022</t>
  </si>
  <si>
    <t>ORTIZ MARTINEZ STIVEN</t>
  </si>
  <si>
    <t>TA-25-931152</t>
  </si>
  <si>
    <t>PTM BOGOTA ZAHARA JEWELRY</t>
  </si>
  <si>
    <t>FO-25-1338995</t>
  </si>
  <si>
    <t>FHZZZ023</t>
  </si>
  <si>
    <t>HERNANDEZ NARANJO OSCAR EDUARDO</t>
  </si>
  <si>
    <t>TA-25-931212</t>
  </si>
  <si>
    <t>PTM BOGOTA ANGEL Y DUCK</t>
  </si>
  <si>
    <t>FO-25-1339282</t>
  </si>
  <si>
    <t>FHZZZ024</t>
  </si>
  <si>
    <t>GALEANO SORIANO JUAN DAVID</t>
  </si>
  <si>
    <t>TA-25-931153</t>
  </si>
  <si>
    <t>PTM BOGOTA MISCELANEA Y PAPELE</t>
  </si>
  <si>
    <t>FO-25-1339004</t>
  </si>
  <si>
    <t>FHZZZ025</t>
  </si>
  <si>
    <t>TA-25-931154</t>
  </si>
  <si>
    <t>PTM BOGOTA CIGARRERIA Y MINIMA</t>
  </si>
  <si>
    <t>FO-25-1339013</t>
  </si>
  <si>
    <t>FHZZZ026</t>
  </si>
  <si>
    <t>TA-25-931155</t>
  </si>
  <si>
    <t>PTM BOGOTA CASA DE EVENTOS MAR</t>
  </si>
  <si>
    <t>FO-25-1339020</t>
  </si>
  <si>
    <t>FHZZZ027</t>
  </si>
  <si>
    <t>TA-25-929379</t>
  </si>
  <si>
    <t>OROCUE</t>
  </si>
  <si>
    <t>BARRIO SAN GREGORIO OROCUE 2</t>
  </si>
  <si>
    <t>FO-25-1337532</t>
  </si>
  <si>
    <t>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t>
  </si>
  <si>
    <t>FGZZZ881</t>
  </si>
  <si>
    <t>TA-25-929386</t>
  </si>
  <si>
    <t>PONEDERA</t>
  </si>
  <si>
    <t>BARRIO CENTRO PONEDERA  4</t>
  </si>
  <si>
    <t>FO-25-1337541</t>
  </si>
  <si>
    <t>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t>
  </si>
  <si>
    <t>FGZZZ882</t>
  </si>
  <si>
    <t>PEÑALOZA GUTIERREZ RAFAEL GUSTAVO</t>
  </si>
  <si>
    <t>TA-25-929387</t>
  </si>
  <si>
    <t>VILLA DEL ROSARIO</t>
  </si>
  <si>
    <t>BARRIO GRANCOLOMBIA VILLA DEL ROSARIO 3</t>
  </si>
  <si>
    <t>FO-25-1337545</t>
  </si>
  <si>
    <t>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t>
  </si>
  <si>
    <t>FGZZZ883</t>
  </si>
  <si>
    <t>TA-25-929389</t>
  </si>
  <si>
    <t>EL DONCELLO</t>
  </si>
  <si>
    <t>BRR EL RECREO EL DONCELLO</t>
  </si>
  <si>
    <t>FO-25-1337553</t>
  </si>
  <si>
    <t>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</si>
  <si>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FGZZZ884</t>
  </si>
  <si>
    <t>TA-25-929390</t>
  </si>
  <si>
    <t>GARAGOA</t>
  </si>
  <si>
    <t>BARRIO CIUDAD JARDIN GARAGOA 2</t>
  </si>
  <si>
    <t>FO-25-1337562</t>
  </si>
  <si>
    <t>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t>
  </si>
  <si>
    <t>FGZZZ885</t>
  </si>
  <si>
    <t>TA-25-929391</t>
  </si>
  <si>
    <t>ACACIAS</t>
  </si>
  <si>
    <t>BARRIO INDEPENDENCIA ACACIAS 1</t>
  </si>
  <si>
    <t>FO-25-1367708</t>
  </si>
  <si>
    <t>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t>
  </si>
  <si>
    <t>FGZZZ886</t>
  </si>
  <si>
    <t>CASTRILLON URREA LONDIER LEANDRO</t>
  </si>
  <si>
    <t>TA-25-929393</t>
  </si>
  <si>
    <t>SOCORRO</t>
  </si>
  <si>
    <t>BARRIO SOCORRO SOCORRO 2</t>
  </si>
  <si>
    <t>FO-25-1337580</t>
  </si>
  <si>
    <t>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t>
  </si>
  <si>
    <t>FGZZZ888</t>
  </si>
  <si>
    <t>MARTINEZ FLOREZ DONIS ALBERTO</t>
  </si>
  <si>
    <t>TA-25-929394</t>
  </si>
  <si>
    <t>FLORIDABLANCA</t>
  </si>
  <si>
    <t>BARRIO LA ESMERALDA FLORIDABLANCA FLORIDABLANCA</t>
  </si>
  <si>
    <t>FO-25-1337588</t>
  </si>
  <si>
    <t>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</si>
  <si>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FGZZZ889</t>
  </si>
  <si>
    <t>REYES RAMIREZ DIEGO ALEXANDER</t>
  </si>
  <si>
    <t>TA-25-929395</t>
  </si>
  <si>
    <t>BARRIO SAN LUIS CUCUTA 31</t>
  </si>
  <si>
    <t>FO-25-1337593</t>
  </si>
  <si>
    <t>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</si>
  <si>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FGZZZ890</t>
  </si>
  <si>
    <t>TA-25-929396</t>
  </si>
  <si>
    <t>BARRIO LA GAVIOTA IBAGUE 9</t>
  </si>
  <si>
    <t>FO-25-1337597</t>
  </si>
  <si>
    <t>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t>
  </si>
  <si>
    <t>FGZZZ891</t>
  </si>
  <si>
    <t>GUTIERREZ  CAMILO ANDRES</t>
  </si>
  <si>
    <t>TA-25-929397</t>
  </si>
  <si>
    <t>BARRIO VERGEL IBAGUE</t>
  </si>
  <si>
    <t>FO-25-1337605</t>
  </si>
  <si>
    <t>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</si>
  <si>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FGZZZ892</t>
  </si>
  <si>
    <t>TA-25-929399</t>
  </si>
  <si>
    <t>PAZ DE ARIPORO</t>
  </si>
  <si>
    <t>BARRIO CENTRO PAZ DE ARIPORO 10</t>
  </si>
  <si>
    <t>FO-25-1337610</t>
  </si>
  <si>
    <t>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</si>
  <si>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FGZZZ893</t>
  </si>
  <si>
    <t>TA-25-929402</t>
  </si>
  <si>
    <t>BARRIO VRD EL JUNCAL AGUACHICA</t>
  </si>
  <si>
    <t>FO-25-1337616</t>
  </si>
  <si>
    <t>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t>
  </si>
  <si>
    <t>FGZZZ894</t>
  </si>
  <si>
    <t>MAESTRE MENGUAL EDGAR ENRIQUE</t>
  </si>
  <si>
    <t>TA-25-929404</t>
  </si>
  <si>
    <t>BARRIO CABECERA 2 PIEDECUESTA PIEDECUESTA</t>
  </si>
  <si>
    <t>FO-25-1337624</t>
  </si>
  <si>
    <t>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t>
  </si>
  <si>
    <t>FGZZZ895</t>
  </si>
  <si>
    <t>TA-25-929405</t>
  </si>
  <si>
    <t>BARRIO CANTA CLARO MONTERIA 4</t>
  </si>
  <si>
    <t>FO-25-1337629</t>
  </si>
  <si>
    <t>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</si>
  <si>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FGZZZ896</t>
  </si>
  <si>
    <t>TA-25-929407</t>
  </si>
  <si>
    <t>BARRIO CHUCHURUBI MONTERIA 9</t>
  </si>
  <si>
    <t>FO-25-1337634</t>
  </si>
  <si>
    <t>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t>
  </si>
  <si>
    <t>FGZZZ897</t>
  </si>
  <si>
    <t>TA-25-929408</t>
  </si>
  <si>
    <t>BARRIO URB LOS ARAUJOS MONTERIA 1</t>
  </si>
  <si>
    <t>FO-25-1337642</t>
  </si>
  <si>
    <t>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</si>
  <si>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FGZZZ898</t>
  </si>
  <si>
    <t>TA-25-929409</t>
  </si>
  <si>
    <t>BARRIO URB PRADOS DEL ESTE CUCUTA 8</t>
  </si>
  <si>
    <t>FO-25-1337647</t>
  </si>
  <si>
    <t>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t>
  </si>
  <si>
    <t>FGZZZ899</t>
  </si>
  <si>
    <t>TA-25-929410</t>
  </si>
  <si>
    <t>BARRIO KENNEDY BUCARAMANGA 2</t>
  </si>
  <si>
    <t>FO-25-1337654</t>
  </si>
  <si>
    <t>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t>
  </si>
  <si>
    <t>FGZZZ900</t>
  </si>
  <si>
    <t>HERRERA LUQUE SAUL JAVIER</t>
  </si>
  <si>
    <t>TA-25-929418</t>
  </si>
  <si>
    <t>CUBARRAL</t>
  </si>
  <si>
    <t>BARRIO ZONA RURAL CUBARRAL</t>
  </si>
  <si>
    <t>FO-25-1337663</t>
  </si>
  <si>
    <t>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</si>
  <si>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FGZZZ901</t>
  </si>
  <si>
    <t>TA-25-929430</t>
  </si>
  <si>
    <t>ZIPAQUIRA</t>
  </si>
  <si>
    <t>BARRIO LA CONCEPCION ZIPAQUIRA</t>
  </si>
  <si>
    <t>FO-25-1337678</t>
  </si>
  <si>
    <t>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t>
  </si>
  <si>
    <t>FGZZZ902</t>
  </si>
  <si>
    <t>LOZADA ROJAS CHRISTIAN ANDRES</t>
  </si>
  <si>
    <t>TA-25-929449</t>
  </si>
  <si>
    <t>MANTA</t>
  </si>
  <si>
    <t>BARRIO CENTRO MANTA 2</t>
  </si>
  <si>
    <t>FO-25-1337685</t>
  </si>
  <si>
    <t>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t>
  </si>
  <si>
    <t>FGZZZ903</t>
  </si>
  <si>
    <t>TA-25-929451</t>
  </si>
  <si>
    <t>VILLA DE SAN DIEGO DE UBATE</t>
  </si>
  <si>
    <t>BARRIO VEREDA LA ESPERANZA VILLA DE SAN DIEGO DE UBATE</t>
  </si>
  <si>
    <t>FO-25-1337691</t>
  </si>
  <si>
    <t>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</si>
  <si>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FGZZZ904</t>
  </si>
  <si>
    <t>TA-25-929453</t>
  </si>
  <si>
    <t>OIBA</t>
  </si>
  <si>
    <t>BARRIO LA VARIABLE OIBA OIBA</t>
  </si>
  <si>
    <t>FO-25-1337696</t>
  </si>
  <si>
    <t>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t>
  </si>
  <si>
    <t>FGZZZ905</t>
  </si>
  <si>
    <t>TA-25-929470</t>
  </si>
  <si>
    <t>BARRIO TERRON COLORADO CALI 2</t>
  </si>
  <si>
    <t>FO-25-1337707</t>
  </si>
  <si>
    <t>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t>
  </si>
  <si>
    <t>FGZZZ906</t>
  </si>
  <si>
    <t>TA-25-929484</t>
  </si>
  <si>
    <t>SANTA ROSA DE OSOS</t>
  </si>
  <si>
    <t>BARRIO VEREDA EL CANEY SANTA ROSA DE OSOS 1</t>
  </si>
  <si>
    <t>FO-25-1337717</t>
  </si>
  <si>
    <t>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</si>
  <si>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FGZZZ907</t>
  </si>
  <si>
    <t>TA-25-929495</t>
  </si>
  <si>
    <t>BARRIO  EL INGENIO CALI</t>
  </si>
  <si>
    <t>FO-25-1337724</t>
  </si>
  <si>
    <t>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</si>
  <si>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FGZZZ908</t>
  </si>
  <si>
    <t>TA-25-929577</t>
  </si>
  <si>
    <t>SUTAMARCHAN</t>
  </si>
  <si>
    <t>BARRIO CENTRO SUTAMARCHAN 4</t>
  </si>
  <si>
    <t>FO-25-1337775</t>
  </si>
  <si>
    <t>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t>
  </si>
  <si>
    <t>FGZZZ909</t>
  </si>
  <si>
    <t>TA-25-931157</t>
  </si>
  <si>
    <t>BARRIO ASOVIVIENDA CAUCASIA 2</t>
  </si>
  <si>
    <t>FO-25-1339032</t>
  </si>
  <si>
    <t>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</si>
  <si>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FGZZZ910</t>
  </si>
  <si>
    <t>TA-25-931158</t>
  </si>
  <si>
    <t>ALGECIRAS</t>
  </si>
  <si>
    <t>BARRIO CENTRO ALGECIRAS 18</t>
  </si>
  <si>
    <t>FO-25-1339039</t>
  </si>
  <si>
    <t>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</si>
  <si>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FGZZZ911</t>
  </si>
  <si>
    <t>TA-25-931159</t>
  </si>
  <si>
    <t>JENESANO</t>
  </si>
  <si>
    <t>BARRIO CENTRO JENESANO 7</t>
  </si>
  <si>
    <t>FO-25-1339047</t>
  </si>
  <si>
    <t>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t>
  </si>
  <si>
    <t>FGZZZ912</t>
  </si>
  <si>
    <t>TA-25-931160</t>
  </si>
  <si>
    <t>SOLEDAD</t>
  </si>
  <si>
    <t>BARRIO MANANTIALES SOLEDAD</t>
  </si>
  <si>
    <t>FO-25-1339054</t>
  </si>
  <si>
    <t>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t>
  </si>
  <si>
    <t>FGZZZ913</t>
  </si>
  <si>
    <t>DE AGUAS MUÑOZ DAVID JOSE</t>
  </si>
  <si>
    <t>TA-25-931161</t>
  </si>
  <si>
    <t>BARRIO GAITAN IBAGUE</t>
  </si>
  <si>
    <t>FO-25-1339064</t>
  </si>
  <si>
    <t>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t>
  </si>
  <si>
    <t>FGZZZ914</t>
  </si>
  <si>
    <t>TA-25-931162</t>
  </si>
  <si>
    <t>BRR CIUDAD BICENTENARIO SEC SAN SEBASTIAN CARTAGENA DE INDIAS</t>
  </si>
  <si>
    <t>FO-25-1339072</t>
  </si>
  <si>
    <t>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t>
  </si>
  <si>
    <t>FGZZZ915</t>
  </si>
  <si>
    <t>TA-25-931163</t>
  </si>
  <si>
    <t>BARRIO SAN REMO IBAGUE</t>
  </si>
  <si>
    <t>FO-25-1339083</t>
  </si>
  <si>
    <t>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t>
  </si>
  <si>
    <t>FGZZZ916</t>
  </si>
  <si>
    <t>TA-25-931164</t>
  </si>
  <si>
    <t>BARRIO SAN CARLOS PIEDECUESTA 1</t>
  </si>
  <si>
    <t>FO-25-1339090</t>
  </si>
  <si>
    <t>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t>
  </si>
  <si>
    <t>FGZZZ917</t>
  </si>
  <si>
    <t>TA-25-931165</t>
  </si>
  <si>
    <t>BARRIO BOITA BOGOTA 8</t>
  </si>
  <si>
    <t>FO-25-1339105</t>
  </si>
  <si>
    <t>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</si>
  <si>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FGZZZ918</t>
  </si>
  <si>
    <t>TA-25-931166</t>
  </si>
  <si>
    <t>MIRANDA</t>
  </si>
  <si>
    <t>BARRIO CENTRO MIRANDA 3</t>
  </si>
  <si>
    <t>FO-25-1339113</t>
  </si>
  <si>
    <t>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t>
  </si>
  <si>
    <t>FGZZZ919</t>
  </si>
  <si>
    <t>TA-25-931167</t>
  </si>
  <si>
    <t>ALCALA</t>
  </si>
  <si>
    <t>BARRIO LA PLAZUELA ALCALA</t>
  </si>
  <si>
    <t>FO-25-1339125</t>
  </si>
  <si>
    <t>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t>
  </si>
  <si>
    <t>FGZZZ920</t>
  </si>
  <si>
    <t>TA-25-931170</t>
  </si>
  <si>
    <t>BUESACO</t>
  </si>
  <si>
    <t>BARRIO LA LOMA BUESACO</t>
  </si>
  <si>
    <t>FO-25-1339133</t>
  </si>
  <si>
    <t>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</si>
  <si>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FGZZZ921</t>
  </si>
  <si>
    <t>TA-25-931172</t>
  </si>
  <si>
    <t>SOACHA</t>
  </si>
  <si>
    <t>BARRIO TREBOL SOACHA SOACHA</t>
  </si>
  <si>
    <t>FO-25-1339140</t>
  </si>
  <si>
    <t>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</si>
  <si>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FGZZZ923</t>
  </si>
  <si>
    <t>TA-25-931229</t>
  </si>
  <si>
    <t>BARRIO JORDAN TUNJA 3</t>
  </si>
  <si>
    <t>FO-25-1339297</t>
  </si>
  <si>
    <t>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</si>
  <si>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FGZZZ924</t>
  </si>
  <si>
    <t>GONZALEZ GONZALEZ MARIO ALBERTO</t>
  </si>
  <si>
    <t>TA-25-931173</t>
  </si>
  <si>
    <t>BARRIO TERMINAL DE BUCARAMANGA BUCARAMANGA</t>
  </si>
  <si>
    <t>FO-25-1339148</t>
  </si>
  <si>
    <t>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</si>
  <si>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FGZZZ925</t>
  </si>
  <si>
    <t>TA-25-931174</t>
  </si>
  <si>
    <t>MOMIL</t>
  </si>
  <si>
    <t>BARRIO SANTA LUCIA MOMIL 1</t>
  </si>
  <si>
    <t>FO-25-1339157</t>
  </si>
  <si>
    <t>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t>
  </si>
  <si>
    <t>FGZZZ926</t>
  </si>
  <si>
    <t>TA-25-931176</t>
  </si>
  <si>
    <t>BARRIO SAN VALENTIN NEIVA 2</t>
  </si>
  <si>
    <t>FO-25-1339169</t>
  </si>
  <si>
    <t>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t>
  </si>
  <si>
    <t>FGZZZ927</t>
  </si>
  <si>
    <t>TA-25-931178</t>
  </si>
  <si>
    <t>BARRIO CENTRO VILLA RICA 5</t>
  </si>
  <si>
    <t>FO-25-1350933</t>
  </si>
  <si>
    <t>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t>
  </si>
  <si>
    <t>FGZZZ929</t>
  </si>
  <si>
    <t>TA-25-931179</t>
  </si>
  <si>
    <t>BARRIO CENTRO PEREIRA 52</t>
  </si>
  <si>
    <t>FO-25-1339182</t>
  </si>
  <si>
    <t>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</si>
  <si>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FGZZZ931</t>
  </si>
  <si>
    <t>TA-25-931180</t>
  </si>
  <si>
    <t>SAN JUAN NEPOMUCENO</t>
  </si>
  <si>
    <t>BARRIO LA FRONTERA SAN JUAN NEPOMUCENO</t>
  </si>
  <si>
    <t>FO-25-1339187</t>
  </si>
  <si>
    <t>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</si>
  <si>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FGZZZ932</t>
  </si>
  <si>
    <t>TA-25-931182</t>
  </si>
  <si>
    <t>CALIFORNIA</t>
  </si>
  <si>
    <t>BARRIO CALIFORNIA CALIFORNIA</t>
  </si>
  <si>
    <t>FO-25-1339197</t>
  </si>
  <si>
    <t>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t>
  </si>
  <si>
    <t>FGZZZ934</t>
  </si>
  <si>
    <t>TA-25-931183</t>
  </si>
  <si>
    <t>BARRIO LIBERTADOR DUITAMA 1</t>
  </si>
  <si>
    <t>FO-25-1339202</t>
  </si>
  <si>
    <t>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t>
  </si>
  <si>
    <t>FGZZZ935</t>
  </si>
  <si>
    <t>TA-25-931184</t>
  </si>
  <si>
    <t>CHARTA</t>
  </si>
  <si>
    <t>BARRIO EL CARMEN CHARTA</t>
  </si>
  <si>
    <t>FO-25-1339209</t>
  </si>
  <si>
    <t>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t>
  </si>
  <si>
    <t>FGZZZ936</t>
  </si>
  <si>
    <t>TA-25-931185</t>
  </si>
  <si>
    <t>LA CELIA</t>
  </si>
  <si>
    <t>BARRIO CENTRO LA CELIA 6</t>
  </si>
  <si>
    <t>FO-25-1339215</t>
  </si>
  <si>
    <t>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</si>
  <si>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FGZZZ937</t>
  </si>
  <si>
    <t>TA-25-931186</t>
  </si>
  <si>
    <t>AGUAZUL</t>
  </si>
  <si>
    <t>BARRIO LA ESPIGA AGUAZUL</t>
  </si>
  <si>
    <t>FO-25-1339221</t>
  </si>
  <si>
    <t>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t>
  </si>
  <si>
    <t>FGZZZ940</t>
  </si>
  <si>
    <t>TA-25-931187</t>
  </si>
  <si>
    <t>BARRIO ALAMOS DUITAMA</t>
  </si>
  <si>
    <t>FO-25-1339227</t>
  </si>
  <si>
    <t>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t>
  </si>
  <si>
    <t>FGZZZ941</t>
  </si>
  <si>
    <t>TA-25-931191</t>
  </si>
  <si>
    <t>SANTA SOFIA</t>
  </si>
  <si>
    <t>BARRIO CENTRO SANTA SOFIA 6</t>
  </si>
  <si>
    <t>FO-25-1339232</t>
  </si>
  <si>
    <t>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t>
  </si>
  <si>
    <t>FGZZZ942</t>
  </si>
  <si>
    <t>TA-25-931198</t>
  </si>
  <si>
    <t>PUERTO LIBERTADOR</t>
  </si>
  <si>
    <t>BARRIO VIA TRONCAL PUERTO LIBERTADOR</t>
  </si>
  <si>
    <t>FO-25-1339237</t>
  </si>
  <si>
    <t>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t>
  </si>
  <si>
    <t>FGZZZ943</t>
  </si>
  <si>
    <t>COGOLLO VERTEL EDER LUIS</t>
  </si>
  <si>
    <t>TA-25-931199</t>
  </si>
  <si>
    <t>BARRIO CIUDAD JARDIN BARRANQUILLA 17</t>
  </si>
  <si>
    <t>FO-25-1339240</t>
  </si>
  <si>
    <t>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</si>
  <si>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FGZZZ944</t>
  </si>
  <si>
    <t>TA-25-931204</t>
  </si>
  <si>
    <t>CB CRECIMIENTO - OTRAS LISTAS</t>
  </si>
  <si>
    <t>ZAPATOCA</t>
  </si>
  <si>
    <t>BARRIO SANTA BARBARA ZAPATOCA 2</t>
  </si>
  <si>
    <t>FO-25-1339254</t>
  </si>
  <si>
    <t>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</si>
  <si>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FGZZZ947</t>
  </si>
  <si>
    <t>MARIÑO PABON JORGE ENRIQUE</t>
  </si>
  <si>
    <t>TA-25-931206</t>
  </si>
  <si>
    <t>CHIQUINQUIRA</t>
  </si>
  <si>
    <t>BARRIO EL BOSQUE CHIQUINQUIRA 2</t>
  </si>
  <si>
    <t>FO-25-1339258</t>
  </si>
  <si>
    <t>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t>
  </si>
  <si>
    <t>FGZZZ948</t>
  </si>
  <si>
    <t>TA-25-931207</t>
  </si>
  <si>
    <t>VILLAMARIA</t>
  </si>
  <si>
    <t>BARRIO LA FLORIDA VILLAMARIA</t>
  </si>
  <si>
    <t>FO-25-1339265</t>
  </si>
  <si>
    <t>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t>
  </si>
  <si>
    <t>FGZZZ949</t>
  </si>
  <si>
    <t>TA-25-951678</t>
  </si>
  <si>
    <t>BARRIO NUEVO HORIZONTE CUCUTA 6</t>
  </si>
  <si>
    <t>FO-25-1359797</t>
  </si>
  <si>
    <t>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</si>
  <si>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FIZZZ271</t>
  </si>
  <si>
    <t>TA-25-951708</t>
  </si>
  <si>
    <t>BARRIO CENTRO VALLEDUPAR 32</t>
  </si>
  <si>
    <t>FO-25-1359815</t>
  </si>
  <si>
    <t>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t>
  </si>
  <si>
    <t>FIZZZ272</t>
  </si>
  <si>
    <t>TA-25-951739</t>
  </si>
  <si>
    <t>SATIVASUR</t>
  </si>
  <si>
    <t>BARRIO CENTRO SATIVASUR</t>
  </si>
  <si>
    <t>FO-25-1359836</t>
  </si>
  <si>
    <t>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t>
  </si>
  <si>
    <t>FIZZZ273</t>
  </si>
  <si>
    <t>TA-25-951767</t>
  </si>
  <si>
    <t>BARRIO CHAPINERO SOGAMOSO 3</t>
  </si>
  <si>
    <t>FO-25-1359854</t>
  </si>
  <si>
    <t>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</si>
  <si>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FIZZZ274</t>
  </si>
  <si>
    <t>TA-25-951795</t>
  </si>
  <si>
    <t>BARRIO NUEVOS PIONEROS SINCELEJO</t>
  </si>
  <si>
    <t>FO-25-1359873</t>
  </si>
  <si>
    <t>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t>
  </si>
  <si>
    <t>FIZZZ275</t>
  </si>
  <si>
    <t>TA-25-951828</t>
  </si>
  <si>
    <t>BARRIO SAN MARTIN VILLA DEL ROSARIO  2</t>
  </si>
  <si>
    <t>FO-25-1359892</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</si>
  <si>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t>
  </si>
  <si>
    <t>FIZZZ276</t>
  </si>
  <si>
    <t>TA-25-951857</t>
  </si>
  <si>
    <t>CANDELARIA</t>
  </si>
  <si>
    <t>BARRIO CANDELARIA CANDELARIA</t>
  </si>
  <si>
    <t>FO-25-1359911</t>
  </si>
  <si>
    <t>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t>
  </si>
  <si>
    <t>FIZZZ278</t>
  </si>
  <si>
    <t>TA-25-951899</t>
  </si>
  <si>
    <t>BARRIO PORVENIR VILLAVICENCIO 11</t>
  </si>
  <si>
    <t>FO-25-1359933</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</si>
  <si>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</si>
  <si>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FIZZZ279</t>
  </si>
  <si>
    <t>TA-25-951927</t>
  </si>
  <si>
    <t>BARRIO URB LA CAMPIÑA LOS PATIOS  1</t>
  </si>
  <si>
    <t>FO-25-1359954</t>
  </si>
  <si>
    <t>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t>
  </si>
  <si>
    <t>FIZZZ280</t>
  </si>
  <si>
    <t>TA-25-951957</t>
  </si>
  <si>
    <t>BARRIO CENTRO SINCELEJO 26</t>
  </si>
  <si>
    <t>FO-25-1359973</t>
  </si>
  <si>
    <t>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t>
  </si>
  <si>
    <t>FIZZZ281</t>
  </si>
  <si>
    <t>TA-25-951985</t>
  </si>
  <si>
    <t>BARRIO EL BRILLANTE VILLAVICENCIO 2</t>
  </si>
  <si>
    <t>FO-25-1359996</t>
  </si>
  <si>
    <t>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</si>
  <si>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FIZZZ282</t>
  </si>
  <si>
    <t>TA-25-952015</t>
  </si>
  <si>
    <t>BARRIO NORTE VILLA DE SAN DIEGO DE UBATE 3</t>
  </si>
  <si>
    <t>FO-25-1360015</t>
  </si>
  <si>
    <t>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t>
  </si>
  <si>
    <t>FIZZZ283</t>
  </si>
  <si>
    <t>TA-25-952041</t>
  </si>
  <si>
    <t>BARRIO ENCISO LLANADITAS MEDELLIN</t>
  </si>
  <si>
    <t>FO-25-1360033</t>
  </si>
  <si>
    <t>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</si>
  <si>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FIZZZ284</t>
  </si>
  <si>
    <t>ALVAREZ ARENAS VICTOR HUGO</t>
  </si>
  <si>
    <t>TA-25-952072</t>
  </si>
  <si>
    <t>BARBACOAS</t>
  </si>
  <si>
    <t>BARRIO CL SAN ANTONIO BARBACOAS</t>
  </si>
  <si>
    <t>FO-25-1360054</t>
  </si>
  <si>
    <t>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t>
  </si>
  <si>
    <t>FIZZZ285</t>
  </si>
  <si>
    <t>TA-25-952096</t>
  </si>
  <si>
    <t>FLORIDA</t>
  </si>
  <si>
    <t>BARRIO LA ESPERANZA FLORIDA 1</t>
  </si>
  <si>
    <t>FO-25-1360070</t>
  </si>
  <si>
    <t>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t>
  </si>
  <si>
    <t>FIZZZ286</t>
  </si>
  <si>
    <t>MONTERO MUESES GIAN CARLO</t>
  </si>
  <si>
    <t>TA-25-952124</t>
  </si>
  <si>
    <t>BARRIO PASO ANCHO ZIPAQUIRÁ</t>
  </si>
  <si>
    <t>FO-25-1360091</t>
  </si>
  <si>
    <t>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t>
  </si>
  <si>
    <t>FIZZZ287</t>
  </si>
  <si>
    <t>TA-25-952153</t>
  </si>
  <si>
    <t>BARRIO BOCHICA BOGOTA 3</t>
  </si>
  <si>
    <t>FO-25-1360107</t>
  </si>
  <si>
    <t>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t>
  </si>
  <si>
    <t>FIZZZ288</t>
  </si>
  <si>
    <t>TA-25-952173</t>
  </si>
  <si>
    <t>BARRIO LA PRIMAVERA ROBERTO PAYAN 1</t>
  </si>
  <si>
    <t>FO-25-1360123</t>
  </si>
  <si>
    <t>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</si>
  <si>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FIZZZ289</t>
  </si>
  <si>
    <t>TA-25-952201</t>
  </si>
  <si>
    <t>SAN PEDRO DE URABA</t>
  </si>
  <si>
    <t>BARRO ALFONSO LOPEZ SAN PEDRO DE URABA ANTIOQUIA SAN PEDRO DE URABA</t>
  </si>
  <si>
    <t>FO-25-1360142</t>
  </si>
  <si>
    <t>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t>
  </si>
  <si>
    <t>FIZZZ290</t>
  </si>
  <si>
    <t>TA-25-952233</t>
  </si>
  <si>
    <t>BARRIO PRADITO MEDELLIN 6</t>
  </si>
  <si>
    <t>FO-25-1360163</t>
  </si>
  <si>
    <t>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</si>
  <si>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FIZZZ291</t>
  </si>
  <si>
    <t>TA-25-952261</t>
  </si>
  <si>
    <t>POPAYAN</t>
  </si>
  <si>
    <t>BARRIO LA MARIA OCCIDENTE POPAYAN 1</t>
  </si>
  <si>
    <t>FO-25-1360187</t>
  </si>
  <si>
    <t>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</si>
  <si>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FIZZZ292</t>
  </si>
  <si>
    <t>TA-25-952286</t>
  </si>
  <si>
    <t>NILO</t>
  </si>
  <si>
    <t>BARRIO TOLEMAIDA NILO 1</t>
  </si>
  <si>
    <t>FO-25-1360203</t>
  </si>
  <si>
    <t>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t>
  </si>
  <si>
    <t>FIZZZ293</t>
  </si>
  <si>
    <t>TA-25-952313</t>
  </si>
  <si>
    <t>EL CARMEN DE VIBORAL</t>
  </si>
  <si>
    <t>BARRIO OSPINA EL CARMEN DE VIBORAL</t>
  </si>
  <si>
    <t>FO-25-1360221</t>
  </si>
  <si>
    <t>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t>
  </si>
  <si>
    <t>FIZZZ294</t>
  </si>
  <si>
    <t>TA-25-952341</t>
  </si>
  <si>
    <t>CHOCO</t>
  </si>
  <si>
    <t>BAJO BAUDO</t>
  </si>
  <si>
    <t>BARRIO PUEBLO NUEVO BAJO BAUDO 1</t>
  </si>
  <si>
    <t>FO-25-1360238</t>
  </si>
  <si>
    <t>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t>
  </si>
  <si>
    <t>FIZZZ295</t>
  </si>
  <si>
    <t>AEREO</t>
  </si>
  <si>
    <t>ROBLEDO DIAZ ANDRES FELIPE</t>
  </si>
  <si>
    <t>TA-25-952369</t>
  </si>
  <si>
    <t>SAN RAFAEL</t>
  </si>
  <si>
    <t>BARRIOS SAN RAFAEL SAN RAFAEL</t>
  </si>
  <si>
    <t>FO-25-1360257</t>
  </si>
  <si>
    <t>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t>
  </si>
  <si>
    <t>FIZZZ296</t>
  </si>
  <si>
    <t>TA-25-952397</t>
  </si>
  <si>
    <t>PALMIRA</t>
  </si>
  <si>
    <t>BARRIO ALTAMIRA PALMIRA 3</t>
  </si>
  <si>
    <t>FO-25-1360278</t>
  </si>
  <si>
    <t>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t>
  </si>
  <si>
    <t>FIZZZ297</t>
  </si>
  <si>
    <t>SANCHEZ URREGO ROBINSON DAVID</t>
  </si>
  <si>
    <t>TA-25-952422</t>
  </si>
  <si>
    <t>BARRIO EL BERNAL PASTO 1</t>
  </si>
  <si>
    <t>FO-25-1360295</t>
  </si>
  <si>
    <t>11-08 SE REALIZA LLAMADA AL CLIENTE, SE HABLA CON LA SRA ANGIE CATHERINE ROSALES OJEDA SE VALIDA DIRECCIÓN OK, CANAL OK, DISPONIBILIDAD TOTAL, LLAMAR EL DÍA LA INSTALACIÓN PARA CONFIRMAR VISITA, AVISO EXTERIOR ALTURA APROX 2 METROS; TOMACORRIENTE CERCANO: SI; TIENE CABINA DE SEGURIDAD: NO 13/08/2025 SE REALIZA INSTALACIÓN DE CORRESPONSAL, SE INSTALAN EQUIPOS CON PRUEBAS EXITOSAS, SE CAPACITA Y SE EVALÚA AL CLIENTE, NO SE INSTALA PUBLICIDAD, USUARIO YA LA TENIA INSTALADA, CB QUEDA OPERATIVO. USUARIO SOMOS BANCOLOMBIA ACTIVO</t>
  </si>
  <si>
    <t>FIZZZ298</t>
  </si>
  <si>
    <t>GUERRERO RAMIREZ OSCAR DARIO</t>
  </si>
  <si>
    <t>TA-25-952447</t>
  </si>
  <si>
    <t>PUERTO TRIUNFO</t>
  </si>
  <si>
    <t>BARRIO DORADAL PUERTO TRIUNFO 4</t>
  </si>
  <si>
    <t>FO-25-1360314</t>
  </si>
  <si>
    <t>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t>
  </si>
  <si>
    <t>FIZZZ299</t>
  </si>
  <si>
    <t>TA-25-952466</t>
  </si>
  <si>
    <t>BARRIO CALLEJON CUCUTA 23</t>
  </si>
  <si>
    <t>FO-25-1360334</t>
  </si>
  <si>
    <t>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t>
  </si>
  <si>
    <t>FIZZZ301</t>
  </si>
  <si>
    <t>TA-25-952467</t>
  </si>
  <si>
    <t>SUSACON</t>
  </si>
  <si>
    <t>BARRIO VEREDA EL HATO ARBOL SOLO SUSACON</t>
  </si>
  <si>
    <t>FO-25-1360339</t>
  </si>
  <si>
    <t>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t>
  </si>
  <si>
    <t>FIZZZ302</t>
  </si>
  <si>
    <t>ALVARADO MORENO CRISTHIAN</t>
  </si>
  <si>
    <t>TA-25-952468</t>
  </si>
  <si>
    <t>BARRIO SAN FRANCISCO BOGOTA 16</t>
  </si>
  <si>
    <t>FO-25-1360343</t>
  </si>
  <si>
    <t>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t>
  </si>
  <si>
    <t>FIZZZ304</t>
  </si>
  <si>
    <t>TA-25-952469</t>
  </si>
  <si>
    <t>BARRIO UNION DE VIVIENDA POPULAR CALI</t>
  </si>
  <si>
    <t>FO-25-1360347</t>
  </si>
  <si>
    <t>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t>
  </si>
  <si>
    <t>FIZZZ305</t>
  </si>
  <si>
    <t>CUERO RUIZ JHONNY</t>
  </si>
  <si>
    <t>TA-25-952470</t>
  </si>
  <si>
    <t>VILLA DE LEYVA</t>
  </si>
  <si>
    <t>BARRIO SANTA ANA VILLA DE LEYVA</t>
  </si>
  <si>
    <t>FO-25-1360349</t>
  </si>
  <si>
    <t>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t>
  </si>
  <si>
    <t>FIZZZ306</t>
  </si>
  <si>
    <t>TA-25-952471</t>
  </si>
  <si>
    <t>BARRIO MELENDEZ CALI 5</t>
  </si>
  <si>
    <t>FO-25-1360351</t>
  </si>
  <si>
    <t>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</si>
  <si>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FIZZZ307</t>
  </si>
  <si>
    <t>TA-25-952472</t>
  </si>
  <si>
    <t>BARRIO CENTRO SUSACON 2</t>
  </si>
  <si>
    <t>FO-25-1360353</t>
  </si>
  <si>
    <t>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t>
  </si>
  <si>
    <t>FIZZZ308</t>
  </si>
  <si>
    <t>TA-25-952475</t>
  </si>
  <si>
    <t>BARRIO VILLA CLAUDIA BOGOTA 1</t>
  </si>
  <si>
    <t>FO-25-1360358</t>
  </si>
  <si>
    <t>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</si>
  <si>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FIZZZ309</t>
  </si>
  <si>
    <t>TA-25-952476</t>
  </si>
  <si>
    <t>YARUMAL</t>
  </si>
  <si>
    <t>BARRIO VARIANTE YARUMAL</t>
  </si>
  <si>
    <t>FO-25-1360360</t>
  </si>
  <si>
    <t>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</si>
  <si>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FIZZZ310</t>
  </si>
  <si>
    <t>TA-25-952478</t>
  </si>
  <si>
    <t>BARRIO NECOCLI ANTIOQUIA NECOCLI</t>
  </si>
  <si>
    <t>FO-25-1360365</t>
  </si>
  <si>
    <t>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</si>
  <si>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FIZZZ311</t>
  </si>
  <si>
    <t>TA-25-952479</t>
  </si>
  <si>
    <t>BARRIO CENTRO PEREIRA 54</t>
  </si>
  <si>
    <t>FO-25-1360368</t>
  </si>
  <si>
    <t>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</si>
  <si>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FIZZZ312</t>
  </si>
  <si>
    <t>TA-25-952483</t>
  </si>
  <si>
    <t>BARRIO CORR DE SANTA BARBARA PASTO</t>
  </si>
  <si>
    <t>FO-25-1360373</t>
  </si>
  <si>
    <t>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</si>
  <si>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FIZZZ313</t>
  </si>
  <si>
    <t>TA-25-952485</t>
  </si>
  <si>
    <t>BARRIO LOS MUISCAS TUNJA 9</t>
  </si>
  <si>
    <t>FO-25-1360377</t>
  </si>
  <si>
    <t>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</si>
  <si>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FIZZZ314</t>
  </si>
  <si>
    <t>TA-25-952486</t>
  </si>
  <si>
    <t>PAMPLONA</t>
  </si>
  <si>
    <t>BARRIO LOS CEREZOS PAMPLONA</t>
  </si>
  <si>
    <t>FO-25-1360379</t>
  </si>
  <si>
    <t>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</si>
  <si>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FIZZZ315</t>
  </si>
  <si>
    <t>MORA VEGA JEAMPIER</t>
  </si>
  <si>
    <t>TA-25-952488</t>
  </si>
  <si>
    <t>BARRIO SANTO DOMINGO PAMPLONA 2</t>
  </si>
  <si>
    <t>FO-25-1360385</t>
  </si>
  <si>
    <t>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</si>
  <si>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FIZZZ316</t>
  </si>
  <si>
    <t>TA-25-952490</t>
  </si>
  <si>
    <t>BARRIO LA ESPERANZA BOGOTA 4</t>
  </si>
  <si>
    <t>FO-25-1360389</t>
  </si>
  <si>
    <t>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</si>
  <si>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FIZZZ317</t>
  </si>
  <si>
    <t>TA-25-952491</t>
  </si>
  <si>
    <t>BARRIO ARMANDO VASQUEZ CANDELARIA</t>
  </si>
  <si>
    <t>FO-25-1360392</t>
  </si>
  <si>
    <t>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t>
  </si>
  <si>
    <t>FIZZZ318</t>
  </si>
  <si>
    <t>TA-25-952494</t>
  </si>
  <si>
    <t>BARRIO NEVADO MANIZALES 2</t>
  </si>
  <si>
    <t>FO-25-1360397</t>
  </si>
  <si>
    <t>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t>
  </si>
  <si>
    <t>FIZZZ319</t>
  </si>
  <si>
    <t>TA-25-952495</t>
  </si>
  <si>
    <t>BARRIO BOSA CARBONEL BOGOTA 1</t>
  </si>
  <si>
    <t>FO-25-1374679</t>
  </si>
  <si>
    <t>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t>
  </si>
  <si>
    <t>FIZZZ320</t>
  </si>
  <si>
    <t>TA-25-952497</t>
  </si>
  <si>
    <t>BARRIO URB NIZA CUCUTA 2</t>
  </si>
  <si>
    <t>FO-25-1360408</t>
  </si>
  <si>
    <t>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</si>
  <si>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FIZZZ322</t>
  </si>
  <si>
    <t>TA-25-952498</t>
  </si>
  <si>
    <t>BARRIO VEINTE DE JULIO SINCELEJO</t>
  </si>
  <si>
    <t>FO-25-1360411</t>
  </si>
  <si>
    <t>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t>
  </si>
  <si>
    <t>FIZZZ323</t>
  </si>
  <si>
    <t>TA-25-952501</t>
  </si>
  <si>
    <t>BARRIO CENTRO PEREIRA 53</t>
  </si>
  <si>
    <t>FO-25-1360416</t>
  </si>
  <si>
    <t>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t>
  </si>
  <si>
    <t>FIZZZ324</t>
  </si>
  <si>
    <t>TA-25-952502</t>
  </si>
  <si>
    <t>BARRIO CENTRO ORIENTAL CON HUEVO MEDELLIN</t>
  </si>
  <si>
    <t>FO-25-1360419</t>
  </si>
  <si>
    <t>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</si>
  <si>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FIZZZ325</t>
  </si>
  <si>
    <t>TA-25-952503</t>
  </si>
  <si>
    <t>BARRIO BELEN MEDELLIN 18</t>
  </si>
  <si>
    <t>FO-25-1360424</t>
  </si>
  <si>
    <t>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t>
  </si>
  <si>
    <t>FIZZZ326</t>
  </si>
  <si>
    <t>TA-25-952504</t>
  </si>
  <si>
    <t>MARSELLA</t>
  </si>
  <si>
    <t>BARRIO CENTRO MARSELLA 7</t>
  </si>
  <si>
    <t>FO-25-1360428</t>
  </si>
  <si>
    <t>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</si>
  <si>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FIZZZ327</t>
  </si>
  <si>
    <t>TA-25-952505</t>
  </si>
  <si>
    <t>BARRIO CENTRO LA CELIA 7</t>
  </si>
  <si>
    <t>FO-25-1360430</t>
  </si>
  <si>
    <t>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</si>
  <si>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FIZZZ328</t>
  </si>
  <si>
    <t>TA-25-952506</t>
  </si>
  <si>
    <t>BARRIO MARCO FIDEL SUAREZ BOGOTA 8</t>
  </si>
  <si>
    <t>FO-25-1360435</t>
  </si>
  <si>
    <t>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t>
  </si>
  <si>
    <t>FIZZZ329</t>
  </si>
  <si>
    <t>TA-25-952507</t>
  </si>
  <si>
    <t>LOS SANTOS</t>
  </si>
  <si>
    <t>BARRIO LOS SANTOS LOS SANTOS 1</t>
  </si>
  <si>
    <t>FO-25-1360440</t>
  </si>
  <si>
    <t>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t>
  </si>
  <si>
    <t>FIZZZ330</t>
  </si>
  <si>
    <t>TA-25-952508</t>
  </si>
  <si>
    <t>BARRIO LA POLA IBAGUE 7</t>
  </si>
  <si>
    <t>FO-25-1360444</t>
  </si>
  <si>
    <t>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</si>
  <si>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FIZZZ331</t>
  </si>
  <si>
    <t>TA-25-952514</t>
  </si>
  <si>
    <t>BARRIO ACAPULCO VILLAVICENCIO 2</t>
  </si>
  <si>
    <t>FO-25-1360451</t>
  </si>
  <si>
    <t>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</si>
  <si>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FIZZZ333</t>
  </si>
  <si>
    <t>TA-25-969495</t>
  </si>
  <si>
    <t>DISTRICOL PET SHOP MI TAPITO</t>
  </si>
  <si>
    <t>FO-25-1371520</t>
  </si>
  <si>
    <t>13-08 PROGRAMACIÓN REALIZADA POR LA ALIANZA 14/08/2025 SE REALIZA INSTALACIÓN DE CORRESPONSAL, SE INSTALAN EQUIPOS CON PRUEBAS EXITOSAS, SE CAPACITA Y SE EVALÚA AL CLIENTE, SE INSTALA PUBLICIDAD COMPLETA, CB QUEDA OPERATIVO. USUARIO SOMOS BANCOLOMBIA ACTIVO</t>
  </si>
  <si>
    <t>FJZZZ887</t>
  </si>
  <si>
    <t>TA-25-969518</t>
  </si>
  <si>
    <t>DISTRICOL LA VIÑA JCI</t>
  </si>
  <si>
    <t>FO-25-1371529</t>
  </si>
  <si>
    <t>FJZZZ888</t>
  </si>
  <si>
    <t>TA-25-969535</t>
  </si>
  <si>
    <t>DISTRICOL EDEMAT GROUP S.A.S.</t>
  </si>
  <si>
    <t>FO-25-1371534</t>
  </si>
  <si>
    <t>13-08 PROGRAMACIÓN REALIZADA POR LA ALIANZA 15/08/2025 SE REALIZA INSTALACIÓN DE CORRESPONSAL, SE INSTALAN EQUIPOS CON PRUEBAS EXITOSAS, SE CAPACITA Y SE EVALÚA AL CLIENTE, SE INSTALA PUBLICIDAD COMPLETA, CB QUEDA OPERATIVO. USUARIO SOMOS BANCOLOMBIA ACTIVO</t>
  </si>
  <si>
    <t>FJZZZ889</t>
  </si>
  <si>
    <t>TA-25-969537</t>
  </si>
  <si>
    <t>DISTRICOL CARNES LAS MERCEDES</t>
  </si>
  <si>
    <t>FO-25-1371536</t>
  </si>
  <si>
    <t>FJZZZ890</t>
  </si>
  <si>
    <t>TA-25-969539</t>
  </si>
  <si>
    <t>DISTRICOL PC BELEN 76</t>
  </si>
  <si>
    <t>FO-25-1371538</t>
  </si>
  <si>
    <t>FJZZZ891</t>
  </si>
  <si>
    <t>TA-25-969540</t>
  </si>
  <si>
    <t>PTM MEDELLIN AUTOSERVICIO LA P</t>
  </si>
  <si>
    <t>FO-25-1371541</t>
  </si>
  <si>
    <t>FJZZZ892</t>
  </si>
  <si>
    <t>CASTAÑEDA PALACIO CARLOS FELIPE</t>
  </si>
  <si>
    <t>TA-25-969541</t>
  </si>
  <si>
    <t>PTM MEDELLIN AJN TRAVEL</t>
  </si>
  <si>
    <t>FO-25-1371543</t>
  </si>
  <si>
    <t>FJZZZ893</t>
  </si>
  <si>
    <t>TA-25-969543</t>
  </si>
  <si>
    <t>PTM MEDELLIN MISCELANEA LA TAT</t>
  </si>
  <si>
    <t>FO-25-1371545</t>
  </si>
  <si>
    <t>FJZZZ894</t>
  </si>
  <si>
    <t>TA-25-969547</t>
  </si>
  <si>
    <t>PTM BELLO MISCELANEA SOLUCION</t>
  </si>
  <si>
    <t>FO-25-1371547</t>
  </si>
  <si>
    <t>13-08 PROGRAMACIÓN REALIZADA POR LA ALIANZA 15-08 SE REALIZA INSTALACIÓN DE CORRESPONSAL, SE INSTALAN EQUIPOS CON PRUEBAS EXITOSAS, SE CAPACITA Y SE EVALÚA AL CLIENTE, SE INSTALA PUBLICIDAD COMPLETA, CB QUEDA OPERATIVO. USUARIO SOMOS BANCOLOMBIA ACTIVO</t>
  </si>
  <si>
    <t>FJZZZ895</t>
  </si>
  <si>
    <t>TA-25-969548</t>
  </si>
  <si>
    <t>PTM CALDAS BOTANICASALOMON</t>
  </si>
  <si>
    <t>FO-25-1371550</t>
  </si>
  <si>
    <t>13-08 PROGRAMACIÓN REALIZADA POR LA ALIANZA 15/08/2025 SE REALIZA INSTALACIÓN DE CORRESPONSAL, SE INSTALAN EQUIPOS CON PRUEBAS EXITOSAS, NO SE CAPACITA USUARIO INDICA QUE NO REQUIERE, SE INSTALA PUBLICIDAD COMPLETA, CB QUEDA OPERATIVO. USUARIO SOMOS BANCOLOMBIA ACTIVO</t>
  </si>
  <si>
    <t>FJZZZ896</t>
  </si>
  <si>
    <t>TA-25-969549</t>
  </si>
  <si>
    <t>DISTRICOL TIENDA ISABELLA´S</t>
  </si>
  <si>
    <t>FO-25-1371553</t>
  </si>
  <si>
    <t>13-08 PROGRAMACIÓN REALIZADA POR LA ALIANZA 14-08 SE REALIZA INSTALACIÓN DE CORRESPONSAL, SE INSTALAN EQUIPOS CON PRUEBAS EXITOSAS, SE CAPACITA Y SE EVALÚA AL CLIENTE, SE INSTALA PUBLICIDAD COMPLETA, CB QUEDA OPERATIVO. USUARIO SOMOS BANCOLOMBIA ACTIVO</t>
  </si>
  <si>
    <t>FJZZZ897</t>
  </si>
  <si>
    <t>TA-25-969553</t>
  </si>
  <si>
    <t>LA CEJA</t>
  </si>
  <si>
    <t>DISTRICOL CREDIPLUS M Y M</t>
  </si>
  <si>
    <t>FO-25-1371556</t>
  </si>
  <si>
    <t>FJZZZ898</t>
  </si>
  <si>
    <t>TA-25-969556</t>
  </si>
  <si>
    <t>DISTRICOL Q´CHICHA S.A.S.</t>
  </si>
  <si>
    <t>FO-25-1371558</t>
  </si>
  <si>
    <t>FJZZZ899</t>
  </si>
  <si>
    <t>TA-25-969557</t>
  </si>
  <si>
    <t>DISTRICOL FREA HOM</t>
  </si>
  <si>
    <t>FO-25-1371561</t>
  </si>
  <si>
    <t>FJZZZ900</t>
  </si>
  <si>
    <t>TA-25-969559</t>
  </si>
  <si>
    <t>SANTANA</t>
  </si>
  <si>
    <t>DISTRICOL KAROLAY PLATINUM</t>
  </si>
  <si>
    <t>FO-25-1371565</t>
  </si>
  <si>
    <t>FJZZZ902</t>
  </si>
  <si>
    <t>TA-25-969567</t>
  </si>
  <si>
    <t>CARTAGENA DEL CHAIRA</t>
  </si>
  <si>
    <t>DISTRICOL CROCHET ROSA MONTANA</t>
  </si>
  <si>
    <t>FO-25-1371573</t>
  </si>
  <si>
    <t>13-08 PROGRAMACIÓN REALIZADA POR LA ALIANZA 20/08/2025 SE REALIZA INSTALACIÓN DE CORRESPONSAL, SE INSTALAN EQUIPOS CON PRUEBAS EXITOSAS, SE CAPACITA Y SE EVALÚA AL CLIENTE, SE INSTALA PUBLICIDAD COMPLETA, CB QUEDA OPERATIVO. USUARIO SOMOS BANCOLOMBIA ACTIVO</t>
  </si>
  <si>
    <t>FJZZZ904</t>
  </si>
  <si>
    <t>TA-25-969568</t>
  </si>
  <si>
    <t>MILAN</t>
  </si>
  <si>
    <t>DISTRICOL MISELANEA FAMILIAR</t>
  </si>
  <si>
    <t>FO-25-1371575</t>
  </si>
  <si>
    <t>FJZZZ905</t>
  </si>
  <si>
    <t>TA-25-969569</t>
  </si>
  <si>
    <t>PTM POPAYAN COPILIGT</t>
  </si>
  <si>
    <t>FO-25-1371577</t>
  </si>
  <si>
    <t>FJZZZ906</t>
  </si>
  <si>
    <t>TA-25-969570</t>
  </si>
  <si>
    <t>PLANETA RICA</t>
  </si>
  <si>
    <t>DISTRICOL ABASTOS PROGRESO G</t>
  </si>
  <si>
    <t>FO-25-1371579</t>
  </si>
  <si>
    <t>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t>
  </si>
  <si>
    <t>FJZZZ907</t>
  </si>
  <si>
    <t>TA-25-969571</t>
  </si>
  <si>
    <t>DISTRICOL LA PATRONA CATERING</t>
  </si>
  <si>
    <t>FO-25-1371581</t>
  </si>
  <si>
    <t>FJZZZ908</t>
  </si>
  <si>
    <t>TA-25-969572</t>
  </si>
  <si>
    <t>ACANDI</t>
  </si>
  <si>
    <t>DISTRICOL DROGUEINTEGRAL</t>
  </si>
  <si>
    <t>FO-25-1371584</t>
  </si>
  <si>
    <t>13-08 PROGRAMACIÓN REALIZADA POR LA ALIANZA 21-08 SE REALIZA INSTALACIÓN DE CORRESPONSAL, SE INSTALAN EQUIPOS CON PRUEBAS EXITOSAS, SE CAPACITA Y SE EVALÚA AL CLIENTE, SE INSTALA PUBLICIDAD COMPLETA, CB QUEDA OPERATIVO. USUARIO SOMOS BANCOLOMBIA ACTIVO</t>
  </si>
  <si>
    <t>FJZZZ909</t>
  </si>
  <si>
    <t>TA-25-969573</t>
  </si>
  <si>
    <t>RIOSUCIO</t>
  </si>
  <si>
    <t>DISTRICOL QUÍMICOS LOS 3 REYES</t>
  </si>
  <si>
    <t>FO-25-1371586</t>
  </si>
  <si>
    <t>13-08 PROGRAMACIÓN REALIZADA POR LA ALIANZA 25-08 SE REALIZA INSTALACIÓN DE CORRESPONSAL, SE INSTALAN EQUIPOS CON PRUEBAS EXITOSAS, SE CAPACITA Y SE EVALÚA AL CLIENTE, SE INSTALA PUBLICIDAD COMPLETA, CB QUEDA OPERATIVO. USUARIO SOMOS BANCOLOMBIA ACTIVO</t>
  </si>
  <si>
    <t>FJZZZ910</t>
  </si>
  <si>
    <t>TA-25-969574</t>
  </si>
  <si>
    <t>AIPE</t>
  </si>
  <si>
    <t>DISTRICOL MULTIPRODUCTOS MISCE</t>
  </si>
  <si>
    <t>FO-25-1371588</t>
  </si>
  <si>
    <t>FJZZZ911</t>
  </si>
  <si>
    <t>TA-25-969575</t>
  </si>
  <si>
    <t>GARZON</t>
  </si>
  <si>
    <t>DISTRICOL FAMILIAR MAX SUPER</t>
  </si>
  <si>
    <t>FO-25-1371591</t>
  </si>
  <si>
    <t>FJZZZ912</t>
  </si>
  <si>
    <t>SANTA MARTA</t>
  </si>
  <si>
    <t>TA-25-969576</t>
  </si>
  <si>
    <t>LA GUAJIRA</t>
  </si>
  <si>
    <t>RIOHACHA</t>
  </si>
  <si>
    <t>DISTRICOL EKIRAASEDECALLEANCHA</t>
  </si>
  <si>
    <t>FO-25-1371595</t>
  </si>
  <si>
    <t>FJZZZ913</t>
  </si>
  <si>
    <t>TA-25-969577</t>
  </si>
  <si>
    <t>DISTRICOL VARIEDAPAPELERIGLEY</t>
  </si>
  <si>
    <t>FO-25-1371598</t>
  </si>
  <si>
    <t>FJZZZ914</t>
  </si>
  <si>
    <t>TA-25-969581</t>
  </si>
  <si>
    <t>PTM RIOACHA TIENDA DEPORTIVA F</t>
  </si>
  <si>
    <t>FO-25-1371601</t>
  </si>
  <si>
    <t>FJZZZ915</t>
  </si>
  <si>
    <t>TA-25-969582</t>
  </si>
  <si>
    <t>DIBULLA</t>
  </si>
  <si>
    <t>DISTRICOL DROGUERIA ALFARERO 2</t>
  </si>
  <si>
    <t>FO-25-1371604</t>
  </si>
  <si>
    <t>FJZZZ916</t>
  </si>
  <si>
    <t>THOMAS  CAMPO SIGIFREDO SEGUNDO</t>
  </si>
  <si>
    <t>TA-25-969586</t>
  </si>
  <si>
    <t>MAICAO</t>
  </si>
  <si>
    <t>DISTRICOL HELADERIADULTENTACIO</t>
  </si>
  <si>
    <t>FO-25-1371609</t>
  </si>
  <si>
    <t>FJZZZ917</t>
  </si>
  <si>
    <t>BENITEZ CARVAJAL ALVARO JAVIER</t>
  </si>
  <si>
    <t>TA-25-969588</t>
  </si>
  <si>
    <t>DISTRICOL DROGUERI GRAN TREBOL</t>
  </si>
  <si>
    <t>FO-25-1371613</t>
  </si>
  <si>
    <t>FJZZZ918</t>
  </si>
  <si>
    <t>TA-25-969595</t>
  </si>
  <si>
    <t>DISTRICOL DROG FARMAMEDIC</t>
  </si>
  <si>
    <t>FO-25-1371620</t>
  </si>
  <si>
    <t>FJZZZ920</t>
  </si>
  <si>
    <t>TA-25-969626</t>
  </si>
  <si>
    <t>DISTRICOL MAX PLAX</t>
  </si>
  <si>
    <t>FO-25-1371624</t>
  </si>
  <si>
    <t>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t>
  </si>
  <si>
    <t>FJZZZ922</t>
  </si>
  <si>
    <t>TA-25-969639</t>
  </si>
  <si>
    <t>DISTRICOL ZULYRINCODENTALCLINI</t>
  </si>
  <si>
    <t>FO-25-1371629</t>
  </si>
  <si>
    <t>FJZZZ923</t>
  </si>
  <si>
    <t>TA-25-969648</t>
  </si>
  <si>
    <t>DISTRICOL MULTISERVICIOS ARKAD</t>
  </si>
  <si>
    <t>FO-25-1371631</t>
  </si>
  <si>
    <t>FJZZZ924</t>
  </si>
  <si>
    <t>TA-25-969652</t>
  </si>
  <si>
    <t>QUIMBAYA</t>
  </si>
  <si>
    <t>DISTRICOL TONNY RYP SERVICIOS</t>
  </si>
  <si>
    <t>FO-25-1371636</t>
  </si>
  <si>
    <t>FJZZZ925</t>
  </si>
  <si>
    <t>TA-25-969654</t>
  </si>
  <si>
    <t>DISTRICOL TECNOMANIA EL GOCHO</t>
  </si>
  <si>
    <t>FO-25-1371640</t>
  </si>
  <si>
    <t>FJZZZ926</t>
  </si>
  <si>
    <t>TA-25-969655</t>
  </si>
  <si>
    <t>APIA</t>
  </si>
  <si>
    <t>DISTRICOL SWEET GIRL BY EMILY</t>
  </si>
  <si>
    <t>FO-25-1371643</t>
  </si>
  <si>
    <t>FJZZZ927</t>
  </si>
  <si>
    <t>TA-25-969656</t>
  </si>
  <si>
    <t>PTM BUCARAMANGA DESTELLOS CYC</t>
  </si>
  <si>
    <t>FO-25-1371647</t>
  </si>
  <si>
    <t>FJZZZ928</t>
  </si>
  <si>
    <t>ORTEGA BARRERAGA MARLON STWAR</t>
  </si>
  <si>
    <t>TA-25-969658</t>
  </si>
  <si>
    <t>PTM BUCARAMANGA MINIMARKET EL</t>
  </si>
  <si>
    <t>FO-25-1371649</t>
  </si>
  <si>
    <t>FJZZZ929</t>
  </si>
  <si>
    <t>TA-25-969660</t>
  </si>
  <si>
    <t>PTM PIEDECUESTA EL RINCÓN DE A</t>
  </si>
  <si>
    <t>FO-25-1371651</t>
  </si>
  <si>
    <t>FJZZZ930</t>
  </si>
  <si>
    <t>TA-25-969661</t>
  </si>
  <si>
    <t>DISTRICOL MULTISERVICIOS MATI</t>
  </si>
  <si>
    <t>FO-25-1371653</t>
  </si>
  <si>
    <t>FJZZZ931</t>
  </si>
  <si>
    <t>TA-25-969663</t>
  </si>
  <si>
    <t>PTM CALI VARIEDADES MARIANNE</t>
  </si>
  <si>
    <t>FO-25-1371661</t>
  </si>
  <si>
    <t>FJZZZ933</t>
  </si>
  <si>
    <t>TA-25-969664</t>
  </si>
  <si>
    <t>PTM CANDELARIA VARIEDADES M&amp;G</t>
  </si>
  <si>
    <t>FO-25-1371663</t>
  </si>
  <si>
    <t>13-08 PROGRAMACIÓN REALIZADA POR LA ALIANZA</t>
  </si>
  <si>
    <t>FJZZZ934</t>
  </si>
  <si>
    <t>TA-25-969665</t>
  </si>
  <si>
    <t>TULUA</t>
  </si>
  <si>
    <t>PTM TULIA CHALOZ</t>
  </si>
  <si>
    <t>FO-25-1371666</t>
  </si>
  <si>
    <t>FJZZZ935</t>
  </si>
  <si>
    <t>TA-25-969669</t>
  </si>
  <si>
    <t>ARAUCA</t>
  </si>
  <si>
    <t>DISTRICOL MEKACAMBIOS</t>
  </si>
  <si>
    <t>FO-25-1371671</t>
  </si>
  <si>
    <t>FJZZZ936</t>
  </si>
  <si>
    <t>TA-25-969670</t>
  </si>
  <si>
    <t>DISTRICOL COPIDESCUENTOS LA 30</t>
  </si>
  <si>
    <t>FO-25-1371673</t>
  </si>
  <si>
    <t>FJZZZ937</t>
  </si>
  <si>
    <t>TA-25-969671</t>
  </si>
  <si>
    <t>PUTUMAYO</t>
  </si>
  <si>
    <t>SIBUNDOY</t>
  </si>
  <si>
    <t>DISTRICOL DROG FARSALUD Y VIDA</t>
  </si>
  <si>
    <t>FO-25-1371676</t>
  </si>
  <si>
    <t>FJZZZ938</t>
  </si>
  <si>
    <t>CASTILLO HERRERA ALEX RICARDO</t>
  </si>
  <si>
    <t>TA-25-969673</t>
  </si>
  <si>
    <t>VALLE DEL GUAMUEZ</t>
  </si>
  <si>
    <t>DISTRICOL ESTILOS</t>
  </si>
  <si>
    <t>FO-25-1371685</t>
  </si>
  <si>
    <t>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t>
  </si>
  <si>
    <t>FJZZZ939</t>
  </si>
  <si>
    <t>TA-25-969680</t>
  </si>
  <si>
    <t>DISTRICOL CENTRO DE SERVICIOS</t>
  </si>
  <si>
    <t>FO-25-1371687</t>
  </si>
  <si>
    <t>FJZZZ940</t>
  </si>
  <si>
    <t>TA-25-969684</t>
  </si>
  <si>
    <t>PTM BOGOTA TIENDA EL PATRON BO</t>
  </si>
  <si>
    <t>FO-25-1371689</t>
  </si>
  <si>
    <t>FJZZZ941</t>
  </si>
  <si>
    <t>TA-25-983250</t>
  </si>
  <si>
    <t>PTM MEDELLIN TODOENUNO</t>
  </si>
  <si>
    <t>FO-25-1392146</t>
  </si>
  <si>
    <t>19-08 PROGRAMACIÓN REALIZADA POR LA ALIANZA 20/08/2025 SE REALIZA INSTALACIÓN DE CORRESPONSAL, SE INSTALAN EQUIPOS CON PRUEBAS EXITOSAS, SE CAPACITA Y SE EVALÚA AL CLIENTE, SE INSTALA PUBLICIDAD COMPLETA, CB QUEDA OPERATIVO. USUARIO SOMOS BANCOLOMBIA ACTIVO</t>
  </si>
  <si>
    <t>SGZZZ959</t>
  </si>
  <si>
    <t>TA-25-983251</t>
  </si>
  <si>
    <t>PTM SOACHA TIENDA DISEAS</t>
  </si>
  <si>
    <t>FO-25-1392149</t>
  </si>
  <si>
    <t>SGZZZ960</t>
  </si>
  <si>
    <t>TA-25-983254</t>
  </si>
  <si>
    <t>PTM BUCARAMANGA FERREMUEBLES S</t>
  </si>
  <si>
    <t>FO-25-1392155</t>
  </si>
  <si>
    <t>SGZZZ961</t>
  </si>
  <si>
    <t>TA-25-982504</t>
  </si>
  <si>
    <t>BARRIO PUEBLO NUEVO CAUCASIA 4</t>
  </si>
  <si>
    <t>FO-25-1390782</t>
  </si>
  <si>
    <t>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</si>
  <si>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SGZZZ967</t>
  </si>
  <si>
    <t>TA-25-982507</t>
  </si>
  <si>
    <t>MAGDALENA</t>
  </si>
  <si>
    <t>EL BANCO</t>
  </si>
  <si>
    <t>BARRIO MANZANARES EL BANCO</t>
  </si>
  <si>
    <t>FO-25-1390784</t>
  </si>
  <si>
    <t>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</si>
  <si>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SGZZZ968</t>
  </si>
  <si>
    <t>TA-25-982509</t>
  </si>
  <si>
    <t>BARRIO SANTANDER CUCUTA 3</t>
  </si>
  <si>
    <t>FO-25-1390790</t>
  </si>
  <si>
    <t>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t>
  </si>
  <si>
    <t>SGZZZ969</t>
  </si>
  <si>
    <t>TA-25-982510</t>
  </si>
  <si>
    <t>BARRIO CHICALA NEIVA 1</t>
  </si>
  <si>
    <t>FO-25-1390793</t>
  </si>
  <si>
    <t>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</si>
  <si>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SGZZZ970</t>
  </si>
  <si>
    <t>TA-25-982512</t>
  </si>
  <si>
    <t>BARRIO CIUDADELA UNIVERSITARIA SINCELEJO</t>
  </si>
  <si>
    <t>FO-25-1390797</t>
  </si>
  <si>
    <t>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t>
  </si>
  <si>
    <t>SGZZZ971</t>
  </si>
  <si>
    <t>CACERES HERNANDEZ ANDRES</t>
  </si>
  <si>
    <t>TA-25-982513</t>
  </si>
  <si>
    <t>BARRIO 6 DE MARZO MONTERIA 6</t>
  </si>
  <si>
    <t>FO-25-1390800</t>
  </si>
  <si>
    <t>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t>
  </si>
  <si>
    <t>SGZZZ972</t>
  </si>
  <si>
    <t>TA-25-982514</t>
  </si>
  <si>
    <t>LA PAZ</t>
  </si>
  <si>
    <t>BARRIO CENTRO LA PAZ</t>
  </si>
  <si>
    <t>FO-25-1390812</t>
  </si>
  <si>
    <t>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t>
  </si>
  <si>
    <t>SGZZZ973</t>
  </si>
  <si>
    <t>TA-25-982515</t>
  </si>
  <si>
    <t>BARRIO EL TRIANGULO MANIZALES</t>
  </si>
  <si>
    <t>FO-25-1390818</t>
  </si>
  <si>
    <t>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t>
  </si>
  <si>
    <t>SGZZZ974</t>
  </si>
  <si>
    <t>TA-25-982516</t>
  </si>
  <si>
    <t>FUSAGASUGA</t>
  </si>
  <si>
    <t>BARRIO RECREO FUSAGASUGA</t>
  </si>
  <si>
    <t>FO-25-1390823</t>
  </si>
  <si>
    <t>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t>
  </si>
  <si>
    <t>SGZZZ975</t>
  </si>
  <si>
    <t>TA-25-982517</t>
  </si>
  <si>
    <t>BARRIO CENTRO BELLO 1</t>
  </si>
  <si>
    <t>FO-25-1390829</t>
  </si>
  <si>
    <t>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t>
  </si>
  <si>
    <t>SGZZZ976</t>
  </si>
  <si>
    <t>TA-25-982518</t>
  </si>
  <si>
    <t>BARRIO CEDRITOS FUSAGASUGA 4</t>
  </si>
  <si>
    <t>FO-25-1390834</t>
  </si>
  <si>
    <t>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</si>
  <si>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SGZZZ977</t>
  </si>
  <si>
    <t>TA-25-982519</t>
  </si>
  <si>
    <t>ANGOSTURA</t>
  </si>
  <si>
    <t xml:space="preserve">BARRIO CENTRO ANGOSTURA </t>
  </si>
  <si>
    <t>FO-25-1390839</t>
  </si>
  <si>
    <t>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</si>
  <si>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SGZZZ978</t>
  </si>
  <si>
    <t>TA-25-982520</t>
  </si>
  <si>
    <t>BARRIO MARIA CANO PALMIRA 1</t>
  </si>
  <si>
    <t>FO-25-1390846</t>
  </si>
  <si>
    <t>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</si>
  <si>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SGZZZ979</t>
  </si>
  <si>
    <t>TA-25-982522</t>
  </si>
  <si>
    <t>BARRIO LA ESMERALDA POPAYAN  8</t>
  </si>
  <si>
    <t>FO-25-1390852</t>
  </si>
  <si>
    <t>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</si>
  <si>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SGZZZ980</t>
  </si>
  <si>
    <t>TA-25-982523</t>
  </si>
  <si>
    <t>YUMBO</t>
  </si>
  <si>
    <t>BARRIO GUABINAS YUMBO YUMBO</t>
  </si>
  <si>
    <t>FO-25-1390857</t>
  </si>
  <si>
    <t>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</si>
  <si>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SGZZZ981</t>
  </si>
  <si>
    <t>TA-25-982524</t>
  </si>
  <si>
    <t>SUPIA</t>
  </si>
  <si>
    <t>BARRIO AVENIDA CARVAJAL SUPIA</t>
  </si>
  <si>
    <t>FO-25-1390862</t>
  </si>
  <si>
    <t>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</si>
  <si>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SGZZZ982</t>
  </si>
  <si>
    <t>TA-25-982525</t>
  </si>
  <si>
    <t>SILVANIA</t>
  </si>
  <si>
    <t>BARRIO MOLINO ROJO SILVANIA</t>
  </si>
  <si>
    <t>FO-25-1390865</t>
  </si>
  <si>
    <t>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</si>
  <si>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SGZZZ983</t>
  </si>
  <si>
    <t>TA-25-982527</t>
  </si>
  <si>
    <t>CHIA</t>
  </si>
  <si>
    <t>BARRIO NUEVO MILENIO CHIA 1</t>
  </si>
  <si>
    <t>FO-25-1390872</t>
  </si>
  <si>
    <t>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</si>
  <si>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SGZZZ984</t>
  </si>
  <si>
    <t>TA-25-982528</t>
  </si>
  <si>
    <t>BARRIO LA FLORESTA CALI 1</t>
  </si>
  <si>
    <t>FO-25-1390876</t>
  </si>
  <si>
    <t>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t>
  </si>
  <si>
    <t>SGZZZ985</t>
  </si>
  <si>
    <t>TA-25-982529</t>
  </si>
  <si>
    <t>NECHI</t>
  </si>
  <si>
    <t>BARRIO CENTRO NECHI 3</t>
  </si>
  <si>
    <t>FO-25-1390881</t>
  </si>
  <si>
    <t>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</si>
  <si>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SGZZZ986</t>
  </si>
  <si>
    <t>CALDERA SALCEDO CARLOS JULIO</t>
  </si>
  <si>
    <t>TA-25-982530</t>
  </si>
  <si>
    <t>BARRIO LA INDEPENDENCIA CALI 1</t>
  </si>
  <si>
    <t>FO-25-1390884</t>
  </si>
  <si>
    <t>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t>
  </si>
  <si>
    <t>SGZZZ987</t>
  </si>
  <si>
    <t>TA-25-982531</t>
  </si>
  <si>
    <t>BARRIO BOLIVIA BOGOTA 3</t>
  </si>
  <si>
    <t>FO-25-1390888</t>
  </si>
  <si>
    <t>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</si>
  <si>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SGZZZ988</t>
  </si>
  <si>
    <t>TA-25-982533</t>
  </si>
  <si>
    <t>SANDONA</t>
  </si>
  <si>
    <t>BARRIO EL COMERCIO SANDONA</t>
  </si>
  <si>
    <t>FO-25-1390894</t>
  </si>
  <si>
    <t>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</si>
  <si>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SGZZZ989</t>
  </si>
  <si>
    <t>TA-25-982534</t>
  </si>
  <si>
    <t>BARRIO CANDELARIA LA NUEVA BOGOTA 10</t>
  </si>
  <si>
    <t>FO-25-1390897</t>
  </si>
  <si>
    <t>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</si>
  <si>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SGZZZ990</t>
  </si>
  <si>
    <t>TA-25-982535</t>
  </si>
  <si>
    <t>BARRIO EL HORIZONTE TULUA</t>
  </si>
  <si>
    <t>FO-25-1390901</t>
  </si>
  <si>
    <t>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</si>
  <si>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SGZZZ991</t>
  </si>
  <si>
    <t>TA-25-982536</t>
  </si>
  <si>
    <t>TIERRALTA</t>
  </si>
  <si>
    <t>BARRIO 9 DE AGOSTO TIERRALTA</t>
  </si>
  <si>
    <t>FO-25-1390904</t>
  </si>
  <si>
    <t>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t>
  </si>
  <si>
    <t>SGZZZ992</t>
  </si>
  <si>
    <t>TA-25-982538</t>
  </si>
  <si>
    <t>BOAVITA</t>
  </si>
  <si>
    <t>BARRIO CENTRO BOAVITA 6</t>
  </si>
  <si>
    <t>FO-25-1390908</t>
  </si>
  <si>
    <t>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t>
  </si>
  <si>
    <t>SGZZZ993</t>
  </si>
  <si>
    <t>TA-25-982539</t>
  </si>
  <si>
    <t>BARRIO PIEDECUESTA PIEDECUESTA 3</t>
  </si>
  <si>
    <t>FO-25-1390913</t>
  </si>
  <si>
    <t>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t>
  </si>
  <si>
    <t>SGZZZ994</t>
  </si>
  <si>
    <t>TA-25-982541</t>
  </si>
  <si>
    <t>PUERTO GAITAN</t>
  </si>
  <si>
    <t>BARRIO PERLAS DEL NANACACIAS PUERTO GAITAN</t>
  </si>
  <si>
    <t>FO-25-1390916</t>
  </si>
  <si>
    <t>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t>
  </si>
  <si>
    <t>SGZZZ995</t>
  </si>
  <si>
    <t>TA-25-982542</t>
  </si>
  <si>
    <t>PUEBLO BELLO</t>
  </si>
  <si>
    <t>BARRIO LA CEIBA PUEBLO BELLO</t>
  </si>
  <si>
    <t>FO-25-1390919</t>
  </si>
  <si>
    <t>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</si>
  <si>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SGZZZ996</t>
  </si>
  <si>
    <t>TA-25-982543</t>
  </si>
  <si>
    <t>BARRIO VILLA SAN MARCOS  CALI</t>
  </si>
  <si>
    <t>FO-25-1390924</t>
  </si>
  <si>
    <t>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t>
  </si>
  <si>
    <t>SGZZZ997</t>
  </si>
  <si>
    <t>TA-25-982544</t>
  </si>
  <si>
    <t>PALESTINA</t>
  </si>
  <si>
    <t>BARRIO ARAUCA PALESTINA 2</t>
  </si>
  <si>
    <t>FO-25-1390928</t>
  </si>
  <si>
    <t>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</si>
  <si>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SGZZZ998</t>
  </si>
  <si>
    <t>TA-25-982545</t>
  </si>
  <si>
    <t>BUGALAGRANDE</t>
  </si>
  <si>
    <t>BARRIO LOS MARMOLES BUGALAGRANDE</t>
  </si>
  <si>
    <t>FO-25-1390932</t>
  </si>
  <si>
    <t>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t>
  </si>
  <si>
    <t>SGZZZ999</t>
  </si>
  <si>
    <t>TA-25-982600</t>
  </si>
  <si>
    <t>BARRIO LA CUMBRE FLORIDABLANCA  12</t>
  </si>
  <si>
    <t>FO-25-1391123</t>
  </si>
  <si>
    <t>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</si>
  <si>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SHZZZ001</t>
  </si>
  <si>
    <t>TA-25-982548</t>
  </si>
  <si>
    <t>FUNZA</t>
  </si>
  <si>
    <t>BARRIO PADRE FUNZA FUNZA</t>
  </si>
  <si>
    <t>FO-25-1400516</t>
  </si>
  <si>
    <t>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t>
  </si>
  <si>
    <t>SHZZZ002</t>
  </si>
  <si>
    <t>TA-25-982550</t>
  </si>
  <si>
    <t>BARRIO KENNEDY SAN CARLOS BOGOTA</t>
  </si>
  <si>
    <t>FO-25-1390950</t>
  </si>
  <si>
    <t>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</si>
  <si>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SHZZZ003</t>
  </si>
  <si>
    <t>SOTO LONDOÑO FREDY ALEXANDER</t>
  </si>
  <si>
    <t>TA-25-982551</t>
  </si>
  <si>
    <t>TAMESIS</t>
  </si>
  <si>
    <t>BARRIO TAMESIS TAMESIS 4</t>
  </si>
  <si>
    <t>FO-25-1390956</t>
  </si>
  <si>
    <t>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</si>
  <si>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SHZZZ004</t>
  </si>
  <si>
    <t>TA-25-982552</t>
  </si>
  <si>
    <t>BARRIO GIBRALTAR ARMENIA</t>
  </si>
  <si>
    <t>FO-25-1390963</t>
  </si>
  <si>
    <t>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</si>
  <si>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SHZZZ005</t>
  </si>
  <si>
    <t>TA-25-982553</t>
  </si>
  <si>
    <t>BARRIO EL PINAR BELLO 3</t>
  </si>
  <si>
    <t>FO-25-1390968</t>
  </si>
  <si>
    <t>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t>
  </si>
  <si>
    <t>SHZZZ006</t>
  </si>
  <si>
    <t>TA-25-982554</t>
  </si>
  <si>
    <t>EL BAGRE</t>
  </si>
  <si>
    <t>BARRIO BIJAO EL BAGRE 5</t>
  </si>
  <si>
    <t>FO-25-1390972</t>
  </si>
  <si>
    <t>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t>
  </si>
  <si>
    <t>SHZZZ007</t>
  </si>
  <si>
    <t>TA-25-982556</t>
  </si>
  <si>
    <t>BARRIO MANCERA ACACIAS 6</t>
  </si>
  <si>
    <t>FO-25-1390978</t>
  </si>
  <si>
    <t>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t>
  </si>
  <si>
    <t>SHZZZ008</t>
  </si>
  <si>
    <t>TA-25-982557</t>
  </si>
  <si>
    <t>BARRIO SAN LUIS CUCUTA  32</t>
  </si>
  <si>
    <t>FO-25-1390985</t>
  </si>
  <si>
    <t>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t>
  </si>
  <si>
    <t>SHZZZ009</t>
  </si>
  <si>
    <t>TA-25-982559</t>
  </si>
  <si>
    <t>BARRIO VRD VILLA DEL SOCORRO CAUCASIA</t>
  </si>
  <si>
    <t>FO-25-1390990</t>
  </si>
  <si>
    <t>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</si>
  <si>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SHZZZ010</t>
  </si>
  <si>
    <t>TA-25-982561</t>
  </si>
  <si>
    <t>BARRIO SUGAMUXI SOGAMOSO</t>
  </si>
  <si>
    <t>FO-25-1390993</t>
  </si>
  <si>
    <t>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</si>
  <si>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SHZZZ011</t>
  </si>
  <si>
    <t>TA-25-982562</t>
  </si>
  <si>
    <t>BARRIO BAMBUSA ARMENIA</t>
  </si>
  <si>
    <t>FO-25-1390995</t>
  </si>
  <si>
    <t>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t>
  </si>
  <si>
    <t>SHZZZ012</t>
  </si>
  <si>
    <t>TA-25-982564</t>
  </si>
  <si>
    <t>BARRIO VILLA PILAR MANIZALES 1</t>
  </si>
  <si>
    <t>FO-25-1391003</t>
  </si>
  <si>
    <t>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</si>
  <si>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SHZZZ014</t>
  </si>
  <si>
    <t>TA-25-982569</t>
  </si>
  <si>
    <t>BARRIO CGT SANTA ISABEL MONTERIA</t>
  </si>
  <si>
    <t>FO-25-1391010</t>
  </si>
  <si>
    <t>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</si>
  <si>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SHZZZ015</t>
  </si>
  <si>
    <t>TA-25-982574</t>
  </si>
  <si>
    <t>CAJICA</t>
  </si>
  <si>
    <t>BARRIO EL PRADO CAJICA 1</t>
  </si>
  <si>
    <t>FO-25-1391017</t>
  </si>
  <si>
    <t>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</si>
  <si>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SHZZZ016</t>
  </si>
  <si>
    <t>VEGA MANRIQUE JONATAN MAURICIO</t>
  </si>
  <si>
    <t>TA-25-982575</t>
  </si>
  <si>
    <t>BARRIO CIUDADELA SUCRE SOACHA 2</t>
  </si>
  <si>
    <t>FO-25-1391021</t>
  </si>
  <si>
    <t>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</si>
  <si>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SHZZZ017</t>
  </si>
  <si>
    <t>TA-25-982576</t>
  </si>
  <si>
    <t>BARRIO ROBLEDO VILLA FLORA MEDELLIN 5</t>
  </si>
  <si>
    <t>FO-25-1391024</t>
  </si>
  <si>
    <t>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</si>
  <si>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SHZZZ018</t>
  </si>
  <si>
    <t>TA-25-982577</t>
  </si>
  <si>
    <t>BARRIO 20 DE ENERO NECHI</t>
  </si>
  <si>
    <t>FO-25-1391028</t>
  </si>
  <si>
    <t>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</si>
  <si>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SHZZZ019</t>
  </si>
  <si>
    <t>TA-25-982578</t>
  </si>
  <si>
    <t>BARRIO EL PRADO BUCARAMANGA 5</t>
  </si>
  <si>
    <t>FO-25-1391034</t>
  </si>
  <si>
    <t>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</si>
  <si>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SHZZZ020</t>
  </si>
  <si>
    <t>TA-25-982580</t>
  </si>
  <si>
    <t>BARRIO ZAPATOCA ZAPATOCA</t>
  </si>
  <si>
    <t>FO-25-1391039</t>
  </si>
  <si>
    <t>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t>
  </si>
  <si>
    <t>SHZZZ021</t>
  </si>
  <si>
    <t>TA-25-982581</t>
  </si>
  <si>
    <t>BARRIO NAVIDAD LORICA</t>
  </si>
  <si>
    <t>FO-25-1391044</t>
  </si>
  <si>
    <t>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</si>
  <si>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SHZZZ022</t>
  </si>
  <si>
    <t>TA-25-982582</t>
  </si>
  <si>
    <t>BARRIO TRIGAL DEL NORTE CUCUTA 10</t>
  </si>
  <si>
    <t>FO-25-1391048</t>
  </si>
  <si>
    <t>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</si>
  <si>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SHZZZ023</t>
  </si>
  <si>
    <t>TA-25-982585</t>
  </si>
  <si>
    <t>JAMUNDI</t>
  </si>
  <si>
    <t>BARRIO BELLO HORIZONTE JAMUNDI</t>
  </si>
  <si>
    <t>FO-25-1391057</t>
  </si>
  <si>
    <t>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t>
  </si>
  <si>
    <t>SHZZZ024</t>
  </si>
  <si>
    <t>TA-25-982587</t>
  </si>
  <si>
    <t>BARRIO PANDIGUANDO POPAYAN 2</t>
  </si>
  <si>
    <t>FO-25-1391061</t>
  </si>
  <si>
    <t>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</si>
  <si>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SHZZZ025</t>
  </si>
  <si>
    <t>TA-25-982588</t>
  </si>
  <si>
    <t>BARRIO LOURDES CALI</t>
  </si>
  <si>
    <t>FO-25-1391066</t>
  </si>
  <si>
    <t>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</si>
  <si>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SHZZZ026</t>
  </si>
  <si>
    <t>TA-25-982589</t>
  </si>
  <si>
    <t>CALARCA</t>
  </si>
  <si>
    <t>BARRIO LAS PALOMAS CALARCA 1</t>
  </si>
  <si>
    <t>FO-25-1391068</t>
  </si>
  <si>
    <t>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</si>
  <si>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SHZZZ027</t>
  </si>
  <si>
    <t>TA-25-982590</t>
  </si>
  <si>
    <t>SIBATE</t>
  </si>
  <si>
    <t>BARRIO PROGRESO SIBATE 1</t>
  </si>
  <si>
    <t>FO-25-1391073</t>
  </si>
  <si>
    <t>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t>
  </si>
  <si>
    <t>SHZZZ028</t>
  </si>
  <si>
    <t>TA-25-982591</t>
  </si>
  <si>
    <t>PUERTO BERRIO</t>
  </si>
  <si>
    <t>BARRIO CENTRO PUERTO BERRIO 9</t>
  </si>
  <si>
    <t>FO-25-1391078</t>
  </si>
  <si>
    <t>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t>
  </si>
  <si>
    <t>SHZZZ029</t>
  </si>
  <si>
    <t>TA-25-982592</t>
  </si>
  <si>
    <t>MOSQUERA</t>
  </si>
  <si>
    <t>BARRIO CENTRO MOSQUERA MOSQUERA</t>
  </si>
  <si>
    <t>FO-25-1391081</t>
  </si>
  <si>
    <t>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</si>
  <si>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SHZZZ030</t>
  </si>
  <si>
    <t>TA-25-982593</t>
  </si>
  <si>
    <t>SAN JACINTO</t>
  </si>
  <si>
    <t>BARRIO CENTRO SAN JACINTO 3</t>
  </si>
  <si>
    <t>FO-25-1391088</t>
  </si>
  <si>
    <t>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</si>
  <si>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SHZZZ031</t>
  </si>
  <si>
    <t>TA-25-982594</t>
  </si>
  <si>
    <t>LLORO</t>
  </si>
  <si>
    <t>BARRIO NUEVO LLORO LLORO</t>
  </si>
  <si>
    <t>FO-25-1391091</t>
  </si>
  <si>
    <t>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t>
  </si>
  <si>
    <t>SHZZZ032</t>
  </si>
  <si>
    <t>TA-25-992996</t>
  </si>
  <si>
    <t>DISTRICOL VARIEDADES GUACAMAYA</t>
  </si>
  <si>
    <t>FO-25-1404415</t>
  </si>
  <si>
    <t>21-08 PROGRAMACIÓN REALIZADA POR LA ALIANZA 25-08 SE REALIZA INSTALACIÓN DE CORRESPONSAL, SE INSTALAN EQUIPOS CON PRUEBAS EXITOSAS, SE CAPACITA Y SE EVALÚA AL CLIENTE, SE INSTALA PUBLICIDAD COMPLETA, CB QUEDA OPERATIVO. USUARIO SOMOS BANCOLOMBIA ACTIVO</t>
  </si>
  <si>
    <t>SIZZZ933</t>
  </si>
  <si>
    <t>TA-25-992999</t>
  </si>
  <si>
    <t>DISTRICOL PAPELERIA DETALLES A</t>
  </si>
  <si>
    <t>FO-25-1404425</t>
  </si>
  <si>
    <t>SIZZZ935</t>
  </si>
  <si>
    <t>TA-25-993008</t>
  </si>
  <si>
    <t>DISTRICOL CITYPHONE CLUB</t>
  </si>
  <si>
    <t>FO-25-1404427</t>
  </si>
  <si>
    <t>21-08 PROGRAMACIÓN REALIZADA POR LA ALIANZA 22/08/2025 SE REALIZA INSTALACIÓN DE CORRESPONSAL, SE INSTALAN EQUIPOS CON PRUEBAS EXITOSAS, SE CAPACITA Y SE EVALÚA AL CLIENTE, SE INSTALA PUBLICIDAD COMPLETA, CB QUEDA OPERATIVO. USUARIO SOMOS BANCOLOMBIA ACTIVO</t>
  </si>
  <si>
    <t>SIZZZ936</t>
  </si>
  <si>
    <t>TA-25-993009</t>
  </si>
  <si>
    <t>DISTRICOL SAANTINA S.A.S</t>
  </si>
  <si>
    <t>FO-25-1404429</t>
  </si>
  <si>
    <t>SIZZZ937</t>
  </si>
  <si>
    <t>TA-25-993010</t>
  </si>
  <si>
    <t>DISTRICOL CONECTADOS 123</t>
  </si>
  <si>
    <t>FO-25-1404432</t>
  </si>
  <si>
    <t>SIZZZ938</t>
  </si>
  <si>
    <t>TA-25-993019</t>
  </si>
  <si>
    <t>BARBOSA</t>
  </si>
  <si>
    <t>DISTRICOL MOTO EXPRESS</t>
  </si>
  <si>
    <t>FO-25-1404437</t>
  </si>
  <si>
    <t>SIZZZ939</t>
  </si>
  <si>
    <t>TA-25-992097</t>
  </si>
  <si>
    <t>BARRIO ARROYO ABAJO MARÍA LA BAJA</t>
  </si>
  <si>
    <t>FO-25-1402155</t>
  </si>
  <si>
    <t>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</si>
  <si>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SIZZZ880</t>
  </si>
  <si>
    <t>TA-25-992098</t>
  </si>
  <si>
    <t>FRANCISCO PIZARRO</t>
  </si>
  <si>
    <t>BARRIO AV LOS ESTUDIANTES FRANCISCO PIZARRO</t>
  </si>
  <si>
    <t>FO-25-1402160</t>
  </si>
  <si>
    <t>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t>
  </si>
  <si>
    <t>SIZZZ881</t>
  </si>
  <si>
    <t>TA-25-992099</t>
  </si>
  <si>
    <t>BELMIRA</t>
  </si>
  <si>
    <t>BARRIO BELMIRA BELMIRA</t>
  </si>
  <si>
    <t>FO-25-1402165</t>
  </si>
  <si>
    <t>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t>
  </si>
  <si>
    <t>SIZZZ882</t>
  </si>
  <si>
    <t>TA-25-992101</t>
  </si>
  <si>
    <t>BARRIO BICENTENARIO CARTAGENA DE INDIAS 5</t>
  </si>
  <si>
    <t>FO-25-1402167</t>
  </si>
  <si>
    <t>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t>
  </si>
  <si>
    <t>SIZZZ883</t>
  </si>
  <si>
    <t>TA-25-992105</t>
  </si>
  <si>
    <t>EL SANTUARIO</t>
  </si>
  <si>
    <t>BARRIO BUENOS AIRES EL SANTUARIO</t>
  </si>
  <si>
    <t>FO-25-1402175</t>
  </si>
  <si>
    <t>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t>
  </si>
  <si>
    <t>SIZZZ884</t>
  </si>
  <si>
    <t>ZAPATA LOPEZ EDWARD ASDRUBAL</t>
  </si>
  <si>
    <t>TA-25-992108</t>
  </si>
  <si>
    <t>BARRIO CARIBE MANIZALES 1</t>
  </si>
  <si>
    <t>FO-25-1402185</t>
  </si>
  <si>
    <t>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</si>
  <si>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SIZZZ885</t>
  </si>
  <si>
    <t>TA-25-992109</t>
  </si>
  <si>
    <t>ARBELAEZ</t>
  </si>
  <si>
    <t>BARRIO CENTRO ARBELAEZ 1</t>
  </si>
  <si>
    <t>FO-25-1402191</t>
  </si>
  <si>
    <t>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t>
  </si>
  <si>
    <t>SIZZZ886</t>
  </si>
  <si>
    <t>TA-25-992111</t>
  </si>
  <si>
    <t>CHINCHINA</t>
  </si>
  <si>
    <t>BARRIO CENTRO CHINCHINA 13</t>
  </si>
  <si>
    <t>FO-25-1402195</t>
  </si>
  <si>
    <t>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t>
  </si>
  <si>
    <t>SIZZZ887</t>
  </si>
  <si>
    <t>TA-25-992113</t>
  </si>
  <si>
    <t>BARRIO CENTRO CUBARRAL  8</t>
  </si>
  <si>
    <t>FO-25-1402202</t>
  </si>
  <si>
    <t>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</si>
  <si>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SIZZZ888</t>
  </si>
  <si>
    <t>TA-25-992114</t>
  </si>
  <si>
    <t>BARRIO CENTRO MANIZALES 27</t>
  </si>
  <si>
    <t>FO-25-1402209</t>
  </si>
  <si>
    <t>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</si>
  <si>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SIZZZ889</t>
  </si>
  <si>
    <t>TA-25-992115</t>
  </si>
  <si>
    <t>PUERTO TEJADA</t>
  </si>
  <si>
    <t>BARRIO CENTRO PUERTO TEJADA 12</t>
  </si>
  <si>
    <t>FO-25-1402214</t>
  </si>
  <si>
    <t>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</si>
  <si>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SIZZZ890</t>
  </si>
  <si>
    <t>TA-25-992116</t>
  </si>
  <si>
    <t>BARRIO CENTRO ZIPQUIRA</t>
  </si>
  <si>
    <t>FO-25-1402219</t>
  </si>
  <si>
    <t>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</si>
  <si>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SIZZZ892</t>
  </si>
  <si>
    <t>TA-25-992117</t>
  </si>
  <si>
    <t>BARRIO CGT SAN JUAN DE ASIS PUERTO LIBERTADOR</t>
  </si>
  <si>
    <t>FO-25-1402224</t>
  </si>
  <si>
    <t>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t>
  </si>
  <si>
    <t>SIZZZ893</t>
  </si>
  <si>
    <t>ARRAZOLA HERNANDEZ NICOLAS AUGUSTO</t>
  </si>
  <si>
    <t>TA-25-992118</t>
  </si>
  <si>
    <t>BARRIO CHILAGOS  CHIA 1</t>
  </si>
  <si>
    <t>FO-25-1402228</t>
  </si>
  <si>
    <t>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</si>
  <si>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SIZZZ894</t>
  </si>
  <si>
    <t>TA-25-992119</t>
  </si>
  <si>
    <t>ARJONA</t>
  </si>
  <si>
    <t>BARRIO CL JUNCAL SEC EL PONDO ARJONA</t>
  </si>
  <si>
    <t>FO-25-1402232</t>
  </si>
  <si>
    <t>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t>
  </si>
  <si>
    <t>SIZZZ895</t>
  </si>
  <si>
    <t>TA-25-992120</t>
  </si>
  <si>
    <t>BARRIO COLOMBIATON CARTAGENA DE INDIAS</t>
  </si>
  <si>
    <t>FO-25-1402240</t>
  </si>
  <si>
    <t>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</si>
  <si>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SIZZZ896</t>
  </si>
  <si>
    <t>TA-25-992133</t>
  </si>
  <si>
    <t>BARRIO EL CARMEN FLORIDABLANCA 5</t>
  </si>
  <si>
    <t>FO-25-1402245</t>
  </si>
  <si>
    <t>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</si>
  <si>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SIZZZ897</t>
  </si>
  <si>
    <t>TA-25-992134</t>
  </si>
  <si>
    <t>SAN ALBERTO</t>
  </si>
  <si>
    <t xml:space="preserve">BARRIO EL CENTRO SAN ALBERTO </t>
  </si>
  <si>
    <t>FO-25-1402250</t>
  </si>
  <si>
    <t>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</si>
  <si>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SIZZZ898</t>
  </si>
  <si>
    <t>TA-25-992135</t>
  </si>
  <si>
    <t>GUATICA</t>
  </si>
  <si>
    <t>BARRIO EL JARDIN GUATICA</t>
  </si>
  <si>
    <t>FO-25-1420655</t>
  </si>
  <si>
    <t>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t>
  </si>
  <si>
    <t>SIZZZ899</t>
  </si>
  <si>
    <t>TA-25-992137</t>
  </si>
  <si>
    <t>GUATAVITA</t>
  </si>
  <si>
    <t>BARRIO GUATAVITA GUATAVITA</t>
  </si>
  <si>
    <t>FO-25-1402272</t>
  </si>
  <si>
    <t>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t>
  </si>
  <si>
    <t>SIZZZ901</t>
  </si>
  <si>
    <t>TA-25-992141</t>
  </si>
  <si>
    <t>BARRIO HATO 1 FUNZA</t>
  </si>
  <si>
    <t>FO-25-1402280</t>
  </si>
  <si>
    <t>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</si>
  <si>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SIZZZ902</t>
  </si>
  <si>
    <t>TA-25-992142</t>
  </si>
  <si>
    <t>BARRIO LA CUMBRE MANIZALES 1</t>
  </si>
  <si>
    <t>FO-25-1402285</t>
  </si>
  <si>
    <t>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t>
  </si>
  <si>
    <t>SIZZZ903</t>
  </si>
  <si>
    <t>TA-25-992143</t>
  </si>
  <si>
    <t>BARRIO LA MARIA OCCIDENTE POPAYAN 3</t>
  </si>
  <si>
    <t>FO-25-1402293</t>
  </si>
  <si>
    <t>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t>
  </si>
  <si>
    <t>SIZZZ904</t>
  </si>
  <si>
    <t>TA-25-992144</t>
  </si>
  <si>
    <t>LA MESA</t>
  </si>
  <si>
    <t>BARRIO LA MESA LA MESA 7</t>
  </si>
  <si>
    <t>FO-25-1402302</t>
  </si>
  <si>
    <t>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</si>
  <si>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SIZZZ905</t>
  </si>
  <si>
    <t>TA-25-992145</t>
  </si>
  <si>
    <t>CAREPA</t>
  </si>
  <si>
    <t>BARRIO LA PRADERA CAREPA ANTIOQUIA  CAREPA</t>
  </si>
  <si>
    <t>FO-25-1402309</t>
  </si>
  <si>
    <t>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</si>
  <si>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SIZZZ906</t>
  </si>
  <si>
    <t>TA-25-992147</t>
  </si>
  <si>
    <t>BARRIO LAURELES APARTADO ANTIOQUIA APARTADO</t>
  </si>
  <si>
    <t>FO-25-1402319</t>
  </si>
  <si>
    <t>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t>
  </si>
  <si>
    <t>SIZZZ908</t>
  </si>
  <si>
    <t>TA-25-992148</t>
  </si>
  <si>
    <t>BARRIO LOMAS DE GRANADA POPAYAN 8</t>
  </si>
  <si>
    <t>FO-25-1402322</t>
  </si>
  <si>
    <t>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</si>
  <si>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SIZZZ909</t>
  </si>
  <si>
    <t>TA-25-992149</t>
  </si>
  <si>
    <t>BARRIO LOS CAMBULOS MANEIZALES</t>
  </si>
  <si>
    <t>FO-25-1402324</t>
  </si>
  <si>
    <t>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</si>
  <si>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SIZZZ910</t>
  </si>
  <si>
    <t>TA-25-992151</t>
  </si>
  <si>
    <t>IPIALES</t>
  </si>
  <si>
    <t>BARRIO OBRERO IPIALES 6</t>
  </si>
  <si>
    <t>FO-25-1402328</t>
  </si>
  <si>
    <t>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</si>
  <si>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SIZZZ911</t>
  </si>
  <si>
    <t>TA-25-992155</t>
  </si>
  <si>
    <t>SANTANDER DE QUILICHAO</t>
  </si>
  <si>
    <t>BARRIO PANAMERICANO SANTANDER DE QUILICHAO  3</t>
  </si>
  <si>
    <t>FO-25-1402332</t>
  </si>
  <si>
    <t>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</si>
  <si>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SIZZZ912</t>
  </si>
  <si>
    <t>TA-25-992160</t>
  </si>
  <si>
    <t>BARRIO PARQUE TAMESIS   2</t>
  </si>
  <si>
    <t>FO-25-1402338</t>
  </si>
  <si>
    <t>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</si>
  <si>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SIZZZ913</t>
  </si>
  <si>
    <t>TA-25-992166</t>
  </si>
  <si>
    <t>BARRIO PATIO BONITO II SECTOR BOGOTA</t>
  </si>
  <si>
    <t>FO-25-1402343</t>
  </si>
  <si>
    <t>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</si>
  <si>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SIZZZ914</t>
  </si>
  <si>
    <t>TA-25-992176</t>
  </si>
  <si>
    <t>BARRIO POLO BOGOTA 2</t>
  </si>
  <si>
    <t>FO-25-1402386</t>
  </si>
  <si>
    <t>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</si>
  <si>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SIZZZ916</t>
  </si>
  <si>
    <t>TA-25-992179</t>
  </si>
  <si>
    <t>BARRIO ROBLEDO MEDELLIN 29</t>
  </si>
  <si>
    <t>FO-25-1402405</t>
  </si>
  <si>
    <t>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</si>
  <si>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SIZZZ917</t>
  </si>
  <si>
    <t>TA-25-992180</t>
  </si>
  <si>
    <t>ISTMINA</t>
  </si>
  <si>
    <t>BARRIO SANTA GENOVEVA FRENTE AL RESTAURANTE LA CASONA ISTMINA</t>
  </si>
  <si>
    <t>FO-25-1402425</t>
  </si>
  <si>
    <t>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t>
  </si>
  <si>
    <t>SIZZZ918</t>
  </si>
  <si>
    <t>TA-25-992183</t>
  </si>
  <si>
    <t>BARRIO SERRANIAS BOGOTA</t>
  </si>
  <si>
    <t>FO-25-1402466</t>
  </si>
  <si>
    <t>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t>
  </si>
  <si>
    <t>SIZZZ920</t>
  </si>
  <si>
    <t>TA-25-992185</t>
  </si>
  <si>
    <t>BARRIO SEXTA ETAPA ESPERANZA VILLAVICENCIO</t>
  </si>
  <si>
    <t>FO-25-1402484</t>
  </si>
  <si>
    <t>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</si>
  <si>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SIZZZ921</t>
  </si>
  <si>
    <t>TA-25-992191</t>
  </si>
  <si>
    <t>BARRIO TERRON COLORADO CALI 3</t>
  </si>
  <si>
    <t>FO-25-1402502</t>
  </si>
  <si>
    <t>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t>
  </si>
  <si>
    <t>SIZZZ922</t>
  </si>
  <si>
    <t>TA-25-992195</t>
  </si>
  <si>
    <t>BARRIO VILLAVICENCIO PAREIRA</t>
  </si>
  <si>
    <t>FO-25-1402525</t>
  </si>
  <si>
    <t>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t>
  </si>
  <si>
    <t>SIZZZ923</t>
  </si>
  <si>
    <t>TA-25-992196</t>
  </si>
  <si>
    <t>SAN ANTERO</t>
  </si>
  <si>
    <t>BARRIO CGT EL PORVENIR SAN ANTERO</t>
  </si>
  <si>
    <t>FO-25-1402543</t>
  </si>
  <si>
    <t>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</si>
  <si>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SIZZZ924</t>
  </si>
  <si>
    <t>TA-25-992197</t>
  </si>
  <si>
    <t>BARRIO EL PALMAR PAZ DE ARIPORO 2</t>
  </si>
  <si>
    <t>FO-25-1402562</t>
  </si>
  <si>
    <t>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</si>
  <si>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SIZZZ925</t>
  </si>
  <si>
    <t>TA-25-1005055</t>
  </si>
  <si>
    <t>BARRIO LOS CAMBULOS NEIVA 1</t>
  </si>
  <si>
    <t>FO-25-1418960</t>
  </si>
  <si>
    <t>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</si>
  <si>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VBZZZ271</t>
  </si>
  <si>
    <t>TA-25-1005057</t>
  </si>
  <si>
    <t>BARRIO BELLAVISTA FLORIDABLANCA FLORIDABLACA</t>
  </si>
  <si>
    <t>FO-25-1418968</t>
  </si>
  <si>
    <t>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t>
  </si>
  <si>
    <t>VBZZZ272</t>
  </si>
  <si>
    <t>TA-25-1005058</t>
  </si>
  <si>
    <t>BARRIO DOCE DE OCTUBRE VALLEDUPAR 5</t>
  </si>
  <si>
    <t>FO-25-1418974</t>
  </si>
  <si>
    <t>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</si>
  <si>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VBZZZ273</t>
  </si>
  <si>
    <t>TA-25-1005059</t>
  </si>
  <si>
    <t>TUTA</t>
  </si>
  <si>
    <t>BARRIO VEREDA RIO DE PIEDRAS TUTA</t>
  </si>
  <si>
    <t>FO-25-1418980</t>
  </si>
  <si>
    <t>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</si>
  <si>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VBZZZ274</t>
  </si>
  <si>
    <t>TA-25-1005061</t>
  </si>
  <si>
    <t>SAN DIEGO</t>
  </si>
  <si>
    <t>BARRIO MUNICH SAN DIEGO</t>
  </si>
  <si>
    <t>FO-25-1418984</t>
  </si>
  <si>
    <t>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</si>
  <si>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VBZZZ275</t>
  </si>
  <si>
    <t>TA-25-1005062</t>
  </si>
  <si>
    <t>BARRIO VILLANUEVA PIEDECUESTA 1</t>
  </si>
  <si>
    <t>FO-25-1418990</t>
  </si>
  <si>
    <t>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t>
  </si>
  <si>
    <t>VBZZZ276</t>
  </si>
  <si>
    <t>TA-25-1005063</t>
  </si>
  <si>
    <t>CAIMITO</t>
  </si>
  <si>
    <t>BARRIO LAS GUADUAS CAIMITO</t>
  </si>
  <si>
    <t>FO-25-1418996</t>
  </si>
  <si>
    <t>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t>
  </si>
  <si>
    <t>VBZZZ277</t>
  </si>
  <si>
    <t>TA-25-1005065</t>
  </si>
  <si>
    <t>TENERIFE</t>
  </si>
  <si>
    <t>BARRIO CENTRO TENERIFE 2</t>
  </si>
  <si>
    <t>FO-25-1419002</t>
  </si>
  <si>
    <t>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</si>
  <si>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VBZZZ278</t>
  </si>
  <si>
    <t>TA-25-1005066</t>
  </si>
  <si>
    <t>EL DORADO</t>
  </si>
  <si>
    <t>BARRIO CENTRO EL DORADO 2</t>
  </si>
  <si>
    <t>FO-25-1419007</t>
  </si>
  <si>
    <t>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t>
  </si>
  <si>
    <t>VBZZZ279</t>
  </si>
  <si>
    <t>TA-25-1005067</t>
  </si>
  <si>
    <t>CANALETE</t>
  </si>
  <si>
    <t>BARRIO EL CENTRO CANALETE</t>
  </si>
  <si>
    <t>FO-25-1419012</t>
  </si>
  <si>
    <t>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t>
  </si>
  <si>
    <t>VBZZZ280</t>
  </si>
  <si>
    <t>TA-25-1005071</t>
  </si>
  <si>
    <t>FLORESTA</t>
  </si>
  <si>
    <t>BARRIO CENTRO FLORESTA</t>
  </si>
  <si>
    <t>FO-25-1419021</t>
  </si>
  <si>
    <t>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</si>
  <si>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VBZZZ281</t>
  </si>
  <si>
    <t>TA-25-1005073</t>
  </si>
  <si>
    <t>BARRIO SAN JOSE SAN MARCOS 2</t>
  </si>
  <si>
    <t>FO-25-1419026</t>
  </si>
  <si>
    <t>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</si>
  <si>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VBZZZ282</t>
  </si>
  <si>
    <t>TA-25-1005074</t>
  </si>
  <si>
    <t>FUENTE DE ORO</t>
  </si>
  <si>
    <t>BARRIO CENTRO FUENTE 7 DE ORO</t>
  </si>
  <si>
    <t>FO-25-1419031</t>
  </si>
  <si>
    <t>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</si>
  <si>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VBZZZ283</t>
  </si>
  <si>
    <t>TA-25-1005075</t>
  </si>
  <si>
    <t>PUERTO LLERAS</t>
  </si>
  <si>
    <t>BARRIO CENTRO PUERTO 7 LLERAS</t>
  </si>
  <si>
    <t>FO-25-1419036</t>
  </si>
  <si>
    <t>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</si>
  <si>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VBZZZ284</t>
  </si>
  <si>
    <t>TA-25-1005078</t>
  </si>
  <si>
    <t>PAIPA</t>
  </si>
  <si>
    <t>BARRIO CENTRO PAIPA 19</t>
  </si>
  <si>
    <t>FO-25-1419041</t>
  </si>
  <si>
    <t>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t>
  </si>
  <si>
    <t>VBZZZ285</t>
  </si>
  <si>
    <t>TA-25-1005079</t>
  </si>
  <si>
    <t>BARRIO SANTA ISABEL CALI 3</t>
  </si>
  <si>
    <t>FO-25-1419047</t>
  </si>
  <si>
    <t>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t>
  </si>
  <si>
    <t>VBZZZ286</t>
  </si>
  <si>
    <t>TA-25-1005081</t>
  </si>
  <si>
    <t>BARRIO POPULAR MODELO PALMIRA</t>
  </si>
  <si>
    <t>FO-25-1419050</t>
  </si>
  <si>
    <t>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t>
  </si>
  <si>
    <t>VBZZZ287</t>
  </si>
  <si>
    <t>TA-25-1033965</t>
  </si>
  <si>
    <t>GRAMALOTE</t>
  </si>
  <si>
    <t>BARRIO GRAMALOTE GRAMALOTE</t>
  </si>
  <si>
    <t>FO-25-1432951</t>
  </si>
  <si>
    <t>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t>
  </si>
  <si>
    <t>FKZZZ630</t>
  </si>
  <si>
    <t>TA-25-1033968</t>
  </si>
  <si>
    <t>ALGARROBO</t>
  </si>
  <si>
    <t>BARRIO CENTRO ALGARROBO 1</t>
  </si>
  <si>
    <t>FO-25-1432956</t>
  </si>
  <si>
    <t>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t>
  </si>
  <si>
    <t>FKZZZ631</t>
  </si>
  <si>
    <t>TA-25-1033971</t>
  </si>
  <si>
    <t>BARRIO GUADUALES GARZON</t>
  </si>
  <si>
    <t>FO-25-1432962</t>
  </si>
  <si>
    <t>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t>
  </si>
  <si>
    <t>FKZZZ632</t>
  </si>
  <si>
    <t>TA-25-1033972</t>
  </si>
  <si>
    <t>GUAMO</t>
  </si>
  <si>
    <t>BARRIO SANTA ANA GUAMO 2</t>
  </si>
  <si>
    <t>FO-25-1432965</t>
  </si>
  <si>
    <t>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t>
  </si>
  <si>
    <t>FKZZZ633</t>
  </si>
  <si>
    <t>TA-25-1033973</t>
  </si>
  <si>
    <t>FLORIAN</t>
  </si>
  <si>
    <t>BARRIO CENTRO FLORIAN 1</t>
  </si>
  <si>
    <t>FO-25-1432972</t>
  </si>
  <si>
    <t>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t>
  </si>
  <si>
    <t>FKZZZ634</t>
  </si>
  <si>
    <t>TA-25-1033975</t>
  </si>
  <si>
    <t>COGUA</t>
  </si>
  <si>
    <t>BARRIO CENTRO COGUA 9</t>
  </si>
  <si>
    <t>FO-25-1432985</t>
  </si>
  <si>
    <t>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t>
  </si>
  <si>
    <t>FKZZZ636</t>
  </si>
  <si>
    <t>TA-25-1033976</t>
  </si>
  <si>
    <t>MADRID</t>
  </si>
  <si>
    <t>BARRIO SAN JOSE MADRID MADRID</t>
  </si>
  <si>
    <t>FO-25-1432992</t>
  </si>
  <si>
    <t>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t>
  </si>
  <si>
    <t>FKZZZ637</t>
  </si>
  <si>
    <t>TA-25-1033977</t>
  </si>
  <si>
    <t>BARRIO LA ESMERALDA BOGOTA 7</t>
  </si>
  <si>
    <t>FO-25-1432997</t>
  </si>
  <si>
    <t>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t>
  </si>
  <si>
    <t>FKZZZ638</t>
  </si>
  <si>
    <t>TA-25-1033978</t>
  </si>
  <si>
    <t>BARRIO VILLA LADY FUSAGASUGA</t>
  </si>
  <si>
    <t>FO-25-1433002</t>
  </si>
  <si>
    <t>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t>
  </si>
  <si>
    <t>FKZZZ639</t>
  </si>
  <si>
    <t>TA-25-1033982</t>
  </si>
  <si>
    <t>BARRIO CENTRO RISARALDA 2</t>
  </si>
  <si>
    <t>FO-25-1433008</t>
  </si>
  <si>
    <t>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t>
  </si>
  <si>
    <t>FKZZZ640</t>
  </si>
  <si>
    <t>TA-25-1033983</t>
  </si>
  <si>
    <t>TURMEQUE</t>
  </si>
  <si>
    <t>BARRIO LA PLAZA CENTRO TURMEQUE</t>
  </si>
  <si>
    <t>FO-25-1433014</t>
  </si>
  <si>
    <t>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t>
  </si>
  <si>
    <t>FKZZZ641</t>
  </si>
  <si>
    <t>TA-25-1033984</t>
  </si>
  <si>
    <t>EL ROSARIO</t>
  </si>
  <si>
    <t>BARRIO SAGRADO CORAZON DE JESUS EL ROSARIO</t>
  </si>
  <si>
    <t>FO-25-1433021</t>
  </si>
  <si>
    <t>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t>
  </si>
  <si>
    <t>FKZZZ642</t>
  </si>
  <si>
    <t>TA-25-1033986</t>
  </si>
  <si>
    <t>FOMEQUE</t>
  </si>
  <si>
    <t>BARRIO CENTRO FOMEQUE FOMEQUE</t>
  </si>
  <si>
    <t>FO-25-1433033</t>
  </si>
  <si>
    <t>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t>
  </si>
  <si>
    <t>FKZZZ644</t>
  </si>
  <si>
    <t>TA-25-1033988</t>
  </si>
  <si>
    <t>BARRIO NARANJAL BOLIVAR 1</t>
  </si>
  <si>
    <t>FO-25-1433043</t>
  </si>
  <si>
    <t>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t>
  </si>
  <si>
    <t>FKZZZ647</t>
  </si>
  <si>
    <t>TA-25-1033989</t>
  </si>
  <si>
    <t>COPACABANA</t>
  </si>
  <si>
    <t>BARRIO VRD ZARZAL LA LUZ COPACABANA</t>
  </si>
  <si>
    <t>FO-25-1433048</t>
  </si>
  <si>
    <t>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t>
  </si>
  <si>
    <t>FKZZZ648</t>
  </si>
  <si>
    <t>TA-25-1033992</t>
  </si>
  <si>
    <t>BARRIO ESMERALDA ARMENIA</t>
  </si>
  <si>
    <t>FO-25-1433065</t>
  </si>
  <si>
    <t>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</si>
  <si>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FKZZZ650</t>
  </si>
  <si>
    <t>TA-25-1033993</t>
  </si>
  <si>
    <t>BARRIO EL BOSQUE PALMIRA 1</t>
  </si>
  <si>
    <t>FO-25-1433073</t>
  </si>
  <si>
    <t>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t>
  </si>
  <si>
    <t>FKZZZ651</t>
  </si>
  <si>
    <t>TA-25-1033994</t>
  </si>
  <si>
    <t>BARRIO ULPIANO LLOREDA CALI 1</t>
  </si>
  <si>
    <t>FO-25-1433077</t>
  </si>
  <si>
    <t>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t>
  </si>
  <si>
    <t>FKZZZ652</t>
  </si>
  <si>
    <t>TA-25-1033995</t>
  </si>
  <si>
    <t>BARRIO CAÑAVERALEJO BOGOTA 1</t>
  </si>
  <si>
    <t>FO-25-1433086</t>
  </si>
  <si>
    <t>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</si>
  <si>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FKZZZ653</t>
  </si>
  <si>
    <t>TA-25-1033996</t>
  </si>
  <si>
    <t>BARRIO BILBAO BOGOTA 7</t>
  </si>
  <si>
    <t>FO-25-1433090</t>
  </si>
  <si>
    <t>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t>
  </si>
  <si>
    <t>FKZZZ654</t>
  </si>
  <si>
    <t>TA-25-1033997</t>
  </si>
  <si>
    <t>BARRIO PORVENIR FLORENCIA</t>
  </si>
  <si>
    <t>FO-25-1433097</t>
  </si>
  <si>
    <t>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</si>
  <si>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FKZZZ655</t>
  </si>
  <si>
    <t>TA-25-1033998</t>
  </si>
  <si>
    <t>SABANALARGA</t>
  </si>
  <si>
    <t>BARRIO CENTRO SABANALARGA 24</t>
  </si>
  <si>
    <t>FO-25-1433101</t>
  </si>
  <si>
    <t>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</si>
  <si>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FKZZZ656</t>
  </si>
  <si>
    <t>TA-25-1034001</t>
  </si>
  <si>
    <t>SAN GIL</t>
  </si>
  <si>
    <t>BARRIO SAN GIL SAN GIL 1</t>
  </si>
  <si>
    <t>FO-25-1433107</t>
  </si>
  <si>
    <t>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t>
  </si>
  <si>
    <t>FKZZZ657</t>
  </si>
  <si>
    <t>TA-25-1034002</t>
  </si>
  <si>
    <t>BARRIO FLORALIA CALI 11</t>
  </si>
  <si>
    <t>FO-25-1433110</t>
  </si>
  <si>
    <t>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</si>
  <si>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FKZZZ658</t>
  </si>
  <si>
    <t>TA-25-1034003</t>
  </si>
  <si>
    <t>BARRIO CENTRO CHINCHINA 14</t>
  </si>
  <si>
    <t>FO-25-1433115</t>
  </si>
  <si>
    <t>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t>
  </si>
  <si>
    <t>FKZZZ659</t>
  </si>
  <si>
    <t>TA-25-1034005</t>
  </si>
  <si>
    <t>BARRIO LOS NARANJOS 1 CALI</t>
  </si>
  <si>
    <t>FO-25-1433122</t>
  </si>
  <si>
    <t>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t>
  </si>
  <si>
    <t>FKZZZ660</t>
  </si>
  <si>
    <t>TA-25-1034007</t>
  </si>
  <si>
    <t>BARRIO ANAPOIMA ANAPOIMA 2</t>
  </si>
  <si>
    <t>FO-25-1433126</t>
  </si>
  <si>
    <t>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</si>
  <si>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FKZZZ661</t>
  </si>
  <si>
    <t>TA-25-1034013</t>
  </si>
  <si>
    <t>BECERRIL</t>
  </si>
  <si>
    <t>BARRIO CENTRO BECERRIL 8</t>
  </si>
  <si>
    <t>FO-25-1433137</t>
  </si>
  <si>
    <t>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t>
  </si>
  <si>
    <t>FKZZZ663</t>
  </si>
  <si>
    <t>TA-25-1034015</t>
  </si>
  <si>
    <t>SAN CARLOS DE GUAROA</t>
  </si>
  <si>
    <t>BARRIO CENTRO SAN CARLOS DE GUAROA 8</t>
  </si>
  <si>
    <t>FO-25-1433143</t>
  </si>
  <si>
    <t>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</si>
  <si>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FKZZZ664</t>
  </si>
  <si>
    <t>TA-25-1034019</t>
  </si>
  <si>
    <t>BARRIO LA RIVERA CALI 6</t>
  </si>
  <si>
    <t>FO-25-1433158</t>
  </si>
  <si>
    <t>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t>
  </si>
  <si>
    <t>FKZZZ666</t>
  </si>
  <si>
    <t>TA-25-1034020</t>
  </si>
  <si>
    <t>BARRIO BARRANCAS BOGOTA 13</t>
  </si>
  <si>
    <t>FO-25-1433163</t>
  </si>
  <si>
    <t>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t>
  </si>
  <si>
    <t>FKZZZ667</t>
  </si>
  <si>
    <t>TA-25-1034021</t>
  </si>
  <si>
    <t>BARRIO PUEBLITO PAISA CUBA PEREIRA</t>
  </si>
  <si>
    <t>FO-25-1433171</t>
  </si>
  <si>
    <t>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t>
  </si>
  <si>
    <t>FKZZZ668</t>
  </si>
  <si>
    <t>TA-25-1034023</t>
  </si>
  <si>
    <t>BARRIO BRISAS DEL PLAYON ACACIAS</t>
  </si>
  <si>
    <t>FO-25-1433185</t>
  </si>
  <si>
    <t>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t>
  </si>
  <si>
    <t>FKZZZ670</t>
  </si>
  <si>
    <t>TA-25-1034024</t>
  </si>
  <si>
    <t>BARRIO LAS MARIAS AIPE</t>
  </si>
  <si>
    <t>FO-25-1433192</t>
  </si>
  <si>
    <t>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</si>
  <si>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FKZZZ671</t>
  </si>
  <si>
    <t>TA-25-1034028</t>
  </si>
  <si>
    <t>BARRIO CENTRO RESTREPO 8</t>
  </si>
  <si>
    <t>FO-25-1433218</t>
  </si>
  <si>
    <t>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t>
  </si>
  <si>
    <t>FKZZZ674</t>
  </si>
  <si>
    <t>TA-25-1031265</t>
  </si>
  <si>
    <t>LA ESTRELLA</t>
  </si>
  <si>
    <t>BARRIO BAVARIA LA ESTRELLA 1</t>
  </si>
  <si>
    <t>FO-25-1429791</t>
  </si>
  <si>
    <t>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</si>
  <si>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FKZZZ676</t>
  </si>
  <si>
    <t>TA-25-1034030</t>
  </si>
  <si>
    <t>BARRIO ALFONSO LOPEZ 6 BOGOTA</t>
  </si>
  <si>
    <t>FO-25-1433226</t>
  </si>
  <si>
    <t>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t>
  </si>
  <si>
    <t>FKZZZ677</t>
  </si>
  <si>
    <t>TA-25-1034031</t>
  </si>
  <si>
    <t>BARRIO CENTRO TULUA 28</t>
  </si>
  <si>
    <t>FO-25-1433234</t>
  </si>
  <si>
    <t>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t>
  </si>
  <si>
    <t>FKZZZ678</t>
  </si>
  <si>
    <t>TA-25-1034454</t>
  </si>
  <si>
    <t>DISTRICOL FRUVER PAGUE MENOS</t>
  </si>
  <si>
    <t>FO-25-1433870</t>
  </si>
  <si>
    <t>27-08 PROGRAMACIÓN REALIZADA POR LA ALIANZA 29/08/2025 SE REALIZA INSTALACIÓN DE CORRESPONSAL, SE INSTALAN EQUIPOS CON PRUEBAS EXITOSAS, SE CAPACITA Y SE EVALÚA AL CLIENTE, SE INSTALA PUBLICIDAD COMPLETA, CB QUEDA OPERATIVO. USUARIO SOMOS BANCOLOMBIA ACTIVO</t>
  </si>
  <si>
    <t>FKZZZ681</t>
  </si>
  <si>
    <t>TA-25-1034455</t>
  </si>
  <si>
    <t>DISTRICOL SUPERMERCADO PORVENI</t>
  </si>
  <si>
    <t>FO-25-1433873</t>
  </si>
  <si>
    <t>FKZZZ682</t>
  </si>
  <si>
    <t>TA-25-1034457</t>
  </si>
  <si>
    <t>DISTRICOL PEQUEÑOS ENCANTOS</t>
  </si>
  <si>
    <t>FO-25-1433881</t>
  </si>
  <si>
    <t>27-08 PROGRAMACIÓN REALIZADA POR LA ALIANZA 28-08 SE REALIZA INSTALACIÓN DE CORRESPONSAL, SE INSTALAN EQUIPOS CON PRUEBAS EXITOSAS, SE CAPACITA Y SE EVALÚA AL CLIENTE, SE INSTALA PUBLICIDAD COMPLETA, CB QUEDA OPERATIVO. USUARIO SOMOS BANCOLOMBIA ACTIVO</t>
  </si>
  <si>
    <t>FKZZZ684</t>
  </si>
  <si>
    <t>TA-25-1034458</t>
  </si>
  <si>
    <t>VEGACHI</t>
  </si>
  <si>
    <t>DISTRICOL CELUMOVIL VEGACHI</t>
  </si>
  <si>
    <t>FO-25-1433884</t>
  </si>
  <si>
    <t>27-08 PROGRAMACIÓN REALIZADA POR LA ALIANZA 28/08/2025 SE REALIZA INSTALACIÓN DE CORRESPONSAL, SE INSTALAN EQUIPOS CON PRUEBAS EXITOSAS, SE CAPACITA Y SE EVALÚA AL CLIENTE, SE INSTALA PUBLICIDAD COMPLETA, CB QUEDA OPERATIVO. USUARIO SOMOS BANCOLOMBIA ACTIVO</t>
  </si>
  <si>
    <t>FKZZZ685</t>
  </si>
  <si>
    <t>TA-25-1034459</t>
  </si>
  <si>
    <t>DISTRICOL MAGIC PAPELERIA CREA</t>
  </si>
  <si>
    <t>FO-25-1433887</t>
  </si>
  <si>
    <t>FKZZZ686</t>
  </si>
  <si>
    <t>TA-25-1034460</t>
  </si>
  <si>
    <t>EL PAUJIL</t>
  </si>
  <si>
    <t>DISTRICOL TIENDA CHAUX</t>
  </si>
  <si>
    <t>FO-25-1433892</t>
  </si>
  <si>
    <t>27-08 PROGRAMACIÓN REALIZADA POR LA ALIANZA 28-08 SE REALIZA INSTALACIÓN DE CORRESPONSAL, SE INSTALAN EQUIPOS CON PRUEBAS EXITOSAS, SE CAPACITA Y SE EVALÚA AL CLIENTE, SE INSTALA PUBLICIDAD COMPLETA, CB QUEDA OPERATIVO. USUARIO SOMOS BANCOLOMBIA ACTIV</t>
  </si>
  <si>
    <t>FKZZZ687</t>
  </si>
  <si>
    <t>TA-25-1034462</t>
  </si>
  <si>
    <t>DISTRICOL EL LANCERO B MILITAR</t>
  </si>
  <si>
    <t>FO-25-1433899</t>
  </si>
  <si>
    <t>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t>
  </si>
  <si>
    <t>FKZZZ689</t>
  </si>
  <si>
    <t>TA-25-1034464</t>
  </si>
  <si>
    <t>TUQUERRES</t>
  </si>
  <si>
    <t>DISTRICOL DROG SANA SANA</t>
  </si>
  <si>
    <t>FO-25-1433910</t>
  </si>
  <si>
    <t>27-08 PROGRAMACIÓN REALIZADA POR LA ALIANZA28/08/2025 SE REALIZA INSTALACIÓN DE CORRESPONSAL, SE INSTALAN EQUIPOS CON PRUEBAS EXITOSAS, SE CAPACITA Y SE EVALÚA AL CLIENTE, SE INSTALA PUBLICIDAD COMPLETA, CB QUEDA OPERATIVO. USUARIO SOMOS BANCOLOMBIA ACTIVO</t>
  </si>
  <si>
    <t>FKZZZ691</t>
  </si>
  <si>
    <t>TA-25-1034469</t>
  </si>
  <si>
    <t>LA UNION</t>
  </si>
  <si>
    <t>DISTRICOL COSITAS Y VAINAS</t>
  </si>
  <si>
    <t>FO-25-1433917</t>
  </si>
  <si>
    <t>FKZZZ692</t>
  </si>
  <si>
    <t>TA-25-1034474</t>
  </si>
  <si>
    <t>DISTRICOL PAPELERIA LA MONA 2</t>
  </si>
  <si>
    <t>FO-25-1433923</t>
  </si>
  <si>
    <t>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t>
  </si>
  <si>
    <t>FKZZZ693</t>
  </si>
  <si>
    <t>TA-25-1034475</t>
  </si>
  <si>
    <t>DISTRICOL SUPERDROGAS LA 17</t>
  </si>
  <si>
    <t>FO-25-1433927</t>
  </si>
  <si>
    <t xml:space="preserve">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t>
  </si>
  <si>
    <t>FKZZZ694</t>
  </si>
  <si>
    <t>TA-25-1034479</t>
  </si>
  <si>
    <t>DISTRICOL MISCELANEA YAJANDRE</t>
  </si>
  <si>
    <t>FO-25-1433944</t>
  </si>
  <si>
    <t>FKZZZ697</t>
  </si>
  <si>
    <t>Ciudad Sede</t>
  </si>
  <si>
    <t>Código DANE</t>
  </si>
  <si>
    <t>OC</t>
  </si>
  <si>
    <t>Cb</t>
  </si>
  <si>
    <t>Departamento</t>
  </si>
  <si>
    <t>Ciudad</t>
  </si>
  <si>
    <t xml:space="preserve">Nmbre  del cb </t>
  </si>
  <si>
    <t>Red</t>
  </si>
  <si>
    <t>TA</t>
  </si>
  <si>
    <t>Fecha apertura del incidente (DD/MM/AAAA)</t>
  </si>
  <si>
    <t>Fecha Asignación a Línea Comunicaciones (DD/MM/AAAA)</t>
  </si>
  <si>
    <t>Fecha real de solución (DD/MM/AAAA)</t>
  </si>
  <si>
    <t>Fecha del cierre del ticket (DD/MM/AAAA)</t>
  </si>
  <si>
    <t>FECHA DE PROGRAMACIÓN
(DD/MM/AAAA)</t>
  </si>
  <si>
    <t>Fecha vencimiento del incidente</t>
  </si>
  <si>
    <t>TIEMPO DE SOLUCIÓN (DIAS)</t>
  </si>
  <si>
    <t>DENTRO DE LOS SLA</t>
  </si>
  <si>
    <t>CAUSAL</t>
  </si>
  <si>
    <t>TIPO DE ACTIVIDAD</t>
  </si>
  <si>
    <t>SOLICITUD</t>
  </si>
  <si>
    <t>DESCRIPCIÓN</t>
  </si>
  <si>
    <t>Forma de Atención</t>
  </si>
  <si>
    <t>Clase de envío</t>
  </si>
  <si>
    <t>DESCRIPCIÓN USD</t>
  </si>
  <si>
    <t>Llamada 1</t>
  </si>
  <si>
    <t>Llamada 2</t>
  </si>
  <si>
    <t>Llamada 3</t>
  </si>
  <si>
    <t>Documentación Analistas</t>
  </si>
  <si>
    <t xml:space="preserve">OBSERVACIÓN </t>
  </si>
  <si>
    <t>CANTIDAD DE ROLLOS</t>
  </si>
  <si>
    <t>RETROALIMENTACIÓN O.T.</t>
  </si>
  <si>
    <t>SERIAL / PLACA- GUIA</t>
  </si>
  <si>
    <t xml:space="preserve">LECTOR </t>
  </si>
  <si>
    <t xml:space="preserve">TERMINAL </t>
  </si>
  <si>
    <t>Técnico</t>
  </si>
  <si>
    <t>RESPONSABLE INCUMPLIMIENTO</t>
  </si>
  <si>
    <t>PORQUE</t>
  </si>
  <si>
    <t>Tipo</t>
  </si>
  <si>
    <t>Tipo de Trayecto</t>
  </si>
  <si>
    <t>Dias de visita</t>
  </si>
  <si>
    <t>SWITCH</t>
  </si>
  <si>
    <t>ACOMETIDA DATOS</t>
  </si>
  <si>
    <t>ACOMETIDA ELECTRICA</t>
  </si>
  <si>
    <t>VALOR ACTIVIDAD</t>
  </si>
  <si>
    <t>VALOR TOTAL</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</si>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</sst>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 #,##0.00;[Red]\-&quot;$&quot;\ #,##0.0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240A]dddd\,\ dd&quot; de &quot;mmmm&quot; de &quot;yyyy"/>
    <numFmt numFmtId="169" formatCode="[$-409]d\-m\-yy\ h:mm\ AM/PM;@"/>
    <numFmt numFmtId="170" formatCode="_ * #,##0.00_ ;_ * \-#,##0.00_ ;_ * &quot;-&quot;??_ ;_ @_ "/>
    <numFmt numFmtId="171" formatCode="_ &quot;$&quot;\ * #,##0_ ;_ &quot;$&quot;\ * \-#,##0_ ;_ &quot;$&quot;\ * &quot;-&quot;??_ ;_ @_ "/>
    <numFmt numFmtId="172" formatCode="_ [$€-2]\ * #,##0.00_ ;_ [$€-2]\ * \-#,##0.00_ ;_ [$€-2]\ * &quot;-&quot;??_ "/>
    <numFmt numFmtId="173" formatCode="[$-C0A]d\-mmm\-yy;@"/>
    <numFmt numFmtId="174" formatCode="[$-240A]General"/>
    <numFmt numFmtId="175" formatCode="0.000%"/>
    <numFmt numFmtId="176" formatCode="_ * #,##0.00_ ;_ * \-#,##0.00_ ;_ * \-??_ ;_ @_ "/>
    <numFmt numFmtId="177" formatCode="_ &quot;$&quot;\ * #,##0.00_ ;_ &quot;$&quot;\ * \-#,##0.00_ ;_ &quot;$&quot;\ * &quot;-&quot;??_ ;_ @_ "/>
    <numFmt numFmtId="178" formatCode="_-&quot;$&quot;* #,##0_-;\-&quot;$&quot;* #,##0_-;_-&quot;$&quot;* &quot;-&quot;??_-;_-@_-"/>
    <numFmt numFmtId="179" formatCode="_(&quot;$&quot;\ * #,##0_);_(&quot;$&quot;\ * \(#,##0\);_(&quot;$&quot;\ * &quot;-&quot;??_);_(@_)"/>
    <numFmt numFmtId="180" formatCode="dd/mm/yyyy;@"/>
    <numFmt numFmtId="181" formatCode="dd/mm/yyyy"/>
    <numFmt numFmtId="182" formatCode="_-[$$-240A]\ * #,##0_-;\-[$$-240A]\ * #,##0_-;_-[$$-240A]\ * &quot;-&quot;_-;_-@_-"/>
  </numFmts>
  <fonts count="88">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sz val="8"/>
      <color theme="1"/>
      <name val="Century Gothic"/>
      <family val="2"/>
    </font>
    <font>
      <b/>
      <sz val="8"/>
      <color theme="1"/>
      <name val="Gelion Thin"/>
    </font>
    <font>
      <b/>
      <sz val="8"/>
      <name val="Gelion Thin"/>
    </font>
    <font>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u/>
      <sz val="10"/>
      <name val="Gelion Thin"/>
    </font>
    <font>
      <b/>
      <sz val="10"/>
      <color rgb="FFC00000"/>
      <name val="Gelion Thin"/>
    </font>
    <font>
      <sz val="10"/>
      <color rgb="FFC00000"/>
      <name val="Gelion Thin"/>
    </font>
    <font>
      <sz val="11"/>
      <color rgb="FFC00000"/>
      <name val="Calibri"/>
      <family val="2"/>
      <scheme val="minor"/>
    </font>
    <font>
      <b/>
      <sz val="10"/>
      <color theme="0"/>
      <name val="Gelion Thin"/>
    </font>
    <font>
      <sz val="10"/>
      <name val="Gelion Light"/>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9126">
    <xf numFmtId="0" fontId="0" fillId="0" borderId="0"/>
    <xf numFmtId="0" fontId="3" fillId="0" borderId="0"/>
    <xf numFmtId="0" fontId="4" fillId="0" borderId="0"/>
    <xf numFmtId="43" fontId="3" fillId="0" borderId="0" applyFont="0" applyFill="0" applyBorder="0" applyAlignment="0" applyProtection="0"/>
    <xf numFmtId="0" fontId="5" fillId="0" borderId="0"/>
    <xf numFmtId="165" fontId="3" fillId="0" borderId="0" applyFont="0" applyFill="0" applyBorder="0" applyAlignment="0" applyProtection="0"/>
    <xf numFmtId="169" fontId="1" fillId="0" borderId="0"/>
    <xf numFmtId="0" fontId="1" fillId="0" borderId="0"/>
    <xf numFmtId="0" fontId="3" fillId="0" borderId="0"/>
    <xf numFmtId="170" fontId="3" fillId="0" borderId="0" applyFont="0" applyFill="0" applyBorder="0" applyAlignment="0" applyProtection="0"/>
    <xf numFmtId="0" fontId="1" fillId="0" borderId="0"/>
    <xf numFmtId="0" fontId="1" fillId="0" borderId="0"/>
    <xf numFmtId="169" fontId="1" fillId="0" borderId="0"/>
    <xf numFmtId="168" fontId="3" fillId="0" borderId="0"/>
    <xf numFmtId="0" fontId="1" fillId="0" borderId="0"/>
    <xf numFmtId="169" fontId="3" fillId="0" borderId="0"/>
    <xf numFmtId="0" fontId="3" fillId="0" borderId="0"/>
    <xf numFmtId="0" fontId="1" fillId="0" borderId="0"/>
    <xf numFmtId="0" fontId="6" fillId="0" borderId="0"/>
    <xf numFmtId="169" fontId="3" fillId="0" borderId="0"/>
    <xf numFmtId="0" fontId="6" fillId="0" borderId="0"/>
    <xf numFmtId="0" fontId="1" fillId="0" borderId="0"/>
    <xf numFmtId="0" fontId="3" fillId="0" borderId="0"/>
    <xf numFmtId="171" fontId="3" fillId="0" borderId="0" applyFont="0" applyFill="0" applyBorder="0" applyAlignment="0" applyProtection="0"/>
    <xf numFmtId="0" fontId="3" fillId="0" borderId="0"/>
    <xf numFmtId="165"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2" fillId="55"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2" fillId="5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59" borderId="0" applyNumberFormat="0" applyBorder="0" applyAlignment="0" applyProtection="0"/>
    <xf numFmtId="0" fontId="23" fillId="60" borderId="0" applyNumberFormat="0" applyBorder="0" applyAlignment="0" applyProtection="0"/>
    <xf numFmtId="0" fontId="23" fillId="61" borderId="0" applyNumberFormat="0" applyBorder="0" applyAlignment="0" applyProtection="0"/>
    <xf numFmtId="0" fontId="23" fillId="62" borderId="0" applyNumberFormat="0" applyBorder="0" applyAlignment="0" applyProtection="0"/>
    <xf numFmtId="0" fontId="23" fillId="63" borderId="0" applyNumberFormat="0" applyBorder="0" applyAlignment="0" applyProtection="0"/>
    <xf numFmtId="0" fontId="23" fillId="64"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5" fillId="65" borderId="11" applyNumberFormat="0" applyAlignment="0" applyProtection="0"/>
    <xf numFmtId="0" fontId="15" fillId="6" borderId="5" applyNumberFormat="0" applyAlignment="0" applyProtection="0"/>
    <xf numFmtId="0" fontId="25" fillId="65" borderId="11" applyNumberFormat="0" applyAlignment="0" applyProtection="0"/>
    <xf numFmtId="0" fontId="25" fillId="65" borderId="11"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166" fontId="3" fillId="0" borderId="0" applyFon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67" borderId="0" applyNumberFormat="0" applyBorder="0" applyAlignment="0" applyProtection="0"/>
    <xf numFmtId="0" fontId="20" fillId="9"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2" fillId="70"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5" fillId="0" borderId="0"/>
    <xf numFmtId="173" fontId="5" fillId="0" borderId="0"/>
    <xf numFmtId="174" fontId="30"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3" fontId="33" fillId="0" borderId="0" applyNumberFormat="0" applyFill="0" applyBorder="0" applyAlignment="0" applyProtection="0"/>
    <xf numFmtId="0" fontId="35" fillId="34" borderId="0" applyNumberFormat="0" applyBorder="0" applyAlignment="0" applyProtection="0"/>
    <xf numFmtId="0" fontId="12" fillId="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5"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6" fontId="3" fillId="0" borderId="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6" fontId="3" fillId="0" borderId="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0" fontId="1" fillId="0" borderId="0"/>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applyNumberFormat="0" applyFill="0" applyBorder="0" applyAlignment="0" applyProtection="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0" fontId="1"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alignment vertical="top"/>
    </xf>
    <xf numFmtId="169" fontId="3" fillId="0" borderId="0"/>
    <xf numFmtId="173" fontId="1" fillId="0" borderId="0"/>
    <xf numFmtId="169" fontId="3" fillId="0" borderId="0"/>
    <xf numFmtId="173" fontId="1" fillId="0" borderId="0"/>
    <xf numFmtId="169"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1"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0" fontId="1" fillId="0" borderId="0"/>
    <xf numFmtId="173" fontId="1"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alignment vertical="top"/>
    </xf>
    <xf numFmtId="0" fontId="3" fillId="0" borderId="0">
      <alignment vertical="top"/>
    </xf>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0" fontId="3"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0" fontId="21" fillId="0" borderId="0"/>
    <xf numFmtId="0" fontId="39" fillId="0" borderId="0"/>
    <xf numFmtId="0" fontId="39" fillId="0" borderId="0"/>
    <xf numFmtId="0" fontId="21" fillId="0" borderId="0"/>
    <xf numFmtId="173" fontId="36" fillId="0" borderId="0"/>
    <xf numFmtId="0" fontId="39" fillId="0" borderId="0"/>
    <xf numFmtId="0" fontId="21" fillId="0" borderId="0"/>
    <xf numFmtId="0" fontId="39" fillId="0" borderId="0"/>
    <xf numFmtId="0" fontId="3" fillId="0" borderId="0"/>
    <xf numFmtId="0" fontId="3" fillId="0" borderId="0"/>
    <xf numFmtId="0" fontId="21"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21" fillId="0" borderId="0"/>
    <xf numFmtId="0" fontId="3" fillId="0" borderId="0"/>
    <xf numFmtId="0" fontId="21" fillId="0" borderId="0"/>
    <xf numFmtId="0" fontId="21" fillId="0" borderId="0"/>
    <xf numFmtId="0" fontId="3" fillId="0" borderId="0"/>
    <xf numFmtId="0" fontId="21" fillId="0" borderId="0"/>
    <xf numFmtId="0" fontId="3" fillId="0" borderId="0"/>
    <xf numFmtId="169" fontId="36"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6" fillId="0" borderId="0"/>
    <xf numFmtId="0" fontId="36" fillId="0" borderId="0"/>
    <xf numFmtId="0" fontId="3" fillId="0" borderId="0"/>
    <xf numFmtId="169" fontId="36" fillId="0" borderId="0"/>
    <xf numFmtId="0" fontId="3" fillId="0" borderId="0"/>
    <xf numFmtId="0" fontId="21" fillId="0" borderId="0"/>
    <xf numFmtId="173" fontId="36" fillId="0" borderId="0"/>
    <xf numFmtId="0" fontId="21" fillId="0" borderId="0"/>
    <xf numFmtId="169" fontId="36" fillId="0" borderId="0"/>
    <xf numFmtId="0" fontId="21" fillId="0" borderId="0"/>
    <xf numFmtId="0" fontId="21" fillId="0" borderId="0"/>
    <xf numFmtId="0" fontId="21" fillId="0" borderId="0"/>
    <xf numFmtId="0" fontId="21" fillId="0" borderId="0"/>
    <xf numFmtId="0" fontId="3" fillId="0" borderId="0"/>
    <xf numFmtId="0" fontId="3" fillId="0" borderId="0"/>
    <xf numFmtId="173"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169" fontId="3" fillId="0" borderId="0"/>
    <xf numFmtId="173"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0" fontId="3" fillId="0" borderId="0"/>
    <xf numFmtId="173" fontId="3" fillId="0" borderId="0"/>
    <xf numFmtId="0" fontId="21"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69" fontId="1" fillId="0" borderId="0"/>
    <xf numFmtId="173" fontId="3" fillId="0" borderId="0"/>
    <xf numFmtId="0" fontId="39"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 fillId="0" borderId="0"/>
    <xf numFmtId="0" fontId="3" fillId="0" borderId="0"/>
    <xf numFmtId="173" fontId="3" fillId="0" borderId="0"/>
    <xf numFmtId="0" fontId="21" fillId="0" borderId="0"/>
    <xf numFmtId="173" fontId="3" fillId="0" borderId="0"/>
    <xf numFmtId="0" fontId="39" fillId="0" borderId="0"/>
    <xf numFmtId="173" fontId="3" fillId="0" borderId="0"/>
    <xf numFmtId="0" fontId="39" fillId="0" borderId="0"/>
    <xf numFmtId="173" fontId="3" fillId="0" borderId="0"/>
    <xf numFmtId="173"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0" fontId="3"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0" fontId="3" fillId="0" borderId="0"/>
    <xf numFmtId="0" fontId="3" fillId="0" borderId="0"/>
    <xf numFmtId="169"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0" fontId="38" fillId="0" borderId="0"/>
    <xf numFmtId="0" fontId="3" fillId="0" borderId="0"/>
    <xf numFmtId="0" fontId="3" fillId="0" borderId="0"/>
    <xf numFmtId="173" fontId="3" fillId="0" borderId="0"/>
    <xf numFmtId="0" fontId="3" fillId="0" borderId="0"/>
    <xf numFmtId="0" fontId="38"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169"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3" fillId="0" borderId="0"/>
    <xf numFmtId="0" fontId="3" fillId="0" borderId="0"/>
    <xf numFmtId="0" fontId="41"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1" fillId="0" borderId="0"/>
    <xf numFmtId="0" fontId="3" fillId="0" borderId="0">
      <alignment vertical="top"/>
    </xf>
    <xf numFmtId="173" fontId="36" fillId="0" borderId="0"/>
    <xf numFmtId="0" fontId="3" fillId="0" borderId="0">
      <alignment vertical="top"/>
    </xf>
    <xf numFmtId="0" fontId="3"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alignment vertical="top"/>
    </xf>
    <xf numFmtId="169" fontId="3" fillId="0" borderId="0"/>
    <xf numFmtId="0" fontId="3" fillId="0" borderId="0">
      <alignment vertical="top"/>
    </xf>
    <xf numFmtId="173" fontId="36" fillId="0" borderId="0"/>
    <xf numFmtId="0" fontId="3" fillId="0" borderId="0"/>
    <xf numFmtId="0" fontId="3" fillId="0" borderId="0"/>
    <xf numFmtId="0" fontId="3"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1"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173" fontId="36"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173" fontId="3" fillId="0" borderId="0"/>
    <xf numFmtId="0" fontId="38" fillId="0" borderId="0"/>
    <xf numFmtId="0" fontId="1" fillId="0" borderId="0"/>
    <xf numFmtId="0" fontId="42" fillId="0" borderId="0"/>
    <xf numFmtId="0" fontId="38" fillId="0" borderId="0"/>
    <xf numFmtId="0" fontId="42" fillId="0" borderId="0"/>
    <xf numFmtId="169"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44" fillId="0" borderId="0"/>
    <xf numFmtId="0" fontId="1"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3"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3" fillId="0" borderId="0"/>
    <xf numFmtId="0" fontId="1" fillId="0" borderId="0"/>
    <xf numFmtId="169" fontId="3" fillId="0" borderId="0"/>
    <xf numFmtId="169" fontId="3" fillId="0" borderId="0"/>
    <xf numFmtId="169" fontId="3"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5" fillId="72" borderId="14"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5"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0" fontId="1" fillId="0" borderId="0"/>
    <xf numFmtId="0" fontId="14" fillId="6" borderId="6"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4" fillId="6" borderId="6" applyNumberFormat="0" applyAlignment="0" applyProtection="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9"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9" fillId="0" borderId="0" applyNumberFormat="0" applyFill="0" applyBorder="0" applyAlignment="0" applyProtection="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8" fillId="0" borderId="2"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9" fillId="0" borderId="3"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9" fillId="0" borderId="3" applyNumberFormat="0" applyFill="0" applyAlignment="0" applyProtection="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10" fillId="0" borderId="4"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0" fillId="0" borderId="4" applyNumberFormat="0" applyFill="0" applyAlignment="0" applyProtection="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51"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2" fillId="0" borderId="10" applyNumberFormat="0" applyFill="0" applyAlignment="0" applyProtection="0"/>
    <xf numFmtId="0" fontId="2" fillId="0" borderId="10" applyNumberFormat="0" applyFill="0" applyAlignment="0" applyProtection="0"/>
    <xf numFmtId="0" fontId="1" fillId="0" borderId="0"/>
    <xf numFmtId="0" fontId="1" fillId="0" borderId="0"/>
    <xf numFmtId="0" fontId="2" fillId="0" borderId="10"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53" fillId="2" borderId="0" applyNumberFormat="0" applyBorder="0" applyAlignment="0" applyProtection="0"/>
    <xf numFmtId="0" fontId="54" fillId="3" borderId="0" applyNumberFormat="0" applyBorder="0" applyAlignment="0" applyProtection="0"/>
    <xf numFmtId="0" fontId="23" fillId="73" borderId="0" applyNumberFormat="0" applyBorder="0" applyAlignment="0" applyProtection="0"/>
    <xf numFmtId="0" fontId="23" fillId="74" borderId="0" applyNumberFormat="0" applyBorder="0" applyAlignment="0" applyProtection="0"/>
    <xf numFmtId="0" fontId="23" fillId="75"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78" borderId="0" applyNumberFormat="0" applyBorder="0" applyAlignment="0" applyProtection="0"/>
    <xf numFmtId="0" fontId="55" fillId="0" borderId="0" applyNumberFormat="0" applyFill="0" applyBorder="0" applyAlignment="0" applyProtection="0"/>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7" borderId="8" applyNumberFormat="0" applyAlignment="0" applyProtection="0"/>
    <xf numFmtId="0" fontId="60" fillId="0" borderId="23" applyNumberFormat="0" applyFill="0" applyAlignment="0" applyProtection="0"/>
    <xf numFmtId="0" fontId="21" fillId="8" borderId="9" applyNumberFormat="0" applyFon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6" borderId="5" applyNumberFormat="0" applyAlignment="0" applyProtection="0"/>
    <xf numFmtId="0" fontId="64" fillId="5" borderId="5" applyNumberFormat="0" applyAlignment="0" applyProtection="0"/>
    <xf numFmtId="0" fontId="65" fillId="6" borderId="6" applyNumberFormat="0" applyAlignment="0" applyProtection="0"/>
    <xf numFmtId="0" fontId="66" fillId="4" borderId="0" applyNumberFormat="0" applyBorder="0" applyAlignment="0" applyProtection="0"/>
    <xf numFmtId="0" fontId="67" fillId="0" borderId="7" applyNumberFormat="0" applyFill="0" applyAlignment="0" applyProtection="0"/>
    <xf numFmtId="0" fontId="68" fillId="0" borderId="0"/>
    <xf numFmtId="165" fontId="1" fillId="0" borderId="0" applyFont="0" applyFill="0" applyBorder="0" applyAlignment="0" applyProtection="0"/>
    <xf numFmtId="0" fontId="1" fillId="0" borderId="0"/>
    <xf numFmtId="43" fontId="1" fillId="0" borderId="0" applyFont="0" applyFill="0" applyBorder="0" applyAlignment="0" applyProtection="0"/>
  </cellStyleXfs>
  <cellXfs count="99">
    <xf numFmtId="0" fontId="0" fillId="0" borderId="0" xfId="0"/>
    <xf numFmtId="0" fontId="69" fillId="0" borderId="0" xfId="0" applyFont="1"/>
    <xf numFmtId="0" fontId="72" fillId="0" borderId="1" xfId="0" applyFont="1" applyBorder="1" applyAlignment="1">
      <alignment horizontal="left"/>
    </xf>
    <xf numFmtId="0" fontId="73" fillId="0" borderId="1" xfId="0" applyFont="1" applyBorder="1"/>
    <xf numFmtId="179" fontId="73" fillId="0" borderId="1" xfId="39123" applyNumberFormat="1" applyFont="1" applyBorder="1"/>
    <xf numFmtId="0" fontId="74" fillId="0" borderId="0" xfId="0" applyFont="1"/>
    <xf numFmtId="179" fontId="74" fillId="0" borderId="0" xfId="0" applyNumberFormat="1" applyFont="1"/>
    <xf numFmtId="0" fontId="73" fillId="0" borderId="1" xfId="0" applyFont="1" applyBorder="1" applyAlignment="1">
      <alignment horizontal="center" vertical="center"/>
    </xf>
    <xf numFmtId="0" fontId="79" fillId="0" borderId="1" xfId="39124" applyFont="1" applyBorder="1"/>
    <xf numFmtId="0" fontId="1" fillId="0" borderId="0" xfId="39124"/>
    <xf numFmtId="0" fontId="75" fillId="79" borderId="1" xfId="0" applyFont="1" applyFill="1" applyBorder="1" applyAlignment="1">
      <alignment horizontal="center" vertical="center"/>
    </xf>
    <xf numFmtId="0" fontId="75" fillId="79" borderId="1" xfId="0" applyFont="1" applyFill="1" applyBorder="1" applyAlignment="1">
      <alignment horizontal="center" vertical="center" wrapText="1"/>
    </xf>
    <xf numFmtId="22" fontId="73"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79" fontId="73" fillId="0" borderId="1" xfId="39123" applyNumberFormat="1" applyFont="1" applyBorder="1" applyAlignment="1">
      <alignment horizontal="center" vertical="center"/>
    </xf>
    <xf numFmtId="179" fontId="74" fillId="0" borderId="0" xfId="39123" applyNumberFormat="1" applyFont="1"/>
    <xf numFmtId="165" fontId="71" fillId="79" borderId="1" xfId="2144" applyFont="1" applyFill="1" applyBorder="1" applyAlignment="1">
      <alignment horizontal="center" vertical="center"/>
    </xf>
    <xf numFmtId="0" fontId="78" fillId="0" borderId="1" xfId="0" applyFont="1" applyBorder="1" applyAlignment="1">
      <alignment vertical="center"/>
    </xf>
    <xf numFmtId="0" fontId="3" fillId="0" borderId="0" xfId="0" applyFont="1"/>
    <xf numFmtId="0" fontId="80" fillId="0" borderId="0" xfId="0" applyFont="1"/>
    <xf numFmtId="8" fontId="74" fillId="0" borderId="0" xfId="0" applyNumberFormat="1" applyFont="1"/>
    <xf numFmtId="178" fontId="73" fillId="0" borderId="1" xfId="5" applyNumberFormat="1" applyFont="1" applyBorder="1" applyAlignment="1">
      <alignment horizontal="center" vertical="center"/>
    </xf>
    <xf numFmtId="0" fontId="71" fillId="80" borderId="1" xfId="16867" applyFont="1" applyFill="1" applyBorder="1" applyAlignment="1">
      <alignment horizontal="center" vertical="center" wrapText="1"/>
    </xf>
    <xf numFmtId="0" fontId="70" fillId="80" borderId="1" xfId="0" applyFont="1" applyFill="1" applyBorder="1" applyAlignment="1" applyProtection="1">
      <alignment horizontal="center" vertical="center" wrapText="1"/>
      <protection locked="0"/>
    </xf>
    <xf numFmtId="22" fontId="71" fillId="80" borderId="1" xfId="16867" applyNumberFormat="1" applyFont="1" applyFill="1" applyBorder="1" applyAlignment="1">
      <alignment horizontal="center" vertical="center" wrapText="1"/>
    </xf>
    <xf numFmtId="0" fontId="70" fillId="80" borderId="1" xfId="16867" applyFont="1" applyFill="1" applyBorder="1" applyAlignment="1">
      <alignment horizontal="center" vertical="center" wrapText="1"/>
    </xf>
    <xf numFmtId="165" fontId="71" fillId="80" borderId="1" xfId="5" applyFont="1" applyFill="1" applyBorder="1" applyAlignment="1" applyProtection="1">
      <alignment horizontal="left" vertical="center" wrapText="1"/>
      <protection locked="0"/>
    </xf>
    <xf numFmtId="0" fontId="81" fillId="0" borderId="1" xfId="0" applyFont="1" applyBorder="1"/>
    <xf numFmtId="0" fontId="81" fillId="0" borderId="32" xfId="0" applyFont="1" applyBorder="1"/>
    <xf numFmtId="0" fontId="81" fillId="0" borderId="35" xfId="0" applyFont="1" applyBorder="1"/>
    <xf numFmtId="0" fontId="81" fillId="0" borderId="36" xfId="0" applyFont="1" applyBorder="1"/>
    <xf numFmtId="0" fontId="0" fillId="0" borderId="0" xfId="0" pivotButton="1"/>
    <xf numFmtId="182" fontId="0" fillId="0" borderId="0" xfId="0" applyNumberFormat="1"/>
    <xf numFmtId="0" fontId="0" fillId="0" borderId="0" xfId="0" applyAlignment="1">
      <alignment horizontal="center"/>
    </xf>
    <xf numFmtId="10" fontId="74" fillId="82" borderId="0" xfId="0" applyNumberFormat="1" applyFont="1" applyFill="1" applyAlignment="1">
      <alignment horizontal="center" vertical="center"/>
    </xf>
    <xf numFmtId="0" fontId="77" fillId="0" borderId="1" xfId="0" applyFont="1" applyBorder="1" applyAlignment="1">
      <alignment horizontal="left" vertical="center"/>
    </xf>
    <xf numFmtId="179" fontId="76" fillId="0" borderId="1" xfId="2144" applyNumberFormat="1" applyFont="1" applyFill="1" applyBorder="1" applyAlignment="1">
      <alignment vertical="center"/>
    </xf>
    <xf numFmtId="179" fontId="73" fillId="0" borderId="1" xfId="2144" applyNumberFormat="1" applyFont="1" applyFill="1" applyBorder="1" applyAlignment="1">
      <alignment horizontal="center" vertical="center"/>
    </xf>
    <xf numFmtId="0" fontId="75" fillId="79" borderId="24" xfId="0" applyFont="1" applyFill="1" applyBorder="1" applyAlignment="1">
      <alignment horizontal="center" vertical="center" wrapText="1"/>
    </xf>
    <xf numFmtId="0" fontId="75" fillId="79" borderId="25" xfId="0" applyFont="1" applyFill="1" applyBorder="1" applyAlignment="1">
      <alignment horizontal="center" vertical="center" wrapText="1"/>
    </xf>
    <xf numFmtId="17" fontId="77" fillId="0" borderId="26" xfId="0" applyNumberFormat="1" applyFont="1" applyBorder="1" applyAlignment="1">
      <alignment vertical="center" wrapText="1"/>
    </xf>
    <xf numFmtId="0" fontId="77" fillId="0" borderId="27" xfId="0" applyFont="1" applyBorder="1" applyAlignment="1">
      <alignment vertical="center" wrapText="1"/>
    </xf>
    <xf numFmtId="0" fontId="77" fillId="0" borderId="27" xfId="0" applyFont="1" applyBorder="1" applyAlignment="1">
      <alignment horizontal="center" vertical="center" wrapText="1"/>
    </xf>
    <xf numFmtId="178" fontId="77" fillId="0" borderId="27" xfId="0" applyNumberFormat="1" applyFont="1" applyBorder="1" applyAlignment="1">
      <alignment vertical="center" wrapText="1"/>
    </xf>
    <xf numFmtId="0" fontId="82" fillId="79" borderId="27" xfId="0" applyFont="1" applyFill="1" applyBorder="1" applyAlignment="1">
      <alignment vertical="center" wrapText="1"/>
    </xf>
    <xf numFmtId="0" fontId="82" fillId="79" borderId="27" xfId="0" applyFont="1" applyFill="1" applyBorder="1" applyAlignment="1">
      <alignment horizontal="center" vertical="center" wrapText="1"/>
    </xf>
    <xf numFmtId="178" fontId="82" fillId="79" borderId="27" xfId="0" applyNumberFormat="1" applyFont="1" applyFill="1" applyBorder="1" applyAlignment="1">
      <alignment vertical="center" wrapText="1"/>
    </xf>
    <xf numFmtId="178" fontId="75" fillId="79" borderId="27" xfId="0" applyNumberFormat="1" applyFont="1" applyFill="1" applyBorder="1" applyAlignment="1">
      <alignment vertical="center" wrapText="1"/>
    </xf>
    <xf numFmtId="0" fontId="84" fillId="0" borderId="0" xfId="0" applyFont="1"/>
    <xf numFmtId="14" fontId="84" fillId="0" borderId="0" xfId="0" applyNumberFormat="1" applyFont="1"/>
    <xf numFmtId="0" fontId="84" fillId="0" borderId="0" xfId="0" applyFont="1" applyAlignment="1">
      <alignment horizontal="center"/>
    </xf>
    <xf numFmtId="179" fontId="83" fillId="0" borderId="35" xfId="0" applyNumberFormat="1" applyFont="1" applyBorder="1"/>
    <xf numFmtId="0" fontId="85" fillId="0" borderId="0" xfId="0" applyFont="1"/>
    <xf numFmtId="10" fontId="0" fillId="0" borderId="0" xfId="0" applyNumberFormat="1"/>
    <xf numFmtId="0" fontId="86" fillId="80" borderId="1" xfId="0" applyFont="1" applyFill="1" applyBorder="1" applyAlignment="1" applyProtection="1">
      <alignment horizontal="center" vertical="center" wrapText="1"/>
      <protection locked="0"/>
    </xf>
    <xf numFmtId="14" fontId="86" fillId="80" borderId="33" xfId="0" applyNumberFormat="1" applyFont="1" applyFill="1" applyBorder="1" applyAlignment="1" applyProtection="1">
      <alignment horizontal="center" vertical="center" wrapText="1"/>
      <protection locked="0"/>
    </xf>
    <xf numFmtId="168" fontId="86" fillId="80" borderId="1" xfId="0" applyNumberFormat="1" applyFont="1" applyFill="1" applyBorder="1" applyAlignment="1">
      <alignment horizontal="center" vertical="center" wrapText="1"/>
    </xf>
    <xf numFmtId="168" fontId="86" fillId="80" borderId="1" xfId="0" applyNumberFormat="1" applyFont="1" applyFill="1" applyBorder="1" applyAlignment="1" applyProtection="1">
      <alignment horizontal="center" vertical="center" wrapText="1"/>
      <protection locked="0"/>
    </xf>
    <xf numFmtId="0" fontId="86" fillId="80" borderId="1" xfId="16867" applyFont="1" applyFill="1" applyBorder="1" applyAlignment="1">
      <alignment horizontal="center" vertical="center" wrapText="1"/>
    </xf>
    <xf numFmtId="0" fontId="86" fillId="80" borderId="33" xfId="16867" applyFont="1" applyFill="1" applyBorder="1" applyAlignment="1">
      <alignment horizontal="center" vertical="center" wrapText="1"/>
    </xf>
    <xf numFmtId="165" fontId="86" fillId="80" borderId="33" xfId="39123" applyFont="1" applyFill="1" applyBorder="1" applyAlignment="1">
      <alignment horizontal="center" vertical="center" wrapText="1"/>
    </xf>
    <xf numFmtId="0" fontId="86" fillId="0" borderId="0" xfId="0" applyFont="1"/>
    <xf numFmtId="0" fontId="17" fillId="80" borderId="1" xfId="0" applyFont="1" applyFill="1" applyBorder="1" applyAlignment="1">
      <alignment horizontal="center" vertical="center" wrapText="1"/>
    </xf>
    <xf numFmtId="179" fontId="69" fillId="0" borderId="0" xfId="39123" applyNumberFormat="1" applyFont="1"/>
    <xf numFmtId="0" fontId="87" fillId="0" borderId="33" xfId="0" applyFont="1" applyBorder="1" applyAlignment="1">
      <alignment horizontal="left"/>
    </xf>
    <xf numFmtId="0" fontId="87" fillId="0" borderId="1" xfId="0" applyFont="1" applyBorder="1" applyAlignment="1">
      <alignment horizontal="center"/>
    </xf>
    <xf numFmtId="0" fontId="87" fillId="0" borderId="1" xfId="0" applyFont="1" applyBorder="1" applyAlignment="1">
      <alignment horizontal="left"/>
    </xf>
    <xf numFmtId="0" fontId="87" fillId="0" borderId="33" xfId="0" applyFont="1" applyBorder="1" applyAlignment="1" applyProtection="1">
      <alignment horizontal="left"/>
      <protection locked="0"/>
    </xf>
    <xf numFmtId="1" fontId="87" fillId="0" borderId="33" xfId="0" applyNumberFormat="1" applyFont="1" applyBorder="1" applyAlignment="1">
      <alignment horizontal="left"/>
    </xf>
    <xf numFmtId="0" fontId="87" fillId="0" borderId="34" xfId="0" applyFont="1" applyBorder="1" applyAlignment="1" applyProtection="1">
      <alignment horizontal="left"/>
      <protection locked="0"/>
    </xf>
    <xf numFmtId="0" fontId="87" fillId="0" borderId="33" xfId="0" applyFont="1" applyBorder="1" applyAlignment="1" applyProtection="1">
      <alignment horizontal="left" vertical="center"/>
      <protection locked="0"/>
    </xf>
    <xf numFmtId="0" fontId="87" fillId="81" borderId="33" xfId="0" applyFont="1" applyFill="1" applyBorder="1" applyAlignment="1" applyProtection="1">
      <alignment horizontal="left"/>
      <protection locked="0"/>
    </xf>
    <xf numFmtId="0" fontId="87" fillId="0" borderId="1" xfId="0" applyFont="1" applyBorder="1"/>
    <xf numFmtId="180" fontId="87" fillId="0" borderId="33" xfId="0" applyNumberFormat="1" applyFont="1" applyBorder="1" applyAlignment="1" applyProtection="1">
      <alignment horizontal="left" vertical="center"/>
      <protection locked="0"/>
    </xf>
    <xf numFmtId="14" fontId="87" fillId="0" borderId="33" xfId="0" applyNumberFormat="1" applyFont="1" applyBorder="1" applyAlignment="1" applyProtection="1">
      <alignment horizontal="left" vertical="center"/>
      <protection locked="0"/>
    </xf>
    <xf numFmtId="181" fontId="87" fillId="0" borderId="1" xfId="0" applyNumberFormat="1" applyFont="1" applyBorder="1" applyAlignment="1" applyProtection="1">
      <alignment horizontal="left" vertical="center"/>
      <protection locked="0"/>
    </xf>
    <xf numFmtId="0" fontId="87" fillId="0" borderId="1" xfId="0" applyFont="1" applyBorder="1" applyAlignment="1" applyProtection="1">
      <alignment horizontal="left" vertical="center"/>
      <protection locked="0"/>
    </xf>
    <xf numFmtId="0" fontId="87" fillId="0" borderId="1" xfId="0" applyFont="1" applyBorder="1" applyAlignment="1" applyProtection="1">
      <alignment horizontal="left"/>
      <protection locked="0"/>
    </xf>
    <xf numFmtId="0" fontId="87" fillId="0" borderId="33" xfId="39125" applyNumberFormat="1" applyFont="1" applyBorder="1" applyAlignment="1">
      <alignment horizontal="left"/>
    </xf>
    <xf numFmtId="179" fontId="87" fillId="0" borderId="1" xfId="0" applyNumberFormat="1" applyFont="1" applyBorder="1"/>
    <xf numFmtId="0" fontId="87" fillId="0" borderId="0" xfId="0" applyFont="1"/>
    <xf numFmtId="14" fontId="87" fillId="0" borderId="1" xfId="0" applyNumberFormat="1" applyFont="1" applyBorder="1" applyAlignment="1">
      <alignment horizontal="left"/>
    </xf>
    <xf numFmtId="0" fontId="87" fillId="0" borderId="33" xfId="0" applyFont="1" applyBorder="1" applyAlignment="1">
      <alignment horizontal="left" wrapText="1"/>
    </xf>
    <xf numFmtId="1" fontId="87" fillId="0" borderId="1" xfId="0" applyNumberFormat="1" applyFont="1" applyBorder="1" applyAlignment="1">
      <alignment horizontal="left"/>
    </xf>
    <xf numFmtId="0" fontId="87" fillId="81" borderId="1" xfId="0" applyFont="1" applyFill="1" applyBorder="1" applyAlignment="1" applyProtection="1">
      <alignment horizontal="left"/>
      <protection locked="0"/>
    </xf>
    <xf numFmtId="180" fontId="87" fillId="0" borderId="1" xfId="0" applyNumberFormat="1" applyFont="1" applyBorder="1" applyAlignment="1" applyProtection="1">
      <alignment horizontal="left" vertical="center"/>
      <protection locked="0"/>
    </xf>
    <xf numFmtId="14" fontId="87" fillId="0" borderId="1" xfId="0" applyNumberFormat="1" applyFont="1" applyBorder="1" applyAlignment="1" applyProtection="1">
      <alignment horizontal="left" vertical="center"/>
      <protection locked="0"/>
    </xf>
    <xf numFmtId="0" fontId="87" fillId="0" borderId="1" xfId="39125" applyNumberFormat="1" applyFont="1" applyBorder="1" applyAlignment="1">
      <alignment horizontal="left"/>
    </xf>
    <xf numFmtId="17" fontId="82" fillId="79" borderId="30" xfId="0" applyNumberFormat="1" applyFont="1" applyFill="1" applyBorder="1" applyAlignment="1">
      <alignment horizontal="center" vertical="center" wrapText="1"/>
    </xf>
    <xf numFmtId="17" fontId="82" fillId="79" borderId="31" xfId="0" applyNumberFormat="1" applyFont="1" applyFill="1" applyBorder="1" applyAlignment="1">
      <alignment horizontal="center" vertical="center" wrapText="1"/>
    </xf>
    <xf numFmtId="17" fontId="82" fillId="79" borderId="25" xfId="0" applyNumberFormat="1" applyFont="1" applyFill="1" applyBorder="1" applyAlignment="1">
      <alignment horizontal="center" vertical="center" wrapText="1"/>
    </xf>
    <xf numFmtId="0" fontId="75" fillId="79" borderId="1" xfId="0" applyFont="1" applyFill="1" applyBorder="1" applyAlignment="1">
      <alignment horizontal="center" vertical="center"/>
    </xf>
    <xf numFmtId="0" fontId="77" fillId="0" borderId="28" xfId="0" applyFont="1" applyBorder="1" applyAlignment="1">
      <alignment horizontal="left" vertical="center"/>
    </xf>
    <xf numFmtId="0" fontId="77" fillId="0" borderId="29" xfId="0" applyFont="1" applyBorder="1" applyAlignment="1">
      <alignment horizontal="left" vertical="center"/>
    </xf>
    <xf numFmtId="0" fontId="77" fillId="0" borderId="32" xfId="0" applyFont="1" applyBorder="1" applyAlignment="1">
      <alignment horizontal="left" vertical="center"/>
    </xf>
    <xf numFmtId="0" fontId="75" fillId="79" borderId="1" xfId="0" applyFont="1" applyFill="1" applyBorder="1" applyAlignment="1">
      <alignment horizontal="center"/>
    </xf>
    <xf numFmtId="0" fontId="78" fillId="0" borderId="28" xfId="0" applyFont="1" applyBorder="1" applyAlignment="1">
      <alignment horizontal="left" vertical="center" wrapText="1"/>
    </xf>
    <xf numFmtId="0" fontId="78" fillId="0" borderId="29" xfId="0" applyFont="1" applyBorder="1" applyAlignment="1">
      <alignment horizontal="left" vertical="center" wrapText="1"/>
    </xf>
    <xf numFmtId="0" fontId="78" fillId="0" borderId="32" xfId="0" applyFont="1" applyBorder="1" applyAlignment="1">
      <alignment horizontal="left" vertical="center" wrapText="1"/>
    </xf>
  </cellXfs>
  <cellStyles count="39126">
    <cellStyle name="20% - Accent1" xfId="26" xr:uid="{00000000-0005-0000-0000-000000000000}"/>
    <cellStyle name="20% - Accent1 2" xfId="27" xr:uid="{00000000-0005-0000-0000-000001000000}"/>
    <cellStyle name="20% - Accent1 3" xfId="28" xr:uid="{00000000-0005-0000-0000-000002000000}"/>
    <cellStyle name="20% - Accent1 4" xfId="29" xr:uid="{00000000-0005-0000-0000-000003000000}"/>
    <cellStyle name="20% - Accent1 5" xfId="30" xr:uid="{00000000-0005-0000-0000-000004000000}"/>
    <cellStyle name="20% - Accent2" xfId="31" xr:uid="{00000000-0005-0000-0000-000005000000}"/>
    <cellStyle name="20% - Accent2 2" xfId="32" xr:uid="{00000000-0005-0000-0000-000006000000}"/>
    <cellStyle name="20% - Accent2 3" xfId="33" xr:uid="{00000000-0005-0000-0000-000007000000}"/>
    <cellStyle name="20% - Accent2 4" xfId="34" xr:uid="{00000000-0005-0000-0000-000008000000}"/>
    <cellStyle name="20% - Accent2 5" xfId="35" xr:uid="{00000000-0005-0000-0000-000009000000}"/>
    <cellStyle name="20% - Accent3" xfId="36" xr:uid="{00000000-0005-0000-0000-00000A000000}"/>
    <cellStyle name="20% - Accent3 2" xfId="37" xr:uid="{00000000-0005-0000-0000-00000B000000}"/>
    <cellStyle name="20% - Accent3 3" xfId="38" xr:uid="{00000000-0005-0000-0000-00000C000000}"/>
    <cellStyle name="20% - Accent3 4" xfId="39" xr:uid="{00000000-0005-0000-0000-00000D000000}"/>
    <cellStyle name="20% - Accent3 5" xfId="40" xr:uid="{00000000-0005-0000-0000-00000E000000}"/>
    <cellStyle name="20% - Accent4" xfId="41" xr:uid="{00000000-0005-0000-0000-00000F000000}"/>
    <cellStyle name="20% - Accent4 2" xfId="42" xr:uid="{00000000-0005-0000-0000-000010000000}"/>
    <cellStyle name="20% - Accent4 3" xfId="43" xr:uid="{00000000-0005-0000-0000-000011000000}"/>
    <cellStyle name="20% - Accent4 4" xfId="44" xr:uid="{00000000-0005-0000-0000-000012000000}"/>
    <cellStyle name="20% - Accent4 5" xfId="45" xr:uid="{00000000-0005-0000-0000-000013000000}"/>
    <cellStyle name="20% - Accent5" xfId="46" xr:uid="{00000000-0005-0000-0000-000014000000}"/>
    <cellStyle name="20% - Accent5 2" xfId="47" xr:uid="{00000000-0005-0000-0000-000015000000}"/>
    <cellStyle name="20% - Accent5 3" xfId="48" xr:uid="{00000000-0005-0000-0000-000016000000}"/>
    <cellStyle name="20% - Accent5 4" xfId="49" xr:uid="{00000000-0005-0000-0000-000017000000}"/>
    <cellStyle name="20% - Accent5 5" xfId="50" xr:uid="{00000000-0005-0000-0000-000018000000}"/>
    <cellStyle name="20% - Accent6" xfId="51" xr:uid="{00000000-0005-0000-0000-000019000000}"/>
    <cellStyle name="20% - Accent6 2" xfId="52" xr:uid="{00000000-0005-0000-0000-00001A000000}"/>
    <cellStyle name="20% - Accent6 3" xfId="53" xr:uid="{00000000-0005-0000-0000-00001B000000}"/>
    <cellStyle name="20% - Accent6 4" xfId="54" xr:uid="{00000000-0005-0000-0000-00001C000000}"/>
    <cellStyle name="20% - Accent6 5" xfId="55" xr:uid="{00000000-0005-0000-0000-00001D000000}"/>
    <cellStyle name="20% - Énfasis1 2" xfId="56" xr:uid="{00000000-0005-0000-0000-00001E000000}"/>
    <cellStyle name="20% - Énfasis1 2 2" xfId="57" xr:uid="{00000000-0005-0000-0000-00001F000000}"/>
    <cellStyle name="20% - Énfasis1 3" xfId="58" xr:uid="{00000000-0005-0000-0000-000020000000}"/>
    <cellStyle name="20% - Énfasis1 4" xfId="59" xr:uid="{00000000-0005-0000-0000-000021000000}"/>
    <cellStyle name="20% - Énfasis1 5" xfId="60" xr:uid="{00000000-0005-0000-0000-000022000000}"/>
    <cellStyle name="20% - Énfasis1 6" xfId="61" xr:uid="{00000000-0005-0000-0000-000023000000}"/>
    <cellStyle name="20% - Énfasis1 7" xfId="62" xr:uid="{00000000-0005-0000-0000-000024000000}"/>
    <cellStyle name="20% - Énfasis1 8" xfId="63" xr:uid="{00000000-0005-0000-0000-000025000000}"/>
    <cellStyle name="20% - Énfasis2 2" xfId="64" xr:uid="{00000000-0005-0000-0000-000026000000}"/>
    <cellStyle name="20% - Énfasis2 2 2" xfId="65" xr:uid="{00000000-0005-0000-0000-000027000000}"/>
    <cellStyle name="20% - Énfasis2 3" xfId="66" xr:uid="{00000000-0005-0000-0000-000028000000}"/>
    <cellStyle name="20% - Énfasis2 4" xfId="67" xr:uid="{00000000-0005-0000-0000-000029000000}"/>
    <cellStyle name="20% - Énfasis2 5" xfId="68" xr:uid="{00000000-0005-0000-0000-00002A000000}"/>
    <cellStyle name="20% - Énfasis2 6" xfId="69" xr:uid="{00000000-0005-0000-0000-00002B000000}"/>
    <cellStyle name="20% - Énfasis2 7" xfId="70" xr:uid="{00000000-0005-0000-0000-00002C000000}"/>
    <cellStyle name="20% - Énfasis2 8" xfId="71" xr:uid="{00000000-0005-0000-0000-00002D000000}"/>
    <cellStyle name="20% - Énfasis3 2" xfId="72" xr:uid="{00000000-0005-0000-0000-00002E000000}"/>
    <cellStyle name="20% - Énfasis3 2 2" xfId="73" xr:uid="{00000000-0005-0000-0000-00002F000000}"/>
    <cellStyle name="20% - Énfasis3 3" xfId="74" xr:uid="{00000000-0005-0000-0000-000030000000}"/>
    <cellStyle name="20% - Énfasis3 4" xfId="75" xr:uid="{00000000-0005-0000-0000-000031000000}"/>
    <cellStyle name="20% - Énfasis3 5" xfId="76" xr:uid="{00000000-0005-0000-0000-000032000000}"/>
    <cellStyle name="20% - Énfasis3 6" xfId="77" xr:uid="{00000000-0005-0000-0000-000033000000}"/>
    <cellStyle name="20% - Énfasis3 7" xfId="78" xr:uid="{00000000-0005-0000-0000-000034000000}"/>
    <cellStyle name="20% - Énfasis3 8" xfId="79" xr:uid="{00000000-0005-0000-0000-000035000000}"/>
    <cellStyle name="20% - Énfasis4 2" xfId="80" xr:uid="{00000000-0005-0000-0000-000036000000}"/>
    <cellStyle name="20% - Énfasis4 2 2" xfId="81" xr:uid="{00000000-0005-0000-0000-000037000000}"/>
    <cellStyle name="20% - Énfasis4 3" xfId="82" xr:uid="{00000000-0005-0000-0000-000038000000}"/>
    <cellStyle name="20% - Énfasis4 4" xfId="83" xr:uid="{00000000-0005-0000-0000-000039000000}"/>
    <cellStyle name="20% - Énfasis4 5" xfId="84" xr:uid="{00000000-0005-0000-0000-00003A000000}"/>
    <cellStyle name="20% - Énfasis4 6" xfId="85" xr:uid="{00000000-0005-0000-0000-00003B000000}"/>
    <cellStyle name="20% - Énfasis4 7" xfId="86" xr:uid="{00000000-0005-0000-0000-00003C000000}"/>
    <cellStyle name="20% - Énfasis4 8" xfId="87" xr:uid="{00000000-0005-0000-0000-00003D000000}"/>
    <cellStyle name="20% - Énfasis5 2" xfId="88" xr:uid="{00000000-0005-0000-0000-00003E000000}"/>
    <cellStyle name="20% - Énfasis5 2 2" xfId="89" xr:uid="{00000000-0005-0000-0000-00003F000000}"/>
    <cellStyle name="20% - Énfasis5 3" xfId="90" xr:uid="{00000000-0005-0000-0000-000040000000}"/>
    <cellStyle name="20% - Énfasis5 4" xfId="91" xr:uid="{00000000-0005-0000-0000-000041000000}"/>
    <cellStyle name="20% - Énfasis5 5" xfId="92" xr:uid="{00000000-0005-0000-0000-000042000000}"/>
    <cellStyle name="20% - Énfasis5 6" xfId="93" xr:uid="{00000000-0005-0000-0000-000043000000}"/>
    <cellStyle name="20% - Énfasis5 7" xfId="94" xr:uid="{00000000-0005-0000-0000-000044000000}"/>
    <cellStyle name="20% - Énfasis5 8" xfId="95" xr:uid="{00000000-0005-0000-0000-000045000000}"/>
    <cellStyle name="20% - Énfasis6 2" xfId="96" xr:uid="{00000000-0005-0000-0000-000046000000}"/>
    <cellStyle name="20% - Énfasis6 2 2" xfId="97" xr:uid="{00000000-0005-0000-0000-000047000000}"/>
    <cellStyle name="20% - Énfasis6 3" xfId="98" xr:uid="{00000000-0005-0000-0000-000048000000}"/>
    <cellStyle name="20% - Énfasis6 4" xfId="99" xr:uid="{00000000-0005-0000-0000-000049000000}"/>
    <cellStyle name="20% - Énfasis6 5" xfId="100" xr:uid="{00000000-0005-0000-0000-00004A000000}"/>
    <cellStyle name="20% - Énfasis6 6" xfId="101" xr:uid="{00000000-0005-0000-0000-00004B000000}"/>
    <cellStyle name="20% - Énfasis6 7" xfId="102" xr:uid="{00000000-0005-0000-0000-00004C000000}"/>
    <cellStyle name="20% - Énfasis6 8" xfId="103" xr:uid="{00000000-0005-0000-0000-00004D000000}"/>
    <cellStyle name="20% - 强调文字颜色 1" xfId="104" xr:uid="{00000000-0005-0000-0000-00004E000000}"/>
    <cellStyle name="20% - 强调文字颜色 2" xfId="105" xr:uid="{00000000-0005-0000-0000-00004F000000}"/>
    <cellStyle name="20% - 强调文字颜色 3" xfId="106" xr:uid="{00000000-0005-0000-0000-000050000000}"/>
    <cellStyle name="20% - 强调文字颜色 4" xfId="107" xr:uid="{00000000-0005-0000-0000-000051000000}"/>
    <cellStyle name="20% - 强调文字颜色 5" xfId="108" xr:uid="{00000000-0005-0000-0000-000052000000}"/>
    <cellStyle name="20% - 强调文字颜色 6" xfId="109" xr:uid="{00000000-0005-0000-0000-000053000000}"/>
    <cellStyle name="40% - Accent1" xfId="110" xr:uid="{00000000-0005-0000-0000-000054000000}"/>
    <cellStyle name="40% - Accent1 2" xfId="111" xr:uid="{00000000-0005-0000-0000-000055000000}"/>
    <cellStyle name="40% - Accent1 3" xfId="112" xr:uid="{00000000-0005-0000-0000-000056000000}"/>
    <cellStyle name="40% - Accent1 4" xfId="113" xr:uid="{00000000-0005-0000-0000-000057000000}"/>
    <cellStyle name="40% - Accent1 5" xfId="114" xr:uid="{00000000-0005-0000-0000-000058000000}"/>
    <cellStyle name="40% - Accent2" xfId="115" xr:uid="{00000000-0005-0000-0000-000059000000}"/>
    <cellStyle name="40% - Accent2 2" xfId="116" xr:uid="{00000000-0005-0000-0000-00005A000000}"/>
    <cellStyle name="40% - Accent2 3" xfId="117" xr:uid="{00000000-0005-0000-0000-00005B000000}"/>
    <cellStyle name="40% - Accent2 4" xfId="118" xr:uid="{00000000-0005-0000-0000-00005C000000}"/>
    <cellStyle name="40% - Accent2 5" xfId="119" xr:uid="{00000000-0005-0000-0000-00005D000000}"/>
    <cellStyle name="40% - Accent3" xfId="120" xr:uid="{00000000-0005-0000-0000-00005E000000}"/>
    <cellStyle name="40% - Accent3 2" xfId="121" xr:uid="{00000000-0005-0000-0000-00005F000000}"/>
    <cellStyle name="40% - Accent3 3" xfId="122" xr:uid="{00000000-0005-0000-0000-000060000000}"/>
    <cellStyle name="40% - Accent3 4" xfId="123" xr:uid="{00000000-0005-0000-0000-000061000000}"/>
    <cellStyle name="40% - Accent3 5" xfId="124" xr:uid="{00000000-0005-0000-0000-000062000000}"/>
    <cellStyle name="40% - Accent4" xfId="125" xr:uid="{00000000-0005-0000-0000-000063000000}"/>
    <cellStyle name="40% - Accent4 2" xfId="126" xr:uid="{00000000-0005-0000-0000-000064000000}"/>
    <cellStyle name="40% - Accent4 3" xfId="127" xr:uid="{00000000-0005-0000-0000-000065000000}"/>
    <cellStyle name="40% - Accent4 4" xfId="128" xr:uid="{00000000-0005-0000-0000-000066000000}"/>
    <cellStyle name="40% - Accent4 5" xfId="129" xr:uid="{00000000-0005-0000-0000-000067000000}"/>
    <cellStyle name="40% - Accent5" xfId="130" xr:uid="{00000000-0005-0000-0000-000068000000}"/>
    <cellStyle name="40% - Accent5 2" xfId="131" xr:uid="{00000000-0005-0000-0000-000069000000}"/>
    <cellStyle name="40% - Accent5 3" xfId="132" xr:uid="{00000000-0005-0000-0000-00006A000000}"/>
    <cellStyle name="40% - Accent5 4" xfId="133" xr:uid="{00000000-0005-0000-0000-00006B000000}"/>
    <cellStyle name="40% - Accent5 5" xfId="134" xr:uid="{00000000-0005-0000-0000-00006C000000}"/>
    <cellStyle name="40% - Accent6" xfId="135" xr:uid="{00000000-0005-0000-0000-00006D000000}"/>
    <cellStyle name="40% - Accent6 2" xfId="136" xr:uid="{00000000-0005-0000-0000-00006E000000}"/>
    <cellStyle name="40% - Accent6 3" xfId="137" xr:uid="{00000000-0005-0000-0000-00006F000000}"/>
    <cellStyle name="40% - Accent6 4" xfId="138" xr:uid="{00000000-0005-0000-0000-000070000000}"/>
    <cellStyle name="40% - Accent6 5" xfId="139" xr:uid="{00000000-0005-0000-0000-000071000000}"/>
    <cellStyle name="40% - Énfasis1 2" xfId="140" xr:uid="{00000000-0005-0000-0000-000072000000}"/>
    <cellStyle name="40% - Énfasis1 2 2" xfId="141" xr:uid="{00000000-0005-0000-0000-000073000000}"/>
    <cellStyle name="40% - Énfasis1 3" xfId="142" xr:uid="{00000000-0005-0000-0000-000074000000}"/>
    <cellStyle name="40% - Énfasis1 4" xfId="143" xr:uid="{00000000-0005-0000-0000-000075000000}"/>
    <cellStyle name="40% - Énfasis1 5" xfId="144" xr:uid="{00000000-0005-0000-0000-000076000000}"/>
    <cellStyle name="40% - Énfasis1 6" xfId="145" xr:uid="{00000000-0005-0000-0000-000077000000}"/>
    <cellStyle name="40% - Énfasis1 7" xfId="146" xr:uid="{00000000-0005-0000-0000-000078000000}"/>
    <cellStyle name="40% - Énfasis1 8" xfId="147" xr:uid="{00000000-0005-0000-0000-000079000000}"/>
    <cellStyle name="40% - Énfasis2 2" xfId="148" xr:uid="{00000000-0005-0000-0000-00007A000000}"/>
    <cellStyle name="40% - Énfasis2 2 2" xfId="149" xr:uid="{00000000-0005-0000-0000-00007B000000}"/>
    <cellStyle name="40% - Énfasis2 3" xfId="150" xr:uid="{00000000-0005-0000-0000-00007C000000}"/>
    <cellStyle name="40% - Énfasis2 4" xfId="151" xr:uid="{00000000-0005-0000-0000-00007D000000}"/>
    <cellStyle name="40% - Énfasis2 5" xfId="152" xr:uid="{00000000-0005-0000-0000-00007E000000}"/>
    <cellStyle name="40% - Énfasis2 6" xfId="153" xr:uid="{00000000-0005-0000-0000-00007F000000}"/>
    <cellStyle name="40% - Énfasis2 7" xfId="154" xr:uid="{00000000-0005-0000-0000-000080000000}"/>
    <cellStyle name="40% - Énfasis2 8" xfId="155" xr:uid="{00000000-0005-0000-0000-000081000000}"/>
    <cellStyle name="40% - Énfasis3 2" xfId="156" xr:uid="{00000000-0005-0000-0000-000082000000}"/>
    <cellStyle name="40% - Énfasis3 2 2" xfId="157" xr:uid="{00000000-0005-0000-0000-000083000000}"/>
    <cellStyle name="40% - Énfasis3 3" xfId="158" xr:uid="{00000000-0005-0000-0000-000084000000}"/>
    <cellStyle name="40% - Énfasis3 4" xfId="159" xr:uid="{00000000-0005-0000-0000-000085000000}"/>
    <cellStyle name="40% - Énfasis3 5" xfId="160" xr:uid="{00000000-0005-0000-0000-000086000000}"/>
    <cellStyle name="40% - Énfasis3 6" xfId="161" xr:uid="{00000000-0005-0000-0000-000087000000}"/>
    <cellStyle name="40% - Énfasis3 7" xfId="162" xr:uid="{00000000-0005-0000-0000-000088000000}"/>
    <cellStyle name="40% - Énfasis3 8" xfId="163" xr:uid="{00000000-0005-0000-0000-000089000000}"/>
    <cellStyle name="40% - Énfasis4 2" xfId="164" xr:uid="{00000000-0005-0000-0000-00008A000000}"/>
    <cellStyle name="40% - Énfasis4 2 2" xfId="165" xr:uid="{00000000-0005-0000-0000-00008B000000}"/>
    <cellStyle name="40% - Énfasis4 3" xfId="166" xr:uid="{00000000-0005-0000-0000-00008C000000}"/>
    <cellStyle name="40% - Énfasis4 4" xfId="167" xr:uid="{00000000-0005-0000-0000-00008D000000}"/>
    <cellStyle name="40% - Énfasis4 5" xfId="168" xr:uid="{00000000-0005-0000-0000-00008E000000}"/>
    <cellStyle name="40% - Énfasis4 6" xfId="169" xr:uid="{00000000-0005-0000-0000-00008F000000}"/>
    <cellStyle name="40% - Énfasis4 7" xfId="170" xr:uid="{00000000-0005-0000-0000-000090000000}"/>
    <cellStyle name="40% - Énfasis4 8" xfId="171" xr:uid="{00000000-0005-0000-0000-000091000000}"/>
    <cellStyle name="40% - Énfasis5 2" xfId="172" xr:uid="{00000000-0005-0000-0000-000092000000}"/>
    <cellStyle name="40% - Énfasis5 2 2" xfId="173" xr:uid="{00000000-0005-0000-0000-000093000000}"/>
    <cellStyle name="40% - Énfasis5 3" xfId="174" xr:uid="{00000000-0005-0000-0000-000094000000}"/>
    <cellStyle name="40% - Énfasis5 4" xfId="175" xr:uid="{00000000-0005-0000-0000-000095000000}"/>
    <cellStyle name="40% - Énfasis5 5" xfId="176" xr:uid="{00000000-0005-0000-0000-000096000000}"/>
    <cellStyle name="40% - Énfasis5 6" xfId="177" xr:uid="{00000000-0005-0000-0000-000097000000}"/>
    <cellStyle name="40% - Énfasis5 7" xfId="178" xr:uid="{00000000-0005-0000-0000-000098000000}"/>
    <cellStyle name="40% - Énfasis5 8" xfId="179" xr:uid="{00000000-0005-0000-0000-000099000000}"/>
    <cellStyle name="40% - Énfasis6 2" xfId="180" xr:uid="{00000000-0005-0000-0000-00009A000000}"/>
    <cellStyle name="40% - Énfasis6 2 2" xfId="181" xr:uid="{00000000-0005-0000-0000-00009B000000}"/>
    <cellStyle name="40% - Énfasis6 3" xfId="182" xr:uid="{00000000-0005-0000-0000-00009C000000}"/>
    <cellStyle name="40% - Énfasis6 4" xfId="183" xr:uid="{00000000-0005-0000-0000-00009D000000}"/>
    <cellStyle name="40% - Énfasis6 5" xfId="184" xr:uid="{00000000-0005-0000-0000-00009E000000}"/>
    <cellStyle name="40% - Énfasis6 6" xfId="185" xr:uid="{00000000-0005-0000-0000-00009F000000}"/>
    <cellStyle name="40% - Énfasis6 7" xfId="186" xr:uid="{00000000-0005-0000-0000-0000A0000000}"/>
    <cellStyle name="40% - Énfasis6 8" xfId="187" xr:uid="{00000000-0005-0000-0000-0000A1000000}"/>
    <cellStyle name="40% - 强调文字颜色 1" xfId="188" xr:uid="{00000000-0005-0000-0000-0000A2000000}"/>
    <cellStyle name="40% - 强调文字颜色 2" xfId="189" xr:uid="{00000000-0005-0000-0000-0000A3000000}"/>
    <cellStyle name="40% - 强调文字颜色 3" xfId="190" xr:uid="{00000000-0005-0000-0000-0000A4000000}"/>
    <cellStyle name="40% - 强调文字颜色 4" xfId="191" xr:uid="{00000000-0005-0000-0000-0000A5000000}"/>
    <cellStyle name="40% - 强调文字颜色 5" xfId="192" xr:uid="{00000000-0005-0000-0000-0000A6000000}"/>
    <cellStyle name="40% - 强调文字颜色 6" xfId="193" xr:uid="{00000000-0005-0000-0000-0000A7000000}"/>
    <cellStyle name="60% - Accent1" xfId="194" xr:uid="{00000000-0005-0000-0000-0000A8000000}"/>
    <cellStyle name="60% - Accent1 2" xfId="195" xr:uid="{00000000-0005-0000-0000-0000A9000000}"/>
    <cellStyle name="60% - Accent1 3" xfId="196" xr:uid="{00000000-0005-0000-0000-0000AA000000}"/>
    <cellStyle name="60% - Accent1 4" xfId="197" xr:uid="{00000000-0005-0000-0000-0000AB000000}"/>
    <cellStyle name="60% - Accent1 5" xfId="198" xr:uid="{00000000-0005-0000-0000-0000AC000000}"/>
    <cellStyle name="60% - Accent2" xfId="199" xr:uid="{00000000-0005-0000-0000-0000AD000000}"/>
    <cellStyle name="60% - Accent2 2" xfId="200" xr:uid="{00000000-0005-0000-0000-0000AE000000}"/>
    <cellStyle name="60% - Accent2 3" xfId="201" xr:uid="{00000000-0005-0000-0000-0000AF000000}"/>
    <cellStyle name="60% - Accent2 4" xfId="202" xr:uid="{00000000-0005-0000-0000-0000B0000000}"/>
    <cellStyle name="60% - Accent2 5" xfId="203" xr:uid="{00000000-0005-0000-0000-0000B1000000}"/>
    <cellStyle name="60% - Accent3" xfId="204" xr:uid="{00000000-0005-0000-0000-0000B2000000}"/>
    <cellStyle name="60% - Accent3 2" xfId="205" xr:uid="{00000000-0005-0000-0000-0000B3000000}"/>
    <cellStyle name="60% - Accent3 3" xfId="206" xr:uid="{00000000-0005-0000-0000-0000B4000000}"/>
    <cellStyle name="60% - Accent3 4" xfId="207" xr:uid="{00000000-0005-0000-0000-0000B5000000}"/>
    <cellStyle name="60% - Accent3 5" xfId="208" xr:uid="{00000000-0005-0000-0000-0000B6000000}"/>
    <cellStyle name="60% - Accent4" xfId="209" xr:uid="{00000000-0005-0000-0000-0000B7000000}"/>
    <cellStyle name="60% - Accent4 2" xfId="210" xr:uid="{00000000-0005-0000-0000-0000B8000000}"/>
    <cellStyle name="60% - Accent4 3" xfId="211" xr:uid="{00000000-0005-0000-0000-0000B9000000}"/>
    <cellStyle name="60% - Accent4 4" xfId="212" xr:uid="{00000000-0005-0000-0000-0000BA000000}"/>
    <cellStyle name="60% - Accent4 5" xfId="213" xr:uid="{00000000-0005-0000-0000-0000BB000000}"/>
    <cellStyle name="60% - Accent5" xfId="214" xr:uid="{00000000-0005-0000-0000-0000BC000000}"/>
    <cellStyle name="60% - Accent5 2" xfId="215" xr:uid="{00000000-0005-0000-0000-0000BD000000}"/>
    <cellStyle name="60% - Accent5 3" xfId="216" xr:uid="{00000000-0005-0000-0000-0000BE000000}"/>
    <cellStyle name="60% - Accent5 4" xfId="217" xr:uid="{00000000-0005-0000-0000-0000BF000000}"/>
    <cellStyle name="60% - Accent5 5" xfId="218" xr:uid="{00000000-0005-0000-0000-0000C0000000}"/>
    <cellStyle name="60% - Accent6" xfId="219" xr:uid="{00000000-0005-0000-0000-0000C1000000}"/>
    <cellStyle name="60% - Accent6 2" xfId="220" xr:uid="{00000000-0005-0000-0000-0000C2000000}"/>
    <cellStyle name="60% - Accent6 3" xfId="221" xr:uid="{00000000-0005-0000-0000-0000C3000000}"/>
    <cellStyle name="60% - Accent6 4" xfId="222" xr:uid="{00000000-0005-0000-0000-0000C4000000}"/>
    <cellStyle name="60% - Accent6 5" xfId="223" xr:uid="{00000000-0005-0000-0000-0000C5000000}"/>
    <cellStyle name="60% - Énfasis1 2" xfId="224" xr:uid="{00000000-0005-0000-0000-0000C6000000}"/>
    <cellStyle name="60% - Énfasis1 2 2" xfId="225" xr:uid="{00000000-0005-0000-0000-0000C7000000}"/>
    <cellStyle name="60% - Énfasis1 3" xfId="226" xr:uid="{00000000-0005-0000-0000-0000C8000000}"/>
    <cellStyle name="60% - Énfasis1 4" xfId="227" xr:uid="{00000000-0005-0000-0000-0000C9000000}"/>
    <cellStyle name="60% - Énfasis1 5" xfId="228" xr:uid="{00000000-0005-0000-0000-0000CA000000}"/>
    <cellStyle name="60% - Énfasis1 6" xfId="229" xr:uid="{00000000-0005-0000-0000-0000CB000000}"/>
    <cellStyle name="60% - Énfasis1 7" xfId="230" xr:uid="{00000000-0005-0000-0000-0000CC000000}"/>
    <cellStyle name="60% - Énfasis1 8" xfId="231" xr:uid="{00000000-0005-0000-0000-0000CD000000}"/>
    <cellStyle name="60% - Énfasis2 2" xfId="232" xr:uid="{00000000-0005-0000-0000-0000CE000000}"/>
    <cellStyle name="60% - Énfasis2 2 2" xfId="233" xr:uid="{00000000-0005-0000-0000-0000CF000000}"/>
    <cellStyle name="60% - Énfasis2 3" xfId="234" xr:uid="{00000000-0005-0000-0000-0000D0000000}"/>
    <cellStyle name="60% - Énfasis2 4" xfId="235" xr:uid="{00000000-0005-0000-0000-0000D1000000}"/>
    <cellStyle name="60% - Énfasis2 5" xfId="236" xr:uid="{00000000-0005-0000-0000-0000D2000000}"/>
    <cellStyle name="60% - Énfasis2 6" xfId="237" xr:uid="{00000000-0005-0000-0000-0000D3000000}"/>
    <cellStyle name="60% - Énfasis2 7" xfId="238" xr:uid="{00000000-0005-0000-0000-0000D4000000}"/>
    <cellStyle name="60% - Énfasis2 8" xfId="239" xr:uid="{00000000-0005-0000-0000-0000D5000000}"/>
    <cellStyle name="60% - Énfasis3 2" xfId="240" xr:uid="{00000000-0005-0000-0000-0000D6000000}"/>
    <cellStyle name="60% - Énfasis3 2 2" xfId="241" xr:uid="{00000000-0005-0000-0000-0000D7000000}"/>
    <cellStyle name="60% - Énfasis3 3" xfId="242" xr:uid="{00000000-0005-0000-0000-0000D8000000}"/>
    <cellStyle name="60% - Énfasis3 4" xfId="243" xr:uid="{00000000-0005-0000-0000-0000D9000000}"/>
    <cellStyle name="60% - Énfasis3 5" xfId="244" xr:uid="{00000000-0005-0000-0000-0000DA000000}"/>
    <cellStyle name="60% - Énfasis3 6" xfId="245" xr:uid="{00000000-0005-0000-0000-0000DB000000}"/>
    <cellStyle name="60% - Énfasis3 7" xfId="246" xr:uid="{00000000-0005-0000-0000-0000DC000000}"/>
    <cellStyle name="60% - Énfasis3 8" xfId="247" xr:uid="{00000000-0005-0000-0000-0000DD000000}"/>
    <cellStyle name="60% - Énfasis4 2" xfId="248" xr:uid="{00000000-0005-0000-0000-0000DE000000}"/>
    <cellStyle name="60% - Énfasis4 2 2" xfId="249" xr:uid="{00000000-0005-0000-0000-0000DF000000}"/>
    <cellStyle name="60% - Énfasis4 3" xfId="250" xr:uid="{00000000-0005-0000-0000-0000E0000000}"/>
    <cellStyle name="60% - Énfasis4 4" xfId="251" xr:uid="{00000000-0005-0000-0000-0000E1000000}"/>
    <cellStyle name="60% - Énfasis4 5" xfId="252" xr:uid="{00000000-0005-0000-0000-0000E2000000}"/>
    <cellStyle name="60% - Énfasis4 6" xfId="253" xr:uid="{00000000-0005-0000-0000-0000E3000000}"/>
    <cellStyle name="60% - Énfasis4 7" xfId="254" xr:uid="{00000000-0005-0000-0000-0000E4000000}"/>
    <cellStyle name="60% - Énfasis4 8" xfId="255" xr:uid="{00000000-0005-0000-0000-0000E5000000}"/>
    <cellStyle name="60% - Énfasis5 2" xfId="256" xr:uid="{00000000-0005-0000-0000-0000E6000000}"/>
    <cellStyle name="60% - Énfasis5 2 2" xfId="257" xr:uid="{00000000-0005-0000-0000-0000E7000000}"/>
    <cellStyle name="60% - Énfasis5 3" xfId="258" xr:uid="{00000000-0005-0000-0000-0000E8000000}"/>
    <cellStyle name="60% - Énfasis5 4" xfId="259" xr:uid="{00000000-0005-0000-0000-0000E9000000}"/>
    <cellStyle name="60% - Énfasis5 5" xfId="260" xr:uid="{00000000-0005-0000-0000-0000EA000000}"/>
    <cellStyle name="60% - Énfasis5 6" xfId="261" xr:uid="{00000000-0005-0000-0000-0000EB000000}"/>
    <cellStyle name="60% - Énfasis5 7" xfId="262" xr:uid="{00000000-0005-0000-0000-0000EC000000}"/>
    <cellStyle name="60% - Énfasis5 8" xfId="263" xr:uid="{00000000-0005-0000-0000-0000ED000000}"/>
    <cellStyle name="60% - Énfasis6 2" xfId="264" xr:uid="{00000000-0005-0000-0000-0000EE000000}"/>
    <cellStyle name="60% - Énfasis6 2 2" xfId="265" xr:uid="{00000000-0005-0000-0000-0000EF000000}"/>
    <cellStyle name="60% - Énfasis6 3" xfId="266" xr:uid="{00000000-0005-0000-0000-0000F0000000}"/>
    <cellStyle name="60% - Énfasis6 4" xfId="267" xr:uid="{00000000-0005-0000-0000-0000F1000000}"/>
    <cellStyle name="60% - Énfasis6 5" xfId="268" xr:uid="{00000000-0005-0000-0000-0000F2000000}"/>
    <cellStyle name="60% - Énfasis6 6" xfId="269" xr:uid="{00000000-0005-0000-0000-0000F3000000}"/>
    <cellStyle name="60% - Énfasis6 7" xfId="270" xr:uid="{00000000-0005-0000-0000-0000F4000000}"/>
    <cellStyle name="60% - Énfasis6 8" xfId="271" xr:uid="{00000000-0005-0000-0000-0000F5000000}"/>
    <cellStyle name="60% - 强调文字颜色 1" xfId="272" xr:uid="{00000000-0005-0000-0000-0000F6000000}"/>
    <cellStyle name="60% - 强调文字颜色 2" xfId="273" xr:uid="{00000000-0005-0000-0000-0000F7000000}"/>
    <cellStyle name="60% - 强调文字颜色 3" xfId="274" xr:uid="{00000000-0005-0000-0000-0000F8000000}"/>
    <cellStyle name="60% - 强调文字颜色 4" xfId="275" xr:uid="{00000000-0005-0000-0000-0000F9000000}"/>
    <cellStyle name="60% - 强调文字颜色 5" xfId="276" xr:uid="{00000000-0005-0000-0000-0000FA000000}"/>
    <cellStyle name="60% - 强调文字颜色 6" xfId="277" xr:uid="{00000000-0005-0000-0000-0000FB000000}"/>
    <cellStyle name="Accent1" xfId="278" xr:uid="{00000000-0005-0000-0000-0000FC000000}"/>
    <cellStyle name="Accent1 2" xfId="279" xr:uid="{00000000-0005-0000-0000-0000FD000000}"/>
    <cellStyle name="Accent1 3" xfId="280" xr:uid="{00000000-0005-0000-0000-0000FE000000}"/>
    <cellStyle name="Accent1 4" xfId="281" xr:uid="{00000000-0005-0000-0000-0000FF000000}"/>
    <cellStyle name="Accent1 5" xfId="282" xr:uid="{00000000-0005-0000-0000-000000010000}"/>
    <cellStyle name="Accent2" xfId="283" xr:uid="{00000000-0005-0000-0000-000001010000}"/>
    <cellStyle name="Accent2 2" xfId="284" xr:uid="{00000000-0005-0000-0000-000002010000}"/>
    <cellStyle name="Accent2 3" xfId="285" xr:uid="{00000000-0005-0000-0000-000003010000}"/>
    <cellStyle name="Accent2 4" xfId="286" xr:uid="{00000000-0005-0000-0000-000004010000}"/>
    <cellStyle name="Accent2 5" xfId="287" xr:uid="{00000000-0005-0000-0000-000005010000}"/>
    <cellStyle name="Accent3" xfId="288" xr:uid="{00000000-0005-0000-0000-000006010000}"/>
    <cellStyle name="Accent3 2" xfId="289" xr:uid="{00000000-0005-0000-0000-000007010000}"/>
    <cellStyle name="Accent3 3" xfId="290" xr:uid="{00000000-0005-0000-0000-000008010000}"/>
    <cellStyle name="Accent3 4" xfId="291" xr:uid="{00000000-0005-0000-0000-000009010000}"/>
    <cellStyle name="Accent3 5" xfId="292" xr:uid="{00000000-0005-0000-0000-00000A010000}"/>
    <cellStyle name="Accent4" xfId="293" xr:uid="{00000000-0005-0000-0000-00000B010000}"/>
    <cellStyle name="Accent4 2" xfId="294" xr:uid="{00000000-0005-0000-0000-00000C010000}"/>
    <cellStyle name="Accent4 3" xfId="295" xr:uid="{00000000-0005-0000-0000-00000D010000}"/>
    <cellStyle name="Accent4 4" xfId="296" xr:uid="{00000000-0005-0000-0000-00000E010000}"/>
    <cellStyle name="Accent4 5" xfId="297" xr:uid="{00000000-0005-0000-0000-00000F010000}"/>
    <cellStyle name="Accent5" xfId="298" xr:uid="{00000000-0005-0000-0000-000010010000}"/>
    <cellStyle name="Accent5 2" xfId="299" xr:uid="{00000000-0005-0000-0000-000011010000}"/>
    <cellStyle name="Accent5 3" xfId="300" xr:uid="{00000000-0005-0000-0000-000012010000}"/>
    <cellStyle name="Accent5 4" xfId="301" xr:uid="{00000000-0005-0000-0000-000013010000}"/>
    <cellStyle name="Accent5 5" xfId="302" xr:uid="{00000000-0005-0000-0000-000014010000}"/>
    <cellStyle name="Accent6" xfId="303" xr:uid="{00000000-0005-0000-0000-000015010000}"/>
    <cellStyle name="Accent6 2" xfId="304" xr:uid="{00000000-0005-0000-0000-000016010000}"/>
    <cellStyle name="Accent6 3" xfId="305" xr:uid="{00000000-0005-0000-0000-000017010000}"/>
    <cellStyle name="Accent6 4" xfId="306" xr:uid="{00000000-0005-0000-0000-000018010000}"/>
    <cellStyle name="Accent6 5" xfId="307" xr:uid="{00000000-0005-0000-0000-000019010000}"/>
    <cellStyle name="Bad" xfId="308" xr:uid="{00000000-0005-0000-0000-00001A010000}"/>
    <cellStyle name="Bad 2" xfId="309" xr:uid="{00000000-0005-0000-0000-00001B010000}"/>
    <cellStyle name="Bad 3" xfId="310" xr:uid="{00000000-0005-0000-0000-00001C010000}"/>
    <cellStyle name="Bad 4" xfId="311" xr:uid="{00000000-0005-0000-0000-00001D010000}"/>
    <cellStyle name="Bad 5" xfId="312" xr:uid="{00000000-0005-0000-0000-00001E010000}"/>
    <cellStyle name="Buena 2" xfId="313" xr:uid="{00000000-0005-0000-0000-00001F010000}"/>
    <cellStyle name="Buena 2 2" xfId="314" xr:uid="{00000000-0005-0000-0000-000020010000}"/>
    <cellStyle name="Buena 2 2 2" xfId="315" xr:uid="{00000000-0005-0000-0000-000021010000}"/>
    <cellStyle name="Buena 2 2 2 2" xfId="316" xr:uid="{00000000-0005-0000-0000-000022010000}"/>
    <cellStyle name="Buena 2 2 2 2 2" xfId="317" xr:uid="{00000000-0005-0000-0000-000023010000}"/>
    <cellStyle name="Buena 2 2 3" xfId="318" xr:uid="{00000000-0005-0000-0000-000024010000}"/>
    <cellStyle name="Buena 2 2 4" xfId="319" xr:uid="{00000000-0005-0000-0000-000025010000}"/>
    <cellStyle name="Buena 2 3" xfId="320" xr:uid="{00000000-0005-0000-0000-000026010000}"/>
    <cellStyle name="Buena 2 4" xfId="321" xr:uid="{00000000-0005-0000-0000-000027010000}"/>
    <cellStyle name="Buena 3" xfId="322" xr:uid="{00000000-0005-0000-0000-000028010000}"/>
    <cellStyle name="Buena 4" xfId="323" xr:uid="{00000000-0005-0000-0000-000029010000}"/>
    <cellStyle name="Buena 5" xfId="324" xr:uid="{00000000-0005-0000-0000-00002A010000}"/>
    <cellStyle name="Buena 6" xfId="325" xr:uid="{00000000-0005-0000-0000-00002B010000}"/>
    <cellStyle name="Buena 7" xfId="326" xr:uid="{00000000-0005-0000-0000-00002C010000}"/>
    <cellStyle name="Buena 8" xfId="327" xr:uid="{00000000-0005-0000-0000-00002D010000}"/>
    <cellStyle name="Buena 9" xfId="328" xr:uid="{00000000-0005-0000-0000-00002E010000}"/>
    <cellStyle name="Calculation" xfId="329" xr:uid="{00000000-0005-0000-0000-00002F010000}"/>
    <cellStyle name="Calculation 2" xfId="330" xr:uid="{00000000-0005-0000-0000-000030010000}"/>
    <cellStyle name="Calculation 3" xfId="331" xr:uid="{00000000-0005-0000-0000-000031010000}"/>
    <cellStyle name="Calculation 4" xfId="332" xr:uid="{00000000-0005-0000-0000-000032010000}"/>
    <cellStyle name="Calculation 5" xfId="333" xr:uid="{00000000-0005-0000-0000-000033010000}"/>
    <cellStyle name="Cálculo 2" xfId="334" xr:uid="{00000000-0005-0000-0000-000034010000}"/>
    <cellStyle name="Cálculo 2 2" xfId="335" xr:uid="{00000000-0005-0000-0000-000035010000}"/>
    <cellStyle name="Cálculo 3" xfId="336" xr:uid="{00000000-0005-0000-0000-000036010000}"/>
    <cellStyle name="Cálculo 4" xfId="337" xr:uid="{00000000-0005-0000-0000-000037010000}"/>
    <cellStyle name="Cálculo 5" xfId="338" xr:uid="{00000000-0005-0000-0000-000038010000}"/>
    <cellStyle name="Cálculo 6" xfId="339" xr:uid="{00000000-0005-0000-0000-000039010000}"/>
    <cellStyle name="Cálculo 7" xfId="340" xr:uid="{00000000-0005-0000-0000-00003A010000}"/>
    <cellStyle name="Cálculo 8" xfId="341" xr:uid="{00000000-0005-0000-0000-00003B010000}"/>
    <cellStyle name="Celda de comprobación 2" xfId="342" xr:uid="{00000000-0005-0000-0000-00003C010000}"/>
    <cellStyle name="Celda de comprobación 2 2" xfId="343" xr:uid="{00000000-0005-0000-0000-00003D010000}"/>
    <cellStyle name="Celda de comprobación 2 2 2" xfId="344" xr:uid="{00000000-0005-0000-0000-00003E010000}"/>
    <cellStyle name="Celda de comprobación 2 2 2 2" xfId="345" xr:uid="{00000000-0005-0000-0000-00003F010000}"/>
    <cellStyle name="Celda de comprobación 2 2 2 2 2" xfId="346" xr:uid="{00000000-0005-0000-0000-000040010000}"/>
    <cellStyle name="Celda de comprobación 2 2 3" xfId="347" xr:uid="{00000000-0005-0000-0000-000041010000}"/>
    <cellStyle name="Celda de comprobación 2 2 4" xfId="348" xr:uid="{00000000-0005-0000-0000-000042010000}"/>
    <cellStyle name="Celda de comprobación 2 3" xfId="349" xr:uid="{00000000-0005-0000-0000-000043010000}"/>
    <cellStyle name="Celda de comprobación 2 4" xfId="350" xr:uid="{00000000-0005-0000-0000-000044010000}"/>
    <cellStyle name="Celda de comprobación 3" xfId="351" xr:uid="{00000000-0005-0000-0000-000045010000}"/>
    <cellStyle name="Celda de comprobación 4" xfId="352" xr:uid="{00000000-0005-0000-0000-000046010000}"/>
    <cellStyle name="Celda de comprobación 5" xfId="353" xr:uid="{00000000-0005-0000-0000-000047010000}"/>
    <cellStyle name="Celda de comprobación 6" xfId="354" xr:uid="{00000000-0005-0000-0000-000048010000}"/>
    <cellStyle name="Celda de comprobación 7" xfId="355" xr:uid="{00000000-0005-0000-0000-000049010000}"/>
    <cellStyle name="Celda de comprobación 8" xfId="356" xr:uid="{00000000-0005-0000-0000-00004A010000}"/>
    <cellStyle name="Celda de comprobación 9" xfId="357" xr:uid="{00000000-0005-0000-0000-00004B010000}"/>
    <cellStyle name="Celda vinculada 2" xfId="358" xr:uid="{00000000-0005-0000-0000-00004C010000}"/>
    <cellStyle name="Celda vinculada 2 2" xfId="359" xr:uid="{00000000-0005-0000-0000-00004D010000}"/>
    <cellStyle name="Celda vinculada 2 2 2" xfId="360" xr:uid="{00000000-0005-0000-0000-00004E010000}"/>
    <cellStyle name="Celda vinculada 2 2 2 2" xfId="361" xr:uid="{00000000-0005-0000-0000-00004F010000}"/>
    <cellStyle name="Celda vinculada 2 2 2 2 2" xfId="362" xr:uid="{00000000-0005-0000-0000-000050010000}"/>
    <cellStyle name="Celda vinculada 2 2 3" xfId="363" xr:uid="{00000000-0005-0000-0000-000051010000}"/>
    <cellStyle name="Celda vinculada 2 2 4" xfId="364" xr:uid="{00000000-0005-0000-0000-000052010000}"/>
    <cellStyle name="Celda vinculada 2 3" xfId="365" xr:uid="{00000000-0005-0000-0000-000053010000}"/>
    <cellStyle name="Celda vinculada 2 4" xfId="366" xr:uid="{00000000-0005-0000-0000-000054010000}"/>
    <cellStyle name="Celda vinculada 3" xfId="367" xr:uid="{00000000-0005-0000-0000-000055010000}"/>
    <cellStyle name="Celda vinculada 4" xfId="368" xr:uid="{00000000-0005-0000-0000-000056010000}"/>
    <cellStyle name="Celda vinculada 5" xfId="369" xr:uid="{00000000-0005-0000-0000-000057010000}"/>
    <cellStyle name="Celda vinculada 6" xfId="370" xr:uid="{00000000-0005-0000-0000-000058010000}"/>
    <cellStyle name="Celda vinculada 7" xfId="371" xr:uid="{00000000-0005-0000-0000-000059010000}"/>
    <cellStyle name="Celda vinculada 8" xfId="372" xr:uid="{00000000-0005-0000-0000-00005A010000}"/>
    <cellStyle name="Celda vinculada 9" xfId="373" xr:uid="{00000000-0005-0000-0000-00005B010000}"/>
    <cellStyle name="Check Cell" xfId="374" xr:uid="{00000000-0005-0000-0000-00005C010000}"/>
    <cellStyle name="Check Cell 2" xfId="375" xr:uid="{00000000-0005-0000-0000-00005D010000}"/>
    <cellStyle name="Check Cell 3" xfId="376" xr:uid="{00000000-0005-0000-0000-00005E010000}"/>
    <cellStyle name="Check Cell 4" xfId="377" xr:uid="{00000000-0005-0000-0000-00005F010000}"/>
    <cellStyle name="Check Cell 5" xfId="378" xr:uid="{00000000-0005-0000-0000-000060010000}"/>
    <cellStyle name="Coma 2" xfId="379" xr:uid="{00000000-0005-0000-0000-000061010000}"/>
    <cellStyle name="Encabezado 4 2" xfId="380" xr:uid="{00000000-0005-0000-0000-000062010000}"/>
    <cellStyle name="Encabezado 4 2 2" xfId="381" xr:uid="{00000000-0005-0000-0000-000063010000}"/>
    <cellStyle name="Encabezado 4 2 2 2" xfId="382" xr:uid="{00000000-0005-0000-0000-000064010000}"/>
    <cellStyle name="Encabezado 4 2 2 2 2" xfId="383" xr:uid="{00000000-0005-0000-0000-000065010000}"/>
    <cellStyle name="Encabezado 4 2 2 2 2 2" xfId="384" xr:uid="{00000000-0005-0000-0000-000066010000}"/>
    <cellStyle name="Encabezado 4 2 2 3" xfId="385" xr:uid="{00000000-0005-0000-0000-000067010000}"/>
    <cellStyle name="Encabezado 4 2 2 4" xfId="386" xr:uid="{00000000-0005-0000-0000-000068010000}"/>
    <cellStyle name="Encabezado 4 2 3" xfId="387" xr:uid="{00000000-0005-0000-0000-000069010000}"/>
    <cellStyle name="Encabezado 4 2 4" xfId="388" xr:uid="{00000000-0005-0000-0000-00006A010000}"/>
    <cellStyle name="Encabezado 4 3" xfId="389" xr:uid="{00000000-0005-0000-0000-00006B010000}"/>
    <cellStyle name="Encabezado 4 4" xfId="390" xr:uid="{00000000-0005-0000-0000-00006C010000}"/>
    <cellStyle name="Encabezado 4 5" xfId="391" xr:uid="{00000000-0005-0000-0000-00006D010000}"/>
    <cellStyle name="Encabezado 4 6" xfId="392" xr:uid="{00000000-0005-0000-0000-00006E010000}"/>
    <cellStyle name="Encabezado 4 7" xfId="393" xr:uid="{00000000-0005-0000-0000-00006F010000}"/>
    <cellStyle name="Encabezado 4 8" xfId="394" xr:uid="{00000000-0005-0000-0000-000070010000}"/>
    <cellStyle name="Encabezado 4 9" xfId="395" xr:uid="{00000000-0005-0000-0000-000071010000}"/>
    <cellStyle name="Énfasis1 2" xfId="396" xr:uid="{00000000-0005-0000-0000-000072010000}"/>
    <cellStyle name="Énfasis1 2 2" xfId="397" xr:uid="{00000000-0005-0000-0000-000073010000}"/>
    <cellStyle name="Énfasis1 3" xfId="398" xr:uid="{00000000-0005-0000-0000-000074010000}"/>
    <cellStyle name="Énfasis1 4" xfId="399" xr:uid="{00000000-0005-0000-0000-000075010000}"/>
    <cellStyle name="Énfasis1 5" xfId="400" xr:uid="{00000000-0005-0000-0000-000076010000}"/>
    <cellStyle name="Énfasis1 6" xfId="401" xr:uid="{00000000-0005-0000-0000-000077010000}"/>
    <cellStyle name="Énfasis1 7" xfId="402" xr:uid="{00000000-0005-0000-0000-000078010000}"/>
    <cellStyle name="Énfasis1 8" xfId="403" xr:uid="{00000000-0005-0000-0000-000079010000}"/>
    <cellStyle name="Énfasis2 2" xfId="404" xr:uid="{00000000-0005-0000-0000-00007A010000}"/>
    <cellStyle name="Énfasis2 2 2" xfId="405" xr:uid="{00000000-0005-0000-0000-00007B010000}"/>
    <cellStyle name="Énfasis2 3" xfId="406" xr:uid="{00000000-0005-0000-0000-00007C010000}"/>
    <cellStyle name="Énfasis2 4" xfId="407" xr:uid="{00000000-0005-0000-0000-00007D010000}"/>
    <cellStyle name="Énfasis2 5" xfId="408" xr:uid="{00000000-0005-0000-0000-00007E010000}"/>
    <cellStyle name="Énfasis2 6" xfId="409" xr:uid="{00000000-0005-0000-0000-00007F010000}"/>
    <cellStyle name="Énfasis2 7" xfId="410" xr:uid="{00000000-0005-0000-0000-000080010000}"/>
    <cellStyle name="Énfasis2 8" xfId="411" xr:uid="{00000000-0005-0000-0000-000081010000}"/>
    <cellStyle name="Énfasis3 2" xfId="412" xr:uid="{00000000-0005-0000-0000-000082010000}"/>
    <cellStyle name="Énfasis3 2 2" xfId="413" xr:uid="{00000000-0005-0000-0000-000083010000}"/>
    <cellStyle name="Énfasis3 3" xfId="414" xr:uid="{00000000-0005-0000-0000-000084010000}"/>
    <cellStyle name="Énfasis3 4" xfId="415" xr:uid="{00000000-0005-0000-0000-000085010000}"/>
    <cellStyle name="Énfasis3 5" xfId="416" xr:uid="{00000000-0005-0000-0000-000086010000}"/>
    <cellStyle name="Énfasis3 6" xfId="417" xr:uid="{00000000-0005-0000-0000-000087010000}"/>
    <cellStyle name="Énfasis3 7" xfId="418" xr:uid="{00000000-0005-0000-0000-000088010000}"/>
    <cellStyle name="Énfasis3 8" xfId="419" xr:uid="{00000000-0005-0000-0000-000089010000}"/>
    <cellStyle name="Énfasis4 2" xfId="420" xr:uid="{00000000-0005-0000-0000-00008A010000}"/>
    <cellStyle name="Énfasis4 2 2" xfId="421" xr:uid="{00000000-0005-0000-0000-00008B010000}"/>
    <cellStyle name="Énfasis4 3" xfId="422" xr:uid="{00000000-0005-0000-0000-00008C010000}"/>
    <cellStyle name="Énfasis4 4" xfId="423" xr:uid="{00000000-0005-0000-0000-00008D010000}"/>
    <cellStyle name="Énfasis4 5" xfId="424" xr:uid="{00000000-0005-0000-0000-00008E010000}"/>
    <cellStyle name="Énfasis4 6" xfId="425" xr:uid="{00000000-0005-0000-0000-00008F010000}"/>
    <cellStyle name="Énfasis4 7" xfId="426" xr:uid="{00000000-0005-0000-0000-000090010000}"/>
    <cellStyle name="Énfasis4 8" xfId="427" xr:uid="{00000000-0005-0000-0000-000091010000}"/>
    <cellStyle name="Énfasis5 2" xfId="428" xr:uid="{00000000-0005-0000-0000-000092010000}"/>
    <cellStyle name="Énfasis5 2 2" xfId="429" xr:uid="{00000000-0005-0000-0000-000093010000}"/>
    <cellStyle name="Énfasis5 3" xfId="430" xr:uid="{00000000-0005-0000-0000-000094010000}"/>
    <cellStyle name="Énfasis5 4" xfId="431" xr:uid="{00000000-0005-0000-0000-000095010000}"/>
    <cellStyle name="Énfasis5 5" xfId="432" xr:uid="{00000000-0005-0000-0000-000096010000}"/>
    <cellStyle name="Énfasis5 6" xfId="433" xr:uid="{00000000-0005-0000-0000-000097010000}"/>
    <cellStyle name="Énfasis5 7" xfId="434" xr:uid="{00000000-0005-0000-0000-000098010000}"/>
    <cellStyle name="Énfasis5 8" xfId="435" xr:uid="{00000000-0005-0000-0000-000099010000}"/>
    <cellStyle name="Énfasis6 2" xfId="436" xr:uid="{00000000-0005-0000-0000-00009A010000}"/>
    <cellStyle name="Énfasis6 2 2" xfId="437" xr:uid="{00000000-0005-0000-0000-00009B010000}"/>
    <cellStyle name="Énfasis6 3" xfId="438" xr:uid="{00000000-0005-0000-0000-00009C010000}"/>
    <cellStyle name="Énfasis6 4" xfId="439" xr:uid="{00000000-0005-0000-0000-00009D010000}"/>
    <cellStyle name="Énfasis6 5" xfId="440" xr:uid="{00000000-0005-0000-0000-00009E010000}"/>
    <cellStyle name="Énfasis6 6" xfId="441" xr:uid="{00000000-0005-0000-0000-00009F010000}"/>
    <cellStyle name="Énfasis6 7" xfId="442" xr:uid="{00000000-0005-0000-0000-0000A0010000}"/>
    <cellStyle name="Énfasis6 8" xfId="443" xr:uid="{00000000-0005-0000-0000-0000A1010000}"/>
    <cellStyle name="Entrada 2" xfId="444" xr:uid="{00000000-0005-0000-0000-0000A2010000}"/>
    <cellStyle name="Entrada 2 2" xfId="445" xr:uid="{00000000-0005-0000-0000-0000A3010000}"/>
    <cellStyle name="Entrada 2 2 2" xfId="446" xr:uid="{00000000-0005-0000-0000-0000A4010000}"/>
    <cellStyle name="Entrada 2 2 2 2" xfId="447" xr:uid="{00000000-0005-0000-0000-0000A5010000}"/>
    <cellStyle name="Entrada 2 2 2 2 2" xfId="448" xr:uid="{00000000-0005-0000-0000-0000A6010000}"/>
    <cellStyle name="Entrada 2 2 3" xfId="449" xr:uid="{00000000-0005-0000-0000-0000A7010000}"/>
    <cellStyle name="Entrada 2 2 4" xfId="450" xr:uid="{00000000-0005-0000-0000-0000A8010000}"/>
    <cellStyle name="Entrada 2 3" xfId="451" xr:uid="{00000000-0005-0000-0000-0000A9010000}"/>
    <cellStyle name="Entrada 2 4" xfId="452" xr:uid="{00000000-0005-0000-0000-0000AA010000}"/>
    <cellStyle name="Entrada 3" xfId="453" xr:uid="{00000000-0005-0000-0000-0000AB010000}"/>
    <cellStyle name="Entrada 4" xfId="454" xr:uid="{00000000-0005-0000-0000-0000AC010000}"/>
    <cellStyle name="Entrada 5" xfId="455" xr:uid="{00000000-0005-0000-0000-0000AD010000}"/>
    <cellStyle name="Entrada 6" xfId="456" xr:uid="{00000000-0005-0000-0000-0000AE010000}"/>
    <cellStyle name="Entrada 7" xfId="457" xr:uid="{00000000-0005-0000-0000-0000AF010000}"/>
    <cellStyle name="Entrada 8" xfId="458" xr:uid="{00000000-0005-0000-0000-0000B0010000}"/>
    <cellStyle name="Entrada 9" xfId="459" xr:uid="{00000000-0005-0000-0000-0000B1010000}"/>
    <cellStyle name="Estilo 1" xfId="460" xr:uid="{00000000-0005-0000-0000-0000B2010000}"/>
    <cellStyle name="Estilo 1 10" xfId="461" xr:uid="{00000000-0005-0000-0000-0000B3010000}"/>
    <cellStyle name="Estilo 1 10 2" xfId="462" xr:uid="{00000000-0005-0000-0000-0000B4010000}"/>
    <cellStyle name="Estilo 1 10 3" xfId="463" xr:uid="{00000000-0005-0000-0000-0000B5010000}"/>
    <cellStyle name="Estilo 1 10_Enlaces" xfId="464" xr:uid="{00000000-0005-0000-0000-0000B6010000}"/>
    <cellStyle name="Estilo 1 100" xfId="465" xr:uid="{00000000-0005-0000-0000-0000B7010000}"/>
    <cellStyle name="Estilo 1 100 2" xfId="466" xr:uid="{00000000-0005-0000-0000-0000B8010000}"/>
    <cellStyle name="Estilo 1 101" xfId="467" xr:uid="{00000000-0005-0000-0000-0000B9010000}"/>
    <cellStyle name="Estilo 1 101 2" xfId="468" xr:uid="{00000000-0005-0000-0000-0000BA010000}"/>
    <cellStyle name="Estilo 1 102" xfId="469" xr:uid="{00000000-0005-0000-0000-0000BB010000}"/>
    <cellStyle name="Estilo 1 102 2" xfId="470" xr:uid="{00000000-0005-0000-0000-0000BC010000}"/>
    <cellStyle name="Estilo 1 103" xfId="471" xr:uid="{00000000-0005-0000-0000-0000BD010000}"/>
    <cellStyle name="Estilo 1 103 2" xfId="472" xr:uid="{00000000-0005-0000-0000-0000BE010000}"/>
    <cellStyle name="Estilo 1 104" xfId="473" xr:uid="{00000000-0005-0000-0000-0000BF010000}"/>
    <cellStyle name="Estilo 1 104 2" xfId="474" xr:uid="{00000000-0005-0000-0000-0000C0010000}"/>
    <cellStyle name="Estilo 1 105" xfId="475" xr:uid="{00000000-0005-0000-0000-0000C1010000}"/>
    <cellStyle name="Estilo 1 105 2" xfId="476" xr:uid="{00000000-0005-0000-0000-0000C2010000}"/>
    <cellStyle name="Estilo 1 106" xfId="477" xr:uid="{00000000-0005-0000-0000-0000C3010000}"/>
    <cellStyle name="Estilo 1 106 2" xfId="478" xr:uid="{00000000-0005-0000-0000-0000C4010000}"/>
    <cellStyle name="Estilo 1 107" xfId="479" xr:uid="{00000000-0005-0000-0000-0000C5010000}"/>
    <cellStyle name="Estilo 1 107 2" xfId="480" xr:uid="{00000000-0005-0000-0000-0000C6010000}"/>
    <cellStyle name="Estilo 1 108" xfId="481" xr:uid="{00000000-0005-0000-0000-0000C7010000}"/>
    <cellStyle name="Estilo 1 108 2" xfId="482" xr:uid="{00000000-0005-0000-0000-0000C8010000}"/>
    <cellStyle name="Estilo 1 109" xfId="483" xr:uid="{00000000-0005-0000-0000-0000C9010000}"/>
    <cellStyle name="Estilo 1 109 2" xfId="484" xr:uid="{00000000-0005-0000-0000-0000CA010000}"/>
    <cellStyle name="Estilo 1 11" xfId="485" xr:uid="{00000000-0005-0000-0000-0000CB010000}"/>
    <cellStyle name="Estilo 1 11 2" xfId="486" xr:uid="{00000000-0005-0000-0000-0000CC010000}"/>
    <cellStyle name="Estilo 1 11 3" xfId="487" xr:uid="{00000000-0005-0000-0000-0000CD010000}"/>
    <cellStyle name="Estilo 1 11_Enlaces" xfId="488" xr:uid="{00000000-0005-0000-0000-0000CE010000}"/>
    <cellStyle name="Estilo 1 110" xfId="489" xr:uid="{00000000-0005-0000-0000-0000CF010000}"/>
    <cellStyle name="Estilo 1 110 2" xfId="490" xr:uid="{00000000-0005-0000-0000-0000D0010000}"/>
    <cellStyle name="Estilo 1 111" xfId="491" xr:uid="{00000000-0005-0000-0000-0000D1010000}"/>
    <cellStyle name="Estilo 1 111 2" xfId="492" xr:uid="{00000000-0005-0000-0000-0000D2010000}"/>
    <cellStyle name="Estilo 1 112" xfId="493" xr:uid="{00000000-0005-0000-0000-0000D3010000}"/>
    <cellStyle name="Estilo 1 112 2" xfId="494" xr:uid="{00000000-0005-0000-0000-0000D4010000}"/>
    <cellStyle name="Estilo 1 113" xfId="495" xr:uid="{00000000-0005-0000-0000-0000D5010000}"/>
    <cellStyle name="Estilo 1 113 2" xfId="496" xr:uid="{00000000-0005-0000-0000-0000D6010000}"/>
    <cellStyle name="Estilo 1 114" xfId="497" xr:uid="{00000000-0005-0000-0000-0000D7010000}"/>
    <cellStyle name="Estilo 1 114 2" xfId="498" xr:uid="{00000000-0005-0000-0000-0000D8010000}"/>
    <cellStyle name="Estilo 1 115" xfId="499" xr:uid="{00000000-0005-0000-0000-0000D9010000}"/>
    <cellStyle name="Estilo 1 115 2" xfId="500" xr:uid="{00000000-0005-0000-0000-0000DA010000}"/>
    <cellStyle name="Estilo 1 116" xfId="501" xr:uid="{00000000-0005-0000-0000-0000DB010000}"/>
    <cellStyle name="Estilo 1 116 2" xfId="502" xr:uid="{00000000-0005-0000-0000-0000DC010000}"/>
    <cellStyle name="Estilo 1 117" xfId="503" xr:uid="{00000000-0005-0000-0000-0000DD010000}"/>
    <cellStyle name="Estilo 1 117 2" xfId="504" xr:uid="{00000000-0005-0000-0000-0000DE010000}"/>
    <cellStyle name="Estilo 1 118" xfId="505" xr:uid="{00000000-0005-0000-0000-0000DF010000}"/>
    <cellStyle name="Estilo 1 118 2" xfId="506" xr:uid="{00000000-0005-0000-0000-0000E0010000}"/>
    <cellStyle name="Estilo 1 119" xfId="507" xr:uid="{00000000-0005-0000-0000-0000E1010000}"/>
    <cellStyle name="Estilo 1 119 2" xfId="508" xr:uid="{00000000-0005-0000-0000-0000E2010000}"/>
    <cellStyle name="Estilo 1 12" xfId="509" xr:uid="{00000000-0005-0000-0000-0000E3010000}"/>
    <cellStyle name="Estilo 1 12 2" xfId="510" xr:uid="{00000000-0005-0000-0000-0000E4010000}"/>
    <cellStyle name="Estilo 1 12 3" xfId="511" xr:uid="{00000000-0005-0000-0000-0000E5010000}"/>
    <cellStyle name="Estilo 1 12_Enlaces" xfId="512" xr:uid="{00000000-0005-0000-0000-0000E6010000}"/>
    <cellStyle name="Estilo 1 120" xfId="513" xr:uid="{00000000-0005-0000-0000-0000E7010000}"/>
    <cellStyle name="Estilo 1 120 2" xfId="514" xr:uid="{00000000-0005-0000-0000-0000E8010000}"/>
    <cellStyle name="Estilo 1 121" xfId="515" xr:uid="{00000000-0005-0000-0000-0000E9010000}"/>
    <cellStyle name="Estilo 1 121 2" xfId="516" xr:uid="{00000000-0005-0000-0000-0000EA010000}"/>
    <cellStyle name="Estilo 1 122" xfId="517" xr:uid="{00000000-0005-0000-0000-0000EB010000}"/>
    <cellStyle name="Estilo 1 122 2" xfId="518" xr:uid="{00000000-0005-0000-0000-0000EC010000}"/>
    <cellStyle name="Estilo 1 123" xfId="519" xr:uid="{00000000-0005-0000-0000-0000ED010000}"/>
    <cellStyle name="Estilo 1 123 2" xfId="520" xr:uid="{00000000-0005-0000-0000-0000EE010000}"/>
    <cellStyle name="Estilo 1 124" xfId="521" xr:uid="{00000000-0005-0000-0000-0000EF010000}"/>
    <cellStyle name="Estilo 1 124 2" xfId="522" xr:uid="{00000000-0005-0000-0000-0000F0010000}"/>
    <cellStyle name="Estilo 1 125" xfId="523" xr:uid="{00000000-0005-0000-0000-0000F1010000}"/>
    <cellStyle name="Estilo 1 125 2" xfId="524" xr:uid="{00000000-0005-0000-0000-0000F2010000}"/>
    <cellStyle name="Estilo 1 126" xfId="525" xr:uid="{00000000-0005-0000-0000-0000F3010000}"/>
    <cellStyle name="Estilo 1 126 2" xfId="526" xr:uid="{00000000-0005-0000-0000-0000F4010000}"/>
    <cellStyle name="Estilo 1 127" xfId="527" xr:uid="{00000000-0005-0000-0000-0000F5010000}"/>
    <cellStyle name="Estilo 1 127 2" xfId="528" xr:uid="{00000000-0005-0000-0000-0000F6010000}"/>
    <cellStyle name="Estilo 1 128" xfId="529" xr:uid="{00000000-0005-0000-0000-0000F7010000}"/>
    <cellStyle name="Estilo 1 128 2" xfId="530" xr:uid="{00000000-0005-0000-0000-0000F8010000}"/>
    <cellStyle name="Estilo 1 129" xfId="531" xr:uid="{00000000-0005-0000-0000-0000F9010000}"/>
    <cellStyle name="Estilo 1 129 2" xfId="532" xr:uid="{00000000-0005-0000-0000-0000FA010000}"/>
    <cellStyle name="Estilo 1 13" xfId="533" xr:uid="{00000000-0005-0000-0000-0000FB010000}"/>
    <cellStyle name="Estilo 1 13 2" xfId="534" xr:uid="{00000000-0005-0000-0000-0000FC010000}"/>
    <cellStyle name="Estilo 1 13 3" xfId="535" xr:uid="{00000000-0005-0000-0000-0000FD010000}"/>
    <cellStyle name="Estilo 1 13_Enlaces" xfId="536" xr:uid="{00000000-0005-0000-0000-0000FE010000}"/>
    <cellStyle name="Estilo 1 130" xfId="537" xr:uid="{00000000-0005-0000-0000-0000FF010000}"/>
    <cellStyle name="Estilo 1 130 2" xfId="538" xr:uid="{00000000-0005-0000-0000-000000020000}"/>
    <cellStyle name="Estilo 1 131" xfId="539" xr:uid="{00000000-0005-0000-0000-000001020000}"/>
    <cellStyle name="Estilo 1 131 2" xfId="540" xr:uid="{00000000-0005-0000-0000-000002020000}"/>
    <cellStyle name="Estilo 1 132" xfId="541" xr:uid="{00000000-0005-0000-0000-000003020000}"/>
    <cellStyle name="Estilo 1 132 2" xfId="542" xr:uid="{00000000-0005-0000-0000-000004020000}"/>
    <cellStyle name="Estilo 1 133" xfId="543" xr:uid="{00000000-0005-0000-0000-000005020000}"/>
    <cellStyle name="Estilo 1 133 2" xfId="544" xr:uid="{00000000-0005-0000-0000-000006020000}"/>
    <cellStyle name="Estilo 1 134" xfId="545" xr:uid="{00000000-0005-0000-0000-000007020000}"/>
    <cellStyle name="Estilo 1 134 2" xfId="546" xr:uid="{00000000-0005-0000-0000-000008020000}"/>
    <cellStyle name="Estilo 1 135" xfId="547" xr:uid="{00000000-0005-0000-0000-000009020000}"/>
    <cellStyle name="Estilo 1 135 2" xfId="548" xr:uid="{00000000-0005-0000-0000-00000A020000}"/>
    <cellStyle name="Estilo 1 136" xfId="549" xr:uid="{00000000-0005-0000-0000-00000B020000}"/>
    <cellStyle name="Estilo 1 136 2" xfId="550" xr:uid="{00000000-0005-0000-0000-00000C020000}"/>
    <cellStyle name="Estilo 1 137" xfId="551" xr:uid="{00000000-0005-0000-0000-00000D020000}"/>
    <cellStyle name="Estilo 1 137 2" xfId="552" xr:uid="{00000000-0005-0000-0000-00000E020000}"/>
    <cellStyle name="Estilo 1 138" xfId="553" xr:uid="{00000000-0005-0000-0000-00000F020000}"/>
    <cellStyle name="Estilo 1 138 2" xfId="554" xr:uid="{00000000-0005-0000-0000-000010020000}"/>
    <cellStyle name="Estilo 1 139" xfId="555" xr:uid="{00000000-0005-0000-0000-000011020000}"/>
    <cellStyle name="Estilo 1 139 2" xfId="556" xr:uid="{00000000-0005-0000-0000-000012020000}"/>
    <cellStyle name="Estilo 1 14" xfId="557" xr:uid="{00000000-0005-0000-0000-000013020000}"/>
    <cellStyle name="Estilo 1 14 2" xfId="558" xr:uid="{00000000-0005-0000-0000-000014020000}"/>
    <cellStyle name="Estilo 1 14 3" xfId="559" xr:uid="{00000000-0005-0000-0000-000015020000}"/>
    <cellStyle name="Estilo 1 14_Enlaces" xfId="560" xr:uid="{00000000-0005-0000-0000-000016020000}"/>
    <cellStyle name="Estilo 1 140" xfId="561" xr:uid="{00000000-0005-0000-0000-000017020000}"/>
    <cellStyle name="Estilo 1 140 2" xfId="562" xr:uid="{00000000-0005-0000-0000-000018020000}"/>
    <cellStyle name="Estilo 1 141" xfId="563" xr:uid="{00000000-0005-0000-0000-000019020000}"/>
    <cellStyle name="Estilo 1 141 2" xfId="564" xr:uid="{00000000-0005-0000-0000-00001A020000}"/>
    <cellStyle name="Estilo 1 142" xfId="565" xr:uid="{00000000-0005-0000-0000-00001B020000}"/>
    <cellStyle name="Estilo 1 142 2" xfId="566" xr:uid="{00000000-0005-0000-0000-00001C020000}"/>
    <cellStyle name="Estilo 1 143" xfId="567" xr:uid="{00000000-0005-0000-0000-00001D020000}"/>
    <cellStyle name="Estilo 1 143 2" xfId="568" xr:uid="{00000000-0005-0000-0000-00001E020000}"/>
    <cellStyle name="Estilo 1 144" xfId="569" xr:uid="{00000000-0005-0000-0000-00001F020000}"/>
    <cellStyle name="Estilo 1 144 2" xfId="570" xr:uid="{00000000-0005-0000-0000-000020020000}"/>
    <cellStyle name="Estilo 1 145" xfId="571" xr:uid="{00000000-0005-0000-0000-000021020000}"/>
    <cellStyle name="Estilo 1 145 2" xfId="572" xr:uid="{00000000-0005-0000-0000-000022020000}"/>
    <cellStyle name="Estilo 1 146" xfId="573" xr:uid="{00000000-0005-0000-0000-000023020000}"/>
    <cellStyle name="Estilo 1 146 2" xfId="574" xr:uid="{00000000-0005-0000-0000-000024020000}"/>
    <cellStyle name="Estilo 1 147" xfId="575" xr:uid="{00000000-0005-0000-0000-000025020000}"/>
    <cellStyle name="Estilo 1 147 2" xfId="576" xr:uid="{00000000-0005-0000-0000-000026020000}"/>
    <cellStyle name="Estilo 1 148" xfId="577" xr:uid="{00000000-0005-0000-0000-000027020000}"/>
    <cellStyle name="Estilo 1 148 2" xfId="578" xr:uid="{00000000-0005-0000-0000-000028020000}"/>
    <cellStyle name="Estilo 1 149" xfId="579" xr:uid="{00000000-0005-0000-0000-000029020000}"/>
    <cellStyle name="Estilo 1 149 2" xfId="580" xr:uid="{00000000-0005-0000-0000-00002A020000}"/>
    <cellStyle name="Estilo 1 15" xfId="581" xr:uid="{00000000-0005-0000-0000-00002B020000}"/>
    <cellStyle name="Estilo 1 15 2" xfId="582" xr:uid="{00000000-0005-0000-0000-00002C020000}"/>
    <cellStyle name="Estilo 1 15 3" xfId="583" xr:uid="{00000000-0005-0000-0000-00002D020000}"/>
    <cellStyle name="Estilo 1 15_Enlaces" xfId="584" xr:uid="{00000000-0005-0000-0000-00002E020000}"/>
    <cellStyle name="Estilo 1 150" xfId="585" xr:uid="{00000000-0005-0000-0000-00002F020000}"/>
    <cellStyle name="Estilo 1 150 2" xfId="586" xr:uid="{00000000-0005-0000-0000-000030020000}"/>
    <cellStyle name="Estilo 1 151" xfId="587" xr:uid="{00000000-0005-0000-0000-000031020000}"/>
    <cellStyle name="Estilo 1 151 2" xfId="588" xr:uid="{00000000-0005-0000-0000-000032020000}"/>
    <cellStyle name="Estilo 1 152" xfId="589" xr:uid="{00000000-0005-0000-0000-000033020000}"/>
    <cellStyle name="Estilo 1 152 2" xfId="590" xr:uid="{00000000-0005-0000-0000-000034020000}"/>
    <cellStyle name="Estilo 1 153" xfId="591" xr:uid="{00000000-0005-0000-0000-000035020000}"/>
    <cellStyle name="Estilo 1 153 2" xfId="592" xr:uid="{00000000-0005-0000-0000-000036020000}"/>
    <cellStyle name="Estilo 1 154" xfId="593" xr:uid="{00000000-0005-0000-0000-000037020000}"/>
    <cellStyle name="Estilo 1 154 2" xfId="594" xr:uid="{00000000-0005-0000-0000-000038020000}"/>
    <cellStyle name="Estilo 1 155" xfId="595" xr:uid="{00000000-0005-0000-0000-000039020000}"/>
    <cellStyle name="Estilo 1 155 2" xfId="596" xr:uid="{00000000-0005-0000-0000-00003A020000}"/>
    <cellStyle name="Estilo 1 156" xfId="597" xr:uid="{00000000-0005-0000-0000-00003B020000}"/>
    <cellStyle name="Estilo 1 156 2" xfId="598" xr:uid="{00000000-0005-0000-0000-00003C020000}"/>
    <cellStyle name="Estilo 1 157" xfId="599" xr:uid="{00000000-0005-0000-0000-00003D020000}"/>
    <cellStyle name="Estilo 1 157 2" xfId="600" xr:uid="{00000000-0005-0000-0000-00003E020000}"/>
    <cellStyle name="Estilo 1 158" xfId="601" xr:uid="{00000000-0005-0000-0000-00003F020000}"/>
    <cellStyle name="Estilo 1 158 2" xfId="602" xr:uid="{00000000-0005-0000-0000-000040020000}"/>
    <cellStyle name="Estilo 1 159" xfId="603" xr:uid="{00000000-0005-0000-0000-000041020000}"/>
    <cellStyle name="Estilo 1 159 2" xfId="604" xr:uid="{00000000-0005-0000-0000-000042020000}"/>
    <cellStyle name="Estilo 1 16" xfId="605" xr:uid="{00000000-0005-0000-0000-000043020000}"/>
    <cellStyle name="Estilo 1 16 2" xfId="606" xr:uid="{00000000-0005-0000-0000-000044020000}"/>
    <cellStyle name="Estilo 1 16 3" xfId="607" xr:uid="{00000000-0005-0000-0000-000045020000}"/>
    <cellStyle name="Estilo 1 16_Enlaces" xfId="608" xr:uid="{00000000-0005-0000-0000-000046020000}"/>
    <cellStyle name="Estilo 1 160" xfId="609" xr:uid="{00000000-0005-0000-0000-000047020000}"/>
    <cellStyle name="Estilo 1 160 2" xfId="610" xr:uid="{00000000-0005-0000-0000-000048020000}"/>
    <cellStyle name="Estilo 1 161" xfId="611" xr:uid="{00000000-0005-0000-0000-000049020000}"/>
    <cellStyle name="Estilo 1 161 2" xfId="612" xr:uid="{00000000-0005-0000-0000-00004A020000}"/>
    <cellStyle name="Estilo 1 162" xfId="613" xr:uid="{00000000-0005-0000-0000-00004B020000}"/>
    <cellStyle name="Estilo 1 162 2" xfId="614" xr:uid="{00000000-0005-0000-0000-00004C020000}"/>
    <cellStyle name="Estilo 1 163" xfId="615" xr:uid="{00000000-0005-0000-0000-00004D020000}"/>
    <cellStyle name="Estilo 1 163 2" xfId="616" xr:uid="{00000000-0005-0000-0000-00004E020000}"/>
    <cellStyle name="Estilo 1 164" xfId="617" xr:uid="{00000000-0005-0000-0000-00004F020000}"/>
    <cellStyle name="Estilo 1 164 2" xfId="618" xr:uid="{00000000-0005-0000-0000-000050020000}"/>
    <cellStyle name="Estilo 1 165" xfId="619" xr:uid="{00000000-0005-0000-0000-000051020000}"/>
    <cellStyle name="Estilo 1 165 2" xfId="620" xr:uid="{00000000-0005-0000-0000-000052020000}"/>
    <cellStyle name="Estilo 1 166" xfId="621" xr:uid="{00000000-0005-0000-0000-000053020000}"/>
    <cellStyle name="Estilo 1 166 2" xfId="622" xr:uid="{00000000-0005-0000-0000-000054020000}"/>
    <cellStyle name="Estilo 1 167" xfId="623" xr:uid="{00000000-0005-0000-0000-000055020000}"/>
    <cellStyle name="Estilo 1 167 2" xfId="624" xr:uid="{00000000-0005-0000-0000-000056020000}"/>
    <cellStyle name="Estilo 1 168" xfId="625" xr:uid="{00000000-0005-0000-0000-000057020000}"/>
    <cellStyle name="Estilo 1 168 2" xfId="626" xr:uid="{00000000-0005-0000-0000-000058020000}"/>
    <cellStyle name="Estilo 1 169" xfId="627" xr:uid="{00000000-0005-0000-0000-000059020000}"/>
    <cellStyle name="Estilo 1 169 2" xfId="628" xr:uid="{00000000-0005-0000-0000-00005A020000}"/>
    <cellStyle name="Estilo 1 17" xfId="629" xr:uid="{00000000-0005-0000-0000-00005B020000}"/>
    <cellStyle name="Estilo 1 17 2" xfId="630" xr:uid="{00000000-0005-0000-0000-00005C020000}"/>
    <cellStyle name="Estilo 1 17 3" xfId="631" xr:uid="{00000000-0005-0000-0000-00005D020000}"/>
    <cellStyle name="Estilo 1 17_Enlaces" xfId="632" xr:uid="{00000000-0005-0000-0000-00005E020000}"/>
    <cellStyle name="Estilo 1 170" xfId="633" xr:uid="{00000000-0005-0000-0000-00005F020000}"/>
    <cellStyle name="Estilo 1 170 2" xfId="634" xr:uid="{00000000-0005-0000-0000-000060020000}"/>
    <cellStyle name="Estilo 1 171" xfId="635" xr:uid="{00000000-0005-0000-0000-000061020000}"/>
    <cellStyle name="Estilo 1 171 2" xfId="636" xr:uid="{00000000-0005-0000-0000-000062020000}"/>
    <cellStyle name="Estilo 1 172" xfId="637" xr:uid="{00000000-0005-0000-0000-000063020000}"/>
    <cellStyle name="Estilo 1 172 2" xfId="638" xr:uid="{00000000-0005-0000-0000-000064020000}"/>
    <cellStyle name="Estilo 1 173" xfId="639" xr:uid="{00000000-0005-0000-0000-000065020000}"/>
    <cellStyle name="Estilo 1 173 2" xfId="640" xr:uid="{00000000-0005-0000-0000-000066020000}"/>
    <cellStyle name="Estilo 1 174" xfId="641" xr:uid="{00000000-0005-0000-0000-000067020000}"/>
    <cellStyle name="Estilo 1 174 2" xfId="642" xr:uid="{00000000-0005-0000-0000-000068020000}"/>
    <cellStyle name="Estilo 1 175" xfId="643" xr:uid="{00000000-0005-0000-0000-000069020000}"/>
    <cellStyle name="Estilo 1 175 2" xfId="644" xr:uid="{00000000-0005-0000-0000-00006A020000}"/>
    <cellStyle name="Estilo 1 176" xfId="645" xr:uid="{00000000-0005-0000-0000-00006B020000}"/>
    <cellStyle name="Estilo 1 176 2" xfId="646" xr:uid="{00000000-0005-0000-0000-00006C020000}"/>
    <cellStyle name="Estilo 1 177" xfId="647" xr:uid="{00000000-0005-0000-0000-00006D020000}"/>
    <cellStyle name="Estilo 1 177 2" xfId="648" xr:uid="{00000000-0005-0000-0000-00006E020000}"/>
    <cellStyle name="Estilo 1 178" xfId="649" xr:uid="{00000000-0005-0000-0000-00006F020000}"/>
    <cellStyle name="Estilo 1 178 2" xfId="650" xr:uid="{00000000-0005-0000-0000-000070020000}"/>
    <cellStyle name="Estilo 1 179" xfId="651" xr:uid="{00000000-0005-0000-0000-000071020000}"/>
    <cellStyle name="Estilo 1 179 2" xfId="652" xr:uid="{00000000-0005-0000-0000-000072020000}"/>
    <cellStyle name="Estilo 1 18" xfId="653" xr:uid="{00000000-0005-0000-0000-000073020000}"/>
    <cellStyle name="Estilo 1 18 2" xfId="654" xr:uid="{00000000-0005-0000-0000-000074020000}"/>
    <cellStyle name="Estilo 1 18 3" xfId="655" xr:uid="{00000000-0005-0000-0000-000075020000}"/>
    <cellStyle name="Estilo 1 18_Enlaces" xfId="656" xr:uid="{00000000-0005-0000-0000-000076020000}"/>
    <cellStyle name="Estilo 1 180" xfId="657" xr:uid="{00000000-0005-0000-0000-000077020000}"/>
    <cellStyle name="Estilo 1 180 2" xfId="658" xr:uid="{00000000-0005-0000-0000-000078020000}"/>
    <cellStyle name="Estilo 1 181" xfId="659" xr:uid="{00000000-0005-0000-0000-000079020000}"/>
    <cellStyle name="Estilo 1 181 2" xfId="660" xr:uid="{00000000-0005-0000-0000-00007A020000}"/>
    <cellStyle name="Estilo 1 182" xfId="661" xr:uid="{00000000-0005-0000-0000-00007B020000}"/>
    <cellStyle name="Estilo 1 182 2" xfId="662" xr:uid="{00000000-0005-0000-0000-00007C020000}"/>
    <cellStyle name="Estilo 1 183" xfId="663" xr:uid="{00000000-0005-0000-0000-00007D020000}"/>
    <cellStyle name="Estilo 1 183 2" xfId="664" xr:uid="{00000000-0005-0000-0000-00007E020000}"/>
    <cellStyle name="Estilo 1 184" xfId="665" xr:uid="{00000000-0005-0000-0000-00007F020000}"/>
    <cellStyle name="Estilo 1 184 2" xfId="666" xr:uid="{00000000-0005-0000-0000-000080020000}"/>
    <cellStyle name="Estilo 1 185" xfId="667" xr:uid="{00000000-0005-0000-0000-000081020000}"/>
    <cellStyle name="Estilo 1 185 2" xfId="668" xr:uid="{00000000-0005-0000-0000-000082020000}"/>
    <cellStyle name="Estilo 1 186" xfId="669" xr:uid="{00000000-0005-0000-0000-000083020000}"/>
    <cellStyle name="Estilo 1 186 2" xfId="670" xr:uid="{00000000-0005-0000-0000-000084020000}"/>
    <cellStyle name="Estilo 1 187" xfId="671" xr:uid="{00000000-0005-0000-0000-000085020000}"/>
    <cellStyle name="Estilo 1 187 2" xfId="672" xr:uid="{00000000-0005-0000-0000-000086020000}"/>
    <cellStyle name="Estilo 1 188" xfId="673" xr:uid="{00000000-0005-0000-0000-000087020000}"/>
    <cellStyle name="Estilo 1 188 2" xfId="674" xr:uid="{00000000-0005-0000-0000-000088020000}"/>
    <cellStyle name="Estilo 1 189" xfId="675" xr:uid="{00000000-0005-0000-0000-000089020000}"/>
    <cellStyle name="Estilo 1 189 2" xfId="676" xr:uid="{00000000-0005-0000-0000-00008A020000}"/>
    <cellStyle name="Estilo 1 19" xfId="677" xr:uid="{00000000-0005-0000-0000-00008B020000}"/>
    <cellStyle name="Estilo 1 19 2" xfId="678" xr:uid="{00000000-0005-0000-0000-00008C020000}"/>
    <cellStyle name="Estilo 1 19 3" xfId="679" xr:uid="{00000000-0005-0000-0000-00008D020000}"/>
    <cellStyle name="Estilo 1 19_Enlaces" xfId="680" xr:uid="{00000000-0005-0000-0000-00008E020000}"/>
    <cellStyle name="Estilo 1 190" xfId="681" xr:uid="{00000000-0005-0000-0000-00008F020000}"/>
    <cellStyle name="Estilo 1 190 2" xfId="682" xr:uid="{00000000-0005-0000-0000-000090020000}"/>
    <cellStyle name="Estilo 1 191" xfId="683" xr:uid="{00000000-0005-0000-0000-000091020000}"/>
    <cellStyle name="Estilo 1 191 2" xfId="684" xr:uid="{00000000-0005-0000-0000-000092020000}"/>
    <cellStyle name="Estilo 1 192" xfId="685" xr:uid="{00000000-0005-0000-0000-000093020000}"/>
    <cellStyle name="Estilo 1 192 2" xfId="686" xr:uid="{00000000-0005-0000-0000-000094020000}"/>
    <cellStyle name="Estilo 1 193" xfId="687" xr:uid="{00000000-0005-0000-0000-000095020000}"/>
    <cellStyle name="Estilo 1 193 2" xfId="688" xr:uid="{00000000-0005-0000-0000-000096020000}"/>
    <cellStyle name="Estilo 1 194" xfId="689" xr:uid="{00000000-0005-0000-0000-000097020000}"/>
    <cellStyle name="Estilo 1 194 2" xfId="690" xr:uid="{00000000-0005-0000-0000-000098020000}"/>
    <cellStyle name="Estilo 1 195" xfId="691" xr:uid="{00000000-0005-0000-0000-000099020000}"/>
    <cellStyle name="Estilo 1 195 2" xfId="692" xr:uid="{00000000-0005-0000-0000-00009A020000}"/>
    <cellStyle name="Estilo 1 196" xfId="693" xr:uid="{00000000-0005-0000-0000-00009B020000}"/>
    <cellStyle name="Estilo 1 196 2" xfId="694" xr:uid="{00000000-0005-0000-0000-00009C020000}"/>
    <cellStyle name="Estilo 1 197" xfId="695" xr:uid="{00000000-0005-0000-0000-00009D020000}"/>
    <cellStyle name="Estilo 1 197 2" xfId="696" xr:uid="{00000000-0005-0000-0000-00009E020000}"/>
    <cellStyle name="Estilo 1 198" xfId="697" xr:uid="{00000000-0005-0000-0000-00009F020000}"/>
    <cellStyle name="Estilo 1 198 2" xfId="698" xr:uid="{00000000-0005-0000-0000-0000A0020000}"/>
    <cellStyle name="Estilo 1 199" xfId="699" xr:uid="{00000000-0005-0000-0000-0000A1020000}"/>
    <cellStyle name="Estilo 1 199 2" xfId="700" xr:uid="{00000000-0005-0000-0000-0000A2020000}"/>
    <cellStyle name="Estilo 1 2" xfId="701" xr:uid="{00000000-0005-0000-0000-0000A3020000}"/>
    <cellStyle name="Estilo 1 2 2" xfId="702" xr:uid="{00000000-0005-0000-0000-0000A4020000}"/>
    <cellStyle name="Estilo 1 2 2 2" xfId="703" xr:uid="{00000000-0005-0000-0000-0000A5020000}"/>
    <cellStyle name="Estilo 1 2 3" xfId="704" xr:uid="{00000000-0005-0000-0000-0000A6020000}"/>
    <cellStyle name="Estilo 1 2 3 2" xfId="705" xr:uid="{00000000-0005-0000-0000-0000A7020000}"/>
    <cellStyle name="Estilo 1 2 4" xfId="706" xr:uid="{00000000-0005-0000-0000-0000A8020000}"/>
    <cellStyle name="Estilo 1 2 4 2" xfId="707" xr:uid="{00000000-0005-0000-0000-0000A9020000}"/>
    <cellStyle name="Estilo 1 2 5" xfId="708" xr:uid="{00000000-0005-0000-0000-0000AA020000}"/>
    <cellStyle name="Estilo 1 2 6" xfId="709" xr:uid="{00000000-0005-0000-0000-0000AB020000}"/>
    <cellStyle name="Estilo 1 2 7" xfId="710" xr:uid="{00000000-0005-0000-0000-0000AC020000}"/>
    <cellStyle name="Estilo 1 2 7 2" xfId="711" xr:uid="{00000000-0005-0000-0000-0000AD020000}"/>
    <cellStyle name="Estilo 1 2_Enlaces" xfId="712" xr:uid="{00000000-0005-0000-0000-0000AE020000}"/>
    <cellStyle name="Estilo 1 20" xfId="713" xr:uid="{00000000-0005-0000-0000-0000AF020000}"/>
    <cellStyle name="Estilo 1 20 2" xfId="714" xr:uid="{00000000-0005-0000-0000-0000B0020000}"/>
    <cellStyle name="Estilo 1 20 3" xfId="715" xr:uid="{00000000-0005-0000-0000-0000B1020000}"/>
    <cellStyle name="Estilo 1 20_Enlaces" xfId="716" xr:uid="{00000000-0005-0000-0000-0000B2020000}"/>
    <cellStyle name="Estilo 1 200" xfId="717" xr:uid="{00000000-0005-0000-0000-0000B3020000}"/>
    <cellStyle name="Estilo 1 200 2" xfId="718" xr:uid="{00000000-0005-0000-0000-0000B4020000}"/>
    <cellStyle name="Estilo 1 21" xfId="719" xr:uid="{00000000-0005-0000-0000-0000B5020000}"/>
    <cellStyle name="Estilo 1 21 2" xfId="720" xr:uid="{00000000-0005-0000-0000-0000B6020000}"/>
    <cellStyle name="Estilo 1 21_Enlaces" xfId="721" xr:uid="{00000000-0005-0000-0000-0000B7020000}"/>
    <cellStyle name="Estilo 1 22" xfId="722" xr:uid="{00000000-0005-0000-0000-0000B8020000}"/>
    <cellStyle name="Estilo 1 22 2" xfId="723" xr:uid="{00000000-0005-0000-0000-0000B9020000}"/>
    <cellStyle name="Estilo 1 22_Enlaces" xfId="724" xr:uid="{00000000-0005-0000-0000-0000BA020000}"/>
    <cellStyle name="Estilo 1 23" xfId="725" xr:uid="{00000000-0005-0000-0000-0000BB020000}"/>
    <cellStyle name="Estilo 1 23 2" xfId="726" xr:uid="{00000000-0005-0000-0000-0000BC020000}"/>
    <cellStyle name="Estilo 1 23_Enlaces" xfId="727" xr:uid="{00000000-0005-0000-0000-0000BD020000}"/>
    <cellStyle name="Estilo 1 24" xfId="728" xr:uid="{00000000-0005-0000-0000-0000BE020000}"/>
    <cellStyle name="Estilo 1 24 2" xfId="729" xr:uid="{00000000-0005-0000-0000-0000BF020000}"/>
    <cellStyle name="Estilo 1 24_Enlaces" xfId="730" xr:uid="{00000000-0005-0000-0000-0000C0020000}"/>
    <cellStyle name="Estilo 1 25" xfId="731" xr:uid="{00000000-0005-0000-0000-0000C1020000}"/>
    <cellStyle name="Estilo 1 25 2" xfId="732" xr:uid="{00000000-0005-0000-0000-0000C2020000}"/>
    <cellStyle name="Estilo 1 25_Enlaces" xfId="733" xr:uid="{00000000-0005-0000-0000-0000C3020000}"/>
    <cellStyle name="Estilo 1 26" xfId="734" xr:uid="{00000000-0005-0000-0000-0000C4020000}"/>
    <cellStyle name="Estilo 1 26 2" xfId="735" xr:uid="{00000000-0005-0000-0000-0000C5020000}"/>
    <cellStyle name="Estilo 1 26_Enlaces" xfId="736" xr:uid="{00000000-0005-0000-0000-0000C6020000}"/>
    <cellStyle name="Estilo 1 27" xfId="737" xr:uid="{00000000-0005-0000-0000-0000C7020000}"/>
    <cellStyle name="Estilo 1 27 2" xfId="738" xr:uid="{00000000-0005-0000-0000-0000C8020000}"/>
    <cellStyle name="Estilo 1 27_Enlaces" xfId="739" xr:uid="{00000000-0005-0000-0000-0000C9020000}"/>
    <cellStyle name="Estilo 1 28" xfId="740" xr:uid="{00000000-0005-0000-0000-0000CA020000}"/>
    <cellStyle name="Estilo 1 29" xfId="741" xr:uid="{00000000-0005-0000-0000-0000CB020000}"/>
    <cellStyle name="Estilo 1 3" xfId="742" xr:uid="{00000000-0005-0000-0000-0000CC020000}"/>
    <cellStyle name="Estilo 1 3 2" xfId="743" xr:uid="{00000000-0005-0000-0000-0000CD020000}"/>
    <cellStyle name="Estilo 1 3 3" xfId="744" xr:uid="{00000000-0005-0000-0000-0000CE020000}"/>
    <cellStyle name="Estilo 1 3_Enlaces" xfId="745" xr:uid="{00000000-0005-0000-0000-0000CF020000}"/>
    <cellStyle name="Estilo 1 30" xfId="746" xr:uid="{00000000-0005-0000-0000-0000D0020000}"/>
    <cellStyle name="Estilo 1 31" xfId="747" xr:uid="{00000000-0005-0000-0000-0000D1020000}"/>
    <cellStyle name="Estilo 1 32" xfId="748" xr:uid="{00000000-0005-0000-0000-0000D2020000}"/>
    <cellStyle name="Estilo 1 33" xfId="749" xr:uid="{00000000-0005-0000-0000-0000D3020000}"/>
    <cellStyle name="Estilo 1 34" xfId="750" xr:uid="{00000000-0005-0000-0000-0000D4020000}"/>
    <cellStyle name="Estilo 1 35" xfId="751" xr:uid="{00000000-0005-0000-0000-0000D5020000}"/>
    <cellStyle name="Estilo 1 36" xfId="752" xr:uid="{00000000-0005-0000-0000-0000D6020000}"/>
    <cellStyle name="Estilo 1 37" xfId="753" xr:uid="{00000000-0005-0000-0000-0000D7020000}"/>
    <cellStyle name="Estilo 1 38" xfId="754" xr:uid="{00000000-0005-0000-0000-0000D8020000}"/>
    <cellStyle name="Estilo 1 39" xfId="755" xr:uid="{00000000-0005-0000-0000-0000D9020000}"/>
    <cellStyle name="Estilo 1 4" xfId="756" xr:uid="{00000000-0005-0000-0000-0000DA020000}"/>
    <cellStyle name="Estilo 1 4 2" xfId="757" xr:uid="{00000000-0005-0000-0000-0000DB020000}"/>
    <cellStyle name="Estilo 1 4 3" xfId="758" xr:uid="{00000000-0005-0000-0000-0000DC020000}"/>
    <cellStyle name="Estilo 1 4_Enlaces" xfId="759" xr:uid="{00000000-0005-0000-0000-0000DD020000}"/>
    <cellStyle name="Estilo 1 40" xfId="760" xr:uid="{00000000-0005-0000-0000-0000DE020000}"/>
    <cellStyle name="Estilo 1 41" xfId="761" xr:uid="{00000000-0005-0000-0000-0000DF020000}"/>
    <cellStyle name="Estilo 1 42" xfId="762" xr:uid="{00000000-0005-0000-0000-0000E0020000}"/>
    <cellStyle name="Estilo 1 43" xfId="763" xr:uid="{00000000-0005-0000-0000-0000E1020000}"/>
    <cellStyle name="Estilo 1 44" xfId="764" xr:uid="{00000000-0005-0000-0000-0000E2020000}"/>
    <cellStyle name="Estilo 1 45" xfId="765" xr:uid="{00000000-0005-0000-0000-0000E3020000}"/>
    <cellStyle name="Estilo 1 46" xfId="766" xr:uid="{00000000-0005-0000-0000-0000E4020000}"/>
    <cellStyle name="Estilo 1 47" xfId="767" xr:uid="{00000000-0005-0000-0000-0000E5020000}"/>
    <cellStyle name="Estilo 1 48" xfId="768" xr:uid="{00000000-0005-0000-0000-0000E6020000}"/>
    <cellStyle name="Estilo 1 49" xfId="769" xr:uid="{00000000-0005-0000-0000-0000E7020000}"/>
    <cellStyle name="Estilo 1 5" xfId="770" xr:uid="{00000000-0005-0000-0000-0000E8020000}"/>
    <cellStyle name="Estilo 1 5 2" xfId="771" xr:uid="{00000000-0005-0000-0000-0000E9020000}"/>
    <cellStyle name="Estilo 1 5 3" xfId="772" xr:uid="{00000000-0005-0000-0000-0000EA020000}"/>
    <cellStyle name="Estilo 1 5_Enlaces" xfId="773" xr:uid="{00000000-0005-0000-0000-0000EB020000}"/>
    <cellStyle name="Estilo 1 50" xfId="774" xr:uid="{00000000-0005-0000-0000-0000EC020000}"/>
    <cellStyle name="Estilo 1 51" xfId="775" xr:uid="{00000000-0005-0000-0000-0000ED020000}"/>
    <cellStyle name="Estilo 1 52" xfId="776" xr:uid="{00000000-0005-0000-0000-0000EE020000}"/>
    <cellStyle name="Estilo 1 53" xfId="777" xr:uid="{00000000-0005-0000-0000-0000EF020000}"/>
    <cellStyle name="Estilo 1 54" xfId="778" xr:uid="{00000000-0005-0000-0000-0000F0020000}"/>
    <cellStyle name="Estilo 1 55" xfId="779" xr:uid="{00000000-0005-0000-0000-0000F1020000}"/>
    <cellStyle name="Estilo 1 56" xfId="780" xr:uid="{00000000-0005-0000-0000-0000F2020000}"/>
    <cellStyle name="Estilo 1 57" xfId="781" xr:uid="{00000000-0005-0000-0000-0000F3020000}"/>
    <cellStyle name="Estilo 1 57 2" xfId="782" xr:uid="{00000000-0005-0000-0000-0000F4020000}"/>
    <cellStyle name="Estilo 1 57 3" xfId="783" xr:uid="{00000000-0005-0000-0000-0000F5020000}"/>
    <cellStyle name="Estilo 1 57 4" xfId="784" xr:uid="{00000000-0005-0000-0000-0000F6020000}"/>
    <cellStyle name="Estilo 1 57 5" xfId="785" xr:uid="{00000000-0005-0000-0000-0000F7020000}"/>
    <cellStyle name="Estilo 1 57 6" xfId="786" xr:uid="{00000000-0005-0000-0000-0000F8020000}"/>
    <cellStyle name="Estilo 1 58" xfId="787" xr:uid="{00000000-0005-0000-0000-0000F9020000}"/>
    <cellStyle name="Estilo 1 58 2" xfId="788" xr:uid="{00000000-0005-0000-0000-0000FA020000}"/>
    <cellStyle name="Estilo 1 58 3" xfId="789" xr:uid="{00000000-0005-0000-0000-0000FB020000}"/>
    <cellStyle name="Estilo 1 58 4" xfId="790" xr:uid="{00000000-0005-0000-0000-0000FC020000}"/>
    <cellStyle name="Estilo 1 58 5" xfId="791" xr:uid="{00000000-0005-0000-0000-0000FD020000}"/>
    <cellStyle name="Estilo 1 58 6" xfId="792" xr:uid="{00000000-0005-0000-0000-0000FE020000}"/>
    <cellStyle name="Estilo 1 59" xfId="793" xr:uid="{00000000-0005-0000-0000-0000FF020000}"/>
    <cellStyle name="Estilo 1 59 2" xfId="794" xr:uid="{00000000-0005-0000-0000-000000030000}"/>
    <cellStyle name="Estilo 1 59 3" xfId="795" xr:uid="{00000000-0005-0000-0000-000001030000}"/>
    <cellStyle name="Estilo 1 6" xfId="796" xr:uid="{00000000-0005-0000-0000-000002030000}"/>
    <cellStyle name="Estilo 1 6 2" xfId="797" xr:uid="{00000000-0005-0000-0000-000003030000}"/>
    <cellStyle name="Estilo 1 6 3" xfId="798" xr:uid="{00000000-0005-0000-0000-000004030000}"/>
    <cellStyle name="Estilo 1 6_Enlaces" xfId="799" xr:uid="{00000000-0005-0000-0000-000005030000}"/>
    <cellStyle name="Estilo 1 60" xfId="800" xr:uid="{00000000-0005-0000-0000-000006030000}"/>
    <cellStyle name="Estilo 1 60 2" xfId="801" xr:uid="{00000000-0005-0000-0000-000007030000}"/>
    <cellStyle name="Estilo 1 60 3" xfId="802" xr:uid="{00000000-0005-0000-0000-000008030000}"/>
    <cellStyle name="Estilo 1 61" xfId="803" xr:uid="{00000000-0005-0000-0000-000009030000}"/>
    <cellStyle name="Estilo 1 61 2" xfId="804" xr:uid="{00000000-0005-0000-0000-00000A030000}"/>
    <cellStyle name="Estilo 1 61 3" xfId="805" xr:uid="{00000000-0005-0000-0000-00000B030000}"/>
    <cellStyle name="Estilo 1 62" xfId="806" xr:uid="{00000000-0005-0000-0000-00000C030000}"/>
    <cellStyle name="Estilo 1 62 2" xfId="807" xr:uid="{00000000-0005-0000-0000-00000D030000}"/>
    <cellStyle name="Estilo 1 62 3" xfId="808" xr:uid="{00000000-0005-0000-0000-00000E030000}"/>
    <cellStyle name="Estilo 1 63" xfId="809" xr:uid="{00000000-0005-0000-0000-00000F030000}"/>
    <cellStyle name="Estilo 1 63 2" xfId="810" xr:uid="{00000000-0005-0000-0000-000010030000}"/>
    <cellStyle name="Estilo 1 63 3" xfId="811" xr:uid="{00000000-0005-0000-0000-000011030000}"/>
    <cellStyle name="Estilo 1 64" xfId="812" xr:uid="{00000000-0005-0000-0000-000012030000}"/>
    <cellStyle name="Estilo 1 64 2" xfId="813" xr:uid="{00000000-0005-0000-0000-000013030000}"/>
    <cellStyle name="Estilo 1 64 3" xfId="814" xr:uid="{00000000-0005-0000-0000-000014030000}"/>
    <cellStyle name="Estilo 1 65" xfId="815" xr:uid="{00000000-0005-0000-0000-000015030000}"/>
    <cellStyle name="Estilo 1 65 2" xfId="816" xr:uid="{00000000-0005-0000-0000-000016030000}"/>
    <cellStyle name="Estilo 1 65 3" xfId="817" xr:uid="{00000000-0005-0000-0000-000017030000}"/>
    <cellStyle name="Estilo 1 66" xfId="818" xr:uid="{00000000-0005-0000-0000-000018030000}"/>
    <cellStyle name="Estilo 1 66 2" xfId="819" xr:uid="{00000000-0005-0000-0000-000019030000}"/>
    <cellStyle name="Estilo 1 66 3" xfId="820" xr:uid="{00000000-0005-0000-0000-00001A030000}"/>
    <cellStyle name="Estilo 1 67" xfId="821" xr:uid="{00000000-0005-0000-0000-00001B030000}"/>
    <cellStyle name="Estilo 1 67 2" xfId="822" xr:uid="{00000000-0005-0000-0000-00001C030000}"/>
    <cellStyle name="Estilo 1 67 3" xfId="823" xr:uid="{00000000-0005-0000-0000-00001D030000}"/>
    <cellStyle name="Estilo 1 68" xfId="824" xr:uid="{00000000-0005-0000-0000-00001E030000}"/>
    <cellStyle name="Estilo 1 68 2" xfId="825" xr:uid="{00000000-0005-0000-0000-00001F030000}"/>
    <cellStyle name="Estilo 1 68 3" xfId="826" xr:uid="{00000000-0005-0000-0000-000020030000}"/>
    <cellStyle name="Estilo 1 69" xfId="827" xr:uid="{00000000-0005-0000-0000-000021030000}"/>
    <cellStyle name="Estilo 1 69 2" xfId="828" xr:uid="{00000000-0005-0000-0000-000022030000}"/>
    <cellStyle name="Estilo 1 69 3" xfId="829" xr:uid="{00000000-0005-0000-0000-000023030000}"/>
    <cellStyle name="Estilo 1 7" xfId="830" xr:uid="{00000000-0005-0000-0000-000024030000}"/>
    <cellStyle name="Estilo 1 7 2" xfId="831" xr:uid="{00000000-0005-0000-0000-000025030000}"/>
    <cellStyle name="Estilo 1 7 3" xfId="832" xr:uid="{00000000-0005-0000-0000-000026030000}"/>
    <cellStyle name="Estilo 1 7_Enlaces" xfId="833" xr:uid="{00000000-0005-0000-0000-000027030000}"/>
    <cellStyle name="Estilo 1 70" xfId="834" xr:uid="{00000000-0005-0000-0000-000028030000}"/>
    <cellStyle name="Estilo 1 70 2" xfId="835" xr:uid="{00000000-0005-0000-0000-000029030000}"/>
    <cellStyle name="Estilo 1 70 3" xfId="836" xr:uid="{00000000-0005-0000-0000-00002A030000}"/>
    <cellStyle name="Estilo 1 71" xfId="837" xr:uid="{00000000-0005-0000-0000-00002B030000}"/>
    <cellStyle name="Estilo 1 71 2" xfId="838" xr:uid="{00000000-0005-0000-0000-00002C030000}"/>
    <cellStyle name="Estilo 1 71 3" xfId="839" xr:uid="{00000000-0005-0000-0000-00002D030000}"/>
    <cellStyle name="Estilo 1 72" xfId="840" xr:uid="{00000000-0005-0000-0000-00002E030000}"/>
    <cellStyle name="Estilo 1 72 2" xfId="841" xr:uid="{00000000-0005-0000-0000-00002F030000}"/>
    <cellStyle name="Estilo 1 72 3" xfId="842" xr:uid="{00000000-0005-0000-0000-000030030000}"/>
    <cellStyle name="Estilo 1 73" xfId="843" xr:uid="{00000000-0005-0000-0000-000031030000}"/>
    <cellStyle name="Estilo 1 73 2" xfId="844" xr:uid="{00000000-0005-0000-0000-000032030000}"/>
    <cellStyle name="Estilo 1 73 3" xfId="845" xr:uid="{00000000-0005-0000-0000-000033030000}"/>
    <cellStyle name="Estilo 1 74" xfId="846" xr:uid="{00000000-0005-0000-0000-000034030000}"/>
    <cellStyle name="Estilo 1 74 2" xfId="847" xr:uid="{00000000-0005-0000-0000-000035030000}"/>
    <cellStyle name="Estilo 1 74 3" xfId="848" xr:uid="{00000000-0005-0000-0000-000036030000}"/>
    <cellStyle name="Estilo 1 75" xfId="849" xr:uid="{00000000-0005-0000-0000-000037030000}"/>
    <cellStyle name="Estilo 1 75 2" xfId="850" xr:uid="{00000000-0005-0000-0000-000038030000}"/>
    <cellStyle name="Estilo 1 75 3" xfId="851" xr:uid="{00000000-0005-0000-0000-000039030000}"/>
    <cellStyle name="Estilo 1 76" xfId="852" xr:uid="{00000000-0005-0000-0000-00003A030000}"/>
    <cellStyle name="Estilo 1 76 2" xfId="853" xr:uid="{00000000-0005-0000-0000-00003B030000}"/>
    <cellStyle name="Estilo 1 76 3" xfId="854" xr:uid="{00000000-0005-0000-0000-00003C030000}"/>
    <cellStyle name="Estilo 1 77" xfId="855" xr:uid="{00000000-0005-0000-0000-00003D030000}"/>
    <cellStyle name="Estilo 1 77 2" xfId="856" xr:uid="{00000000-0005-0000-0000-00003E030000}"/>
    <cellStyle name="Estilo 1 77 3" xfId="857" xr:uid="{00000000-0005-0000-0000-00003F030000}"/>
    <cellStyle name="Estilo 1 78" xfId="858" xr:uid="{00000000-0005-0000-0000-000040030000}"/>
    <cellStyle name="Estilo 1 78 2" xfId="859" xr:uid="{00000000-0005-0000-0000-000041030000}"/>
    <cellStyle name="Estilo 1 78 3" xfId="860" xr:uid="{00000000-0005-0000-0000-000042030000}"/>
    <cellStyle name="Estilo 1 79" xfId="861" xr:uid="{00000000-0005-0000-0000-000043030000}"/>
    <cellStyle name="Estilo 1 79 2" xfId="862" xr:uid="{00000000-0005-0000-0000-000044030000}"/>
    <cellStyle name="Estilo 1 79 3" xfId="863" xr:uid="{00000000-0005-0000-0000-000045030000}"/>
    <cellStyle name="Estilo 1 8" xfId="864" xr:uid="{00000000-0005-0000-0000-000046030000}"/>
    <cellStyle name="Estilo 1 8 2" xfId="865" xr:uid="{00000000-0005-0000-0000-000047030000}"/>
    <cellStyle name="Estilo 1 8 3" xfId="866" xr:uid="{00000000-0005-0000-0000-000048030000}"/>
    <cellStyle name="Estilo 1 8_Enlaces" xfId="867" xr:uid="{00000000-0005-0000-0000-000049030000}"/>
    <cellStyle name="Estilo 1 80" xfId="868" xr:uid="{00000000-0005-0000-0000-00004A030000}"/>
    <cellStyle name="Estilo 1 80 2" xfId="869" xr:uid="{00000000-0005-0000-0000-00004B030000}"/>
    <cellStyle name="Estilo 1 80 3" xfId="870" xr:uid="{00000000-0005-0000-0000-00004C030000}"/>
    <cellStyle name="Estilo 1 81" xfId="871" xr:uid="{00000000-0005-0000-0000-00004D030000}"/>
    <cellStyle name="Estilo 1 81 2" xfId="872" xr:uid="{00000000-0005-0000-0000-00004E030000}"/>
    <cellStyle name="Estilo 1 81 3" xfId="873" xr:uid="{00000000-0005-0000-0000-00004F030000}"/>
    <cellStyle name="Estilo 1 82" xfId="874" xr:uid="{00000000-0005-0000-0000-000050030000}"/>
    <cellStyle name="Estilo 1 82 2" xfId="875" xr:uid="{00000000-0005-0000-0000-000051030000}"/>
    <cellStyle name="Estilo 1 82 3" xfId="876" xr:uid="{00000000-0005-0000-0000-000052030000}"/>
    <cellStyle name="Estilo 1 83" xfId="877" xr:uid="{00000000-0005-0000-0000-000053030000}"/>
    <cellStyle name="Estilo 1 84" xfId="878" xr:uid="{00000000-0005-0000-0000-000054030000}"/>
    <cellStyle name="Estilo 1 85" xfId="879" xr:uid="{00000000-0005-0000-0000-000055030000}"/>
    <cellStyle name="Estilo 1 86" xfId="880" xr:uid="{00000000-0005-0000-0000-000056030000}"/>
    <cellStyle name="Estilo 1 87" xfId="881" xr:uid="{00000000-0005-0000-0000-000057030000}"/>
    <cellStyle name="Estilo 1 88" xfId="882" xr:uid="{00000000-0005-0000-0000-000058030000}"/>
    <cellStyle name="Estilo 1 89" xfId="883" xr:uid="{00000000-0005-0000-0000-000059030000}"/>
    <cellStyle name="Estilo 1 9" xfId="884" xr:uid="{00000000-0005-0000-0000-00005A030000}"/>
    <cellStyle name="Estilo 1 9 2" xfId="885" xr:uid="{00000000-0005-0000-0000-00005B030000}"/>
    <cellStyle name="Estilo 1 9 3" xfId="886" xr:uid="{00000000-0005-0000-0000-00005C030000}"/>
    <cellStyle name="Estilo 1 9_Enlaces" xfId="887" xr:uid="{00000000-0005-0000-0000-00005D030000}"/>
    <cellStyle name="Estilo 1 90" xfId="888" xr:uid="{00000000-0005-0000-0000-00005E030000}"/>
    <cellStyle name="Estilo 1 90 2" xfId="889" xr:uid="{00000000-0005-0000-0000-00005F030000}"/>
    <cellStyle name="Estilo 1 91" xfId="890" xr:uid="{00000000-0005-0000-0000-000060030000}"/>
    <cellStyle name="Estilo 1 91 2" xfId="891" xr:uid="{00000000-0005-0000-0000-000061030000}"/>
    <cellStyle name="Estilo 1 92" xfId="892" xr:uid="{00000000-0005-0000-0000-000062030000}"/>
    <cellStyle name="Estilo 1 92 2" xfId="893" xr:uid="{00000000-0005-0000-0000-000063030000}"/>
    <cellStyle name="Estilo 1 93" xfId="894" xr:uid="{00000000-0005-0000-0000-000064030000}"/>
    <cellStyle name="Estilo 1 93 2" xfId="895" xr:uid="{00000000-0005-0000-0000-000065030000}"/>
    <cellStyle name="Estilo 1 94" xfId="896" xr:uid="{00000000-0005-0000-0000-000066030000}"/>
    <cellStyle name="Estilo 1 94 2" xfId="897" xr:uid="{00000000-0005-0000-0000-000067030000}"/>
    <cellStyle name="Estilo 1 95" xfId="898" xr:uid="{00000000-0005-0000-0000-000068030000}"/>
    <cellStyle name="Estilo 1 95 2" xfId="899" xr:uid="{00000000-0005-0000-0000-000069030000}"/>
    <cellStyle name="Estilo 1 96" xfId="900" xr:uid="{00000000-0005-0000-0000-00006A030000}"/>
    <cellStyle name="Estilo 1 96 2" xfId="901" xr:uid="{00000000-0005-0000-0000-00006B030000}"/>
    <cellStyle name="Estilo 1 97" xfId="902" xr:uid="{00000000-0005-0000-0000-00006C030000}"/>
    <cellStyle name="Estilo 1 97 2" xfId="903" xr:uid="{00000000-0005-0000-0000-00006D030000}"/>
    <cellStyle name="Estilo 1 98" xfId="904" xr:uid="{00000000-0005-0000-0000-00006E030000}"/>
    <cellStyle name="Estilo 1 98 2" xfId="905" xr:uid="{00000000-0005-0000-0000-00006F030000}"/>
    <cellStyle name="Estilo 1 99" xfId="906" xr:uid="{00000000-0005-0000-0000-000070030000}"/>
    <cellStyle name="Estilo 1 99 2" xfId="907" xr:uid="{00000000-0005-0000-0000-000071030000}"/>
    <cellStyle name="Estilo 1_Enlaces" xfId="908" xr:uid="{00000000-0005-0000-0000-000072030000}"/>
    <cellStyle name="Euro" xfId="909" xr:uid="{00000000-0005-0000-0000-000073030000}"/>
    <cellStyle name="Euro 10" xfId="910" xr:uid="{00000000-0005-0000-0000-000074030000}"/>
    <cellStyle name="Euro 11" xfId="911" xr:uid="{00000000-0005-0000-0000-000075030000}"/>
    <cellStyle name="Euro 12" xfId="912" xr:uid="{00000000-0005-0000-0000-000076030000}"/>
    <cellStyle name="Euro 13" xfId="913" xr:uid="{00000000-0005-0000-0000-000077030000}"/>
    <cellStyle name="Euro 14" xfId="914" xr:uid="{00000000-0005-0000-0000-000078030000}"/>
    <cellStyle name="Euro 15" xfId="915" xr:uid="{00000000-0005-0000-0000-000079030000}"/>
    <cellStyle name="Euro 16" xfId="916" xr:uid="{00000000-0005-0000-0000-00007A030000}"/>
    <cellStyle name="Euro 17" xfId="917" xr:uid="{00000000-0005-0000-0000-00007B030000}"/>
    <cellStyle name="Euro 18" xfId="918" xr:uid="{00000000-0005-0000-0000-00007C030000}"/>
    <cellStyle name="Euro 19" xfId="919" xr:uid="{00000000-0005-0000-0000-00007D030000}"/>
    <cellStyle name="Euro 2" xfId="920" xr:uid="{00000000-0005-0000-0000-00007E030000}"/>
    <cellStyle name="Euro 2 2" xfId="921" xr:uid="{00000000-0005-0000-0000-00007F030000}"/>
    <cellStyle name="Euro 20" xfId="922" xr:uid="{00000000-0005-0000-0000-000080030000}"/>
    <cellStyle name="Euro 21" xfId="923" xr:uid="{00000000-0005-0000-0000-000081030000}"/>
    <cellStyle name="Euro 3" xfId="924" xr:uid="{00000000-0005-0000-0000-000082030000}"/>
    <cellStyle name="Euro 4" xfId="925" xr:uid="{00000000-0005-0000-0000-000083030000}"/>
    <cellStyle name="Euro 5" xfId="926" xr:uid="{00000000-0005-0000-0000-000084030000}"/>
    <cellStyle name="Euro 6" xfId="927" xr:uid="{00000000-0005-0000-0000-000085030000}"/>
    <cellStyle name="Euro 7" xfId="928" xr:uid="{00000000-0005-0000-0000-000086030000}"/>
    <cellStyle name="Euro 8" xfId="929" xr:uid="{00000000-0005-0000-0000-000087030000}"/>
    <cellStyle name="Euro 9" xfId="930" xr:uid="{00000000-0005-0000-0000-000088030000}"/>
    <cellStyle name="Excel Built-in Normal" xfId="4" xr:uid="{00000000-0005-0000-0000-000089030000}"/>
    <cellStyle name="Excel Built-in Normal 2" xfId="931" xr:uid="{00000000-0005-0000-0000-00008A030000}"/>
    <cellStyle name="Excel Built-in Normal 2 2" xfId="932" xr:uid="{00000000-0005-0000-0000-00008B030000}"/>
    <cellStyle name="Excel Built-in Normal 3" xfId="933" xr:uid="{00000000-0005-0000-0000-00008C030000}"/>
    <cellStyle name="Explanatory Text" xfId="934" xr:uid="{00000000-0005-0000-0000-00008D030000}"/>
    <cellStyle name="Explanatory Text 2" xfId="935" xr:uid="{00000000-0005-0000-0000-00008E030000}"/>
    <cellStyle name="Explanatory Text 3" xfId="936" xr:uid="{00000000-0005-0000-0000-00008F030000}"/>
    <cellStyle name="Explanatory Text 4" xfId="937" xr:uid="{00000000-0005-0000-0000-000090030000}"/>
    <cellStyle name="Explanatory Text 5" xfId="938" xr:uid="{00000000-0005-0000-0000-000091030000}"/>
    <cellStyle name="Good" xfId="939" xr:uid="{00000000-0005-0000-0000-000092030000}"/>
    <cellStyle name="Good 2" xfId="940" xr:uid="{00000000-0005-0000-0000-000093030000}"/>
    <cellStyle name="Good 3" xfId="941" xr:uid="{00000000-0005-0000-0000-000094030000}"/>
    <cellStyle name="Good 4" xfId="942" xr:uid="{00000000-0005-0000-0000-000095030000}"/>
    <cellStyle name="Good 5" xfId="943" xr:uid="{00000000-0005-0000-0000-000096030000}"/>
    <cellStyle name="Heading 1" xfId="944" xr:uid="{00000000-0005-0000-0000-000097030000}"/>
    <cellStyle name="Heading 1 2" xfId="945" xr:uid="{00000000-0005-0000-0000-000098030000}"/>
    <cellStyle name="Heading 1 3" xfId="946" xr:uid="{00000000-0005-0000-0000-000099030000}"/>
    <cellStyle name="Heading 1 4" xfId="947" xr:uid="{00000000-0005-0000-0000-00009A030000}"/>
    <cellStyle name="Heading 1 5" xfId="948" xr:uid="{00000000-0005-0000-0000-00009B030000}"/>
    <cellStyle name="Heading 2" xfId="949" xr:uid="{00000000-0005-0000-0000-00009C030000}"/>
    <cellStyle name="Heading 2 2" xfId="950" xr:uid="{00000000-0005-0000-0000-00009D030000}"/>
    <cellStyle name="Heading 2 3" xfId="951" xr:uid="{00000000-0005-0000-0000-00009E030000}"/>
    <cellStyle name="Heading 2 4" xfId="952" xr:uid="{00000000-0005-0000-0000-00009F030000}"/>
    <cellStyle name="Heading 2 5" xfId="953" xr:uid="{00000000-0005-0000-0000-0000A0030000}"/>
    <cellStyle name="Heading 3" xfId="954" xr:uid="{00000000-0005-0000-0000-0000A1030000}"/>
    <cellStyle name="Heading 3 2" xfId="955" xr:uid="{00000000-0005-0000-0000-0000A2030000}"/>
    <cellStyle name="Heading 3 3" xfId="956" xr:uid="{00000000-0005-0000-0000-0000A3030000}"/>
    <cellStyle name="Heading 3 4" xfId="957" xr:uid="{00000000-0005-0000-0000-0000A4030000}"/>
    <cellStyle name="Heading 3 5" xfId="958" xr:uid="{00000000-0005-0000-0000-0000A5030000}"/>
    <cellStyle name="Heading 4" xfId="959" xr:uid="{00000000-0005-0000-0000-0000A6030000}"/>
    <cellStyle name="Heading 4 2" xfId="960" xr:uid="{00000000-0005-0000-0000-0000A7030000}"/>
    <cellStyle name="Heading 4 3" xfId="961" xr:uid="{00000000-0005-0000-0000-0000A8030000}"/>
    <cellStyle name="Heading 4 4" xfId="962" xr:uid="{00000000-0005-0000-0000-0000A9030000}"/>
    <cellStyle name="Heading 4 5" xfId="963" xr:uid="{00000000-0005-0000-0000-0000AA030000}"/>
    <cellStyle name="Hipervínculo 2" xfId="964" xr:uid="{00000000-0005-0000-0000-0000AB030000}"/>
    <cellStyle name="Hipervínculo 2 2" xfId="965" xr:uid="{00000000-0005-0000-0000-0000AC030000}"/>
    <cellStyle name="Hipervínculo 3" xfId="966" xr:uid="{00000000-0005-0000-0000-0000AD030000}"/>
    <cellStyle name="Hipervínculo 3 2" xfId="967" xr:uid="{00000000-0005-0000-0000-0000AE030000}"/>
    <cellStyle name="Hipervínculo 4" xfId="968" xr:uid="{00000000-0005-0000-0000-0000AF030000}"/>
    <cellStyle name="Hipervínculo 5" xfId="969" xr:uid="{00000000-0005-0000-0000-0000B0030000}"/>
    <cellStyle name="Hipervínculo 6" xfId="970" xr:uid="{00000000-0005-0000-0000-0000B1030000}"/>
    <cellStyle name="Incorrecto 2" xfId="971" xr:uid="{00000000-0005-0000-0000-0000B2030000}"/>
    <cellStyle name="Incorrecto 2 2" xfId="972" xr:uid="{00000000-0005-0000-0000-0000B3030000}"/>
    <cellStyle name="Incorrecto 3" xfId="973" xr:uid="{00000000-0005-0000-0000-0000B4030000}"/>
    <cellStyle name="Incorrecto 4" xfId="974" xr:uid="{00000000-0005-0000-0000-0000B5030000}"/>
    <cellStyle name="Incorrecto 5" xfId="975" xr:uid="{00000000-0005-0000-0000-0000B6030000}"/>
    <cellStyle name="Incorrecto 6" xfId="976" xr:uid="{00000000-0005-0000-0000-0000B7030000}"/>
    <cellStyle name="Incorrecto 7" xfId="977" xr:uid="{00000000-0005-0000-0000-0000B8030000}"/>
    <cellStyle name="Incorrecto 8" xfId="978" xr:uid="{00000000-0005-0000-0000-0000B9030000}"/>
    <cellStyle name="Input" xfId="979" xr:uid="{00000000-0005-0000-0000-0000BA030000}"/>
    <cellStyle name="Input 2" xfId="980" xr:uid="{00000000-0005-0000-0000-0000BB030000}"/>
    <cellStyle name="Input 3" xfId="981" xr:uid="{00000000-0005-0000-0000-0000BC030000}"/>
    <cellStyle name="Input 4" xfId="982" xr:uid="{00000000-0005-0000-0000-0000BD030000}"/>
    <cellStyle name="Input 5" xfId="983" xr:uid="{00000000-0005-0000-0000-0000BE030000}"/>
    <cellStyle name="Linked Cell" xfId="984" xr:uid="{00000000-0005-0000-0000-0000BF030000}"/>
    <cellStyle name="Linked Cell 2" xfId="985" xr:uid="{00000000-0005-0000-0000-0000C0030000}"/>
    <cellStyle name="Linked Cell 3" xfId="986" xr:uid="{00000000-0005-0000-0000-0000C1030000}"/>
    <cellStyle name="Linked Cell 4" xfId="987" xr:uid="{00000000-0005-0000-0000-0000C2030000}"/>
    <cellStyle name="Linked Cell 5" xfId="988" xr:uid="{00000000-0005-0000-0000-0000C3030000}"/>
    <cellStyle name="Millares" xfId="39125" builtinId="3"/>
    <cellStyle name="Millares 10" xfId="989" xr:uid="{00000000-0005-0000-0000-0000C4030000}"/>
    <cellStyle name="Millares 10 10" xfId="990" xr:uid="{00000000-0005-0000-0000-0000C5030000}"/>
    <cellStyle name="Millares 10 11" xfId="991" xr:uid="{00000000-0005-0000-0000-0000C6030000}"/>
    <cellStyle name="Millares 10 12" xfId="992" xr:uid="{00000000-0005-0000-0000-0000C7030000}"/>
    <cellStyle name="Millares 10 13" xfId="993" xr:uid="{00000000-0005-0000-0000-0000C8030000}"/>
    <cellStyle name="Millares 10 14" xfId="994" xr:uid="{00000000-0005-0000-0000-0000C9030000}"/>
    <cellStyle name="Millares 10 15" xfId="995" xr:uid="{00000000-0005-0000-0000-0000CA030000}"/>
    <cellStyle name="Millares 10 16" xfId="996" xr:uid="{00000000-0005-0000-0000-0000CB030000}"/>
    <cellStyle name="Millares 10 17" xfId="997" xr:uid="{00000000-0005-0000-0000-0000CC030000}"/>
    <cellStyle name="Millares 10 18" xfId="998" xr:uid="{00000000-0005-0000-0000-0000CD030000}"/>
    <cellStyle name="Millares 10 19" xfId="999" xr:uid="{00000000-0005-0000-0000-0000CE030000}"/>
    <cellStyle name="Millares 10 2" xfId="1000" xr:uid="{00000000-0005-0000-0000-0000CF030000}"/>
    <cellStyle name="Millares 10 2 2" xfId="1001" xr:uid="{00000000-0005-0000-0000-0000D0030000}"/>
    <cellStyle name="Millares 10 2 3" xfId="1002" xr:uid="{00000000-0005-0000-0000-0000D1030000}"/>
    <cellStyle name="Millares 10 20" xfId="1003" xr:uid="{00000000-0005-0000-0000-0000D2030000}"/>
    <cellStyle name="Millares 10 21" xfId="1004" xr:uid="{00000000-0005-0000-0000-0000D3030000}"/>
    <cellStyle name="Millares 10 22" xfId="1005" xr:uid="{00000000-0005-0000-0000-0000D4030000}"/>
    <cellStyle name="Millares 10 23" xfId="1006" xr:uid="{00000000-0005-0000-0000-0000D5030000}"/>
    <cellStyle name="Millares 10 24" xfId="1007" xr:uid="{00000000-0005-0000-0000-0000D6030000}"/>
    <cellStyle name="Millares 10 25" xfId="1008" xr:uid="{00000000-0005-0000-0000-0000D7030000}"/>
    <cellStyle name="Millares 10 3" xfId="1009" xr:uid="{00000000-0005-0000-0000-0000D8030000}"/>
    <cellStyle name="Millares 10 3 2" xfId="1010" xr:uid="{00000000-0005-0000-0000-0000D9030000}"/>
    <cellStyle name="Millares 10 3 3" xfId="1011" xr:uid="{00000000-0005-0000-0000-0000DA030000}"/>
    <cellStyle name="Millares 10 4" xfId="1012" xr:uid="{00000000-0005-0000-0000-0000DB030000}"/>
    <cellStyle name="Millares 10 5" xfId="1013" xr:uid="{00000000-0005-0000-0000-0000DC030000}"/>
    <cellStyle name="Millares 10 6" xfId="1014" xr:uid="{00000000-0005-0000-0000-0000DD030000}"/>
    <cellStyle name="Millares 10 7" xfId="1015" xr:uid="{00000000-0005-0000-0000-0000DE030000}"/>
    <cellStyle name="Millares 10 8" xfId="1016" xr:uid="{00000000-0005-0000-0000-0000DF030000}"/>
    <cellStyle name="Millares 10 9" xfId="1017" xr:uid="{00000000-0005-0000-0000-0000E0030000}"/>
    <cellStyle name="Millares 11" xfId="1018" xr:uid="{00000000-0005-0000-0000-0000E1030000}"/>
    <cellStyle name="Millares 11 2" xfId="1019" xr:uid="{00000000-0005-0000-0000-0000E2030000}"/>
    <cellStyle name="Millares 12" xfId="1020" xr:uid="{00000000-0005-0000-0000-0000E3030000}"/>
    <cellStyle name="Millares 12 2" xfId="1021" xr:uid="{00000000-0005-0000-0000-0000E4030000}"/>
    <cellStyle name="Millares 13" xfId="1022" xr:uid="{00000000-0005-0000-0000-0000E5030000}"/>
    <cellStyle name="Millares 13 2" xfId="1023" xr:uid="{00000000-0005-0000-0000-0000E6030000}"/>
    <cellStyle name="Millares 14" xfId="1024" xr:uid="{00000000-0005-0000-0000-0000E7030000}"/>
    <cellStyle name="Millares 15" xfId="1025" xr:uid="{00000000-0005-0000-0000-0000E8030000}"/>
    <cellStyle name="Millares 15 2" xfId="1026" xr:uid="{00000000-0005-0000-0000-0000E9030000}"/>
    <cellStyle name="Millares 16" xfId="1027" xr:uid="{00000000-0005-0000-0000-0000EA030000}"/>
    <cellStyle name="Millares 16 2" xfId="1028" xr:uid="{00000000-0005-0000-0000-0000EB030000}"/>
    <cellStyle name="Millares 17" xfId="1029" xr:uid="{00000000-0005-0000-0000-0000EC030000}"/>
    <cellStyle name="Millares 17 2" xfId="1030" xr:uid="{00000000-0005-0000-0000-0000ED030000}"/>
    <cellStyle name="Millares 18" xfId="1031" xr:uid="{00000000-0005-0000-0000-0000EE030000}"/>
    <cellStyle name="Millares 19" xfId="1032" xr:uid="{00000000-0005-0000-0000-0000EF030000}"/>
    <cellStyle name="Millares 19 2" xfId="1033" xr:uid="{00000000-0005-0000-0000-0000F0030000}"/>
    <cellStyle name="Millares 19 3" xfId="1034" xr:uid="{00000000-0005-0000-0000-0000F1030000}"/>
    <cellStyle name="Millares 2" xfId="3" xr:uid="{00000000-0005-0000-0000-0000F2030000}"/>
    <cellStyle name="Millares 2 10" xfId="1035" xr:uid="{00000000-0005-0000-0000-0000F3030000}"/>
    <cellStyle name="Millares 2 10 2" xfId="1036" xr:uid="{00000000-0005-0000-0000-0000F4030000}"/>
    <cellStyle name="Millares 2 10 3" xfId="1037" xr:uid="{00000000-0005-0000-0000-0000F5030000}"/>
    <cellStyle name="Millares 2 11" xfId="1038" xr:uid="{00000000-0005-0000-0000-0000F6030000}"/>
    <cellStyle name="Millares 2 12" xfId="1039" xr:uid="{00000000-0005-0000-0000-0000F7030000}"/>
    <cellStyle name="Millares 2 13" xfId="1040" xr:uid="{00000000-0005-0000-0000-0000F8030000}"/>
    <cellStyle name="Millares 2 13 2" xfId="1041" xr:uid="{00000000-0005-0000-0000-0000F9030000}"/>
    <cellStyle name="Millares 2 13 2 2" xfId="1042" xr:uid="{00000000-0005-0000-0000-0000FA030000}"/>
    <cellStyle name="Millares 2 14" xfId="1043" xr:uid="{00000000-0005-0000-0000-0000FB030000}"/>
    <cellStyle name="Millares 2 14 2" xfId="1044" xr:uid="{00000000-0005-0000-0000-0000FC030000}"/>
    <cellStyle name="Millares 2 14 3" xfId="1045" xr:uid="{00000000-0005-0000-0000-0000FD030000}"/>
    <cellStyle name="Millares 2 15" xfId="1046" xr:uid="{00000000-0005-0000-0000-0000FE030000}"/>
    <cellStyle name="Millares 2 15 2" xfId="1047" xr:uid="{00000000-0005-0000-0000-0000FF030000}"/>
    <cellStyle name="Millares 2 15 3" xfId="1048" xr:uid="{00000000-0005-0000-0000-000000040000}"/>
    <cellStyle name="Millares 2 16" xfId="1049" xr:uid="{00000000-0005-0000-0000-000001040000}"/>
    <cellStyle name="Millares 2 16 2" xfId="1050" xr:uid="{00000000-0005-0000-0000-000002040000}"/>
    <cellStyle name="Millares 2 17" xfId="1051" xr:uid="{00000000-0005-0000-0000-000003040000}"/>
    <cellStyle name="Millares 2 17 2" xfId="1052" xr:uid="{00000000-0005-0000-0000-000004040000}"/>
    <cellStyle name="Millares 2 18" xfId="1053" xr:uid="{00000000-0005-0000-0000-000005040000}"/>
    <cellStyle name="Millares 2 19" xfId="1054" xr:uid="{00000000-0005-0000-0000-000006040000}"/>
    <cellStyle name="Millares 2 2" xfId="1055" xr:uid="{00000000-0005-0000-0000-000007040000}"/>
    <cellStyle name="Millares 2 2 10" xfId="1056" xr:uid="{00000000-0005-0000-0000-000008040000}"/>
    <cellStyle name="Millares 2 2 11" xfId="1057" xr:uid="{00000000-0005-0000-0000-000009040000}"/>
    <cellStyle name="Millares 2 2 12" xfId="1058" xr:uid="{00000000-0005-0000-0000-00000A040000}"/>
    <cellStyle name="Millares 2 2 13" xfId="1059" xr:uid="{00000000-0005-0000-0000-00000B040000}"/>
    <cellStyle name="Millares 2 2 14" xfId="1060" xr:uid="{00000000-0005-0000-0000-00000C040000}"/>
    <cellStyle name="Millares 2 2 15" xfId="1061" xr:uid="{00000000-0005-0000-0000-00000D040000}"/>
    <cellStyle name="Millares 2 2 16" xfId="1062" xr:uid="{00000000-0005-0000-0000-00000E040000}"/>
    <cellStyle name="Millares 2 2 17" xfId="1063" xr:uid="{00000000-0005-0000-0000-00000F040000}"/>
    <cellStyle name="Millares 2 2 18" xfId="1064" xr:uid="{00000000-0005-0000-0000-000010040000}"/>
    <cellStyle name="Millares 2 2 19" xfId="1065" xr:uid="{00000000-0005-0000-0000-000011040000}"/>
    <cellStyle name="Millares 2 2 2" xfId="1066" xr:uid="{00000000-0005-0000-0000-000012040000}"/>
    <cellStyle name="Millares 2 2 2 10" xfId="1067" xr:uid="{00000000-0005-0000-0000-000013040000}"/>
    <cellStyle name="Millares 2 2 2 11" xfId="1068" xr:uid="{00000000-0005-0000-0000-000014040000}"/>
    <cellStyle name="Millares 2 2 2 12" xfId="1069" xr:uid="{00000000-0005-0000-0000-000015040000}"/>
    <cellStyle name="Millares 2 2 2 13" xfId="1070" xr:uid="{00000000-0005-0000-0000-000016040000}"/>
    <cellStyle name="Millares 2 2 2 14" xfId="1071" xr:uid="{00000000-0005-0000-0000-000017040000}"/>
    <cellStyle name="Millares 2 2 2 15" xfId="1072" xr:uid="{00000000-0005-0000-0000-000018040000}"/>
    <cellStyle name="Millares 2 2 2 16" xfId="1073" xr:uid="{00000000-0005-0000-0000-000019040000}"/>
    <cellStyle name="Millares 2 2 2 17" xfId="1074" xr:uid="{00000000-0005-0000-0000-00001A040000}"/>
    <cellStyle name="Millares 2 2 2 18" xfId="1075" xr:uid="{00000000-0005-0000-0000-00001B040000}"/>
    <cellStyle name="Millares 2 2 2 19" xfId="1076" xr:uid="{00000000-0005-0000-0000-00001C040000}"/>
    <cellStyle name="Millares 2 2 2 2" xfId="1077" xr:uid="{00000000-0005-0000-0000-00001D040000}"/>
    <cellStyle name="Millares 2 2 2 2 10" xfId="1078" xr:uid="{00000000-0005-0000-0000-00001E040000}"/>
    <cellStyle name="Millares 2 2 2 2 11" xfId="1079" xr:uid="{00000000-0005-0000-0000-00001F040000}"/>
    <cellStyle name="Millares 2 2 2 2 12" xfId="1080" xr:uid="{00000000-0005-0000-0000-000020040000}"/>
    <cellStyle name="Millares 2 2 2 2 13" xfId="1081" xr:uid="{00000000-0005-0000-0000-000021040000}"/>
    <cellStyle name="Millares 2 2 2 2 14" xfId="1082" xr:uid="{00000000-0005-0000-0000-000022040000}"/>
    <cellStyle name="Millares 2 2 2 2 15" xfId="1083" xr:uid="{00000000-0005-0000-0000-000023040000}"/>
    <cellStyle name="Millares 2 2 2 2 16" xfId="1084" xr:uid="{00000000-0005-0000-0000-000024040000}"/>
    <cellStyle name="Millares 2 2 2 2 17" xfId="1085" xr:uid="{00000000-0005-0000-0000-000025040000}"/>
    <cellStyle name="Millares 2 2 2 2 18" xfId="1086" xr:uid="{00000000-0005-0000-0000-000026040000}"/>
    <cellStyle name="Millares 2 2 2 2 19" xfId="1087" xr:uid="{00000000-0005-0000-0000-000027040000}"/>
    <cellStyle name="Millares 2 2 2 2 2" xfId="1088" xr:uid="{00000000-0005-0000-0000-000028040000}"/>
    <cellStyle name="Millares 2 2 2 2 2 10" xfId="1089" xr:uid="{00000000-0005-0000-0000-000029040000}"/>
    <cellStyle name="Millares 2 2 2 2 2 11" xfId="1090" xr:uid="{00000000-0005-0000-0000-00002A040000}"/>
    <cellStyle name="Millares 2 2 2 2 2 12" xfId="1091" xr:uid="{00000000-0005-0000-0000-00002B040000}"/>
    <cellStyle name="Millares 2 2 2 2 2 13" xfId="1092" xr:uid="{00000000-0005-0000-0000-00002C040000}"/>
    <cellStyle name="Millares 2 2 2 2 2 14" xfId="1093" xr:uid="{00000000-0005-0000-0000-00002D040000}"/>
    <cellStyle name="Millares 2 2 2 2 2 15" xfId="1094" xr:uid="{00000000-0005-0000-0000-00002E040000}"/>
    <cellStyle name="Millares 2 2 2 2 2 16" xfId="1095" xr:uid="{00000000-0005-0000-0000-00002F040000}"/>
    <cellStyle name="Millares 2 2 2 2 2 17" xfId="1096" xr:uid="{00000000-0005-0000-0000-000030040000}"/>
    <cellStyle name="Millares 2 2 2 2 2 18" xfId="1097" xr:uid="{00000000-0005-0000-0000-000031040000}"/>
    <cellStyle name="Millares 2 2 2 2 2 19" xfId="1098" xr:uid="{00000000-0005-0000-0000-000032040000}"/>
    <cellStyle name="Millares 2 2 2 2 2 2" xfId="1099" xr:uid="{00000000-0005-0000-0000-000033040000}"/>
    <cellStyle name="Millares 2 2 2 2 2 2 10" xfId="1100" xr:uid="{00000000-0005-0000-0000-000034040000}"/>
    <cellStyle name="Millares 2 2 2 2 2 2 11" xfId="1101" xr:uid="{00000000-0005-0000-0000-000035040000}"/>
    <cellStyle name="Millares 2 2 2 2 2 2 12" xfId="1102" xr:uid="{00000000-0005-0000-0000-000036040000}"/>
    <cellStyle name="Millares 2 2 2 2 2 2 13" xfId="1103" xr:uid="{00000000-0005-0000-0000-000037040000}"/>
    <cellStyle name="Millares 2 2 2 2 2 2 14" xfId="1104" xr:uid="{00000000-0005-0000-0000-000038040000}"/>
    <cellStyle name="Millares 2 2 2 2 2 2 15" xfId="1105" xr:uid="{00000000-0005-0000-0000-000039040000}"/>
    <cellStyle name="Millares 2 2 2 2 2 2 16" xfId="1106" xr:uid="{00000000-0005-0000-0000-00003A040000}"/>
    <cellStyle name="Millares 2 2 2 2 2 2 17" xfId="1107" xr:uid="{00000000-0005-0000-0000-00003B040000}"/>
    <cellStyle name="Millares 2 2 2 2 2 2 18" xfId="1108" xr:uid="{00000000-0005-0000-0000-00003C040000}"/>
    <cellStyle name="Millares 2 2 2 2 2 2 19" xfId="1109" xr:uid="{00000000-0005-0000-0000-00003D040000}"/>
    <cellStyle name="Millares 2 2 2 2 2 2 2" xfId="1110" xr:uid="{00000000-0005-0000-0000-00003E040000}"/>
    <cellStyle name="Millares 2 2 2 2 2 2 2 10" xfId="1111" xr:uid="{00000000-0005-0000-0000-00003F040000}"/>
    <cellStyle name="Millares 2 2 2 2 2 2 2 11" xfId="1112" xr:uid="{00000000-0005-0000-0000-000040040000}"/>
    <cellStyle name="Millares 2 2 2 2 2 2 2 12" xfId="1113" xr:uid="{00000000-0005-0000-0000-000041040000}"/>
    <cellStyle name="Millares 2 2 2 2 2 2 2 13" xfId="1114" xr:uid="{00000000-0005-0000-0000-000042040000}"/>
    <cellStyle name="Millares 2 2 2 2 2 2 2 14" xfId="1115" xr:uid="{00000000-0005-0000-0000-000043040000}"/>
    <cellStyle name="Millares 2 2 2 2 2 2 2 15" xfId="1116" xr:uid="{00000000-0005-0000-0000-000044040000}"/>
    <cellStyle name="Millares 2 2 2 2 2 2 2 16" xfId="1117" xr:uid="{00000000-0005-0000-0000-000045040000}"/>
    <cellStyle name="Millares 2 2 2 2 2 2 2 17" xfId="1118" xr:uid="{00000000-0005-0000-0000-000046040000}"/>
    <cellStyle name="Millares 2 2 2 2 2 2 2 18" xfId="1119" xr:uid="{00000000-0005-0000-0000-000047040000}"/>
    <cellStyle name="Millares 2 2 2 2 2 2 2 19" xfId="1120" xr:uid="{00000000-0005-0000-0000-000048040000}"/>
    <cellStyle name="Millares 2 2 2 2 2 2 2 2" xfId="1121" xr:uid="{00000000-0005-0000-0000-000049040000}"/>
    <cellStyle name="Millares 2 2 2 2 2 2 2 2 10" xfId="1122" xr:uid="{00000000-0005-0000-0000-00004A040000}"/>
    <cellStyle name="Millares 2 2 2 2 2 2 2 2 11" xfId="1123" xr:uid="{00000000-0005-0000-0000-00004B040000}"/>
    <cellStyle name="Millares 2 2 2 2 2 2 2 2 12" xfId="1124" xr:uid="{00000000-0005-0000-0000-00004C040000}"/>
    <cellStyle name="Millares 2 2 2 2 2 2 2 2 13" xfId="1125" xr:uid="{00000000-0005-0000-0000-00004D040000}"/>
    <cellStyle name="Millares 2 2 2 2 2 2 2 2 14" xfId="1126" xr:uid="{00000000-0005-0000-0000-00004E040000}"/>
    <cellStyle name="Millares 2 2 2 2 2 2 2 2 15" xfId="1127" xr:uid="{00000000-0005-0000-0000-00004F040000}"/>
    <cellStyle name="Millares 2 2 2 2 2 2 2 2 2" xfId="1128" xr:uid="{00000000-0005-0000-0000-000050040000}"/>
    <cellStyle name="Millares 2 2 2 2 2 2 2 2 2 10" xfId="1129" xr:uid="{00000000-0005-0000-0000-000051040000}"/>
    <cellStyle name="Millares 2 2 2 2 2 2 2 2 2 11" xfId="1130" xr:uid="{00000000-0005-0000-0000-000052040000}"/>
    <cellStyle name="Millares 2 2 2 2 2 2 2 2 2 12" xfId="1131" xr:uid="{00000000-0005-0000-0000-000053040000}"/>
    <cellStyle name="Millares 2 2 2 2 2 2 2 2 2 13" xfId="1132" xr:uid="{00000000-0005-0000-0000-000054040000}"/>
    <cellStyle name="Millares 2 2 2 2 2 2 2 2 2 14" xfId="1133" xr:uid="{00000000-0005-0000-0000-000055040000}"/>
    <cellStyle name="Millares 2 2 2 2 2 2 2 2 2 15" xfId="1134" xr:uid="{00000000-0005-0000-0000-000056040000}"/>
    <cellStyle name="Millares 2 2 2 2 2 2 2 2 2 2" xfId="1135" xr:uid="{00000000-0005-0000-0000-000057040000}"/>
    <cellStyle name="Millares 2 2 2 2 2 2 2 2 2 2 10" xfId="1136" xr:uid="{00000000-0005-0000-0000-000058040000}"/>
    <cellStyle name="Millares 2 2 2 2 2 2 2 2 2 2 11" xfId="1137" xr:uid="{00000000-0005-0000-0000-000059040000}"/>
    <cellStyle name="Millares 2 2 2 2 2 2 2 2 2 2 12" xfId="1138" xr:uid="{00000000-0005-0000-0000-00005A040000}"/>
    <cellStyle name="Millares 2 2 2 2 2 2 2 2 2 2 2" xfId="1139" xr:uid="{00000000-0005-0000-0000-00005B040000}"/>
    <cellStyle name="Millares 2 2 2 2 2 2 2 2 2 2 2 10" xfId="1140" xr:uid="{00000000-0005-0000-0000-00005C040000}"/>
    <cellStyle name="Millares 2 2 2 2 2 2 2 2 2 2 2 2" xfId="1141" xr:uid="{00000000-0005-0000-0000-00005D040000}"/>
    <cellStyle name="Millares 2 2 2 2 2 2 2 2 2 2 2 3" xfId="1142" xr:uid="{00000000-0005-0000-0000-00005E040000}"/>
    <cellStyle name="Millares 2 2 2 2 2 2 2 2 2 2 2 4" xfId="1143" xr:uid="{00000000-0005-0000-0000-00005F040000}"/>
    <cellStyle name="Millares 2 2 2 2 2 2 2 2 2 2 2 5" xfId="1144" xr:uid="{00000000-0005-0000-0000-000060040000}"/>
    <cellStyle name="Millares 2 2 2 2 2 2 2 2 2 2 2 6" xfId="1145" xr:uid="{00000000-0005-0000-0000-000061040000}"/>
    <cellStyle name="Millares 2 2 2 2 2 2 2 2 2 2 2 7" xfId="1146" xr:uid="{00000000-0005-0000-0000-000062040000}"/>
    <cellStyle name="Millares 2 2 2 2 2 2 2 2 2 2 2 8" xfId="1147" xr:uid="{00000000-0005-0000-0000-000063040000}"/>
    <cellStyle name="Millares 2 2 2 2 2 2 2 2 2 2 2 9" xfId="1148" xr:uid="{00000000-0005-0000-0000-000064040000}"/>
    <cellStyle name="Millares 2 2 2 2 2 2 2 2 2 2 3" xfId="1149" xr:uid="{00000000-0005-0000-0000-000065040000}"/>
    <cellStyle name="Millares 2 2 2 2 2 2 2 2 2 2 4" xfId="1150" xr:uid="{00000000-0005-0000-0000-000066040000}"/>
    <cellStyle name="Millares 2 2 2 2 2 2 2 2 2 2 5" xfId="1151" xr:uid="{00000000-0005-0000-0000-000067040000}"/>
    <cellStyle name="Millares 2 2 2 2 2 2 2 2 2 2 6" xfId="1152" xr:uid="{00000000-0005-0000-0000-000068040000}"/>
    <cellStyle name="Millares 2 2 2 2 2 2 2 2 2 2 7" xfId="1153" xr:uid="{00000000-0005-0000-0000-000069040000}"/>
    <cellStyle name="Millares 2 2 2 2 2 2 2 2 2 2 8" xfId="1154" xr:uid="{00000000-0005-0000-0000-00006A040000}"/>
    <cellStyle name="Millares 2 2 2 2 2 2 2 2 2 2 9" xfId="1155" xr:uid="{00000000-0005-0000-0000-00006B040000}"/>
    <cellStyle name="Millares 2 2 2 2 2 2 2 2 2 3" xfId="1156" xr:uid="{00000000-0005-0000-0000-00006C040000}"/>
    <cellStyle name="Millares 2 2 2 2 2 2 2 2 2 4" xfId="1157" xr:uid="{00000000-0005-0000-0000-00006D040000}"/>
    <cellStyle name="Millares 2 2 2 2 2 2 2 2 2 5" xfId="1158" xr:uid="{00000000-0005-0000-0000-00006E040000}"/>
    <cellStyle name="Millares 2 2 2 2 2 2 2 2 2 6" xfId="1159" xr:uid="{00000000-0005-0000-0000-00006F040000}"/>
    <cellStyle name="Millares 2 2 2 2 2 2 2 2 2 6 10" xfId="1160" xr:uid="{00000000-0005-0000-0000-000070040000}"/>
    <cellStyle name="Millares 2 2 2 2 2 2 2 2 2 6 2" xfId="1161" xr:uid="{00000000-0005-0000-0000-000071040000}"/>
    <cellStyle name="Millares 2 2 2 2 2 2 2 2 2 6 3" xfId="1162" xr:uid="{00000000-0005-0000-0000-000072040000}"/>
    <cellStyle name="Millares 2 2 2 2 2 2 2 2 2 6 4" xfId="1163" xr:uid="{00000000-0005-0000-0000-000073040000}"/>
    <cellStyle name="Millares 2 2 2 2 2 2 2 2 2 6 5" xfId="1164" xr:uid="{00000000-0005-0000-0000-000074040000}"/>
    <cellStyle name="Millares 2 2 2 2 2 2 2 2 2 6 6" xfId="1165" xr:uid="{00000000-0005-0000-0000-000075040000}"/>
    <cellStyle name="Millares 2 2 2 2 2 2 2 2 2 6 7" xfId="1166" xr:uid="{00000000-0005-0000-0000-000076040000}"/>
    <cellStyle name="Millares 2 2 2 2 2 2 2 2 2 6 8" xfId="1167" xr:uid="{00000000-0005-0000-0000-000077040000}"/>
    <cellStyle name="Millares 2 2 2 2 2 2 2 2 2 6 9" xfId="1168" xr:uid="{00000000-0005-0000-0000-000078040000}"/>
    <cellStyle name="Millares 2 2 2 2 2 2 2 2 2 7" xfId="1169" xr:uid="{00000000-0005-0000-0000-000079040000}"/>
    <cellStyle name="Millares 2 2 2 2 2 2 2 2 2 8" xfId="1170" xr:uid="{00000000-0005-0000-0000-00007A040000}"/>
    <cellStyle name="Millares 2 2 2 2 2 2 2 2 2 9" xfId="1171" xr:uid="{00000000-0005-0000-0000-00007B040000}"/>
    <cellStyle name="Millares 2 2 2 2 2 2 2 2 3" xfId="1172" xr:uid="{00000000-0005-0000-0000-00007C040000}"/>
    <cellStyle name="Millares 2 2 2 2 2 2 2 2 4" xfId="1173" xr:uid="{00000000-0005-0000-0000-00007D040000}"/>
    <cellStyle name="Millares 2 2 2 2 2 2 2 2 5" xfId="1174" xr:uid="{00000000-0005-0000-0000-00007E040000}"/>
    <cellStyle name="Millares 2 2 2 2 2 2 2 2 6" xfId="1175" xr:uid="{00000000-0005-0000-0000-00007F040000}"/>
    <cellStyle name="Millares 2 2 2 2 2 2 2 2 6 10" xfId="1176" xr:uid="{00000000-0005-0000-0000-000080040000}"/>
    <cellStyle name="Millares 2 2 2 2 2 2 2 2 6 2" xfId="1177" xr:uid="{00000000-0005-0000-0000-000081040000}"/>
    <cellStyle name="Millares 2 2 2 2 2 2 2 2 6 3" xfId="1178" xr:uid="{00000000-0005-0000-0000-000082040000}"/>
    <cellStyle name="Millares 2 2 2 2 2 2 2 2 6 4" xfId="1179" xr:uid="{00000000-0005-0000-0000-000083040000}"/>
    <cellStyle name="Millares 2 2 2 2 2 2 2 2 6 5" xfId="1180" xr:uid="{00000000-0005-0000-0000-000084040000}"/>
    <cellStyle name="Millares 2 2 2 2 2 2 2 2 6 6" xfId="1181" xr:uid="{00000000-0005-0000-0000-000085040000}"/>
    <cellStyle name="Millares 2 2 2 2 2 2 2 2 6 7" xfId="1182" xr:uid="{00000000-0005-0000-0000-000086040000}"/>
    <cellStyle name="Millares 2 2 2 2 2 2 2 2 6 8" xfId="1183" xr:uid="{00000000-0005-0000-0000-000087040000}"/>
    <cellStyle name="Millares 2 2 2 2 2 2 2 2 6 9" xfId="1184" xr:uid="{00000000-0005-0000-0000-000088040000}"/>
    <cellStyle name="Millares 2 2 2 2 2 2 2 2 7" xfId="1185" xr:uid="{00000000-0005-0000-0000-000089040000}"/>
    <cellStyle name="Millares 2 2 2 2 2 2 2 2 8" xfId="1186" xr:uid="{00000000-0005-0000-0000-00008A040000}"/>
    <cellStyle name="Millares 2 2 2 2 2 2 2 2 9" xfId="1187" xr:uid="{00000000-0005-0000-0000-00008B040000}"/>
    <cellStyle name="Millares 2 2 2 2 2 2 2 20" xfId="1188" xr:uid="{00000000-0005-0000-0000-00008C040000}"/>
    <cellStyle name="Millares 2 2 2 2 2 2 2 21" xfId="1189" xr:uid="{00000000-0005-0000-0000-00008D040000}"/>
    <cellStyle name="Millares 2 2 2 2 2 2 2 22" xfId="1190" xr:uid="{00000000-0005-0000-0000-00008E040000}"/>
    <cellStyle name="Millares 2 2 2 2 2 2 2 23" xfId="1191" xr:uid="{00000000-0005-0000-0000-00008F040000}"/>
    <cellStyle name="Millares 2 2 2 2 2 2 2 24" xfId="1192" xr:uid="{00000000-0005-0000-0000-000090040000}"/>
    <cellStyle name="Millares 2 2 2 2 2 2 2 25" xfId="1193" xr:uid="{00000000-0005-0000-0000-000091040000}"/>
    <cellStyle name="Millares 2 2 2 2 2 2 2 25 10" xfId="1194" xr:uid="{00000000-0005-0000-0000-000092040000}"/>
    <cellStyle name="Millares 2 2 2 2 2 2 2 25 2" xfId="1195" xr:uid="{00000000-0005-0000-0000-000093040000}"/>
    <cellStyle name="Millares 2 2 2 2 2 2 2 25 3" xfId="1196" xr:uid="{00000000-0005-0000-0000-000094040000}"/>
    <cellStyle name="Millares 2 2 2 2 2 2 2 25 4" xfId="1197" xr:uid="{00000000-0005-0000-0000-000095040000}"/>
    <cellStyle name="Millares 2 2 2 2 2 2 2 25 5" xfId="1198" xr:uid="{00000000-0005-0000-0000-000096040000}"/>
    <cellStyle name="Millares 2 2 2 2 2 2 2 25 6" xfId="1199" xr:uid="{00000000-0005-0000-0000-000097040000}"/>
    <cellStyle name="Millares 2 2 2 2 2 2 2 25 7" xfId="1200" xr:uid="{00000000-0005-0000-0000-000098040000}"/>
    <cellStyle name="Millares 2 2 2 2 2 2 2 25 8" xfId="1201" xr:uid="{00000000-0005-0000-0000-000099040000}"/>
    <cellStyle name="Millares 2 2 2 2 2 2 2 25 9" xfId="1202" xr:uid="{00000000-0005-0000-0000-00009A040000}"/>
    <cellStyle name="Millares 2 2 2 2 2 2 2 26" xfId="1203" xr:uid="{00000000-0005-0000-0000-00009B040000}"/>
    <cellStyle name="Millares 2 2 2 2 2 2 2 27" xfId="1204" xr:uid="{00000000-0005-0000-0000-00009C040000}"/>
    <cellStyle name="Millares 2 2 2 2 2 2 2 28" xfId="1205" xr:uid="{00000000-0005-0000-0000-00009D040000}"/>
    <cellStyle name="Millares 2 2 2 2 2 2 2 29" xfId="1206" xr:uid="{00000000-0005-0000-0000-00009E040000}"/>
    <cellStyle name="Millares 2 2 2 2 2 2 2 3" xfId="1207" xr:uid="{00000000-0005-0000-0000-00009F040000}"/>
    <cellStyle name="Millares 2 2 2 2 2 2 2 30" xfId="1208" xr:uid="{00000000-0005-0000-0000-0000A0040000}"/>
    <cellStyle name="Millares 2 2 2 2 2 2 2 31" xfId="1209" xr:uid="{00000000-0005-0000-0000-0000A1040000}"/>
    <cellStyle name="Millares 2 2 2 2 2 2 2 32" xfId="1210" xr:uid="{00000000-0005-0000-0000-0000A2040000}"/>
    <cellStyle name="Millares 2 2 2 2 2 2 2 33" xfId="1211" xr:uid="{00000000-0005-0000-0000-0000A3040000}"/>
    <cellStyle name="Millares 2 2 2 2 2 2 2 34" xfId="1212" xr:uid="{00000000-0005-0000-0000-0000A4040000}"/>
    <cellStyle name="Millares 2 2 2 2 2 2 2 4" xfId="1213" xr:uid="{00000000-0005-0000-0000-0000A5040000}"/>
    <cellStyle name="Millares 2 2 2 2 2 2 2 5" xfId="1214" xr:uid="{00000000-0005-0000-0000-0000A6040000}"/>
    <cellStyle name="Millares 2 2 2 2 2 2 2 6" xfId="1215" xr:uid="{00000000-0005-0000-0000-0000A7040000}"/>
    <cellStyle name="Millares 2 2 2 2 2 2 2 7" xfId="1216" xr:uid="{00000000-0005-0000-0000-0000A8040000}"/>
    <cellStyle name="Millares 2 2 2 2 2 2 2 8" xfId="1217" xr:uid="{00000000-0005-0000-0000-0000A9040000}"/>
    <cellStyle name="Millares 2 2 2 2 2 2 2 9" xfId="1218" xr:uid="{00000000-0005-0000-0000-0000AA040000}"/>
    <cellStyle name="Millares 2 2 2 2 2 2 20" xfId="1219" xr:uid="{00000000-0005-0000-0000-0000AB040000}"/>
    <cellStyle name="Millares 2 2 2 2 2 2 21" xfId="1220" xr:uid="{00000000-0005-0000-0000-0000AC040000}"/>
    <cellStyle name="Millares 2 2 2 2 2 2 22" xfId="1221" xr:uid="{00000000-0005-0000-0000-0000AD040000}"/>
    <cellStyle name="Millares 2 2 2 2 2 2 23" xfId="1222" xr:uid="{00000000-0005-0000-0000-0000AE040000}"/>
    <cellStyle name="Millares 2 2 2 2 2 2 24" xfId="1223" xr:uid="{00000000-0005-0000-0000-0000AF040000}"/>
    <cellStyle name="Millares 2 2 2 2 2 2 25" xfId="1224" xr:uid="{00000000-0005-0000-0000-0000B0040000}"/>
    <cellStyle name="Millares 2 2 2 2 2 2 25 10" xfId="1225" xr:uid="{00000000-0005-0000-0000-0000B1040000}"/>
    <cellStyle name="Millares 2 2 2 2 2 2 25 2" xfId="1226" xr:uid="{00000000-0005-0000-0000-0000B2040000}"/>
    <cellStyle name="Millares 2 2 2 2 2 2 25 3" xfId="1227" xr:uid="{00000000-0005-0000-0000-0000B3040000}"/>
    <cellStyle name="Millares 2 2 2 2 2 2 25 4" xfId="1228" xr:uid="{00000000-0005-0000-0000-0000B4040000}"/>
    <cellStyle name="Millares 2 2 2 2 2 2 25 5" xfId="1229" xr:uid="{00000000-0005-0000-0000-0000B5040000}"/>
    <cellStyle name="Millares 2 2 2 2 2 2 25 6" xfId="1230" xr:uid="{00000000-0005-0000-0000-0000B6040000}"/>
    <cellStyle name="Millares 2 2 2 2 2 2 25 7" xfId="1231" xr:uid="{00000000-0005-0000-0000-0000B7040000}"/>
    <cellStyle name="Millares 2 2 2 2 2 2 25 8" xfId="1232" xr:uid="{00000000-0005-0000-0000-0000B8040000}"/>
    <cellStyle name="Millares 2 2 2 2 2 2 25 9" xfId="1233" xr:uid="{00000000-0005-0000-0000-0000B9040000}"/>
    <cellStyle name="Millares 2 2 2 2 2 2 26" xfId="1234" xr:uid="{00000000-0005-0000-0000-0000BA040000}"/>
    <cellStyle name="Millares 2 2 2 2 2 2 27" xfId="1235" xr:uid="{00000000-0005-0000-0000-0000BB040000}"/>
    <cellStyle name="Millares 2 2 2 2 2 2 28" xfId="1236" xr:uid="{00000000-0005-0000-0000-0000BC040000}"/>
    <cellStyle name="Millares 2 2 2 2 2 2 29" xfId="1237" xr:uid="{00000000-0005-0000-0000-0000BD040000}"/>
    <cellStyle name="Millares 2 2 2 2 2 2 3" xfId="1238" xr:uid="{00000000-0005-0000-0000-0000BE040000}"/>
    <cellStyle name="Millares 2 2 2 2 2 2 30" xfId="1239" xr:uid="{00000000-0005-0000-0000-0000BF040000}"/>
    <cellStyle name="Millares 2 2 2 2 2 2 31" xfId="1240" xr:uid="{00000000-0005-0000-0000-0000C0040000}"/>
    <cellStyle name="Millares 2 2 2 2 2 2 32" xfId="1241" xr:uid="{00000000-0005-0000-0000-0000C1040000}"/>
    <cellStyle name="Millares 2 2 2 2 2 2 33" xfId="1242" xr:uid="{00000000-0005-0000-0000-0000C2040000}"/>
    <cellStyle name="Millares 2 2 2 2 2 2 34" xfId="1243" xr:uid="{00000000-0005-0000-0000-0000C3040000}"/>
    <cellStyle name="Millares 2 2 2 2 2 2 35" xfId="1244" xr:uid="{00000000-0005-0000-0000-0000C4040000}"/>
    <cellStyle name="Millares 2 2 2 2 2 2 4" xfId="1245" xr:uid="{00000000-0005-0000-0000-0000C5040000}"/>
    <cellStyle name="Millares 2 2 2 2 2 2 5" xfId="1246" xr:uid="{00000000-0005-0000-0000-0000C6040000}"/>
    <cellStyle name="Millares 2 2 2 2 2 2 6" xfId="1247" xr:uid="{00000000-0005-0000-0000-0000C7040000}"/>
    <cellStyle name="Millares 2 2 2 2 2 2 7" xfId="1248" xr:uid="{00000000-0005-0000-0000-0000C8040000}"/>
    <cellStyle name="Millares 2 2 2 2 2 2 8" xfId="1249" xr:uid="{00000000-0005-0000-0000-0000C9040000}"/>
    <cellStyle name="Millares 2 2 2 2 2 2 9" xfId="1250" xr:uid="{00000000-0005-0000-0000-0000CA040000}"/>
    <cellStyle name="Millares 2 2 2 2 2 20" xfId="1251" xr:uid="{00000000-0005-0000-0000-0000CB040000}"/>
    <cellStyle name="Millares 2 2 2 2 2 21" xfId="1252" xr:uid="{00000000-0005-0000-0000-0000CC040000}"/>
    <cellStyle name="Millares 2 2 2 2 2 22" xfId="1253" xr:uid="{00000000-0005-0000-0000-0000CD040000}"/>
    <cellStyle name="Millares 2 2 2 2 2 23" xfId="1254" xr:uid="{00000000-0005-0000-0000-0000CE040000}"/>
    <cellStyle name="Millares 2 2 2 2 2 24" xfId="1255" xr:uid="{00000000-0005-0000-0000-0000CF040000}"/>
    <cellStyle name="Millares 2 2 2 2 2 25" xfId="1256" xr:uid="{00000000-0005-0000-0000-0000D0040000}"/>
    <cellStyle name="Millares 2 2 2 2 2 26" xfId="1257" xr:uid="{00000000-0005-0000-0000-0000D1040000}"/>
    <cellStyle name="Millares 2 2 2 2 2 27" xfId="1258" xr:uid="{00000000-0005-0000-0000-0000D2040000}"/>
    <cellStyle name="Millares 2 2 2 2 2 28" xfId="1259" xr:uid="{00000000-0005-0000-0000-0000D3040000}"/>
    <cellStyle name="Millares 2 2 2 2 2 29" xfId="1260" xr:uid="{00000000-0005-0000-0000-0000D4040000}"/>
    <cellStyle name="Millares 2 2 2 2 2 3" xfId="1261" xr:uid="{00000000-0005-0000-0000-0000D5040000}"/>
    <cellStyle name="Millares 2 2 2 2 2 30" xfId="1262" xr:uid="{00000000-0005-0000-0000-0000D6040000}"/>
    <cellStyle name="Millares 2 2 2 2 2 31" xfId="1263" xr:uid="{00000000-0005-0000-0000-0000D7040000}"/>
    <cellStyle name="Millares 2 2 2 2 2 32" xfId="1264" xr:uid="{00000000-0005-0000-0000-0000D8040000}"/>
    <cellStyle name="Millares 2 2 2 2 2 33" xfId="1265" xr:uid="{00000000-0005-0000-0000-0000D9040000}"/>
    <cellStyle name="Millares 2 2 2 2 2 34" xfId="1266" xr:uid="{00000000-0005-0000-0000-0000DA040000}"/>
    <cellStyle name="Millares 2 2 2 2 2 35" xfId="1267" xr:uid="{00000000-0005-0000-0000-0000DB040000}"/>
    <cellStyle name="Millares 2 2 2 2 2 36" xfId="1268" xr:uid="{00000000-0005-0000-0000-0000DC040000}"/>
    <cellStyle name="Millares 2 2 2 2 2 37" xfId="1269" xr:uid="{00000000-0005-0000-0000-0000DD040000}"/>
    <cellStyle name="Millares 2 2 2 2 2 38" xfId="1270" xr:uid="{00000000-0005-0000-0000-0000DE040000}"/>
    <cellStyle name="Millares 2 2 2 2 2 38 10" xfId="1271" xr:uid="{00000000-0005-0000-0000-0000DF040000}"/>
    <cellStyle name="Millares 2 2 2 2 2 38 2" xfId="1272" xr:uid="{00000000-0005-0000-0000-0000E0040000}"/>
    <cellStyle name="Millares 2 2 2 2 2 38 3" xfId="1273" xr:uid="{00000000-0005-0000-0000-0000E1040000}"/>
    <cellStyle name="Millares 2 2 2 2 2 38 4" xfId="1274" xr:uid="{00000000-0005-0000-0000-0000E2040000}"/>
    <cellStyle name="Millares 2 2 2 2 2 38 5" xfId="1275" xr:uid="{00000000-0005-0000-0000-0000E3040000}"/>
    <cellStyle name="Millares 2 2 2 2 2 38 6" xfId="1276" xr:uid="{00000000-0005-0000-0000-0000E4040000}"/>
    <cellStyle name="Millares 2 2 2 2 2 38 7" xfId="1277" xr:uid="{00000000-0005-0000-0000-0000E5040000}"/>
    <cellStyle name="Millares 2 2 2 2 2 38 8" xfId="1278" xr:uid="{00000000-0005-0000-0000-0000E6040000}"/>
    <cellStyle name="Millares 2 2 2 2 2 38 9" xfId="1279" xr:uid="{00000000-0005-0000-0000-0000E7040000}"/>
    <cellStyle name="Millares 2 2 2 2 2 39" xfId="1280" xr:uid="{00000000-0005-0000-0000-0000E8040000}"/>
    <cellStyle name="Millares 2 2 2 2 2 4" xfId="1281" xr:uid="{00000000-0005-0000-0000-0000E9040000}"/>
    <cellStyle name="Millares 2 2 2 2 2 40" xfId="1282" xr:uid="{00000000-0005-0000-0000-0000EA040000}"/>
    <cellStyle name="Millares 2 2 2 2 2 41" xfId="1283" xr:uid="{00000000-0005-0000-0000-0000EB040000}"/>
    <cellStyle name="Millares 2 2 2 2 2 42" xfId="1284" xr:uid="{00000000-0005-0000-0000-0000EC040000}"/>
    <cellStyle name="Millares 2 2 2 2 2 43" xfId="1285" xr:uid="{00000000-0005-0000-0000-0000ED040000}"/>
    <cellStyle name="Millares 2 2 2 2 2 44" xfId="1286" xr:uid="{00000000-0005-0000-0000-0000EE040000}"/>
    <cellStyle name="Millares 2 2 2 2 2 45" xfId="1287" xr:uid="{00000000-0005-0000-0000-0000EF040000}"/>
    <cellStyle name="Millares 2 2 2 2 2 46" xfId="1288" xr:uid="{00000000-0005-0000-0000-0000F0040000}"/>
    <cellStyle name="Millares 2 2 2 2 2 47" xfId="1289" xr:uid="{00000000-0005-0000-0000-0000F1040000}"/>
    <cellStyle name="Millares 2 2 2 2 2 48" xfId="1290" xr:uid="{00000000-0005-0000-0000-0000F2040000}"/>
    <cellStyle name="Millares 2 2 2 2 2 5" xfId="1291" xr:uid="{00000000-0005-0000-0000-0000F3040000}"/>
    <cellStyle name="Millares 2 2 2 2 2 6" xfId="1292" xr:uid="{00000000-0005-0000-0000-0000F4040000}"/>
    <cellStyle name="Millares 2 2 2 2 2 7" xfId="1293" xr:uid="{00000000-0005-0000-0000-0000F5040000}"/>
    <cellStyle name="Millares 2 2 2 2 2 8" xfId="1294" xr:uid="{00000000-0005-0000-0000-0000F6040000}"/>
    <cellStyle name="Millares 2 2 2 2 2 9" xfId="1295" xr:uid="{00000000-0005-0000-0000-0000F7040000}"/>
    <cellStyle name="Millares 2 2 2 2 20" xfId="1296" xr:uid="{00000000-0005-0000-0000-0000F8040000}"/>
    <cellStyle name="Millares 2 2 2 2 21" xfId="1297" xr:uid="{00000000-0005-0000-0000-0000F9040000}"/>
    <cellStyle name="Millares 2 2 2 2 22" xfId="1298" xr:uid="{00000000-0005-0000-0000-0000FA040000}"/>
    <cellStyle name="Millares 2 2 2 2 23" xfId="1299" xr:uid="{00000000-0005-0000-0000-0000FB040000}"/>
    <cellStyle name="Millares 2 2 2 2 24" xfId="1300" xr:uid="{00000000-0005-0000-0000-0000FC040000}"/>
    <cellStyle name="Millares 2 2 2 2 25" xfId="1301" xr:uid="{00000000-0005-0000-0000-0000FD040000}"/>
    <cellStyle name="Millares 2 2 2 2 26" xfId="1302" xr:uid="{00000000-0005-0000-0000-0000FE040000}"/>
    <cellStyle name="Millares 2 2 2 2 27" xfId="1303" xr:uid="{00000000-0005-0000-0000-0000FF040000}"/>
    <cellStyle name="Millares 2 2 2 2 28" xfId="1304" xr:uid="{00000000-0005-0000-0000-000000050000}"/>
    <cellStyle name="Millares 2 2 2 2 29" xfId="1305" xr:uid="{00000000-0005-0000-0000-000001050000}"/>
    <cellStyle name="Millares 2 2 2 2 3" xfId="1306" xr:uid="{00000000-0005-0000-0000-000002050000}"/>
    <cellStyle name="Millares 2 2 2 2 30" xfId="1307" xr:uid="{00000000-0005-0000-0000-000003050000}"/>
    <cellStyle name="Millares 2 2 2 2 31" xfId="1308" xr:uid="{00000000-0005-0000-0000-000004050000}"/>
    <cellStyle name="Millares 2 2 2 2 32" xfId="1309" xr:uid="{00000000-0005-0000-0000-000005050000}"/>
    <cellStyle name="Millares 2 2 2 2 33" xfId="1310" xr:uid="{00000000-0005-0000-0000-000006050000}"/>
    <cellStyle name="Millares 2 2 2 2 34" xfId="1311" xr:uid="{00000000-0005-0000-0000-000007050000}"/>
    <cellStyle name="Millares 2 2 2 2 35" xfId="1312" xr:uid="{00000000-0005-0000-0000-000008050000}"/>
    <cellStyle name="Millares 2 2 2 2 36" xfId="1313" xr:uid="{00000000-0005-0000-0000-000009050000}"/>
    <cellStyle name="Millares 2 2 2 2 37" xfId="1314" xr:uid="{00000000-0005-0000-0000-00000A050000}"/>
    <cellStyle name="Millares 2 2 2 2 38" xfId="1315" xr:uid="{00000000-0005-0000-0000-00000B050000}"/>
    <cellStyle name="Millares 2 2 2 2 39" xfId="1316" xr:uid="{00000000-0005-0000-0000-00000C050000}"/>
    <cellStyle name="Millares 2 2 2 2 39 10" xfId="1317" xr:uid="{00000000-0005-0000-0000-00000D050000}"/>
    <cellStyle name="Millares 2 2 2 2 39 2" xfId="1318" xr:uid="{00000000-0005-0000-0000-00000E050000}"/>
    <cellStyle name="Millares 2 2 2 2 39 3" xfId="1319" xr:uid="{00000000-0005-0000-0000-00000F050000}"/>
    <cellStyle name="Millares 2 2 2 2 39 4" xfId="1320" xr:uid="{00000000-0005-0000-0000-000010050000}"/>
    <cellStyle name="Millares 2 2 2 2 39 5" xfId="1321" xr:uid="{00000000-0005-0000-0000-000011050000}"/>
    <cellStyle name="Millares 2 2 2 2 39 6" xfId="1322" xr:uid="{00000000-0005-0000-0000-000012050000}"/>
    <cellStyle name="Millares 2 2 2 2 39 7" xfId="1323" xr:uid="{00000000-0005-0000-0000-000013050000}"/>
    <cellStyle name="Millares 2 2 2 2 39 8" xfId="1324" xr:uid="{00000000-0005-0000-0000-000014050000}"/>
    <cellStyle name="Millares 2 2 2 2 39 9" xfId="1325" xr:uid="{00000000-0005-0000-0000-000015050000}"/>
    <cellStyle name="Millares 2 2 2 2 4" xfId="1326" xr:uid="{00000000-0005-0000-0000-000016050000}"/>
    <cellStyle name="Millares 2 2 2 2 4 10" xfId="1327" xr:uid="{00000000-0005-0000-0000-000017050000}"/>
    <cellStyle name="Millares 2 2 2 2 4 11" xfId="1328" xr:uid="{00000000-0005-0000-0000-000018050000}"/>
    <cellStyle name="Millares 2 2 2 2 4 12" xfId="1329" xr:uid="{00000000-0005-0000-0000-000019050000}"/>
    <cellStyle name="Millares 2 2 2 2 4 13" xfId="1330" xr:uid="{00000000-0005-0000-0000-00001A050000}"/>
    <cellStyle name="Millares 2 2 2 2 4 14" xfId="1331" xr:uid="{00000000-0005-0000-0000-00001B050000}"/>
    <cellStyle name="Millares 2 2 2 2 4 15" xfId="1332" xr:uid="{00000000-0005-0000-0000-00001C050000}"/>
    <cellStyle name="Millares 2 2 2 2 4 16" xfId="1333" xr:uid="{00000000-0005-0000-0000-00001D050000}"/>
    <cellStyle name="Millares 2 2 2 2 4 17" xfId="1334" xr:uid="{00000000-0005-0000-0000-00001E050000}"/>
    <cellStyle name="Millares 2 2 2 2 4 18" xfId="1335" xr:uid="{00000000-0005-0000-0000-00001F050000}"/>
    <cellStyle name="Millares 2 2 2 2 4 19" xfId="1336" xr:uid="{00000000-0005-0000-0000-000020050000}"/>
    <cellStyle name="Millares 2 2 2 2 4 2" xfId="1337" xr:uid="{00000000-0005-0000-0000-000021050000}"/>
    <cellStyle name="Millares 2 2 2 2 4 2 10" xfId="1338" xr:uid="{00000000-0005-0000-0000-000022050000}"/>
    <cellStyle name="Millares 2 2 2 2 4 2 11" xfId="1339" xr:uid="{00000000-0005-0000-0000-000023050000}"/>
    <cellStyle name="Millares 2 2 2 2 4 2 12" xfId="1340" xr:uid="{00000000-0005-0000-0000-000024050000}"/>
    <cellStyle name="Millares 2 2 2 2 4 2 13" xfId="1341" xr:uid="{00000000-0005-0000-0000-000025050000}"/>
    <cellStyle name="Millares 2 2 2 2 4 2 14" xfId="1342" xr:uid="{00000000-0005-0000-0000-000026050000}"/>
    <cellStyle name="Millares 2 2 2 2 4 2 15" xfId="1343" xr:uid="{00000000-0005-0000-0000-000027050000}"/>
    <cellStyle name="Millares 2 2 2 2 4 2 16" xfId="1344" xr:uid="{00000000-0005-0000-0000-000028050000}"/>
    <cellStyle name="Millares 2 2 2 2 4 2 17" xfId="1345" xr:uid="{00000000-0005-0000-0000-000029050000}"/>
    <cellStyle name="Millares 2 2 2 2 4 2 18" xfId="1346" xr:uid="{00000000-0005-0000-0000-00002A050000}"/>
    <cellStyle name="Millares 2 2 2 2 4 2 19" xfId="1347" xr:uid="{00000000-0005-0000-0000-00002B050000}"/>
    <cellStyle name="Millares 2 2 2 2 4 2 2" xfId="1348" xr:uid="{00000000-0005-0000-0000-00002C050000}"/>
    <cellStyle name="Millares 2 2 2 2 4 2 20" xfId="1349" xr:uid="{00000000-0005-0000-0000-00002D050000}"/>
    <cellStyle name="Millares 2 2 2 2 4 2 3" xfId="1350" xr:uid="{00000000-0005-0000-0000-00002E050000}"/>
    <cellStyle name="Millares 2 2 2 2 4 2 4" xfId="1351" xr:uid="{00000000-0005-0000-0000-00002F050000}"/>
    <cellStyle name="Millares 2 2 2 2 4 2 5" xfId="1352" xr:uid="{00000000-0005-0000-0000-000030050000}"/>
    <cellStyle name="Millares 2 2 2 2 4 2 6" xfId="1353" xr:uid="{00000000-0005-0000-0000-000031050000}"/>
    <cellStyle name="Millares 2 2 2 2 4 2 7" xfId="1354" xr:uid="{00000000-0005-0000-0000-000032050000}"/>
    <cellStyle name="Millares 2 2 2 2 4 2 8" xfId="1355" xr:uid="{00000000-0005-0000-0000-000033050000}"/>
    <cellStyle name="Millares 2 2 2 2 4 2 9" xfId="1356" xr:uid="{00000000-0005-0000-0000-000034050000}"/>
    <cellStyle name="Millares 2 2 2 2 4 20" xfId="1357" xr:uid="{00000000-0005-0000-0000-000035050000}"/>
    <cellStyle name="Millares 2 2 2 2 4 3" xfId="1358" xr:uid="{00000000-0005-0000-0000-000036050000}"/>
    <cellStyle name="Millares 2 2 2 2 4 4" xfId="1359" xr:uid="{00000000-0005-0000-0000-000037050000}"/>
    <cellStyle name="Millares 2 2 2 2 4 5" xfId="1360" xr:uid="{00000000-0005-0000-0000-000038050000}"/>
    <cellStyle name="Millares 2 2 2 2 4 6" xfId="1361" xr:uid="{00000000-0005-0000-0000-000039050000}"/>
    <cellStyle name="Millares 2 2 2 2 4 7" xfId="1362" xr:uid="{00000000-0005-0000-0000-00003A050000}"/>
    <cellStyle name="Millares 2 2 2 2 4 8" xfId="1363" xr:uid="{00000000-0005-0000-0000-00003B050000}"/>
    <cellStyle name="Millares 2 2 2 2 4 9" xfId="1364" xr:uid="{00000000-0005-0000-0000-00003C050000}"/>
    <cellStyle name="Millares 2 2 2 2 40" xfId="1365" xr:uid="{00000000-0005-0000-0000-00003D050000}"/>
    <cellStyle name="Millares 2 2 2 2 41" xfId="1366" xr:uid="{00000000-0005-0000-0000-00003E050000}"/>
    <cellStyle name="Millares 2 2 2 2 42" xfId="1367" xr:uid="{00000000-0005-0000-0000-00003F050000}"/>
    <cellStyle name="Millares 2 2 2 2 43" xfId="1368" xr:uid="{00000000-0005-0000-0000-000040050000}"/>
    <cellStyle name="Millares 2 2 2 2 44" xfId="1369" xr:uid="{00000000-0005-0000-0000-000041050000}"/>
    <cellStyle name="Millares 2 2 2 2 45" xfId="1370" xr:uid="{00000000-0005-0000-0000-000042050000}"/>
    <cellStyle name="Millares 2 2 2 2 46" xfId="1371" xr:uid="{00000000-0005-0000-0000-000043050000}"/>
    <cellStyle name="Millares 2 2 2 2 47" xfId="1372" xr:uid="{00000000-0005-0000-0000-000044050000}"/>
    <cellStyle name="Millares 2 2 2 2 48" xfId="1373" xr:uid="{00000000-0005-0000-0000-000045050000}"/>
    <cellStyle name="Millares 2 2 2 2 5" xfId="1374" xr:uid="{00000000-0005-0000-0000-000046050000}"/>
    <cellStyle name="Millares 2 2 2 2 6" xfId="1375" xr:uid="{00000000-0005-0000-0000-000047050000}"/>
    <cellStyle name="Millares 2 2 2 2 7" xfId="1376" xr:uid="{00000000-0005-0000-0000-000048050000}"/>
    <cellStyle name="Millares 2 2 2 2 8" xfId="1377" xr:uid="{00000000-0005-0000-0000-000049050000}"/>
    <cellStyle name="Millares 2 2 2 2 9" xfId="1378" xr:uid="{00000000-0005-0000-0000-00004A050000}"/>
    <cellStyle name="Millares 2 2 2 20" xfId="1379" xr:uid="{00000000-0005-0000-0000-00004B050000}"/>
    <cellStyle name="Millares 2 2 2 21" xfId="1380" xr:uid="{00000000-0005-0000-0000-00004C050000}"/>
    <cellStyle name="Millares 2 2 2 22" xfId="1381" xr:uid="{00000000-0005-0000-0000-00004D050000}"/>
    <cellStyle name="Millares 2 2 2 23" xfId="1382" xr:uid="{00000000-0005-0000-0000-00004E050000}"/>
    <cellStyle name="Millares 2 2 2 24" xfId="1383" xr:uid="{00000000-0005-0000-0000-00004F050000}"/>
    <cellStyle name="Millares 2 2 2 25" xfId="1384" xr:uid="{00000000-0005-0000-0000-000050050000}"/>
    <cellStyle name="Millares 2 2 2 26" xfId="1385" xr:uid="{00000000-0005-0000-0000-000051050000}"/>
    <cellStyle name="Millares 2 2 2 27" xfId="1386" xr:uid="{00000000-0005-0000-0000-000052050000}"/>
    <cellStyle name="Millares 2 2 2 28" xfId="1387" xr:uid="{00000000-0005-0000-0000-000053050000}"/>
    <cellStyle name="Millares 2 2 2 29" xfId="1388" xr:uid="{00000000-0005-0000-0000-000054050000}"/>
    <cellStyle name="Millares 2 2 2 3" xfId="1389" xr:uid="{00000000-0005-0000-0000-000055050000}"/>
    <cellStyle name="Millares 2 2 2 3 10" xfId="1390" xr:uid="{00000000-0005-0000-0000-000056050000}"/>
    <cellStyle name="Millares 2 2 2 3 11" xfId="1391" xr:uid="{00000000-0005-0000-0000-000057050000}"/>
    <cellStyle name="Millares 2 2 2 3 12" xfId="1392" xr:uid="{00000000-0005-0000-0000-000058050000}"/>
    <cellStyle name="Millares 2 2 2 3 13" xfId="1393" xr:uid="{00000000-0005-0000-0000-000059050000}"/>
    <cellStyle name="Millares 2 2 2 3 14" xfId="1394" xr:uid="{00000000-0005-0000-0000-00005A050000}"/>
    <cellStyle name="Millares 2 2 2 3 15" xfId="1395" xr:uid="{00000000-0005-0000-0000-00005B050000}"/>
    <cellStyle name="Millares 2 2 2 3 16" xfId="1396" xr:uid="{00000000-0005-0000-0000-00005C050000}"/>
    <cellStyle name="Millares 2 2 2 3 17" xfId="1397" xr:uid="{00000000-0005-0000-0000-00005D050000}"/>
    <cellStyle name="Millares 2 2 2 3 18" xfId="1398" xr:uid="{00000000-0005-0000-0000-00005E050000}"/>
    <cellStyle name="Millares 2 2 2 3 19" xfId="1399" xr:uid="{00000000-0005-0000-0000-00005F050000}"/>
    <cellStyle name="Millares 2 2 2 3 2" xfId="1400" xr:uid="{00000000-0005-0000-0000-000060050000}"/>
    <cellStyle name="Millares 2 2 2 3 2 10" xfId="1401" xr:uid="{00000000-0005-0000-0000-000061050000}"/>
    <cellStyle name="Millares 2 2 2 3 2 11" xfId="1402" xr:uid="{00000000-0005-0000-0000-000062050000}"/>
    <cellStyle name="Millares 2 2 2 3 2 12" xfId="1403" xr:uid="{00000000-0005-0000-0000-000063050000}"/>
    <cellStyle name="Millares 2 2 2 3 2 13" xfId="1404" xr:uid="{00000000-0005-0000-0000-000064050000}"/>
    <cellStyle name="Millares 2 2 2 3 2 14" xfId="1405" xr:uid="{00000000-0005-0000-0000-000065050000}"/>
    <cellStyle name="Millares 2 2 2 3 2 15" xfId="1406" xr:uid="{00000000-0005-0000-0000-000066050000}"/>
    <cellStyle name="Millares 2 2 2 3 2 16" xfId="1407" xr:uid="{00000000-0005-0000-0000-000067050000}"/>
    <cellStyle name="Millares 2 2 2 3 2 17" xfId="1408" xr:uid="{00000000-0005-0000-0000-000068050000}"/>
    <cellStyle name="Millares 2 2 2 3 2 18" xfId="1409" xr:uid="{00000000-0005-0000-0000-000069050000}"/>
    <cellStyle name="Millares 2 2 2 3 2 19" xfId="1410" xr:uid="{00000000-0005-0000-0000-00006A050000}"/>
    <cellStyle name="Millares 2 2 2 3 2 2" xfId="1411" xr:uid="{00000000-0005-0000-0000-00006B050000}"/>
    <cellStyle name="Millares 2 2 2 3 2 2 10" xfId="1412" xr:uid="{00000000-0005-0000-0000-00006C050000}"/>
    <cellStyle name="Millares 2 2 2 3 2 2 11" xfId="1413" xr:uid="{00000000-0005-0000-0000-00006D050000}"/>
    <cellStyle name="Millares 2 2 2 3 2 2 12" xfId="1414" xr:uid="{00000000-0005-0000-0000-00006E050000}"/>
    <cellStyle name="Millares 2 2 2 3 2 2 13" xfId="1415" xr:uid="{00000000-0005-0000-0000-00006F050000}"/>
    <cellStyle name="Millares 2 2 2 3 2 2 14" xfId="1416" xr:uid="{00000000-0005-0000-0000-000070050000}"/>
    <cellStyle name="Millares 2 2 2 3 2 2 15" xfId="1417" xr:uid="{00000000-0005-0000-0000-000071050000}"/>
    <cellStyle name="Millares 2 2 2 3 2 2 16" xfId="1418" xr:uid="{00000000-0005-0000-0000-000072050000}"/>
    <cellStyle name="Millares 2 2 2 3 2 2 17" xfId="1419" xr:uid="{00000000-0005-0000-0000-000073050000}"/>
    <cellStyle name="Millares 2 2 2 3 2 2 18" xfId="1420" xr:uid="{00000000-0005-0000-0000-000074050000}"/>
    <cellStyle name="Millares 2 2 2 3 2 2 19" xfId="1421" xr:uid="{00000000-0005-0000-0000-000075050000}"/>
    <cellStyle name="Millares 2 2 2 3 2 2 2" xfId="1422" xr:uid="{00000000-0005-0000-0000-000076050000}"/>
    <cellStyle name="Millares 2 2 2 3 2 2 20" xfId="1423" xr:uid="{00000000-0005-0000-0000-000077050000}"/>
    <cellStyle name="Millares 2 2 2 3 2 2 3" xfId="1424" xr:uid="{00000000-0005-0000-0000-000078050000}"/>
    <cellStyle name="Millares 2 2 2 3 2 2 4" xfId="1425" xr:uid="{00000000-0005-0000-0000-000079050000}"/>
    <cellStyle name="Millares 2 2 2 3 2 2 5" xfId="1426" xr:uid="{00000000-0005-0000-0000-00007A050000}"/>
    <cellStyle name="Millares 2 2 2 3 2 2 6" xfId="1427" xr:uid="{00000000-0005-0000-0000-00007B050000}"/>
    <cellStyle name="Millares 2 2 2 3 2 2 7" xfId="1428" xr:uid="{00000000-0005-0000-0000-00007C050000}"/>
    <cellStyle name="Millares 2 2 2 3 2 2 8" xfId="1429" xr:uid="{00000000-0005-0000-0000-00007D050000}"/>
    <cellStyle name="Millares 2 2 2 3 2 2 9" xfId="1430" xr:uid="{00000000-0005-0000-0000-00007E050000}"/>
    <cellStyle name="Millares 2 2 2 3 2 20" xfId="1431" xr:uid="{00000000-0005-0000-0000-00007F050000}"/>
    <cellStyle name="Millares 2 2 2 3 2 3" xfId="1432" xr:uid="{00000000-0005-0000-0000-000080050000}"/>
    <cellStyle name="Millares 2 2 2 3 2 4" xfId="1433" xr:uid="{00000000-0005-0000-0000-000081050000}"/>
    <cellStyle name="Millares 2 2 2 3 2 5" xfId="1434" xr:uid="{00000000-0005-0000-0000-000082050000}"/>
    <cellStyle name="Millares 2 2 2 3 2 6" xfId="1435" xr:uid="{00000000-0005-0000-0000-000083050000}"/>
    <cellStyle name="Millares 2 2 2 3 2 7" xfId="1436" xr:uid="{00000000-0005-0000-0000-000084050000}"/>
    <cellStyle name="Millares 2 2 2 3 2 8" xfId="1437" xr:uid="{00000000-0005-0000-0000-000085050000}"/>
    <cellStyle name="Millares 2 2 2 3 2 9" xfId="1438" xr:uid="{00000000-0005-0000-0000-000086050000}"/>
    <cellStyle name="Millares 2 2 2 3 20" xfId="1439" xr:uid="{00000000-0005-0000-0000-000087050000}"/>
    <cellStyle name="Millares 2 2 2 3 21" xfId="1440" xr:uid="{00000000-0005-0000-0000-000088050000}"/>
    <cellStyle name="Millares 2 2 2 3 22" xfId="1441" xr:uid="{00000000-0005-0000-0000-000089050000}"/>
    <cellStyle name="Millares 2 2 2 3 23" xfId="1442" xr:uid="{00000000-0005-0000-0000-00008A050000}"/>
    <cellStyle name="Millares 2 2 2 3 24" xfId="1443" xr:uid="{00000000-0005-0000-0000-00008B050000}"/>
    <cellStyle name="Millares 2 2 2 3 25" xfId="1444" xr:uid="{00000000-0005-0000-0000-00008C050000}"/>
    <cellStyle name="Millares 2 2 2 3 26" xfId="1445" xr:uid="{00000000-0005-0000-0000-00008D050000}"/>
    <cellStyle name="Millares 2 2 2 3 27" xfId="1446" xr:uid="{00000000-0005-0000-0000-00008E050000}"/>
    <cellStyle name="Millares 2 2 2 3 28" xfId="1447" xr:uid="{00000000-0005-0000-0000-00008F050000}"/>
    <cellStyle name="Millares 2 2 2 3 29" xfId="1448" xr:uid="{00000000-0005-0000-0000-000090050000}"/>
    <cellStyle name="Millares 2 2 2 3 3" xfId="1449" xr:uid="{00000000-0005-0000-0000-000091050000}"/>
    <cellStyle name="Millares 2 2 2 3 30" xfId="1450" xr:uid="{00000000-0005-0000-0000-000092050000}"/>
    <cellStyle name="Millares 2 2 2 3 31" xfId="1451" xr:uid="{00000000-0005-0000-0000-000093050000}"/>
    <cellStyle name="Millares 2 2 2 3 32" xfId="1452" xr:uid="{00000000-0005-0000-0000-000094050000}"/>
    <cellStyle name="Millares 2 2 2 3 33" xfId="1453" xr:uid="{00000000-0005-0000-0000-000095050000}"/>
    <cellStyle name="Millares 2 2 2 3 4" xfId="1454" xr:uid="{00000000-0005-0000-0000-000096050000}"/>
    <cellStyle name="Millares 2 2 2 3 5" xfId="1455" xr:uid="{00000000-0005-0000-0000-000097050000}"/>
    <cellStyle name="Millares 2 2 2 3 6" xfId="1456" xr:uid="{00000000-0005-0000-0000-000098050000}"/>
    <cellStyle name="Millares 2 2 2 3 7" xfId="1457" xr:uid="{00000000-0005-0000-0000-000099050000}"/>
    <cellStyle name="Millares 2 2 2 3 8" xfId="1458" xr:uid="{00000000-0005-0000-0000-00009A050000}"/>
    <cellStyle name="Millares 2 2 2 3 9" xfId="1459" xr:uid="{00000000-0005-0000-0000-00009B050000}"/>
    <cellStyle name="Millares 2 2 2 30" xfId="1460" xr:uid="{00000000-0005-0000-0000-00009C050000}"/>
    <cellStyle name="Millares 2 2 2 31" xfId="1461" xr:uid="{00000000-0005-0000-0000-00009D050000}"/>
    <cellStyle name="Millares 2 2 2 32" xfId="1462" xr:uid="{00000000-0005-0000-0000-00009E050000}"/>
    <cellStyle name="Millares 2 2 2 33" xfId="1463" xr:uid="{00000000-0005-0000-0000-00009F050000}"/>
    <cellStyle name="Millares 2 2 2 34" xfId="1464" xr:uid="{00000000-0005-0000-0000-0000A0050000}"/>
    <cellStyle name="Millares 2 2 2 35" xfId="1465" xr:uid="{00000000-0005-0000-0000-0000A1050000}"/>
    <cellStyle name="Millares 2 2 2 36" xfId="1466" xr:uid="{00000000-0005-0000-0000-0000A2050000}"/>
    <cellStyle name="Millares 2 2 2 37" xfId="1467" xr:uid="{00000000-0005-0000-0000-0000A3050000}"/>
    <cellStyle name="Millares 2 2 2 38" xfId="1468" xr:uid="{00000000-0005-0000-0000-0000A4050000}"/>
    <cellStyle name="Millares 2 2 2 39" xfId="1469" xr:uid="{00000000-0005-0000-0000-0000A5050000}"/>
    <cellStyle name="Millares 2 2 2 39 10" xfId="1470" xr:uid="{00000000-0005-0000-0000-0000A6050000}"/>
    <cellStyle name="Millares 2 2 2 39 2" xfId="1471" xr:uid="{00000000-0005-0000-0000-0000A7050000}"/>
    <cellStyle name="Millares 2 2 2 39 3" xfId="1472" xr:uid="{00000000-0005-0000-0000-0000A8050000}"/>
    <cellStyle name="Millares 2 2 2 39 4" xfId="1473" xr:uid="{00000000-0005-0000-0000-0000A9050000}"/>
    <cellStyle name="Millares 2 2 2 39 5" xfId="1474" xr:uid="{00000000-0005-0000-0000-0000AA050000}"/>
    <cellStyle name="Millares 2 2 2 39 6" xfId="1475" xr:uid="{00000000-0005-0000-0000-0000AB050000}"/>
    <cellStyle name="Millares 2 2 2 39 7" xfId="1476" xr:uid="{00000000-0005-0000-0000-0000AC050000}"/>
    <cellStyle name="Millares 2 2 2 39 8" xfId="1477" xr:uid="{00000000-0005-0000-0000-0000AD050000}"/>
    <cellStyle name="Millares 2 2 2 39 9" xfId="1478" xr:uid="{00000000-0005-0000-0000-0000AE050000}"/>
    <cellStyle name="Millares 2 2 2 4" xfId="1479" xr:uid="{00000000-0005-0000-0000-0000AF050000}"/>
    <cellStyle name="Millares 2 2 2 4 10" xfId="1480" xr:uid="{00000000-0005-0000-0000-0000B0050000}"/>
    <cellStyle name="Millares 2 2 2 4 11" xfId="1481" xr:uid="{00000000-0005-0000-0000-0000B1050000}"/>
    <cellStyle name="Millares 2 2 2 4 12" xfId="1482" xr:uid="{00000000-0005-0000-0000-0000B2050000}"/>
    <cellStyle name="Millares 2 2 2 4 13" xfId="1483" xr:uid="{00000000-0005-0000-0000-0000B3050000}"/>
    <cellStyle name="Millares 2 2 2 4 14" xfId="1484" xr:uid="{00000000-0005-0000-0000-0000B4050000}"/>
    <cellStyle name="Millares 2 2 2 4 15" xfId="1485" xr:uid="{00000000-0005-0000-0000-0000B5050000}"/>
    <cellStyle name="Millares 2 2 2 4 16" xfId="1486" xr:uid="{00000000-0005-0000-0000-0000B6050000}"/>
    <cellStyle name="Millares 2 2 2 4 17" xfId="1487" xr:uid="{00000000-0005-0000-0000-0000B7050000}"/>
    <cellStyle name="Millares 2 2 2 4 18" xfId="1488" xr:uid="{00000000-0005-0000-0000-0000B8050000}"/>
    <cellStyle name="Millares 2 2 2 4 19" xfId="1489" xr:uid="{00000000-0005-0000-0000-0000B9050000}"/>
    <cellStyle name="Millares 2 2 2 4 2" xfId="1490" xr:uid="{00000000-0005-0000-0000-0000BA050000}"/>
    <cellStyle name="Millares 2 2 2 4 2 10" xfId="1491" xr:uid="{00000000-0005-0000-0000-0000BB050000}"/>
    <cellStyle name="Millares 2 2 2 4 2 11" xfId="1492" xr:uid="{00000000-0005-0000-0000-0000BC050000}"/>
    <cellStyle name="Millares 2 2 2 4 2 12" xfId="1493" xr:uid="{00000000-0005-0000-0000-0000BD050000}"/>
    <cellStyle name="Millares 2 2 2 4 2 13" xfId="1494" xr:uid="{00000000-0005-0000-0000-0000BE050000}"/>
    <cellStyle name="Millares 2 2 2 4 2 14" xfId="1495" xr:uid="{00000000-0005-0000-0000-0000BF050000}"/>
    <cellStyle name="Millares 2 2 2 4 2 15" xfId="1496" xr:uid="{00000000-0005-0000-0000-0000C0050000}"/>
    <cellStyle name="Millares 2 2 2 4 2 16" xfId="1497" xr:uid="{00000000-0005-0000-0000-0000C1050000}"/>
    <cellStyle name="Millares 2 2 2 4 2 17" xfId="1498" xr:uid="{00000000-0005-0000-0000-0000C2050000}"/>
    <cellStyle name="Millares 2 2 2 4 2 18" xfId="1499" xr:uid="{00000000-0005-0000-0000-0000C3050000}"/>
    <cellStyle name="Millares 2 2 2 4 2 19" xfId="1500" xr:uid="{00000000-0005-0000-0000-0000C4050000}"/>
    <cellStyle name="Millares 2 2 2 4 2 2" xfId="1501" xr:uid="{00000000-0005-0000-0000-0000C5050000}"/>
    <cellStyle name="Millares 2 2 2 4 2 20" xfId="1502" xr:uid="{00000000-0005-0000-0000-0000C6050000}"/>
    <cellStyle name="Millares 2 2 2 4 2 3" xfId="1503" xr:uid="{00000000-0005-0000-0000-0000C7050000}"/>
    <cellStyle name="Millares 2 2 2 4 2 4" xfId="1504" xr:uid="{00000000-0005-0000-0000-0000C8050000}"/>
    <cellStyle name="Millares 2 2 2 4 2 5" xfId="1505" xr:uid="{00000000-0005-0000-0000-0000C9050000}"/>
    <cellStyle name="Millares 2 2 2 4 2 6" xfId="1506" xr:uid="{00000000-0005-0000-0000-0000CA050000}"/>
    <cellStyle name="Millares 2 2 2 4 2 7" xfId="1507" xr:uid="{00000000-0005-0000-0000-0000CB050000}"/>
    <cellStyle name="Millares 2 2 2 4 2 8" xfId="1508" xr:uid="{00000000-0005-0000-0000-0000CC050000}"/>
    <cellStyle name="Millares 2 2 2 4 2 9" xfId="1509" xr:uid="{00000000-0005-0000-0000-0000CD050000}"/>
    <cellStyle name="Millares 2 2 2 4 20" xfId="1510" xr:uid="{00000000-0005-0000-0000-0000CE050000}"/>
    <cellStyle name="Millares 2 2 2 4 3" xfId="1511" xr:uid="{00000000-0005-0000-0000-0000CF050000}"/>
    <cellStyle name="Millares 2 2 2 4 4" xfId="1512" xr:uid="{00000000-0005-0000-0000-0000D0050000}"/>
    <cellStyle name="Millares 2 2 2 4 5" xfId="1513" xr:uid="{00000000-0005-0000-0000-0000D1050000}"/>
    <cellStyle name="Millares 2 2 2 4 6" xfId="1514" xr:uid="{00000000-0005-0000-0000-0000D2050000}"/>
    <cellStyle name="Millares 2 2 2 4 7" xfId="1515" xr:uid="{00000000-0005-0000-0000-0000D3050000}"/>
    <cellStyle name="Millares 2 2 2 4 8" xfId="1516" xr:uid="{00000000-0005-0000-0000-0000D4050000}"/>
    <cellStyle name="Millares 2 2 2 4 9" xfId="1517" xr:uid="{00000000-0005-0000-0000-0000D5050000}"/>
    <cellStyle name="Millares 2 2 2 40" xfId="1518" xr:uid="{00000000-0005-0000-0000-0000D6050000}"/>
    <cellStyle name="Millares 2 2 2 41" xfId="1519" xr:uid="{00000000-0005-0000-0000-0000D7050000}"/>
    <cellStyle name="Millares 2 2 2 42" xfId="1520" xr:uid="{00000000-0005-0000-0000-0000D8050000}"/>
    <cellStyle name="Millares 2 2 2 43" xfId="1521" xr:uid="{00000000-0005-0000-0000-0000D9050000}"/>
    <cellStyle name="Millares 2 2 2 44" xfId="1522" xr:uid="{00000000-0005-0000-0000-0000DA050000}"/>
    <cellStyle name="Millares 2 2 2 45" xfId="1523" xr:uid="{00000000-0005-0000-0000-0000DB050000}"/>
    <cellStyle name="Millares 2 2 2 46" xfId="1524" xr:uid="{00000000-0005-0000-0000-0000DC050000}"/>
    <cellStyle name="Millares 2 2 2 47" xfId="1525" xr:uid="{00000000-0005-0000-0000-0000DD050000}"/>
    <cellStyle name="Millares 2 2 2 48" xfId="1526" xr:uid="{00000000-0005-0000-0000-0000DE050000}"/>
    <cellStyle name="Millares 2 2 2 49" xfId="1527" xr:uid="{00000000-0005-0000-0000-0000DF050000}"/>
    <cellStyle name="Millares 2 2 2 5" xfId="1528" xr:uid="{00000000-0005-0000-0000-0000E0050000}"/>
    <cellStyle name="Millares 2 2 2 6" xfId="1529" xr:uid="{00000000-0005-0000-0000-0000E1050000}"/>
    <cellStyle name="Millares 2 2 2 7" xfId="1530" xr:uid="{00000000-0005-0000-0000-0000E2050000}"/>
    <cellStyle name="Millares 2 2 2 8" xfId="1531" xr:uid="{00000000-0005-0000-0000-0000E3050000}"/>
    <cellStyle name="Millares 2 2 2 9" xfId="1532" xr:uid="{00000000-0005-0000-0000-0000E4050000}"/>
    <cellStyle name="Millares 2 2 20" xfId="1533" xr:uid="{00000000-0005-0000-0000-0000E5050000}"/>
    <cellStyle name="Millares 2 2 21" xfId="1534" xr:uid="{00000000-0005-0000-0000-0000E6050000}"/>
    <cellStyle name="Millares 2 2 22" xfId="1535" xr:uid="{00000000-0005-0000-0000-0000E7050000}"/>
    <cellStyle name="Millares 2 2 23" xfId="1536" xr:uid="{00000000-0005-0000-0000-0000E8050000}"/>
    <cellStyle name="Millares 2 2 24" xfId="1537" xr:uid="{00000000-0005-0000-0000-0000E9050000}"/>
    <cellStyle name="Millares 2 2 25" xfId="1538" xr:uid="{00000000-0005-0000-0000-0000EA050000}"/>
    <cellStyle name="Millares 2 2 26" xfId="1539" xr:uid="{00000000-0005-0000-0000-0000EB050000}"/>
    <cellStyle name="Millares 2 2 27" xfId="1540" xr:uid="{00000000-0005-0000-0000-0000EC050000}"/>
    <cellStyle name="Millares 2 2 28" xfId="1541" xr:uid="{00000000-0005-0000-0000-0000ED050000}"/>
    <cellStyle name="Millares 2 2 29" xfId="1542" xr:uid="{00000000-0005-0000-0000-0000EE050000}"/>
    <cellStyle name="Millares 2 2 3" xfId="1543" xr:uid="{00000000-0005-0000-0000-0000EF050000}"/>
    <cellStyle name="Millares 2 2 3 10" xfId="1544" xr:uid="{00000000-0005-0000-0000-0000F0050000}"/>
    <cellStyle name="Millares 2 2 3 11" xfId="1545" xr:uid="{00000000-0005-0000-0000-0000F1050000}"/>
    <cellStyle name="Millares 2 2 3 12" xfId="1546" xr:uid="{00000000-0005-0000-0000-0000F2050000}"/>
    <cellStyle name="Millares 2 2 3 13" xfId="1547" xr:uid="{00000000-0005-0000-0000-0000F3050000}"/>
    <cellStyle name="Millares 2 2 3 14" xfId="1548" xr:uid="{00000000-0005-0000-0000-0000F4050000}"/>
    <cellStyle name="Millares 2 2 3 15" xfId="1549" xr:uid="{00000000-0005-0000-0000-0000F5050000}"/>
    <cellStyle name="Millares 2 2 3 16" xfId="1550" xr:uid="{00000000-0005-0000-0000-0000F6050000}"/>
    <cellStyle name="Millares 2 2 3 17" xfId="1551" xr:uid="{00000000-0005-0000-0000-0000F7050000}"/>
    <cellStyle name="Millares 2 2 3 18" xfId="1552" xr:uid="{00000000-0005-0000-0000-0000F8050000}"/>
    <cellStyle name="Millares 2 2 3 19" xfId="1553" xr:uid="{00000000-0005-0000-0000-0000F9050000}"/>
    <cellStyle name="Millares 2 2 3 2" xfId="1554" xr:uid="{00000000-0005-0000-0000-0000FA050000}"/>
    <cellStyle name="Millares 2 2 3 2 10" xfId="1555" xr:uid="{00000000-0005-0000-0000-0000FB050000}"/>
    <cellStyle name="Millares 2 2 3 2 11" xfId="1556" xr:uid="{00000000-0005-0000-0000-0000FC050000}"/>
    <cellStyle name="Millares 2 2 3 2 12" xfId="1557" xr:uid="{00000000-0005-0000-0000-0000FD050000}"/>
    <cellStyle name="Millares 2 2 3 2 13" xfId="1558" xr:uid="{00000000-0005-0000-0000-0000FE050000}"/>
    <cellStyle name="Millares 2 2 3 2 14" xfId="1559" xr:uid="{00000000-0005-0000-0000-0000FF050000}"/>
    <cellStyle name="Millares 2 2 3 2 15" xfId="1560" xr:uid="{00000000-0005-0000-0000-000000060000}"/>
    <cellStyle name="Millares 2 2 3 2 16" xfId="1561" xr:uid="{00000000-0005-0000-0000-000001060000}"/>
    <cellStyle name="Millares 2 2 3 2 17" xfId="1562" xr:uid="{00000000-0005-0000-0000-000002060000}"/>
    <cellStyle name="Millares 2 2 3 2 18" xfId="1563" xr:uid="{00000000-0005-0000-0000-000003060000}"/>
    <cellStyle name="Millares 2 2 3 2 19" xfId="1564" xr:uid="{00000000-0005-0000-0000-000004060000}"/>
    <cellStyle name="Millares 2 2 3 2 2" xfId="1565" xr:uid="{00000000-0005-0000-0000-000005060000}"/>
    <cellStyle name="Millares 2 2 3 2 2 10" xfId="1566" xr:uid="{00000000-0005-0000-0000-000006060000}"/>
    <cellStyle name="Millares 2 2 3 2 2 11" xfId="1567" xr:uid="{00000000-0005-0000-0000-000007060000}"/>
    <cellStyle name="Millares 2 2 3 2 2 12" xfId="1568" xr:uid="{00000000-0005-0000-0000-000008060000}"/>
    <cellStyle name="Millares 2 2 3 2 2 13" xfId="1569" xr:uid="{00000000-0005-0000-0000-000009060000}"/>
    <cellStyle name="Millares 2 2 3 2 2 14" xfId="1570" xr:uid="{00000000-0005-0000-0000-00000A060000}"/>
    <cellStyle name="Millares 2 2 3 2 2 15" xfId="1571" xr:uid="{00000000-0005-0000-0000-00000B060000}"/>
    <cellStyle name="Millares 2 2 3 2 2 16" xfId="1572" xr:uid="{00000000-0005-0000-0000-00000C060000}"/>
    <cellStyle name="Millares 2 2 3 2 2 17" xfId="1573" xr:uid="{00000000-0005-0000-0000-00000D060000}"/>
    <cellStyle name="Millares 2 2 3 2 2 18" xfId="1574" xr:uid="{00000000-0005-0000-0000-00000E060000}"/>
    <cellStyle name="Millares 2 2 3 2 2 19" xfId="1575" xr:uid="{00000000-0005-0000-0000-00000F060000}"/>
    <cellStyle name="Millares 2 2 3 2 2 2" xfId="1576" xr:uid="{00000000-0005-0000-0000-000010060000}"/>
    <cellStyle name="Millares 2 2 3 2 2 20" xfId="1577" xr:uid="{00000000-0005-0000-0000-000011060000}"/>
    <cellStyle name="Millares 2 2 3 2 2 3" xfId="1578" xr:uid="{00000000-0005-0000-0000-000012060000}"/>
    <cellStyle name="Millares 2 2 3 2 2 4" xfId="1579" xr:uid="{00000000-0005-0000-0000-000013060000}"/>
    <cellStyle name="Millares 2 2 3 2 2 5" xfId="1580" xr:uid="{00000000-0005-0000-0000-000014060000}"/>
    <cellStyle name="Millares 2 2 3 2 2 6" xfId="1581" xr:uid="{00000000-0005-0000-0000-000015060000}"/>
    <cellStyle name="Millares 2 2 3 2 2 7" xfId="1582" xr:uid="{00000000-0005-0000-0000-000016060000}"/>
    <cellStyle name="Millares 2 2 3 2 2 8" xfId="1583" xr:uid="{00000000-0005-0000-0000-000017060000}"/>
    <cellStyle name="Millares 2 2 3 2 2 9" xfId="1584" xr:uid="{00000000-0005-0000-0000-000018060000}"/>
    <cellStyle name="Millares 2 2 3 2 20" xfId="1585" xr:uid="{00000000-0005-0000-0000-000019060000}"/>
    <cellStyle name="Millares 2 2 3 2 3" xfId="1586" xr:uid="{00000000-0005-0000-0000-00001A060000}"/>
    <cellStyle name="Millares 2 2 3 2 4" xfId="1587" xr:uid="{00000000-0005-0000-0000-00001B060000}"/>
    <cellStyle name="Millares 2 2 3 2 5" xfId="1588" xr:uid="{00000000-0005-0000-0000-00001C060000}"/>
    <cellStyle name="Millares 2 2 3 2 6" xfId="1589" xr:uid="{00000000-0005-0000-0000-00001D060000}"/>
    <cellStyle name="Millares 2 2 3 2 7" xfId="1590" xr:uid="{00000000-0005-0000-0000-00001E060000}"/>
    <cellStyle name="Millares 2 2 3 2 8" xfId="1591" xr:uid="{00000000-0005-0000-0000-00001F060000}"/>
    <cellStyle name="Millares 2 2 3 2 9" xfId="1592" xr:uid="{00000000-0005-0000-0000-000020060000}"/>
    <cellStyle name="Millares 2 2 3 20" xfId="1593" xr:uid="{00000000-0005-0000-0000-000021060000}"/>
    <cellStyle name="Millares 2 2 3 21" xfId="1594" xr:uid="{00000000-0005-0000-0000-000022060000}"/>
    <cellStyle name="Millares 2 2 3 22" xfId="1595" xr:uid="{00000000-0005-0000-0000-000023060000}"/>
    <cellStyle name="Millares 2 2 3 23" xfId="1596" xr:uid="{00000000-0005-0000-0000-000024060000}"/>
    <cellStyle name="Millares 2 2 3 24" xfId="1597" xr:uid="{00000000-0005-0000-0000-000025060000}"/>
    <cellStyle name="Millares 2 2 3 25" xfId="1598" xr:uid="{00000000-0005-0000-0000-000026060000}"/>
    <cellStyle name="Millares 2 2 3 26" xfId="1599" xr:uid="{00000000-0005-0000-0000-000027060000}"/>
    <cellStyle name="Millares 2 2 3 27" xfId="1600" xr:uid="{00000000-0005-0000-0000-000028060000}"/>
    <cellStyle name="Millares 2 2 3 28" xfId="1601" xr:uid="{00000000-0005-0000-0000-000029060000}"/>
    <cellStyle name="Millares 2 2 3 29" xfId="1602" xr:uid="{00000000-0005-0000-0000-00002A060000}"/>
    <cellStyle name="Millares 2 2 3 3" xfId="1603" xr:uid="{00000000-0005-0000-0000-00002B060000}"/>
    <cellStyle name="Millares 2 2 3 30" xfId="1604" xr:uid="{00000000-0005-0000-0000-00002C060000}"/>
    <cellStyle name="Millares 2 2 3 31" xfId="1605" xr:uid="{00000000-0005-0000-0000-00002D060000}"/>
    <cellStyle name="Millares 2 2 3 32" xfId="1606" xr:uid="{00000000-0005-0000-0000-00002E060000}"/>
    <cellStyle name="Millares 2 2 3 33" xfId="1607" xr:uid="{00000000-0005-0000-0000-00002F060000}"/>
    <cellStyle name="Millares 2 2 3 34" xfId="1608" xr:uid="{00000000-0005-0000-0000-000030060000}"/>
    <cellStyle name="Millares 2 2 3 35" xfId="1609" xr:uid="{00000000-0005-0000-0000-000031060000}"/>
    <cellStyle name="Millares 2 2 3 4" xfId="1610" xr:uid="{00000000-0005-0000-0000-000032060000}"/>
    <cellStyle name="Millares 2 2 3 5" xfId="1611" xr:uid="{00000000-0005-0000-0000-000033060000}"/>
    <cellStyle name="Millares 2 2 3 6" xfId="1612" xr:uid="{00000000-0005-0000-0000-000034060000}"/>
    <cellStyle name="Millares 2 2 3 7" xfId="1613" xr:uid="{00000000-0005-0000-0000-000035060000}"/>
    <cellStyle name="Millares 2 2 3 8" xfId="1614" xr:uid="{00000000-0005-0000-0000-000036060000}"/>
    <cellStyle name="Millares 2 2 3 9" xfId="1615" xr:uid="{00000000-0005-0000-0000-000037060000}"/>
    <cellStyle name="Millares 2 2 30" xfId="1616" xr:uid="{00000000-0005-0000-0000-000038060000}"/>
    <cellStyle name="Millares 2 2 31" xfId="1617" xr:uid="{00000000-0005-0000-0000-000039060000}"/>
    <cellStyle name="Millares 2 2 32" xfId="1618" xr:uid="{00000000-0005-0000-0000-00003A060000}"/>
    <cellStyle name="Millares 2 2 33" xfId="1619" xr:uid="{00000000-0005-0000-0000-00003B060000}"/>
    <cellStyle name="Millares 2 2 34" xfId="1620" xr:uid="{00000000-0005-0000-0000-00003C060000}"/>
    <cellStyle name="Millares 2 2 35" xfId="1621" xr:uid="{00000000-0005-0000-0000-00003D060000}"/>
    <cellStyle name="Millares 2 2 36" xfId="1622" xr:uid="{00000000-0005-0000-0000-00003E060000}"/>
    <cellStyle name="Millares 2 2 37" xfId="1623" xr:uid="{00000000-0005-0000-0000-00003F060000}"/>
    <cellStyle name="Millares 2 2 38" xfId="1624" xr:uid="{00000000-0005-0000-0000-000040060000}"/>
    <cellStyle name="Millares 2 2 39" xfId="1625" xr:uid="{00000000-0005-0000-0000-000041060000}"/>
    <cellStyle name="Millares 2 2 39 10" xfId="1626" xr:uid="{00000000-0005-0000-0000-000042060000}"/>
    <cellStyle name="Millares 2 2 39 2" xfId="1627" xr:uid="{00000000-0005-0000-0000-000043060000}"/>
    <cellStyle name="Millares 2 2 39 3" xfId="1628" xr:uid="{00000000-0005-0000-0000-000044060000}"/>
    <cellStyle name="Millares 2 2 39 4" xfId="1629" xr:uid="{00000000-0005-0000-0000-000045060000}"/>
    <cellStyle name="Millares 2 2 39 5" xfId="1630" xr:uid="{00000000-0005-0000-0000-000046060000}"/>
    <cellStyle name="Millares 2 2 39 6" xfId="1631" xr:uid="{00000000-0005-0000-0000-000047060000}"/>
    <cellStyle name="Millares 2 2 39 7" xfId="1632" xr:uid="{00000000-0005-0000-0000-000048060000}"/>
    <cellStyle name="Millares 2 2 39 8" xfId="1633" xr:uid="{00000000-0005-0000-0000-000049060000}"/>
    <cellStyle name="Millares 2 2 39 9" xfId="1634" xr:uid="{00000000-0005-0000-0000-00004A060000}"/>
    <cellStyle name="Millares 2 2 4" xfId="1635" xr:uid="{00000000-0005-0000-0000-00004B060000}"/>
    <cellStyle name="Millares 2 2 4 10" xfId="1636" xr:uid="{00000000-0005-0000-0000-00004C060000}"/>
    <cellStyle name="Millares 2 2 4 11" xfId="1637" xr:uid="{00000000-0005-0000-0000-00004D060000}"/>
    <cellStyle name="Millares 2 2 4 12" xfId="1638" xr:uid="{00000000-0005-0000-0000-00004E060000}"/>
    <cellStyle name="Millares 2 2 4 13" xfId="1639" xr:uid="{00000000-0005-0000-0000-00004F060000}"/>
    <cellStyle name="Millares 2 2 4 14" xfId="1640" xr:uid="{00000000-0005-0000-0000-000050060000}"/>
    <cellStyle name="Millares 2 2 4 15" xfId="1641" xr:uid="{00000000-0005-0000-0000-000051060000}"/>
    <cellStyle name="Millares 2 2 4 16" xfId="1642" xr:uid="{00000000-0005-0000-0000-000052060000}"/>
    <cellStyle name="Millares 2 2 4 17" xfId="1643" xr:uid="{00000000-0005-0000-0000-000053060000}"/>
    <cellStyle name="Millares 2 2 4 18" xfId="1644" xr:uid="{00000000-0005-0000-0000-000054060000}"/>
    <cellStyle name="Millares 2 2 4 19" xfId="1645" xr:uid="{00000000-0005-0000-0000-000055060000}"/>
    <cellStyle name="Millares 2 2 4 2" xfId="1646" xr:uid="{00000000-0005-0000-0000-000056060000}"/>
    <cellStyle name="Millares 2 2 4 2 10" xfId="1647" xr:uid="{00000000-0005-0000-0000-000057060000}"/>
    <cellStyle name="Millares 2 2 4 2 11" xfId="1648" xr:uid="{00000000-0005-0000-0000-000058060000}"/>
    <cellStyle name="Millares 2 2 4 2 12" xfId="1649" xr:uid="{00000000-0005-0000-0000-000059060000}"/>
    <cellStyle name="Millares 2 2 4 2 13" xfId="1650" xr:uid="{00000000-0005-0000-0000-00005A060000}"/>
    <cellStyle name="Millares 2 2 4 2 14" xfId="1651" xr:uid="{00000000-0005-0000-0000-00005B060000}"/>
    <cellStyle name="Millares 2 2 4 2 15" xfId="1652" xr:uid="{00000000-0005-0000-0000-00005C060000}"/>
    <cellStyle name="Millares 2 2 4 2 16" xfId="1653" xr:uid="{00000000-0005-0000-0000-00005D060000}"/>
    <cellStyle name="Millares 2 2 4 2 17" xfId="1654" xr:uid="{00000000-0005-0000-0000-00005E060000}"/>
    <cellStyle name="Millares 2 2 4 2 18" xfId="1655" xr:uid="{00000000-0005-0000-0000-00005F060000}"/>
    <cellStyle name="Millares 2 2 4 2 19" xfId="1656" xr:uid="{00000000-0005-0000-0000-000060060000}"/>
    <cellStyle name="Millares 2 2 4 2 2" xfId="1657" xr:uid="{00000000-0005-0000-0000-000061060000}"/>
    <cellStyle name="Millares 2 2 4 2 20" xfId="1658" xr:uid="{00000000-0005-0000-0000-000062060000}"/>
    <cellStyle name="Millares 2 2 4 2 3" xfId="1659" xr:uid="{00000000-0005-0000-0000-000063060000}"/>
    <cellStyle name="Millares 2 2 4 2 4" xfId="1660" xr:uid="{00000000-0005-0000-0000-000064060000}"/>
    <cellStyle name="Millares 2 2 4 2 5" xfId="1661" xr:uid="{00000000-0005-0000-0000-000065060000}"/>
    <cellStyle name="Millares 2 2 4 2 6" xfId="1662" xr:uid="{00000000-0005-0000-0000-000066060000}"/>
    <cellStyle name="Millares 2 2 4 2 7" xfId="1663" xr:uid="{00000000-0005-0000-0000-000067060000}"/>
    <cellStyle name="Millares 2 2 4 2 8" xfId="1664" xr:uid="{00000000-0005-0000-0000-000068060000}"/>
    <cellStyle name="Millares 2 2 4 2 9" xfId="1665" xr:uid="{00000000-0005-0000-0000-000069060000}"/>
    <cellStyle name="Millares 2 2 4 20" xfId="1666" xr:uid="{00000000-0005-0000-0000-00006A060000}"/>
    <cellStyle name="Millares 2 2 4 3" xfId="1667" xr:uid="{00000000-0005-0000-0000-00006B060000}"/>
    <cellStyle name="Millares 2 2 4 4" xfId="1668" xr:uid="{00000000-0005-0000-0000-00006C060000}"/>
    <cellStyle name="Millares 2 2 4 5" xfId="1669" xr:uid="{00000000-0005-0000-0000-00006D060000}"/>
    <cellStyle name="Millares 2 2 4 6" xfId="1670" xr:uid="{00000000-0005-0000-0000-00006E060000}"/>
    <cellStyle name="Millares 2 2 4 7" xfId="1671" xr:uid="{00000000-0005-0000-0000-00006F060000}"/>
    <cellStyle name="Millares 2 2 4 8" xfId="1672" xr:uid="{00000000-0005-0000-0000-000070060000}"/>
    <cellStyle name="Millares 2 2 4 9" xfId="1673" xr:uid="{00000000-0005-0000-0000-000071060000}"/>
    <cellStyle name="Millares 2 2 40" xfId="1674" xr:uid="{00000000-0005-0000-0000-000072060000}"/>
    <cellStyle name="Millares 2 2 41" xfId="1675" xr:uid="{00000000-0005-0000-0000-000073060000}"/>
    <cellStyle name="Millares 2 2 42" xfId="1676" xr:uid="{00000000-0005-0000-0000-000074060000}"/>
    <cellStyle name="Millares 2 2 43" xfId="1677" xr:uid="{00000000-0005-0000-0000-000075060000}"/>
    <cellStyle name="Millares 2 2 44" xfId="1678" xr:uid="{00000000-0005-0000-0000-000076060000}"/>
    <cellStyle name="Millares 2 2 45" xfId="1679" xr:uid="{00000000-0005-0000-0000-000077060000}"/>
    <cellStyle name="Millares 2 2 46" xfId="1680" xr:uid="{00000000-0005-0000-0000-000078060000}"/>
    <cellStyle name="Millares 2 2 47" xfId="1681" xr:uid="{00000000-0005-0000-0000-000079060000}"/>
    <cellStyle name="Millares 2 2 48" xfId="1682" xr:uid="{00000000-0005-0000-0000-00007A060000}"/>
    <cellStyle name="Millares 2 2 5" xfId="1683" xr:uid="{00000000-0005-0000-0000-00007B060000}"/>
    <cellStyle name="Millares 2 2 6" xfId="1684" xr:uid="{00000000-0005-0000-0000-00007C060000}"/>
    <cellStyle name="Millares 2 2 7" xfId="1685" xr:uid="{00000000-0005-0000-0000-00007D060000}"/>
    <cellStyle name="Millares 2 2 8" xfId="1686" xr:uid="{00000000-0005-0000-0000-00007E060000}"/>
    <cellStyle name="Millares 2 2 9" xfId="1687" xr:uid="{00000000-0005-0000-0000-00007F060000}"/>
    <cellStyle name="Millares 2 20" xfId="1688" xr:uid="{00000000-0005-0000-0000-000080060000}"/>
    <cellStyle name="Millares 2 22" xfId="1689" xr:uid="{00000000-0005-0000-0000-000081060000}"/>
    <cellStyle name="Millares 2 24" xfId="1690" xr:uid="{00000000-0005-0000-0000-000082060000}"/>
    <cellStyle name="Millares 2 26" xfId="1691" xr:uid="{00000000-0005-0000-0000-000083060000}"/>
    <cellStyle name="Millares 2 28" xfId="1692" xr:uid="{00000000-0005-0000-0000-000084060000}"/>
    <cellStyle name="Millares 2 3" xfId="1693" xr:uid="{00000000-0005-0000-0000-000085060000}"/>
    <cellStyle name="Millares 2 3 2" xfId="1694" xr:uid="{00000000-0005-0000-0000-000086060000}"/>
    <cellStyle name="Millares 2 3 3" xfId="1695" xr:uid="{00000000-0005-0000-0000-000087060000}"/>
    <cellStyle name="Millares 2 3 4" xfId="1696" xr:uid="{00000000-0005-0000-0000-000088060000}"/>
    <cellStyle name="Millares 2 3 5" xfId="1697" xr:uid="{00000000-0005-0000-0000-000089060000}"/>
    <cellStyle name="Millares 2 3 6" xfId="1698" xr:uid="{00000000-0005-0000-0000-00008A060000}"/>
    <cellStyle name="Millares 2 30" xfId="1699" xr:uid="{00000000-0005-0000-0000-00008B060000}"/>
    <cellStyle name="Millares 2 32" xfId="1700" xr:uid="{00000000-0005-0000-0000-00008C060000}"/>
    <cellStyle name="Millares 2 34" xfId="1701" xr:uid="{00000000-0005-0000-0000-00008D060000}"/>
    <cellStyle name="Millares 2 36" xfId="1702" xr:uid="{00000000-0005-0000-0000-00008E060000}"/>
    <cellStyle name="Millares 2 4" xfId="1703" xr:uid="{00000000-0005-0000-0000-00008F060000}"/>
    <cellStyle name="Millares 2 4 2" xfId="1704" xr:uid="{00000000-0005-0000-0000-000090060000}"/>
    <cellStyle name="Millares 2 4 3" xfId="1705" xr:uid="{00000000-0005-0000-0000-000091060000}"/>
    <cellStyle name="Millares 2 4 4" xfId="1706" xr:uid="{00000000-0005-0000-0000-000092060000}"/>
    <cellStyle name="Millares 2 4 5" xfId="1707" xr:uid="{00000000-0005-0000-0000-000093060000}"/>
    <cellStyle name="Millares 2 4 6" xfId="1708" xr:uid="{00000000-0005-0000-0000-000094060000}"/>
    <cellStyle name="Millares 2 4 7" xfId="1709" xr:uid="{00000000-0005-0000-0000-000095060000}"/>
    <cellStyle name="Millares 2 4 8" xfId="1710" xr:uid="{00000000-0005-0000-0000-000096060000}"/>
    <cellStyle name="Millares 2 5" xfId="1711" xr:uid="{00000000-0005-0000-0000-000097060000}"/>
    <cellStyle name="Millares 2 6" xfId="1712" xr:uid="{00000000-0005-0000-0000-000098060000}"/>
    <cellStyle name="Millares 2 6 2" xfId="1713" xr:uid="{00000000-0005-0000-0000-000099060000}"/>
    <cellStyle name="Millares 2 7" xfId="1714" xr:uid="{00000000-0005-0000-0000-00009A060000}"/>
    <cellStyle name="Millares 2 7 2" xfId="1715" xr:uid="{00000000-0005-0000-0000-00009B060000}"/>
    <cellStyle name="Millares 2 7 3" xfId="1716" xr:uid="{00000000-0005-0000-0000-00009C060000}"/>
    <cellStyle name="Millares 2 8" xfId="1717" xr:uid="{00000000-0005-0000-0000-00009D060000}"/>
    <cellStyle name="Millares 2 8 2" xfId="1718" xr:uid="{00000000-0005-0000-0000-00009E060000}"/>
    <cellStyle name="Millares 2 8 3" xfId="1719" xr:uid="{00000000-0005-0000-0000-00009F060000}"/>
    <cellStyle name="Millares 2 9" xfId="1720" xr:uid="{00000000-0005-0000-0000-0000A0060000}"/>
    <cellStyle name="Millares 2 9 2" xfId="1721" xr:uid="{00000000-0005-0000-0000-0000A1060000}"/>
    <cellStyle name="Millares 2 9 3" xfId="1722" xr:uid="{00000000-0005-0000-0000-0000A2060000}"/>
    <cellStyle name="Millares 20" xfId="1723" xr:uid="{00000000-0005-0000-0000-0000A3060000}"/>
    <cellStyle name="Millares 20 2" xfId="1724" xr:uid="{00000000-0005-0000-0000-0000A4060000}"/>
    <cellStyle name="Millares 21" xfId="1725" xr:uid="{00000000-0005-0000-0000-0000A5060000}"/>
    <cellStyle name="Millares 21 2" xfId="1726" xr:uid="{00000000-0005-0000-0000-0000A6060000}"/>
    <cellStyle name="Millares 22" xfId="1727" xr:uid="{00000000-0005-0000-0000-0000A7060000}"/>
    <cellStyle name="Millares 28" xfId="1728" xr:uid="{00000000-0005-0000-0000-0000A8060000}"/>
    <cellStyle name="Millares 28 10" xfId="1729" xr:uid="{00000000-0005-0000-0000-0000A9060000}"/>
    <cellStyle name="Millares 28 11" xfId="1730" xr:uid="{00000000-0005-0000-0000-0000AA060000}"/>
    <cellStyle name="Millares 28 12" xfId="1731" xr:uid="{00000000-0005-0000-0000-0000AB060000}"/>
    <cellStyle name="Millares 28 13" xfId="1732" xr:uid="{00000000-0005-0000-0000-0000AC060000}"/>
    <cellStyle name="Millares 28 14" xfId="1733" xr:uid="{00000000-0005-0000-0000-0000AD060000}"/>
    <cellStyle name="Millares 28 15" xfId="1734" xr:uid="{00000000-0005-0000-0000-0000AE060000}"/>
    <cellStyle name="Millares 28 16" xfId="1735" xr:uid="{00000000-0005-0000-0000-0000AF060000}"/>
    <cellStyle name="Millares 28 17" xfId="1736" xr:uid="{00000000-0005-0000-0000-0000B0060000}"/>
    <cellStyle name="Millares 28 18" xfId="1737" xr:uid="{00000000-0005-0000-0000-0000B1060000}"/>
    <cellStyle name="Millares 28 19" xfId="1738" xr:uid="{00000000-0005-0000-0000-0000B2060000}"/>
    <cellStyle name="Millares 28 2" xfId="1739" xr:uid="{00000000-0005-0000-0000-0000B3060000}"/>
    <cellStyle name="Millares 28 2 2" xfId="1740" xr:uid="{00000000-0005-0000-0000-0000B4060000}"/>
    <cellStyle name="Millares 28 2 3" xfId="1741" xr:uid="{00000000-0005-0000-0000-0000B5060000}"/>
    <cellStyle name="Millares 28 20" xfId="1742" xr:uid="{00000000-0005-0000-0000-0000B6060000}"/>
    <cellStyle name="Millares 28 21" xfId="1743" xr:uid="{00000000-0005-0000-0000-0000B7060000}"/>
    <cellStyle name="Millares 28 22" xfId="1744" xr:uid="{00000000-0005-0000-0000-0000B8060000}"/>
    <cellStyle name="Millares 28 23" xfId="1745" xr:uid="{00000000-0005-0000-0000-0000B9060000}"/>
    <cellStyle name="Millares 28 24" xfId="1746" xr:uid="{00000000-0005-0000-0000-0000BA060000}"/>
    <cellStyle name="Millares 28 25" xfId="1747" xr:uid="{00000000-0005-0000-0000-0000BB060000}"/>
    <cellStyle name="Millares 28 3" xfId="1748" xr:uid="{00000000-0005-0000-0000-0000BC060000}"/>
    <cellStyle name="Millares 28 3 2" xfId="1749" xr:uid="{00000000-0005-0000-0000-0000BD060000}"/>
    <cellStyle name="Millares 28 3 3" xfId="1750" xr:uid="{00000000-0005-0000-0000-0000BE060000}"/>
    <cellStyle name="Millares 28 4" xfId="1751" xr:uid="{00000000-0005-0000-0000-0000BF060000}"/>
    <cellStyle name="Millares 28 5" xfId="1752" xr:uid="{00000000-0005-0000-0000-0000C0060000}"/>
    <cellStyle name="Millares 28 6" xfId="1753" xr:uid="{00000000-0005-0000-0000-0000C1060000}"/>
    <cellStyle name="Millares 28 7" xfId="1754" xr:uid="{00000000-0005-0000-0000-0000C2060000}"/>
    <cellStyle name="Millares 28 8" xfId="1755" xr:uid="{00000000-0005-0000-0000-0000C3060000}"/>
    <cellStyle name="Millares 28 9" xfId="1756" xr:uid="{00000000-0005-0000-0000-0000C4060000}"/>
    <cellStyle name="Millares 29" xfId="1757" xr:uid="{00000000-0005-0000-0000-0000C5060000}"/>
    <cellStyle name="Millares 29 10" xfId="1758" xr:uid="{00000000-0005-0000-0000-0000C6060000}"/>
    <cellStyle name="Millares 29 11" xfId="1759" xr:uid="{00000000-0005-0000-0000-0000C7060000}"/>
    <cellStyle name="Millares 29 12" xfId="1760" xr:uid="{00000000-0005-0000-0000-0000C8060000}"/>
    <cellStyle name="Millares 29 13" xfId="1761" xr:uid="{00000000-0005-0000-0000-0000C9060000}"/>
    <cellStyle name="Millares 29 14" xfId="1762" xr:uid="{00000000-0005-0000-0000-0000CA060000}"/>
    <cellStyle name="Millares 29 15" xfId="1763" xr:uid="{00000000-0005-0000-0000-0000CB060000}"/>
    <cellStyle name="Millares 29 16" xfId="1764" xr:uid="{00000000-0005-0000-0000-0000CC060000}"/>
    <cellStyle name="Millares 29 17" xfId="1765" xr:uid="{00000000-0005-0000-0000-0000CD060000}"/>
    <cellStyle name="Millares 29 18" xfId="1766" xr:uid="{00000000-0005-0000-0000-0000CE060000}"/>
    <cellStyle name="Millares 29 19" xfId="1767" xr:uid="{00000000-0005-0000-0000-0000CF060000}"/>
    <cellStyle name="Millares 29 2" xfId="1768" xr:uid="{00000000-0005-0000-0000-0000D0060000}"/>
    <cellStyle name="Millares 29 2 2" xfId="1769" xr:uid="{00000000-0005-0000-0000-0000D1060000}"/>
    <cellStyle name="Millares 29 2 3" xfId="1770" xr:uid="{00000000-0005-0000-0000-0000D2060000}"/>
    <cellStyle name="Millares 29 20" xfId="1771" xr:uid="{00000000-0005-0000-0000-0000D3060000}"/>
    <cellStyle name="Millares 29 21" xfId="1772" xr:uid="{00000000-0005-0000-0000-0000D4060000}"/>
    <cellStyle name="Millares 29 22" xfId="1773" xr:uid="{00000000-0005-0000-0000-0000D5060000}"/>
    <cellStyle name="Millares 29 23" xfId="1774" xr:uid="{00000000-0005-0000-0000-0000D6060000}"/>
    <cellStyle name="Millares 29 24" xfId="1775" xr:uid="{00000000-0005-0000-0000-0000D7060000}"/>
    <cellStyle name="Millares 29 25" xfId="1776" xr:uid="{00000000-0005-0000-0000-0000D8060000}"/>
    <cellStyle name="Millares 29 3" xfId="1777" xr:uid="{00000000-0005-0000-0000-0000D9060000}"/>
    <cellStyle name="Millares 29 3 2" xfId="1778" xr:uid="{00000000-0005-0000-0000-0000DA060000}"/>
    <cellStyle name="Millares 29 3 3" xfId="1779" xr:uid="{00000000-0005-0000-0000-0000DB060000}"/>
    <cellStyle name="Millares 29 4" xfId="1780" xr:uid="{00000000-0005-0000-0000-0000DC060000}"/>
    <cellStyle name="Millares 29 5" xfId="1781" xr:uid="{00000000-0005-0000-0000-0000DD060000}"/>
    <cellStyle name="Millares 29 6" xfId="1782" xr:uid="{00000000-0005-0000-0000-0000DE060000}"/>
    <cellStyle name="Millares 29 7" xfId="1783" xr:uid="{00000000-0005-0000-0000-0000DF060000}"/>
    <cellStyle name="Millares 29 8" xfId="1784" xr:uid="{00000000-0005-0000-0000-0000E0060000}"/>
    <cellStyle name="Millares 29 9" xfId="1785" xr:uid="{00000000-0005-0000-0000-0000E1060000}"/>
    <cellStyle name="Millares 3" xfId="1786" xr:uid="{00000000-0005-0000-0000-0000E2060000}"/>
    <cellStyle name="Millares 3 10" xfId="1787" xr:uid="{00000000-0005-0000-0000-0000E3060000}"/>
    <cellStyle name="Millares 3 10 10" xfId="1788" xr:uid="{00000000-0005-0000-0000-0000E4060000}"/>
    <cellStyle name="Millares 3 10 11" xfId="1789" xr:uid="{00000000-0005-0000-0000-0000E5060000}"/>
    <cellStyle name="Millares 3 10 12" xfId="1790" xr:uid="{00000000-0005-0000-0000-0000E6060000}"/>
    <cellStyle name="Millares 3 10 13" xfId="1791" xr:uid="{00000000-0005-0000-0000-0000E7060000}"/>
    <cellStyle name="Millares 3 10 14" xfId="1792" xr:uid="{00000000-0005-0000-0000-0000E8060000}"/>
    <cellStyle name="Millares 3 10 15" xfId="1793" xr:uid="{00000000-0005-0000-0000-0000E9060000}"/>
    <cellStyle name="Millares 3 10 16" xfId="1794" xr:uid="{00000000-0005-0000-0000-0000EA060000}"/>
    <cellStyle name="Millares 3 10 17" xfId="1795" xr:uid="{00000000-0005-0000-0000-0000EB060000}"/>
    <cellStyle name="Millares 3 10 18" xfId="1796" xr:uid="{00000000-0005-0000-0000-0000EC060000}"/>
    <cellStyle name="Millares 3 10 19" xfId="1797" xr:uid="{00000000-0005-0000-0000-0000ED060000}"/>
    <cellStyle name="Millares 3 10 2" xfId="1798" xr:uid="{00000000-0005-0000-0000-0000EE060000}"/>
    <cellStyle name="Millares 3 10 2 10" xfId="1799" xr:uid="{00000000-0005-0000-0000-0000EF060000}"/>
    <cellStyle name="Millares 3 10 2 11" xfId="1800" xr:uid="{00000000-0005-0000-0000-0000F0060000}"/>
    <cellStyle name="Millares 3 10 2 12" xfId="1801" xr:uid="{00000000-0005-0000-0000-0000F1060000}"/>
    <cellStyle name="Millares 3 10 2 13" xfId="1802" xr:uid="{00000000-0005-0000-0000-0000F2060000}"/>
    <cellStyle name="Millares 3 10 2 14" xfId="1803" xr:uid="{00000000-0005-0000-0000-0000F3060000}"/>
    <cellStyle name="Millares 3 10 2 15" xfId="1804" xr:uid="{00000000-0005-0000-0000-0000F4060000}"/>
    <cellStyle name="Millares 3 10 2 16" xfId="1805" xr:uid="{00000000-0005-0000-0000-0000F5060000}"/>
    <cellStyle name="Millares 3 10 2 17" xfId="1806" xr:uid="{00000000-0005-0000-0000-0000F6060000}"/>
    <cellStyle name="Millares 3 10 2 2" xfId="1807" xr:uid="{00000000-0005-0000-0000-0000F7060000}"/>
    <cellStyle name="Millares 3 10 2 3" xfId="1808" xr:uid="{00000000-0005-0000-0000-0000F8060000}"/>
    <cellStyle name="Millares 3 10 2 3 2" xfId="1809" xr:uid="{00000000-0005-0000-0000-0000F9060000}"/>
    <cellStyle name="Millares 3 10 2 4" xfId="1810" xr:uid="{00000000-0005-0000-0000-0000FA060000}"/>
    <cellStyle name="Millares 3 10 2 5" xfId="1811" xr:uid="{00000000-0005-0000-0000-0000FB060000}"/>
    <cellStyle name="Millares 3 10 2 6" xfId="1812" xr:uid="{00000000-0005-0000-0000-0000FC060000}"/>
    <cellStyle name="Millares 3 10 2 7" xfId="1813" xr:uid="{00000000-0005-0000-0000-0000FD060000}"/>
    <cellStyle name="Millares 3 10 2 8" xfId="1814" xr:uid="{00000000-0005-0000-0000-0000FE060000}"/>
    <cellStyle name="Millares 3 10 2 9" xfId="1815" xr:uid="{00000000-0005-0000-0000-0000FF060000}"/>
    <cellStyle name="Millares 3 10 3" xfId="1816" xr:uid="{00000000-0005-0000-0000-000000070000}"/>
    <cellStyle name="Millares 3 10 4" xfId="1817" xr:uid="{00000000-0005-0000-0000-000001070000}"/>
    <cellStyle name="Millares 3 10 5" xfId="1818" xr:uid="{00000000-0005-0000-0000-000002070000}"/>
    <cellStyle name="Millares 3 10 6" xfId="1819" xr:uid="{00000000-0005-0000-0000-000003070000}"/>
    <cellStyle name="Millares 3 10 7" xfId="1820" xr:uid="{00000000-0005-0000-0000-000004070000}"/>
    <cellStyle name="Millares 3 10 8" xfId="1821" xr:uid="{00000000-0005-0000-0000-000005070000}"/>
    <cellStyle name="Millares 3 10 9" xfId="1822" xr:uid="{00000000-0005-0000-0000-000006070000}"/>
    <cellStyle name="Millares 3 11" xfId="1823" xr:uid="{00000000-0005-0000-0000-000007070000}"/>
    <cellStyle name="Millares 3 11 10" xfId="1824" xr:uid="{00000000-0005-0000-0000-000008070000}"/>
    <cellStyle name="Millares 3 11 11" xfId="1825" xr:uid="{00000000-0005-0000-0000-000009070000}"/>
    <cellStyle name="Millares 3 11 12" xfId="1826" xr:uid="{00000000-0005-0000-0000-00000A070000}"/>
    <cellStyle name="Millares 3 11 13" xfId="1827" xr:uid="{00000000-0005-0000-0000-00000B070000}"/>
    <cellStyle name="Millares 3 11 14" xfId="1828" xr:uid="{00000000-0005-0000-0000-00000C070000}"/>
    <cellStyle name="Millares 3 11 15" xfId="1829" xr:uid="{00000000-0005-0000-0000-00000D070000}"/>
    <cellStyle name="Millares 3 11 16" xfId="1830" xr:uid="{00000000-0005-0000-0000-00000E070000}"/>
    <cellStyle name="Millares 3 11 17" xfId="1831" xr:uid="{00000000-0005-0000-0000-00000F070000}"/>
    <cellStyle name="Millares 3 11 18" xfId="1832" xr:uid="{00000000-0005-0000-0000-000010070000}"/>
    <cellStyle name="Millares 3 11 19" xfId="1833" xr:uid="{00000000-0005-0000-0000-000011070000}"/>
    <cellStyle name="Millares 3 11 2" xfId="1834" xr:uid="{00000000-0005-0000-0000-000012070000}"/>
    <cellStyle name="Millares 3 11 2 10" xfId="1835" xr:uid="{00000000-0005-0000-0000-000013070000}"/>
    <cellStyle name="Millares 3 11 2 11" xfId="1836" xr:uid="{00000000-0005-0000-0000-000014070000}"/>
    <cellStyle name="Millares 3 11 2 12" xfId="1837" xr:uid="{00000000-0005-0000-0000-000015070000}"/>
    <cellStyle name="Millares 3 11 2 13" xfId="1838" xr:uid="{00000000-0005-0000-0000-000016070000}"/>
    <cellStyle name="Millares 3 11 2 14" xfId="1839" xr:uid="{00000000-0005-0000-0000-000017070000}"/>
    <cellStyle name="Millares 3 11 2 15" xfId="1840" xr:uid="{00000000-0005-0000-0000-000018070000}"/>
    <cellStyle name="Millares 3 11 2 16" xfId="1841" xr:uid="{00000000-0005-0000-0000-000019070000}"/>
    <cellStyle name="Millares 3 11 2 17" xfId="1842" xr:uid="{00000000-0005-0000-0000-00001A070000}"/>
    <cellStyle name="Millares 3 11 2 2" xfId="1843" xr:uid="{00000000-0005-0000-0000-00001B070000}"/>
    <cellStyle name="Millares 3 11 2 3" xfId="1844" xr:uid="{00000000-0005-0000-0000-00001C070000}"/>
    <cellStyle name="Millares 3 11 2 3 2" xfId="1845" xr:uid="{00000000-0005-0000-0000-00001D070000}"/>
    <cellStyle name="Millares 3 11 2 4" xfId="1846" xr:uid="{00000000-0005-0000-0000-00001E070000}"/>
    <cellStyle name="Millares 3 11 2 5" xfId="1847" xr:uid="{00000000-0005-0000-0000-00001F070000}"/>
    <cellStyle name="Millares 3 11 2 6" xfId="1848" xr:uid="{00000000-0005-0000-0000-000020070000}"/>
    <cellStyle name="Millares 3 11 2 7" xfId="1849" xr:uid="{00000000-0005-0000-0000-000021070000}"/>
    <cellStyle name="Millares 3 11 2 8" xfId="1850" xr:uid="{00000000-0005-0000-0000-000022070000}"/>
    <cellStyle name="Millares 3 11 2 9" xfId="1851" xr:uid="{00000000-0005-0000-0000-000023070000}"/>
    <cellStyle name="Millares 3 11 3" xfId="1852" xr:uid="{00000000-0005-0000-0000-000024070000}"/>
    <cellStyle name="Millares 3 11 4" xfId="1853" xr:uid="{00000000-0005-0000-0000-000025070000}"/>
    <cellStyle name="Millares 3 11 5" xfId="1854" xr:uid="{00000000-0005-0000-0000-000026070000}"/>
    <cellStyle name="Millares 3 11 6" xfId="1855" xr:uid="{00000000-0005-0000-0000-000027070000}"/>
    <cellStyle name="Millares 3 11 7" xfId="1856" xr:uid="{00000000-0005-0000-0000-000028070000}"/>
    <cellStyle name="Millares 3 11 8" xfId="1857" xr:uid="{00000000-0005-0000-0000-000029070000}"/>
    <cellStyle name="Millares 3 11 9" xfId="1858" xr:uid="{00000000-0005-0000-0000-00002A070000}"/>
    <cellStyle name="Millares 3 12" xfId="1859" xr:uid="{00000000-0005-0000-0000-00002B070000}"/>
    <cellStyle name="Millares 3 12 10" xfId="1860" xr:uid="{00000000-0005-0000-0000-00002C070000}"/>
    <cellStyle name="Millares 3 12 11" xfId="1861" xr:uid="{00000000-0005-0000-0000-00002D070000}"/>
    <cellStyle name="Millares 3 12 12" xfId="1862" xr:uid="{00000000-0005-0000-0000-00002E070000}"/>
    <cellStyle name="Millares 3 12 13" xfId="1863" xr:uid="{00000000-0005-0000-0000-00002F070000}"/>
    <cellStyle name="Millares 3 12 14" xfId="1864" xr:uid="{00000000-0005-0000-0000-000030070000}"/>
    <cellStyle name="Millares 3 12 15" xfId="1865" xr:uid="{00000000-0005-0000-0000-000031070000}"/>
    <cellStyle name="Millares 3 12 16" xfId="1866" xr:uid="{00000000-0005-0000-0000-000032070000}"/>
    <cellStyle name="Millares 3 12 17" xfId="1867" xr:uid="{00000000-0005-0000-0000-000033070000}"/>
    <cellStyle name="Millares 3 12 2" xfId="1868" xr:uid="{00000000-0005-0000-0000-000034070000}"/>
    <cellStyle name="Millares 3 12 3" xfId="1869" xr:uid="{00000000-0005-0000-0000-000035070000}"/>
    <cellStyle name="Millares 3 12 3 2" xfId="1870" xr:uid="{00000000-0005-0000-0000-000036070000}"/>
    <cellStyle name="Millares 3 12 4" xfId="1871" xr:uid="{00000000-0005-0000-0000-000037070000}"/>
    <cellStyle name="Millares 3 12 5" xfId="1872" xr:uid="{00000000-0005-0000-0000-000038070000}"/>
    <cellStyle name="Millares 3 12 6" xfId="1873" xr:uid="{00000000-0005-0000-0000-000039070000}"/>
    <cellStyle name="Millares 3 12 7" xfId="1874" xr:uid="{00000000-0005-0000-0000-00003A070000}"/>
    <cellStyle name="Millares 3 12 8" xfId="1875" xr:uid="{00000000-0005-0000-0000-00003B070000}"/>
    <cellStyle name="Millares 3 12 9" xfId="1876" xr:uid="{00000000-0005-0000-0000-00003C070000}"/>
    <cellStyle name="Millares 3 13" xfId="1877" xr:uid="{00000000-0005-0000-0000-00003D070000}"/>
    <cellStyle name="Millares 3 13 10" xfId="1878" xr:uid="{00000000-0005-0000-0000-00003E070000}"/>
    <cellStyle name="Millares 3 13 11" xfId="1879" xr:uid="{00000000-0005-0000-0000-00003F070000}"/>
    <cellStyle name="Millares 3 13 12" xfId="1880" xr:uid="{00000000-0005-0000-0000-000040070000}"/>
    <cellStyle name="Millares 3 13 13" xfId="1881" xr:uid="{00000000-0005-0000-0000-000041070000}"/>
    <cellStyle name="Millares 3 13 14" xfId="1882" xr:uid="{00000000-0005-0000-0000-000042070000}"/>
    <cellStyle name="Millares 3 13 15" xfId="1883" xr:uid="{00000000-0005-0000-0000-000043070000}"/>
    <cellStyle name="Millares 3 13 16" xfId="1884" xr:uid="{00000000-0005-0000-0000-000044070000}"/>
    <cellStyle name="Millares 3 13 17" xfId="1885" xr:uid="{00000000-0005-0000-0000-000045070000}"/>
    <cellStyle name="Millares 3 13 2" xfId="1886" xr:uid="{00000000-0005-0000-0000-000046070000}"/>
    <cellStyle name="Millares 3 13 3" xfId="1887" xr:uid="{00000000-0005-0000-0000-000047070000}"/>
    <cellStyle name="Millares 3 13 3 2" xfId="1888" xr:uid="{00000000-0005-0000-0000-000048070000}"/>
    <cellStyle name="Millares 3 13 4" xfId="1889" xr:uid="{00000000-0005-0000-0000-000049070000}"/>
    <cellStyle name="Millares 3 13 5" xfId="1890" xr:uid="{00000000-0005-0000-0000-00004A070000}"/>
    <cellStyle name="Millares 3 13 6" xfId="1891" xr:uid="{00000000-0005-0000-0000-00004B070000}"/>
    <cellStyle name="Millares 3 13 7" xfId="1892" xr:uid="{00000000-0005-0000-0000-00004C070000}"/>
    <cellStyle name="Millares 3 13 8" xfId="1893" xr:uid="{00000000-0005-0000-0000-00004D070000}"/>
    <cellStyle name="Millares 3 13 9" xfId="1894" xr:uid="{00000000-0005-0000-0000-00004E070000}"/>
    <cellStyle name="Millares 3 14" xfId="1895" xr:uid="{00000000-0005-0000-0000-00004F070000}"/>
    <cellStyle name="Millares 3 14 10" xfId="1896" xr:uid="{00000000-0005-0000-0000-000050070000}"/>
    <cellStyle name="Millares 3 14 11" xfId="1897" xr:uid="{00000000-0005-0000-0000-000051070000}"/>
    <cellStyle name="Millares 3 14 12" xfId="1898" xr:uid="{00000000-0005-0000-0000-000052070000}"/>
    <cellStyle name="Millares 3 14 13" xfId="1899" xr:uid="{00000000-0005-0000-0000-000053070000}"/>
    <cellStyle name="Millares 3 14 14" xfId="1900" xr:uid="{00000000-0005-0000-0000-000054070000}"/>
    <cellStyle name="Millares 3 14 15" xfId="1901" xr:uid="{00000000-0005-0000-0000-000055070000}"/>
    <cellStyle name="Millares 3 14 16" xfId="1902" xr:uid="{00000000-0005-0000-0000-000056070000}"/>
    <cellStyle name="Millares 3 14 17" xfId="1903" xr:uid="{00000000-0005-0000-0000-000057070000}"/>
    <cellStyle name="Millares 3 14 2" xfId="1904" xr:uid="{00000000-0005-0000-0000-000058070000}"/>
    <cellStyle name="Millares 3 14 3" xfId="1905" xr:uid="{00000000-0005-0000-0000-000059070000}"/>
    <cellStyle name="Millares 3 14 3 2" xfId="1906" xr:uid="{00000000-0005-0000-0000-00005A070000}"/>
    <cellStyle name="Millares 3 14 4" xfId="1907" xr:uid="{00000000-0005-0000-0000-00005B070000}"/>
    <cellStyle name="Millares 3 14 5" xfId="1908" xr:uid="{00000000-0005-0000-0000-00005C070000}"/>
    <cellStyle name="Millares 3 14 6" xfId="1909" xr:uid="{00000000-0005-0000-0000-00005D070000}"/>
    <cellStyle name="Millares 3 14 7" xfId="1910" xr:uid="{00000000-0005-0000-0000-00005E070000}"/>
    <cellStyle name="Millares 3 14 8" xfId="1911" xr:uid="{00000000-0005-0000-0000-00005F070000}"/>
    <cellStyle name="Millares 3 14 9" xfId="1912" xr:uid="{00000000-0005-0000-0000-000060070000}"/>
    <cellStyle name="Millares 3 15" xfId="1913" xr:uid="{00000000-0005-0000-0000-000061070000}"/>
    <cellStyle name="Millares 3 16" xfId="1914" xr:uid="{00000000-0005-0000-0000-000062070000}"/>
    <cellStyle name="Millares 3 17" xfId="1915" xr:uid="{00000000-0005-0000-0000-000063070000}"/>
    <cellStyle name="Millares 3 18" xfId="1916" xr:uid="{00000000-0005-0000-0000-000064070000}"/>
    <cellStyle name="Millares 3 19" xfId="1917" xr:uid="{00000000-0005-0000-0000-000065070000}"/>
    <cellStyle name="Millares 3 2" xfId="1918" xr:uid="{00000000-0005-0000-0000-000066070000}"/>
    <cellStyle name="Millares 3 2 10" xfId="1919" xr:uid="{00000000-0005-0000-0000-000067070000}"/>
    <cellStyle name="Millares 3 2 11" xfId="1920" xr:uid="{00000000-0005-0000-0000-000068070000}"/>
    <cellStyle name="Millares 3 2 12" xfId="1921" xr:uid="{00000000-0005-0000-0000-000069070000}"/>
    <cellStyle name="Millares 3 2 13" xfId="1922" xr:uid="{00000000-0005-0000-0000-00006A070000}"/>
    <cellStyle name="Millares 3 2 14" xfId="1923" xr:uid="{00000000-0005-0000-0000-00006B070000}"/>
    <cellStyle name="Millares 3 2 15" xfId="1924" xr:uid="{00000000-0005-0000-0000-00006C070000}"/>
    <cellStyle name="Millares 3 2 16" xfId="1925" xr:uid="{00000000-0005-0000-0000-00006D070000}"/>
    <cellStyle name="Millares 3 2 17" xfId="1926" xr:uid="{00000000-0005-0000-0000-00006E070000}"/>
    <cellStyle name="Millares 3 2 18" xfId="1927" xr:uid="{00000000-0005-0000-0000-00006F070000}"/>
    <cellStyle name="Millares 3 2 19" xfId="1928" xr:uid="{00000000-0005-0000-0000-000070070000}"/>
    <cellStyle name="Millares 3 2 2" xfId="1929" xr:uid="{00000000-0005-0000-0000-000071070000}"/>
    <cellStyle name="Millares 3 2 2 10" xfId="1930" xr:uid="{00000000-0005-0000-0000-000072070000}"/>
    <cellStyle name="Millares 3 2 2 11" xfId="1931" xr:uid="{00000000-0005-0000-0000-000073070000}"/>
    <cellStyle name="Millares 3 2 2 12" xfId="1932" xr:uid="{00000000-0005-0000-0000-000074070000}"/>
    <cellStyle name="Millares 3 2 2 13" xfId="1933" xr:uid="{00000000-0005-0000-0000-000075070000}"/>
    <cellStyle name="Millares 3 2 2 14" xfId="1934" xr:uid="{00000000-0005-0000-0000-000076070000}"/>
    <cellStyle name="Millares 3 2 2 15" xfId="1935" xr:uid="{00000000-0005-0000-0000-000077070000}"/>
    <cellStyle name="Millares 3 2 2 16" xfId="1936" xr:uid="{00000000-0005-0000-0000-000078070000}"/>
    <cellStyle name="Millares 3 2 2 17" xfId="1937" xr:uid="{00000000-0005-0000-0000-000079070000}"/>
    <cellStyle name="Millares 3 2 2 18" xfId="1938" xr:uid="{00000000-0005-0000-0000-00007A070000}"/>
    <cellStyle name="Millares 3 2 2 2" xfId="1939" xr:uid="{00000000-0005-0000-0000-00007B070000}"/>
    <cellStyle name="Millares 3 2 2 2 2" xfId="1940" xr:uid="{00000000-0005-0000-0000-00007C070000}"/>
    <cellStyle name="Millares 3 2 2 2 2 2" xfId="1941" xr:uid="{00000000-0005-0000-0000-00007D070000}"/>
    <cellStyle name="Millares 3 2 2 2 2 2 2" xfId="1942" xr:uid="{00000000-0005-0000-0000-00007E070000}"/>
    <cellStyle name="Millares 3 2 2 2 2 2 2 2" xfId="1943" xr:uid="{00000000-0005-0000-0000-00007F070000}"/>
    <cellStyle name="Millares 3 2 2 2 2 2 2 3" xfId="1944" xr:uid="{00000000-0005-0000-0000-000080070000}"/>
    <cellStyle name="Millares 3 2 2 2 2 2 3" xfId="1945" xr:uid="{00000000-0005-0000-0000-000081070000}"/>
    <cellStyle name="Millares 3 2 2 2 2 3" xfId="1946" xr:uid="{00000000-0005-0000-0000-000082070000}"/>
    <cellStyle name="Millares 3 2 2 2 2 4" xfId="1947" xr:uid="{00000000-0005-0000-0000-000083070000}"/>
    <cellStyle name="Millares 3 2 2 2 2 5" xfId="1948" xr:uid="{00000000-0005-0000-0000-000084070000}"/>
    <cellStyle name="Millares 3 2 2 2 3" xfId="1949" xr:uid="{00000000-0005-0000-0000-000085070000}"/>
    <cellStyle name="Millares 3 2 2 2 4" xfId="1950" xr:uid="{00000000-0005-0000-0000-000086070000}"/>
    <cellStyle name="Millares 3 2 2 2 5" xfId="1951" xr:uid="{00000000-0005-0000-0000-000087070000}"/>
    <cellStyle name="Millares 3 2 2 3" xfId="1952" xr:uid="{00000000-0005-0000-0000-000088070000}"/>
    <cellStyle name="Millares 3 2 2 4" xfId="1953" xr:uid="{00000000-0005-0000-0000-000089070000}"/>
    <cellStyle name="Millares 3 2 2 5" xfId="1954" xr:uid="{00000000-0005-0000-0000-00008A070000}"/>
    <cellStyle name="Millares 3 2 2 5 10" xfId="1955" xr:uid="{00000000-0005-0000-0000-00008B070000}"/>
    <cellStyle name="Millares 3 2 2 5 11" xfId="1956" xr:uid="{00000000-0005-0000-0000-00008C070000}"/>
    <cellStyle name="Millares 3 2 2 5 12" xfId="1957" xr:uid="{00000000-0005-0000-0000-00008D070000}"/>
    <cellStyle name="Millares 3 2 2 5 13" xfId="1958" xr:uid="{00000000-0005-0000-0000-00008E070000}"/>
    <cellStyle name="Millares 3 2 2 5 14" xfId="1959" xr:uid="{00000000-0005-0000-0000-00008F070000}"/>
    <cellStyle name="Millares 3 2 2 5 15" xfId="1960" xr:uid="{00000000-0005-0000-0000-000090070000}"/>
    <cellStyle name="Millares 3 2 2 5 16" xfId="1961" xr:uid="{00000000-0005-0000-0000-000091070000}"/>
    <cellStyle name="Millares 3 2 2 5 17" xfId="1962" xr:uid="{00000000-0005-0000-0000-000092070000}"/>
    <cellStyle name="Millares 3 2 2 5 18" xfId="1963" xr:uid="{00000000-0005-0000-0000-000093070000}"/>
    <cellStyle name="Millares 3 2 2 5 2" xfId="1964" xr:uid="{00000000-0005-0000-0000-000094070000}"/>
    <cellStyle name="Millares 3 2 2 5 2 10" xfId="1965" xr:uid="{00000000-0005-0000-0000-000095070000}"/>
    <cellStyle name="Millares 3 2 2 5 2 11" xfId="1966" xr:uid="{00000000-0005-0000-0000-000096070000}"/>
    <cellStyle name="Millares 3 2 2 5 2 12" xfId="1967" xr:uid="{00000000-0005-0000-0000-000097070000}"/>
    <cellStyle name="Millares 3 2 2 5 2 13" xfId="1968" xr:uid="{00000000-0005-0000-0000-000098070000}"/>
    <cellStyle name="Millares 3 2 2 5 2 14" xfId="1969" xr:uid="{00000000-0005-0000-0000-000099070000}"/>
    <cellStyle name="Millares 3 2 2 5 2 15" xfId="1970" xr:uid="{00000000-0005-0000-0000-00009A070000}"/>
    <cellStyle name="Millares 3 2 2 5 2 2" xfId="1971" xr:uid="{00000000-0005-0000-0000-00009B070000}"/>
    <cellStyle name="Millares 3 2 2 5 2 2 2" xfId="1972" xr:uid="{00000000-0005-0000-0000-00009C070000}"/>
    <cellStyle name="Millares 3 2 2 5 2 2 3" xfId="1973" xr:uid="{00000000-0005-0000-0000-00009D070000}"/>
    <cellStyle name="Millares 3 2 2 5 2 2 4" xfId="1974" xr:uid="{00000000-0005-0000-0000-00009E070000}"/>
    <cellStyle name="Millares 3 2 2 5 2 2 5" xfId="1975" xr:uid="{00000000-0005-0000-0000-00009F070000}"/>
    <cellStyle name="Millares 3 2 2 5 2 2 6" xfId="1976" xr:uid="{00000000-0005-0000-0000-0000A0070000}"/>
    <cellStyle name="Millares 3 2 2 5 2 3" xfId="1977" xr:uid="{00000000-0005-0000-0000-0000A1070000}"/>
    <cellStyle name="Millares 3 2 2 5 2 4" xfId="1978" xr:uid="{00000000-0005-0000-0000-0000A2070000}"/>
    <cellStyle name="Millares 3 2 2 5 2 5" xfId="1979" xr:uid="{00000000-0005-0000-0000-0000A3070000}"/>
    <cellStyle name="Millares 3 2 2 5 2 6" xfId="1980" xr:uid="{00000000-0005-0000-0000-0000A4070000}"/>
    <cellStyle name="Millares 3 2 2 5 2 7" xfId="1981" xr:uid="{00000000-0005-0000-0000-0000A5070000}"/>
    <cellStyle name="Millares 3 2 2 5 2 8" xfId="1982" xr:uid="{00000000-0005-0000-0000-0000A6070000}"/>
    <cellStyle name="Millares 3 2 2 5 2 9" xfId="1983" xr:uid="{00000000-0005-0000-0000-0000A7070000}"/>
    <cellStyle name="Millares 3 2 2 5 3" xfId="1984" xr:uid="{00000000-0005-0000-0000-0000A8070000}"/>
    <cellStyle name="Millares 3 2 2 5 3 10" xfId="1985" xr:uid="{00000000-0005-0000-0000-0000A9070000}"/>
    <cellStyle name="Millares 3 2 2 5 3 2" xfId="1986" xr:uid="{00000000-0005-0000-0000-0000AA070000}"/>
    <cellStyle name="Millares 3 2 2 5 3 3" xfId="1987" xr:uid="{00000000-0005-0000-0000-0000AB070000}"/>
    <cellStyle name="Millares 3 2 2 5 3 4" xfId="1988" xr:uid="{00000000-0005-0000-0000-0000AC070000}"/>
    <cellStyle name="Millares 3 2 2 5 3 5" xfId="1989" xr:uid="{00000000-0005-0000-0000-0000AD070000}"/>
    <cellStyle name="Millares 3 2 2 5 3 6" xfId="1990" xr:uid="{00000000-0005-0000-0000-0000AE070000}"/>
    <cellStyle name="Millares 3 2 2 5 3 7" xfId="1991" xr:uid="{00000000-0005-0000-0000-0000AF070000}"/>
    <cellStyle name="Millares 3 2 2 5 3 8" xfId="1992" xr:uid="{00000000-0005-0000-0000-0000B0070000}"/>
    <cellStyle name="Millares 3 2 2 5 3 9" xfId="1993" xr:uid="{00000000-0005-0000-0000-0000B1070000}"/>
    <cellStyle name="Millares 3 2 2 5 4" xfId="1994" xr:uid="{00000000-0005-0000-0000-0000B2070000}"/>
    <cellStyle name="Millares 3 2 2 5 5" xfId="1995" xr:uid="{00000000-0005-0000-0000-0000B3070000}"/>
    <cellStyle name="Millares 3 2 2 5 6" xfId="1996" xr:uid="{00000000-0005-0000-0000-0000B4070000}"/>
    <cellStyle name="Millares 3 2 2 5 7" xfId="1997" xr:uid="{00000000-0005-0000-0000-0000B5070000}"/>
    <cellStyle name="Millares 3 2 2 5 8" xfId="1998" xr:uid="{00000000-0005-0000-0000-0000B6070000}"/>
    <cellStyle name="Millares 3 2 2 5 9" xfId="1999" xr:uid="{00000000-0005-0000-0000-0000B7070000}"/>
    <cellStyle name="Millares 3 2 2 6" xfId="2000" xr:uid="{00000000-0005-0000-0000-0000B8070000}"/>
    <cellStyle name="Millares 3 2 2 7" xfId="2001" xr:uid="{00000000-0005-0000-0000-0000B9070000}"/>
    <cellStyle name="Millares 3 2 2 8" xfId="2002" xr:uid="{00000000-0005-0000-0000-0000BA070000}"/>
    <cellStyle name="Millares 3 2 2 9" xfId="2003" xr:uid="{00000000-0005-0000-0000-0000BB070000}"/>
    <cellStyle name="Millares 3 2 20" xfId="2004" xr:uid="{00000000-0005-0000-0000-0000BC070000}"/>
    <cellStyle name="Millares 3 2 21" xfId="2005" xr:uid="{00000000-0005-0000-0000-0000BD070000}"/>
    <cellStyle name="Millares 3 2 22" xfId="2006" xr:uid="{00000000-0005-0000-0000-0000BE070000}"/>
    <cellStyle name="Millares 3 2 23" xfId="2007" xr:uid="{00000000-0005-0000-0000-0000BF070000}"/>
    <cellStyle name="Millares 3 2 24" xfId="2008" xr:uid="{00000000-0005-0000-0000-0000C0070000}"/>
    <cellStyle name="Millares 3 2 3" xfId="2009" xr:uid="{00000000-0005-0000-0000-0000C1070000}"/>
    <cellStyle name="Millares 3 2 4" xfId="2010" xr:uid="{00000000-0005-0000-0000-0000C2070000}"/>
    <cellStyle name="Millares 3 2 5" xfId="2011" xr:uid="{00000000-0005-0000-0000-0000C3070000}"/>
    <cellStyle name="Millares 3 2 6" xfId="2012" xr:uid="{00000000-0005-0000-0000-0000C4070000}"/>
    <cellStyle name="Millares 3 2 7" xfId="2013" xr:uid="{00000000-0005-0000-0000-0000C5070000}"/>
    <cellStyle name="Millares 3 2 8" xfId="2014" xr:uid="{00000000-0005-0000-0000-0000C6070000}"/>
    <cellStyle name="Millares 3 2 9" xfId="2015" xr:uid="{00000000-0005-0000-0000-0000C7070000}"/>
    <cellStyle name="Millares 3 20" xfId="2016" xr:uid="{00000000-0005-0000-0000-0000C8070000}"/>
    <cellStyle name="Millares 3 21" xfId="2017" xr:uid="{00000000-0005-0000-0000-0000C9070000}"/>
    <cellStyle name="Millares 3 22" xfId="2018" xr:uid="{00000000-0005-0000-0000-0000CA070000}"/>
    <cellStyle name="Millares 3 23" xfId="2019" xr:uid="{00000000-0005-0000-0000-0000CB070000}"/>
    <cellStyle name="Millares 3 24" xfId="2020" xr:uid="{00000000-0005-0000-0000-0000CC070000}"/>
    <cellStyle name="Millares 3 25" xfId="2021" xr:uid="{00000000-0005-0000-0000-0000CD070000}"/>
    <cellStyle name="Millares 3 26" xfId="2022" xr:uid="{00000000-0005-0000-0000-0000CE070000}"/>
    <cellStyle name="Millares 3 27" xfId="2023" xr:uid="{00000000-0005-0000-0000-0000CF070000}"/>
    <cellStyle name="Millares 3 28" xfId="2024" xr:uid="{00000000-0005-0000-0000-0000D0070000}"/>
    <cellStyle name="Millares 3 29" xfId="2025" xr:uid="{00000000-0005-0000-0000-0000D1070000}"/>
    <cellStyle name="Millares 3 3" xfId="2026" xr:uid="{00000000-0005-0000-0000-0000D2070000}"/>
    <cellStyle name="Millares 3 30" xfId="2027" xr:uid="{00000000-0005-0000-0000-0000D3070000}"/>
    <cellStyle name="Millares 3 4" xfId="2028" xr:uid="{00000000-0005-0000-0000-0000D4070000}"/>
    <cellStyle name="Millares 3 5" xfId="2029" xr:uid="{00000000-0005-0000-0000-0000D5070000}"/>
    <cellStyle name="Millares 3 6" xfId="2030" xr:uid="{00000000-0005-0000-0000-0000D6070000}"/>
    <cellStyle name="Millares 3 7" xfId="2031" xr:uid="{00000000-0005-0000-0000-0000D7070000}"/>
    <cellStyle name="Millares 3 8" xfId="2032" xr:uid="{00000000-0005-0000-0000-0000D8070000}"/>
    <cellStyle name="Millares 3 9" xfId="2033" xr:uid="{00000000-0005-0000-0000-0000D9070000}"/>
    <cellStyle name="Millares 30" xfId="2034" xr:uid="{00000000-0005-0000-0000-0000DA070000}"/>
    <cellStyle name="Millares 30 10" xfId="2035" xr:uid="{00000000-0005-0000-0000-0000DB070000}"/>
    <cellStyle name="Millares 30 11" xfId="2036" xr:uid="{00000000-0005-0000-0000-0000DC070000}"/>
    <cellStyle name="Millares 30 12" xfId="2037" xr:uid="{00000000-0005-0000-0000-0000DD070000}"/>
    <cellStyle name="Millares 30 13" xfId="2038" xr:uid="{00000000-0005-0000-0000-0000DE070000}"/>
    <cellStyle name="Millares 30 14" xfId="2039" xr:uid="{00000000-0005-0000-0000-0000DF070000}"/>
    <cellStyle name="Millares 30 15" xfId="2040" xr:uid="{00000000-0005-0000-0000-0000E0070000}"/>
    <cellStyle name="Millares 30 16" xfId="2041" xr:uid="{00000000-0005-0000-0000-0000E1070000}"/>
    <cellStyle name="Millares 30 17" xfId="2042" xr:uid="{00000000-0005-0000-0000-0000E2070000}"/>
    <cellStyle name="Millares 30 18" xfId="2043" xr:uid="{00000000-0005-0000-0000-0000E3070000}"/>
    <cellStyle name="Millares 30 19" xfId="2044" xr:uid="{00000000-0005-0000-0000-0000E4070000}"/>
    <cellStyle name="Millares 30 2" xfId="2045" xr:uid="{00000000-0005-0000-0000-0000E5070000}"/>
    <cellStyle name="Millares 30 2 2" xfId="2046" xr:uid="{00000000-0005-0000-0000-0000E6070000}"/>
    <cellStyle name="Millares 30 2 3" xfId="2047" xr:uid="{00000000-0005-0000-0000-0000E7070000}"/>
    <cellStyle name="Millares 30 20" xfId="2048" xr:uid="{00000000-0005-0000-0000-0000E8070000}"/>
    <cellStyle name="Millares 30 21" xfId="2049" xr:uid="{00000000-0005-0000-0000-0000E9070000}"/>
    <cellStyle name="Millares 30 22" xfId="2050" xr:uid="{00000000-0005-0000-0000-0000EA070000}"/>
    <cellStyle name="Millares 30 23" xfId="2051" xr:uid="{00000000-0005-0000-0000-0000EB070000}"/>
    <cellStyle name="Millares 30 24" xfId="2052" xr:uid="{00000000-0005-0000-0000-0000EC070000}"/>
    <cellStyle name="Millares 30 25" xfId="2053" xr:uid="{00000000-0005-0000-0000-0000ED070000}"/>
    <cellStyle name="Millares 30 3" xfId="2054" xr:uid="{00000000-0005-0000-0000-0000EE070000}"/>
    <cellStyle name="Millares 30 3 2" xfId="2055" xr:uid="{00000000-0005-0000-0000-0000EF070000}"/>
    <cellStyle name="Millares 30 3 3" xfId="2056" xr:uid="{00000000-0005-0000-0000-0000F0070000}"/>
    <cellStyle name="Millares 30 4" xfId="2057" xr:uid="{00000000-0005-0000-0000-0000F1070000}"/>
    <cellStyle name="Millares 30 5" xfId="2058" xr:uid="{00000000-0005-0000-0000-0000F2070000}"/>
    <cellStyle name="Millares 30 6" xfId="2059" xr:uid="{00000000-0005-0000-0000-0000F3070000}"/>
    <cellStyle name="Millares 30 7" xfId="2060" xr:uid="{00000000-0005-0000-0000-0000F4070000}"/>
    <cellStyle name="Millares 30 8" xfId="2061" xr:uid="{00000000-0005-0000-0000-0000F5070000}"/>
    <cellStyle name="Millares 30 9" xfId="2062" xr:uid="{00000000-0005-0000-0000-0000F6070000}"/>
    <cellStyle name="Millares 4" xfId="2063" xr:uid="{00000000-0005-0000-0000-0000F7070000}"/>
    <cellStyle name="Millares 4 2" xfId="2064" xr:uid="{00000000-0005-0000-0000-0000F8070000}"/>
    <cellStyle name="Millares 4 3" xfId="2065" xr:uid="{00000000-0005-0000-0000-0000F9070000}"/>
    <cellStyle name="Millares 5" xfId="2066" xr:uid="{00000000-0005-0000-0000-0000FA070000}"/>
    <cellStyle name="Millares 5 10" xfId="2067" xr:uid="{00000000-0005-0000-0000-0000FB070000}"/>
    <cellStyle name="Millares 5 11" xfId="2068" xr:uid="{00000000-0005-0000-0000-0000FC070000}"/>
    <cellStyle name="Millares 5 12" xfId="2069" xr:uid="{00000000-0005-0000-0000-0000FD070000}"/>
    <cellStyle name="Millares 5 13" xfId="2070" xr:uid="{00000000-0005-0000-0000-0000FE070000}"/>
    <cellStyle name="Millares 5 14" xfId="2071" xr:uid="{00000000-0005-0000-0000-0000FF070000}"/>
    <cellStyle name="Millares 5 15" xfId="2072" xr:uid="{00000000-0005-0000-0000-000000080000}"/>
    <cellStyle name="Millares 5 16" xfId="2073" xr:uid="{00000000-0005-0000-0000-000001080000}"/>
    <cellStyle name="Millares 5 17" xfId="2074" xr:uid="{00000000-0005-0000-0000-000002080000}"/>
    <cellStyle name="Millares 5 18" xfId="2075" xr:uid="{00000000-0005-0000-0000-000003080000}"/>
    <cellStyle name="Millares 5 19" xfId="2076" xr:uid="{00000000-0005-0000-0000-000004080000}"/>
    <cellStyle name="Millares 5 2" xfId="2077" xr:uid="{00000000-0005-0000-0000-000005080000}"/>
    <cellStyle name="Millares 5 2 2" xfId="2078" xr:uid="{00000000-0005-0000-0000-000006080000}"/>
    <cellStyle name="Millares 5 20" xfId="2079" xr:uid="{00000000-0005-0000-0000-000007080000}"/>
    <cellStyle name="Millares 5 21" xfId="2080" xr:uid="{00000000-0005-0000-0000-000008080000}"/>
    <cellStyle name="Millares 5 22" xfId="2081" xr:uid="{00000000-0005-0000-0000-000009080000}"/>
    <cellStyle name="Millares 5 23" xfId="2082" xr:uid="{00000000-0005-0000-0000-00000A080000}"/>
    <cellStyle name="Millares 5 24" xfId="2083" xr:uid="{00000000-0005-0000-0000-00000B080000}"/>
    <cellStyle name="Millares 5 25" xfId="2084" xr:uid="{00000000-0005-0000-0000-00000C080000}"/>
    <cellStyle name="Millares 5 26" xfId="2085" xr:uid="{00000000-0005-0000-0000-00000D080000}"/>
    <cellStyle name="Millares 5 3" xfId="2086" xr:uid="{00000000-0005-0000-0000-00000E080000}"/>
    <cellStyle name="Millares 5 4" xfId="2087" xr:uid="{00000000-0005-0000-0000-00000F080000}"/>
    <cellStyle name="Millares 5 5" xfId="2088" xr:uid="{00000000-0005-0000-0000-000010080000}"/>
    <cellStyle name="Millares 5 6" xfId="2089" xr:uid="{00000000-0005-0000-0000-000011080000}"/>
    <cellStyle name="Millares 5 7" xfId="2090" xr:uid="{00000000-0005-0000-0000-000012080000}"/>
    <cellStyle name="Millares 5 8" xfId="2091" xr:uid="{00000000-0005-0000-0000-000013080000}"/>
    <cellStyle name="Millares 5 9" xfId="2092" xr:uid="{00000000-0005-0000-0000-000014080000}"/>
    <cellStyle name="Millares 6" xfId="2093" xr:uid="{00000000-0005-0000-0000-000015080000}"/>
    <cellStyle name="Millares 6 2" xfId="2094" xr:uid="{00000000-0005-0000-0000-000016080000}"/>
    <cellStyle name="Millares 7" xfId="2095" xr:uid="{00000000-0005-0000-0000-000017080000}"/>
    <cellStyle name="Millares 7 10" xfId="2096" xr:uid="{00000000-0005-0000-0000-000018080000}"/>
    <cellStyle name="Millares 7 11" xfId="2097" xr:uid="{00000000-0005-0000-0000-000019080000}"/>
    <cellStyle name="Millares 7 12" xfId="2098" xr:uid="{00000000-0005-0000-0000-00001A080000}"/>
    <cellStyle name="Millares 7 13" xfId="2099" xr:uid="{00000000-0005-0000-0000-00001B080000}"/>
    <cellStyle name="Millares 7 14" xfId="2100" xr:uid="{00000000-0005-0000-0000-00001C080000}"/>
    <cellStyle name="Millares 7 15" xfId="2101" xr:uid="{00000000-0005-0000-0000-00001D080000}"/>
    <cellStyle name="Millares 7 16" xfId="2102" xr:uid="{00000000-0005-0000-0000-00001E080000}"/>
    <cellStyle name="Millares 7 17" xfId="2103" xr:uid="{00000000-0005-0000-0000-00001F080000}"/>
    <cellStyle name="Millares 7 18" xfId="2104" xr:uid="{00000000-0005-0000-0000-000020080000}"/>
    <cellStyle name="Millares 7 19" xfId="2105" xr:uid="{00000000-0005-0000-0000-000021080000}"/>
    <cellStyle name="Millares 7 2" xfId="2106" xr:uid="{00000000-0005-0000-0000-000022080000}"/>
    <cellStyle name="Millares 7 20" xfId="2107" xr:uid="{00000000-0005-0000-0000-000023080000}"/>
    <cellStyle name="Millares 7 21" xfId="2108" xr:uid="{00000000-0005-0000-0000-000024080000}"/>
    <cellStyle name="Millares 7 22" xfId="2109" xr:uid="{00000000-0005-0000-0000-000025080000}"/>
    <cellStyle name="Millares 7 23" xfId="2110" xr:uid="{00000000-0005-0000-0000-000026080000}"/>
    <cellStyle name="Millares 7 24" xfId="2111" xr:uid="{00000000-0005-0000-0000-000027080000}"/>
    <cellStyle name="Millares 7 3" xfId="2112" xr:uid="{00000000-0005-0000-0000-000028080000}"/>
    <cellStyle name="Millares 7 4" xfId="2113" xr:uid="{00000000-0005-0000-0000-000029080000}"/>
    <cellStyle name="Millares 7 5" xfId="2114" xr:uid="{00000000-0005-0000-0000-00002A080000}"/>
    <cellStyle name="Millares 7 6" xfId="2115" xr:uid="{00000000-0005-0000-0000-00002B080000}"/>
    <cellStyle name="Millares 7 7" xfId="2116" xr:uid="{00000000-0005-0000-0000-00002C080000}"/>
    <cellStyle name="Millares 7 8" xfId="2117" xr:uid="{00000000-0005-0000-0000-00002D080000}"/>
    <cellStyle name="Millares 7 9" xfId="2118" xr:uid="{00000000-0005-0000-0000-00002E080000}"/>
    <cellStyle name="Millares 8" xfId="2119" xr:uid="{00000000-0005-0000-0000-00002F080000}"/>
    <cellStyle name="Millares 8 10" xfId="2120" xr:uid="{00000000-0005-0000-0000-000030080000}"/>
    <cellStyle name="Millares 8 11" xfId="2121" xr:uid="{00000000-0005-0000-0000-000031080000}"/>
    <cellStyle name="Millares 8 12" xfId="2122" xr:uid="{00000000-0005-0000-0000-000032080000}"/>
    <cellStyle name="Millares 8 13" xfId="2123" xr:uid="{00000000-0005-0000-0000-000033080000}"/>
    <cellStyle name="Millares 8 14" xfId="2124" xr:uid="{00000000-0005-0000-0000-000034080000}"/>
    <cellStyle name="Millares 8 15" xfId="2125" xr:uid="{00000000-0005-0000-0000-000035080000}"/>
    <cellStyle name="Millares 8 16" xfId="2126" xr:uid="{00000000-0005-0000-0000-000036080000}"/>
    <cellStyle name="Millares 8 17" xfId="2127" xr:uid="{00000000-0005-0000-0000-000037080000}"/>
    <cellStyle name="Millares 8 18" xfId="2128" xr:uid="{00000000-0005-0000-0000-000038080000}"/>
    <cellStyle name="Millares 8 19" xfId="2129" xr:uid="{00000000-0005-0000-0000-000039080000}"/>
    <cellStyle name="Millares 8 2" xfId="2130" xr:uid="{00000000-0005-0000-0000-00003A080000}"/>
    <cellStyle name="Millares 8 20" xfId="2131" xr:uid="{00000000-0005-0000-0000-00003B080000}"/>
    <cellStyle name="Millares 8 21" xfId="2132" xr:uid="{00000000-0005-0000-0000-00003C080000}"/>
    <cellStyle name="Millares 8 22" xfId="2133" xr:uid="{00000000-0005-0000-0000-00003D080000}"/>
    <cellStyle name="Millares 8 23" xfId="2134" xr:uid="{00000000-0005-0000-0000-00003E080000}"/>
    <cellStyle name="Millares 8 24" xfId="2135" xr:uid="{00000000-0005-0000-0000-00003F080000}"/>
    <cellStyle name="Millares 8 3" xfId="2136" xr:uid="{00000000-0005-0000-0000-000040080000}"/>
    <cellStyle name="Millares 8 4" xfId="2137" xr:uid="{00000000-0005-0000-0000-000041080000}"/>
    <cellStyle name="Millares 8 5" xfId="2138" xr:uid="{00000000-0005-0000-0000-000042080000}"/>
    <cellStyle name="Millares 8 6" xfId="2139" xr:uid="{00000000-0005-0000-0000-000043080000}"/>
    <cellStyle name="Millares 8 7" xfId="2140" xr:uid="{00000000-0005-0000-0000-000044080000}"/>
    <cellStyle name="Millares 8 8" xfId="2141" xr:uid="{00000000-0005-0000-0000-000045080000}"/>
    <cellStyle name="Millares 8 9" xfId="2142" xr:uid="{00000000-0005-0000-0000-000046080000}"/>
    <cellStyle name="Millares 9" xfId="2143" xr:uid="{00000000-0005-0000-0000-000047080000}"/>
    <cellStyle name="Moneda" xfId="39123" builtinId="4"/>
    <cellStyle name="Moneda 2" xfId="5" xr:uid="{00000000-0005-0000-0000-000049080000}"/>
    <cellStyle name="Moneda 2 10" xfId="2144" xr:uid="{00000000-0005-0000-0000-00004A080000}"/>
    <cellStyle name="Moneda 2 2" xfId="2145" xr:uid="{00000000-0005-0000-0000-00004B080000}"/>
    <cellStyle name="Moneda 2 2 2" xfId="2146" xr:uid="{00000000-0005-0000-0000-00004C080000}"/>
    <cellStyle name="Moneda 2 2 3" xfId="2147" xr:uid="{00000000-0005-0000-0000-00004D080000}"/>
    <cellStyle name="Moneda 2 3" xfId="2148" xr:uid="{00000000-0005-0000-0000-00004E080000}"/>
    <cellStyle name="Moneda 2 3 2" xfId="2149" xr:uid="{00000000-0005-0000-0000-00004F080000}"/>
    <cellStyle name="Moneda 2 4" xfId="2150" xr:uid="{00000000-0005-0000-0000-000050080000}"/>
    <cellStyle name="Moneda 2 4 2" xfId="2151" xr:uid="{00000000-0005-0000-0000-000051080000}"/>
    <cellStyle name="Moneda 2 5" xfId="2152" xr:uid="{00000000-0005-0000-0000-000052080000}"/>
    <cellStyle name="Moneda 2 5 2" xfId="2153" xr:uid="{00000000-0005-0000-0000-000053080000}"/>
    <cellStyle name="Moneda 2 6" xfId="2154" xr:uid="{00000000-0005-0000-0000-000054080000}"/>
    <cellStyle name="Moneda 2 6 2" xfId="2155" xr:uid="{00000000-0005-0000-0000-000055080000}"/>
    <cellStyle name="Moneda 2 7" xfId="2156" xr:uid="{00000000-0005-0000-0000-000056080000}"/>
    <cellStyle name="Moneda 2 7 2" xfId="2157" xr:uid="{00000000-0005-0000-0000-000057080000}"/>
    <cellStyle name="Moneda 2 8" xfId="2158" xr:uid="{00000000-0005-0000-0000-000058080000}"/>
    <cellStyle name="Moneda 2 8 2" xfId="2159" xr:uid="{00000000-0005-0000-0000-000059080000}"/>
    <cellStyle name="Moneda 2 9" xfId="2160" xr:uid="{00000000-0005-0000-0000-00005A080000}"/>
    <cellStyle name="Moneda 26" xfId="2161" xr:uid="{00000000-0005-0000-0000-00005B080000}"/>
    <cellStyle name="Moneda 26 2" xfId="2162" xr:uid="{00000000-0005-0000-0000-00005C080000}"/>
    <cellStyle name="Moneda 26 2 2" xfId="2163" xr:uid="{00000000-0005-0000-0000-00005D080000}"/>
    <cellStyle name="Moneda 26 2 3" xfId="2164" xr:uid="{00000000-0005-0000-0000-00005E080000}"/>
    <cellStyle name="Moneda 26 3" xfId="2165" xr:uid="{00000000-0005-0000-0000-00005F080000}"/>
    <cellStyle name="Moneda 26 3 2" xfId="2166" xr:uid="{00000000-0005-0000-0000-000060080000}"/>
    <cellStyle name="Moneda 26 3 3" xfId="2167" xr:uid="{00000000-0005-0000-0000-000061080000}"/>
    <cellStyle name="Moneda 26 4" xfId="2168" xr:uid="{00000000-0005-0000-0000-000062080000}"/>
    <cellStyle name="Moneda 3" xfId="25" xr:uid="{00000000-0005-0000-0000-000063080000}"/>
    <cellStyle name="Moneda 3 2" xfId="2169" xr:uid="{00000000-0005-0000-0000-000064080000}"/>
    <cellStyle name="Moneda 3 3" xfId="2170" xr:uid="{00000000-0005-0000-0000-000065080000}"/>
    <cellStyle name="Moneda 3 4" xfId="2171" xr:uid="{00000000-0005-0000-0000-000066080000}"/>
    <cellStyle name="Moneda 3 5" xfId="2172" xr:uid="{00000000-0005-0000-0000-000067080000}"/>
    <cellStyle name="Moneda 3 6" xfId="2173" xr:uid="{00000000-0005-0000-0000-000068080000}"/>
    <cellStyle name="Moneda 3 7" xfId="2174" xr:uid="{00000000-0005-0000-0000-000069080000}"/>
    <cellStyle name="Moneda 3 8" xfId="2175" xr:uid="{00000000-0005-0000-0000-00006A080000}"/>
    <cellStyle name="Moneda 4" xfId="2176" xr:uid="{00000000-0005-0000-0000-00006B080000}"/>
    <cellStyle name="Neutral 2" xfId="2177" xr:uid="{00000000-0005-0000-0000-00006C080000}"/>
    <cellStyle name="Neutral 3" xfId="2178" xr:uid="{00000000-0005-0000-0000-00006D080000}"/>
    <cellStyle name="Neutral 4" xfId="2179" xr:uid="{00000000-0005-0000-0000-00006E080000}"/>
    <cellStyle name="Normal" xfId="0" builtinId="0"/>
    <cellStyle name="Normal 10" xfId="2180" xr:uid="{00000000-0005-0000-0000-000070080000}"/>
    <cellStyle name="Normal 10 10" xfId="2181" xr:uid="{00000000-0005-0000-0000-000071080000}"/>
    <cellStyle name="Normal 10 11" xfId="2182" xr:uid="{00000000-0005-0000-0000-000072080000}"/>
    <cellStyle name="Normal 10 12" xfId="2183" xr:uid="{00000000-0005-0000-0000-000073080000}"/>
    <cellStyle name="Normal 10 13" xfId="2184" xr:uid="{00000000-0005-0000-0000-000074080000}"/>
    <cellStyle name="Normal 10 14" xfId="2185" xr:uid="{00000000-0005-0000-0000-000075080000}"/>
    <cellStyle name="Normal 10 15" xfId="2186" xr:uid="{00000000-0005-0000-0000-000076080000}"/>
    <cellStyle name="Normal 10 16" xfId="2187" xr:uid="{00000000-0005-0000-0000-000077080000}"/>
    <cellStyle name="Normal 10 17" xfId="2188" xr:uid="{00000000-0005-0000-0000-000078080000}"/>
    <cellStyle name="Normal 10 18" xfId="2189" xr:uid="{00000000-0005-0000-0000-000079080000}"/>
    <cellStyle name="Normal 10 19" xfId="2190" xr:uid="{00000000-0005-0000-0000-00007A080000}"/>
    <cellStyle name="Normal 10 2" xfId="2191" xr:uid="{00000000-0005-0000-0000-00007B080000}"/>
    <cellStyle name="Normal 10 2 10" xfId="6" xr:uid="{00000000-0005-0000-0000-00007C080000}"/>
    <cellStyle name="Normal 10 2 10 10" xfId="2192" xr:uid="{00000000-0005-0000-0000-00007D080000}"/>
    <cellStyle name="Normal 10 2 10 10 10" xfId="2193" xr:uid="{00000000-0005-0000-0000-00007E080000}"/>
    <cellStyle name="Normal 10 2 10 10 11" xfId="2194" xr:uid="{00000000-0005-0000-0000-00007F080000}"/>
    <cellStyle name="Normal 10 2 10 10 12" xfId="2195" xr:uid="{00000000-0005-0000-0000-000080080000}"/>
    <cellStyle name="Normal 10 2 10 10 13" xfId="2196" xr:uid="{00000000-0005-0000-0000-000081080000}"/>
    <cellStyle name="Normal 10 2 10 10 14" xfId="2197" xr:uid="{00000000-0005-0000-0000-000082080000}"/>
    <cellStyle name="Normal 10 2 10 10 2" xfId="2198" xr:uid="{00000000-0005-0000-0000-000083080000}"/>
    <cellStyle name="Normal 10 2 10 10 2 10" xfId="2199" xr:uid="{00000000-0005-0000-0000-000084080000}"/>
    <cellStyle name="Normal 10 2 10 10 2 2" xfId="2200" xr:uid="{00000000-0005-0000-0000-000085080000}"/>
    <cellStyle name="Normal 10 2 10 10 2 3" xfId="2201" xr:uid="{00000000-0005-0000-0000-000086080000}"/>
    <cellStyle name="Normal 10 2 10 10 2 4" xfId="2202" xr:uid="{00000000-0005-0000-0000-000087080000}"/>
    <cellStyle name="Normal 10 2 10 10 2 5" xfId="2203" xr:uid="{00000000-0005-0000-0000-000088080000}"/>
    <cellStyle name="Normal 10 2 10 10 2 6" xfId="2204" xr:uid="{00000000-0005-0000-0000-000089080000}"/>
    <cellStyle name="Normal 10 2 10 10 2 7" xfId="2205" xr:uid="{00000000-0005-0000-0000-00008A080000}"/>
    <cellStyle name="Normal 10 2 10 10 2 8" xfId="2206" xr:uid="{00000000-0005-0000-0000-00008B080000}"/>
    <cellStyle name="Normal 10 2 10 10 2 9" xfId="2207" xr:uid="{00000000-0005-0000-0000-00008C080000}"/>
    <cellStyle name="Normal 10 2 10 10 3" xfId="2208" xr:uid="{00000000-0005-0000-0000-00008D080000}"/>
    <cellStyle name="Normal 10 2 10 10 3 10" xfId="2209" xr:uid="{00000000-0005-0000-0000-00008E080000}"/>
    <cellStyle name="Normal 10 2 10 10 3 2" xfId="2210" xr:uid="{00000000-0005-0000-0000-00008F080000}"/>
    <cellStyle name="Normal 10 2 10 10 3 3" xfId="2211" xr:uid="{00000000-0005-0000-0000-000090080000}"/>
    <cellStyle name="Normal 10 2 10 10 3 4" xfId="2212" xr:uid="{00000000-0005-0000-0000-000091080000}"/>
    <cellStyle name="Normal 10 2 10 10 3 5" xfId="2213" xr:uid="{00000000-0005-0000-0000-000092080000}"/>
    <cellStyle name="Normal 10 2 10 10 3 6" xfId="2214" xr:uid="{00000000-0005-0000-0000-000093080000}"/>
    <cellStyle name="Normal 10 2 10 10 3 7" xfId="2215" xr:uid="{00000000-0005-0000-0000-000094080000}"/>
    <cellStyle name="Normal 10 2 10 10 3 8" xfId="2216" xr:uid="{00000000-0005-0000-0000-000095080000}"/>
    <cellStyle name="Normal 10 2 10 10 3 9" xfId="2217" xr:uid="{00000000-0005-0000-0000-000096080000}"/>
    <cellStyle name="Normal 10 2 10 10 4" xfId="2218" xr:uid="{00000000-0005-0000-0000-000097080000}"/>
    <cellStyle name="Normal 10 2 10 10 4 10" xfId="2219" xr:uid="{00000000-0005-0000-0000-000098080000}"/>
    <cellStyle name="Normal 10 2 10 10 4 2" xfId="2220" xr:uid="{00000000-0005-0000-0000-000099080000}"/>
    <cellStyle name="Normal 10 2 10 10 4 3" xfId="2221" xr:uid="{00000000-0005-0000-0000-00009A080000}"/>
    <cellStyle name="Normal 10 2 10 10 4 4" xfId="2222" xr:uid="{00000000-0005-0000-0000-00009B080000}"/>
    <cellStyle name="Normal 10 2 10 10 4 5" xfId="2223" xr:uid="{00000000-0005-0000-0000-00009C080000}"/>
    <cellStyle name="Normal 10 2 10 10 4 6" xfId="2224" xr:uid="{00000000-0005-0000-0000-00009D080000}"/>
    <cellStyle name="Normal 10 2 10 10 4 7" xfId="2225" xr:uid="{00000000-0005-0000-0000-00009E080000}"/>
    <cellStyle name="Normal 10 2 10 10 4 8" xfId="2226" xr:uid="{00000000-0005-0000-0000-00009F080000}"/>
    <cellStyle name="Normal 10 2 10 10 4 9" xfId="2227" xr:uid="{00000000-0005-0000-0000-0000A0080000}"/>
    <cellStyle name="Normal 10 2 10 10 5" xfId="2228" xr:uid="{00000000-0005-0000-0000-0000A1080000}"/>
    <cellStyle name="Normal 10 2 10 10 5 10" xfId="2229" xr:uid="{00000000-0005-0000-0000-0000A2080000}"/>
    <cellStyle name="Normal 10 2 10 10 5 2" xfId="2230" xr:uid="{00000000-0005-0000-0000-0000A3080000}"/>
    <cellStyle name="Normal 10 2 10 10 5 3" xfId="2231" xr:uid="{00000000-0005-0000-0000-0000A4080000}"/>
    <cellStyle name="Normal 10 2 10 10 5 4" xfId="2232" xr:uid="{00000000-0005-0000-0000-0000A5080000}"/>
    <cellStyle name="Normal 10 2 10 10 5 5" xfId="2233" xr:uid="{00000000-0005-0000-0000-0000A6080000}"/>
    <cellStyle name="Normal 10 2 10 10 5 6" xfId="2234" xr:uid="{00000000-0005-0000-0000-0000A7080000}"/>
    <cellStyle name="Normal 10 2 10 10 5 7" xfId="2235" xr:uid="{00000000-0005-0000-0000-0000A8080000}"/>
    <cellStyle name="Normal 10 2 10 10 5 8" xfId="2236" xr:uid="{00000000-0005-0000-0000-0000A9080000}"/>
    <cellStyle name="Normal 10 2 10 10 5 9" xfId="2237" xr:uid="{00000000-0005-0000-0000-0000AA080000}"/>
    <cellStyle name="Normal 10 2 10 10 6" xfId="2238" xr:uid="{00000000-0005-0000-0000-0000AB080000}"/>
    <cellStyle name="Normal 10 2 10 10 7" xfId="2239" xr:uid="{00000000-0005-0000-0000-0000AC080000}"/>
    <cellStyle name="Normal 10 2 10 10 8" xfId="2240" xr:uid="{00000000-0005-0000-0000-0000AD080000}"/>
    <cellStyle name="Normal 10 2 10 10 9" xfId="2241" xr:uid="{00000000-0005-0000-0000-0000AE080000}"/>
    <cellStyle name="Normal 10 2 10 11" xfId="2242" xr:uid="{00000000-0005-0000-0000-0000AF080000}"/>
    <cellStyle name="Normal 10 2 10 11 10" xfId="2243" xr:uid="{00000000-0005-0000-0000-0000B0080000}"/>
    <cellStyle name="Normal 10 2 10 11 11" xfId="2244" xr:uid="{00000000-0005-0000-0000-0000B1080000}"/>
    <cellStyle name="Normal 10 2 10 11 12" xfId="2245" xr:uid="{00000000-0005-0000-0000-0000B2080000}"/>
    <cellStyle name="Normal 10 2 10 11 13" xfId="2246" xr:uid="{00000000-0005-0000-0000-0000B3080000}"/>
    <cellStyle name="Normal 10 2 10 11 14" xfId="2247" xr:uid="{00000000-0005-0000-0000-0000B4080000}"/>
    <cellStyle name="Normal 10 2 10 11 2" xfId="2248" xr:uid="{00000000-0005-0000-0000-0000B5080000}"/>
    <cellStyle name="Normal 10 2 10 11 2 10" xfId="2249" xr:uid="{00000000-0005-0000-0000-0000B6080000}"/>
    <cellStyle name="Normal 10 2 10 11 2 2" xfId="2250" xr:uid="{00000000-0005-0000-0000-0000B7080000}"/>
    <cellStyle name="Normal 10 2 10 11 2 3" xfId="2251" xr:uid="{00000000-0005-0000-0000-0000B8080000}"/>
    <cellStyle name="Normal 10 2 10 11 2 4" xfId="2252" xr:uid="{00000000-0005-0000-0000-0000B9080000}"/>
    <cellStyle name="Normal 10 2 10 11 2 5" xfId="2253" xr:uid="{00000000-0005-0000-0000-0000BA080000}"/>
    <cellStyle name="Normal 10 2 10 11 2 6" xfId="2254" xr:uid="{00000000-0005-0000-0000-0000BB080000}"/>
    <cellStyle name="Normal 10 2 10 11 2 7" xfId="2255" xr:uid="{00000000-0005-0000-0000-0000BC080000}"/>
    <cellStyle name="Normal 10 2 10 11 2 8" xfId="2256" xr:uid="{00000000-0005-0000-0000-0000BD080000}"/>
    <cellStyle name="Normal 10 2 10 11 2 9" xfId="2257" xr:uid="{00000000-0005-0000-0000-0000BE080000}"/>
    <cellStyle name="Normal 10 2 10 11 3" xfId="2258" xr:uid="{00000000-0005-0000-0000-0000BF080000}"/>
    <cellStyle name="Normal 10 2 10 11 3 10" xfId="2259" xr:uid="{00000000-0005-0000-0000-0000C0080000}"/>
    <cellStyle name="Normal 10 2 10 11 3 2" xfId="2260" xr:uid="{00000000-0005-0000-0000-0000C1080000}"/>
    <cellStyle name="Normal 10 2 10 11 3 3" xfId="2261" xr:uid="{00000000-0005-0000-0000-0000C2080000}"/>
    <cellStyle name="Normal 10 2 10 11 3 4" xfId="2262" xr:uid="{00000000-0005-0000-0000-0000C3080000}"/>
    <cellStyle name="Normal 10 2 10 11 3 5" xfId="2263" xr:uid="{00000000-0005-0000-0000-0000C4080000}"/>
    <cellStyle name="Normal 10 2 10 11 3 6" xfId="2264" xr:uid="{00000000-0005-0000-0000-0000C5080000}"/>
    <cellStyle name="Normal 10 2 10 11 3 7" xfId="2265" xr:uid="{00000000-0005-0000-0000-0000C6080000}"/>
    <cellStyle name="Normal 10 2 10 11 3 8" xfId="2266" xr:uid="{00000000-0005-0000-0000-0000C7080000}"/>
    <cellStyle name="Normal 10 2 10 11 3 9" xfId="2267" xr:uid="{00000000-0005-0000-0000-0000C8080000}"/>
    <cellStyle name="Normal 10 2 10 11 4" xfId="2268" xr:uid="{00000000-0005-0000-0000-0000C9080000}"/>
    <cellStyle name="Normal 10 2 10 11 4 10" xfId="2269" xr:uid="{00000000-0005-0000-0000-0000CA080000}"/>
    <cellStyle name="Normal 10 2 10 11 4 2" xfId="2270" xr:uid="{00000000-0005-0000-0000-0000CB080000}"/>
    <cellStyle name="Normal 10 2 10 11 4 3" xfId="2271" xr:uid="{00000000-0005-0000-0000-0000CC080000}"/>
    <cellStyle name="Normal 10 2 10 11 4 4" xfId="2272" xr:uid="{00000000-0005-0000-0000-0000CD080000}"/>
    <cellStyle name="Normal 10 2 10 11 4 5" xfId="2273" xr:uid="{00000000-0005-0000-0000-0000CE080000}"/>
    <cellStyle name="Normal 10 2 10 11 4 6" xfId="2274" xr:uid="{00000000-0005-0000-0000-0000CF080000}"/>
    <cellStyle name="Normal 10 2 10 11 4 7" xfId="2275" xr:uid="{00000000-0005-0000-0000-0000D0080000}"/>
    <cellStyle name="Normal 10 2 10 11 4 8" xfId="2276" xr:uid="{00000000-0005-0000-0000-0000D1080000}"/>
    <cellStyle name="Normal 10 2 10 11 4 9" xfId="2277" xr:uid="{00000000-0005-0000-0000-0000D2080000}"/>
    <cellStyle name="Normal 10 2 10 11 5" xfId="2278" xr:uid="{00000000-0005-0000-0000-0000D3080000}"/>
    <cellStyle name="Normal 10 2 10 11 5 10" xfId="2279" xr:uid="{00000000-0005-0000-0000-0000D4080000}"/>
    <cellStyle name="Normal 10 2 10 11 5 2" xfId="2280" xr:uid="{00000000-0005-0000-0000-0000D5080000}"/>
    <cellStyle name="Normal 10 2 10 11 5 3" xfId="2281" xr:uid="{00000000-0005-0000-0000-0000D6080000}"/>
    <cellStyle name="Normal 10 2 10 11 5 4" xfId="2282" xr:uid="{00000000-0005-0000-0000-0000D7080000}"/>
    <cellStyle name="Normal 10 2 10 11 5 5" xfId="2283" xr:uid="{00000000-0005-0000-0000-0000D8080000}"/>
    <cellStyle name="Normal 10 2 10 11 5 6" xfId="2284" xr:uid="{00000000-0005-0000-0000-0000D9080000}"/>
    <cellStyle name="Normal 10 2 10 11 5 7" xfId="2285" xr:uid="{00000000-0005-0000-0000-0000DA080000}"/>
    <cellStyle name="Normal 10 2 10 11 5 8" xfId="2286" xr:uid="{00000000-0005-0000-0000-0000DB080000}"/>
    <cellStyle name="Normal 10 2 10 11 5 9" xfId="2287" xr:uid="{00000000-0005-0000-0000-0000DC080000}"/>
    <cellStyle name="Normal 10 2 10 11 6" xfId="2288" xr:uid="{00000000-0005-0000-0000-0000DD080000}"/>
    <cellStyle name="Normal 10 2 10 11 7" xfId="2289" xr:uid="{00000000-0005-0000-0000-0000DE080000}"/>
    <cellStyle name="Normal 10 2 10 11 8" xfId="2290" xr:uid="{00000000-0005-0000-0000-0000DF080000}"/>
    <cellStyle name="Normal 10 2 10 11 9" xfId="2291" xr:uid="{00000000-0005-0000-0000-0000E0080000}"/>
    <cellStyle name="Normal 10 2 10 12" xfId="2292" xr:uid="{00000000-0005-0000-0000-0000E1080000}"/>
    <cellStyle name="Normal 10 2 10 12 10" xfId="2293" xr:uid="{00000000-0005-0000-0000-0000E2080000}"/>
    <cellStyle name="Normal 10 2 10 12 11" xfId="2294" xr:uid="{00000000-0005-0000-0000-0000E3080000}"/>
    <cellStyle name="Normal 10 2 10 12 12" xfId="2295" xr:uid="{00000000-0005-0000-0000-0000E4080000}"/>
    <cellStyle name="Normal 10 2 10 12 13" xfId="2296" xr:uid="{00000000-0005-0000-0000-0000E5080000}"/>
    <cellStyle name="Normal 10 2 10 12 14" xfId="2297" xr:uid="{00000000-0005-0000-0000-0000E6080000}"/>
    <cellStyle name="Normal 10 2 10 12 2" xfId="2298" xr:uid="{00000000-0005-0000-0000-0000E7080000}"/>
    <cellStyle name="Normal 10 2 10 12 2 10" xfId="2299" xr:uid="{00000000-0005-0000-0000-0000E8080000}"/>
    <cellStyle name="Normal 10 2 10 12 2 2" xfId="2300" xr:uid="{00000000-0005-0000-0000-0000E9080000}"/>
    <cellStyle name="Normal 10 2 10 12 2 3" xfId="2301" xr:uid="{00000000-0005-0000-0000-0000EA080000}"/>
    <cellStyle name="Normal 10 2 10 12 2 4" xfId="2302" xr:uid="{00000000-0005-0000-0000-0000EB080000}"/>
    <cellStyle name="Normal 10 2 10 12 2 5" xfId="2303" xr:uid="{00000000-0005-0000-0000-0000EC080000}"/>
    <cellStyle name="Normal 10 2 10 12 2 6" xfId="2304" xr:uid="{00000000-0005-0000-0000-0000ED080000}"/>
    <cellStyle name="Normal 10 2 10 12 2 7" xfId="2305" xr:uid="{00000000-0005-0000-0000-0000EE080000}"/>
    <cellStyle name="Normal 10 2 10 12 2 8" xfId="2306" xr:uid="{00000000-0005-0000-0000-0000EF080000}"/>
    <cellStyle name="Normal 10 2 10 12 2 9" xfId="2307" xr:uid="{00000000-0005-0000-0000-0000F0080000}"/>
    <cellStyle name="Normal 10 2 10 12 3" xfId="2308" xr:uid="{00000000-0005-0000-0000-0000F1080000}"/>
    <cellStyle name="Normal 10 2 10 12 3 10" xfId="2309" xr:uid="{00000000-0005-0000-0000-0000F2080000}"/>
    <cellStyle name="Normal 10 2 10 12 3 2" xfId="2310" xr:uid="{00000000-0005-0000-0000-0000F3080000}"/>
    <cellStyle name="Normal 10 2 10 12 3 3" xfId="2311" xr:uid="{00000000-0005-0000-0000-0000F4080000}"/>
    <cellStyle name="Normal 10 2 10 12 3 4" xfId="2312" xr:uid="{00000000-0005-0000-0000-0000F5080000}"/>
    <cellStyle name="Normal 10 2 10 12 3 5" xfId="2313" xr:uid="{00000000-0005-0000-0000-0000F6080000}"/>
    <cellStyle name="Normal 10 2 10 12 3 6" xfId="2314" xr:uid="{00000000-0005-0000-0000-0000F7080000}"/>
    <cellStyle name="Normal 10 2 10 12 3 7" xfId="2315" xr:uid="{00000000-0005-0000-0000-0000F8080000}"/>
    <cellStyle name="Normal 10 2 10 12 3 8" xfId="2316" xr:uid="{00000000-0005-0000-0000-0000F9080000}"/>
    <cellStyle name="Normal 10 2 10 12 3 9" xfId="2317" xr:uid="{00000000-0005-0000-0000-0000FA080000}"/>
    <cellStyle name="Normal 10 2 10 12 4" xfId="2318" xr:uid="{00000000-0005-0000-0000-0000FB080000}"/>
    <cellStyle name="Normal 10 2 10 12 4 10" xfId="2319" xr:uid="{00000000-0005-0000-0000-0000FC080000}"/>
    <cellStyle name="Normal 10 2 10 12 4 2" xfId="2320" xr:uid="{00000000-0005-0000-0000-0000FD080000}"/>
    <cellStyle name="Normal 10 2 10 12 4 3" xfId="2321" xr:uid="{00000000-0005-0000-0000-0000FE080000}"/>
    <cellStyle name="Normal 10 2 10 12 4 4" xfId="2322" xr:uid="{00000000-0005-0000-0000-0000FF080000}"/>
    <cellStyle name="Normal 10 2 10 12 4 5" xfId="2323" xr:uid="{00000000-0005-0000-0000-000000090000}"/>
    <cellStyle name="Normal 10 2 10 12 4 6" xfId="2324" xr:uid="{00000000-0005-0000-0000-000001090000}"/>
    <cellStyle name="Normal 10 2 10 12 4 7" xfId="2325" xr:uid="{00000000-0005-0000-0000-000002090000}"/>
    <cellStyle name="Normal 10 2 10 12 4 8" xfId="2326" xr:uid="{00000000-0005-0000-0000-000003090000}"/>
    <cellStyle name="Normal 10 2 10 12 4 9" xfId="2327" xr:uid="{00000000-0005-0000-0000-000004090000}"/>
    <cellStyle name="Normal 10 2 10 12 5" xfId="2328" xr:uid="{00000000-0005-0000-0000-000005090000}"/>
    <cellStyle name="Normal 10 2 10 12 5 10" xfId="2329" xr:uid="{00000000-0005-0000-0000-000006090000}"/>
    <cellStyle name="Normal 10 2 10 12 5 2" xfId="2330" xr:uid="{00000000-0005-0000-0000-000007090000}"/>
    <cellStyle name="Normal 10 2 10 12 5 3" xfId="2331" xr:uid="{00000000-0005-0000-0000-000008090000}"/>
    <cellStyle name="Normal 10 2 10 12 5 4" xfId="2332" xr:uid="{00000000-0005-0000-0000-000009090000}"/>
    <cellStyle name="Normal 10 2 10 12 5 5" xfId="2333" xr:uid="{00000000-0005-0000-0000-00000A090000}"/>
    <cellStyle name="Normal 10 2 10 12 5 6" xfId="2334" xr:uid="{00000000-0005-0000-0000-00000B090000}"/>
    <cellStyle name="Normal 10 2 10 12 5 7" xfId="2335" xr:uid="{00000000-0005-0000-0000-00000C090000}"/>
    <cellStyle name="Normal 10 2 10 12 5 8" xfId="2336" xr:uid="{00000000-0005-0000-0000-00000D090000}"/>
    <cellStyle name="Normal 10 2 10 12 5 9" xfId="2337" xr:uid="{00000000-0005-0000-0000-00000E090000}"/>
    <cellStyle name="Normal 10 2 10 12 6" xfId="2338" xr:uid="{00000000-0005-0000-0000-00000F090000}"/>
    <cellStyle name="Normal 10 2 10 12 7" xfId="2339" xr:uid="{00000000-0005-0000-0000-000010090000}"/>
    <cellStyle name="Normal 10 2 10 12 8" xfId="2340" xr:uid="{00000000-0005-0000-0000-000011090000}"/>
    <cellStyle name="Normal 10 2 10 12 9" xfId="2341" xr:uid="{00000000-0005-0000-0000-000012090000}"/>
    <cellStyle name="Normal 10 2 10 13" xfId="2342" xr:uid="{00000000-0005-0000-0000-000013090000}"/>
    <cellStyle name="Normal 10 2 10 13 10" xfId="2343" xr:uid="{00000000-0005-0000-0000-000014090000}"/>
    <cellStyle name="Normal 10 2 10 13 11" xfId="2344" xr:uid="{00000000-0005-0000-0000-000015090000}"/>
    <cellStyle name="Normal 10 2 10 13 12" xfId="2345" xr:uid="{00000000-0005-0000-0000-000016090000}"/>
    <cellStyle name="Normal 10 2 10 13 13" xfId="2346" xr:uid="{00000000-0005-0000-0000-000017090000}"/>
    <cellStyle name="Normal 10 2 10 13 14" xfId="2347" xr:uid="{00000000-0005-0000-0000-000018090000}"/>
    <cellStyle name="Normal 10 2 10 13 2" xfId="2348" xr:uid="{00000000-0005-0000-0000-000019090000}"/>
    <cellStyle name="Normal 10 2 10 13 2 10" xfId="2349" xr:uid="{00000000-0005-0000-0000-00001A090000}"/>
    <cellStyle name="Normal 10 2 10 13 2 2" xfId="2350" xr:uid="{00000000-0005-0000-0000-00001B090000}"/>
    <cellStyle name="Normal 10 2 10 13 2 3" xfId="2351" xr:uid="{00000000-0005-0000-0000-00001C090000}"/>
    <cellStyle name="Normal 10 2 10 13 2 4" xfId="2352" xr:uid="{00000000-0005-0000-0000-00001D090000}"/>
    <cellStyle name="Normal 10 2 10 13 2 5" xfId="2353" xr:uid="{00000000-0005-0000-0000-00001E090000}"/>
    <cellStyle name="Normal 10 2 10 13 2 6" xfId="2354" xr:uid="{00000000-0005-0000-0000-00001F090000}"/>
    <cellStyle name="Normal 10 2 10 13 2 7" xfId="2355" xr:uid="{00000000-0005-0000-0000-000020090000}"/>
    <cellStyle name="Normal 10 2 10 13 2 8" xfId="2356" xr:uid="{00000000-0005-0000-0000-000021090000}"/>
    <cellStyle name="Normal 10 2 10 13 2 9" xfId="2357" xr:uid="{00000000-0005-0000-0000-000022090000}"/>
    <cellStyle name="Normal 10 2 10 13 3" xfId="2358" xr:uid="{00000000-0005-0000-0000-000023090000}"/>
    <cellStyle name="Normal 10 2 10 13 3 10" xfId="2359" xr:uid="{00000000-0005-0000-0000-000024090000}"/>
    <cellStyle name="Normal 10 2 10 13 3 2" xfId="2360" xr:uid="{00000000-0005-0000-0000-000025090000}"/>
    <cellStyle name="Normal 10 2 10 13 3 3" xfId="2361" xr:uid="{00000000-0005-0000-0000-000026090000}"/>
    <cellStyle name="Normal 10 2 10 13 3 4" xfId="2362" xr:uid="{00000000-0005-0000-0000-000027090000}"/>
    <cellStyle name="Normal 10 2 10 13 3 5" xfId="2363" xr:uid="{00000000-0005-0000-0000-000028090000}"/>
    <cellStyle name="Normal 10 2 10 13 3 6" xfId="2364" xr:uid="{00000000-0005-0000-0000-000029090000}"/>
    <cellStyle name="Normal 10 2 10 13 3 7" xfId="2365" xr:uid="{00000000-0005-0000-0000-00002A090000}"/>
    <cellStyle name="Normal 10 2 10 13 3 8" xfId="2366" xr:uid="{00000000-0005-0000-0000-00002B090000}"/>
    <cellStyle name="Normal 10 2 10 13 3 9" xfId="2367" xr:uid="{00000000-0005-0000-0000-00002C090000}"/>
    <cellStyle name="Normal 10 2 10 13 4" xfId="2368" xr:uid="{00000000-0005-0000-0000-00002D090000}"/>
    <cellStyle name="Normal 10 2 10 13 4 10" xfId="2369" xr:uid="{00000000-0005-0000-0000-00002E090000}"/>
    <cellStyle name="Normal 10 2 10 13 4 2" xfId="2370" xr:uid="{00000000-0005-0000-0000-00002F090000}"/>
    <cellStyle name="Normal 10 2 10 13 4 3" xfId="2371" xr:uid="{00000000-0005-0000-0000-000030090000}"/>
    <cellStyle name="Normal 10 2 10 13 4 4" xfId="2372" xr:uid="{00000000-0005-0000-0000-000031090000}"/>
    <cellStyle name="Normal 10 2 10 13 4 5" xfId="2373" xr:uid="{00000000-0005-0000-0000-000032090000}"/>
    <cellStyle name="Normal 10 2 10 13 4 6" xfId="2374" xr:uid="{00000000-0005-0000-0000-000033090000}"/>
    <cellStyle name="Normal 10 2 10 13 4 7" xfId="2375" xr:uid="{00000000-0005-0000-0000-000034090000}"/>
    <cellStyle name="Normal 10 2 10 13 4 8" xfId="2376" xr:uid="{00000000-0005-0000-0000-000035090000}"/>
    <cellStyle name="Normal 10 2 10 13 4 9" xfId="2377" xr:uid="{00000000-0005-0000-0000-000036090000}"/>
    <cellStyle name="Normal 10 2 10 13 5" xfId="2378" xr:uid="{00000000-0005-0000-0000-000037090000}"/>
    <cellStyle name="Normal 10 2 10 13 5 10" xfId="2379" xr:uid="{00000000-0005-0000-0000-000038090000}"/>
    <cellStyle name="Normal 10 2 10 13 5 2" xfId="2380" xr:uid="{00000000-0005-0000-0000-000039090000}"/>
    <cellStyle name="Normal 10 2 10 13 5 3" xfId="2381" xr:uid="{00000000-0005-0000-0000-00003A090000}"/>
    <cellStyle name="Normal 10 2 10 13 5 4" xfId="2382" xr:uid="{00000000-0005-0000-0000-00003B090000}"/>
    <cellStyle name="Normal 10 2 10 13 5 5" xfId="2383" xr:uid="{00000000-0005-0000-0000-00003C090000}"/>
    <cellStyle name="Normal 10 2 10 13 5 6" xfId="2384" xr:uid="{00000000-0005-0000-0000-00003D090000}"/>
    <cellStyle name="Normal 10 2 10 13 5 7" xfId="2385" xr:uid="{00000000-0005-0000-0000-00003E090000}"/>
    <cellStyle name="Normal 10 2 10 13 5 8" xfId="2386" xr:uid="{00000000-0005-0000-0000-00003F090000}"/>
    <cellStyle name="Normal 10 2 10 13 5 9" xfId="2387" xr:uid="{00000000-0005-0000-0000-000040090000}"/>
    <cellStyle name="Normal 10 2 10 13 6" xfId="2388" xr:uid="{00000000-0005-0000-0000-000041090000}"/>
    <cellStyle name="Normal 10 2 10 13 7" xfId="2389" xr:uid="{00000000-0005-0000-0000-000042090000}"/>
    <cellStyle name="Normal 10 2 10 13 8" xfId="2390" xr:uid="{00000000-0005-0000-0000-000043090000}"/>
    <cellStyle name="Normal 10 2 10 13 9" xfId="2391" xr:uid="{00000000-0005-0000-0000-000044090000}"/>
    <cellStyle name="Normal 10 2 10 14" xfId="2392" xr:uid="{00000000-0005-0000-0000-000045090000}"/>
    <cellStyle name="Normal 10 2 10 14 10" xfId="2393" xr:uid="{00000000-0005-0000-0000-000046090000}"/>
    <cellStyle name="Normal 10 2 10 14 11" xfId="2394" xr:uid="{00000000-0005-0000-0000-000047090000}"/>
    <cellStyle name="Normal 10 2 10 14 12" xfId="2395" xr:uid="{00000000-0005-0000-0000-000048090000}"/>
    <cellStyle name="Normal 10 2 10 14 13" xfId="2396" xr:uid="{00000000-0005-0000-0000-000049090000}"/>
    <cellStyle name="Normal 10 2 10 14 14" xfId="2397" xr:uid="{00000000-0005-0000-0000-00004A090000}"/>
    <cellStyle name="Normal 10 2 10 14 2" xfId="2398" xr:uid="{00000000-0005-0000-0000-00004B090000}"/>
    <cellStyle name="Normal 10 2 10 14 2 10" xfId="2399" xr:uid="{00000000-0005-0000-0000-00004C090000}"/>
    <cellStyle name="Normal 10 2 10 14 2 2" xfId="2400" xr:uid="{00000000-0005-0000-0000-00004D090000}"/>
    <cellStyle name="Normal 10 2 10 14 2 3" xfId="2401" xr:uid="{00000000-0005-0000-0000-00004E090000}"/>
    <cellStyle name="Normal 10 2 10 14 2 4" xfId="2402" xr:uid="{00000000-0005-0000-0000-00004F090000}"/>
    <cellStyle name="Normal 10 2 10 14 2 5" xfId="2403" xr:uid="{00000000-0005-0000-0000-000050090000}"/>
    <cellStyle name="Normal 10 2 10 14 2 6" xfId="2404" xr:uid="{00000000-0005-0000-0000-000051090000}"/>
    <cellStyle name="Normal 10 2 10 14 2 7" xfId="2405" xr:uid="{00000000-0005-0000-0000-000052090000}"/>
    <cellStyle name="Normal 10 2 10 14 2 8" xfId="2406" xr:uid="{00000000-0005-0000-0000-000053090000}"/>
    <cellStyle name="Normal 10 2 10 14 2 9" xfId="2407" xr:uid="{00000000-0005-0000-0000-000054090000}"/>
    <cellStyle name="Normal 10 2 10 14 3" xfId="2408" xr:uid="{00000000-0005-0000-0000-000055090000}"/>
    <cellStyle name="Normal 10 2 10 14 3 10" xfId="2409" xr:uid="{00000000-0005-0000-0000-000056090000}"/>
    <cellStyle name="Normal 10 2 10 14 3 2" xfId="2410" xr:uid="{00000000-0005-0000-0000-000057090000}"/>
    <cellStyle name="Normal 10 2 10 14 3 3" xfId="2411" xr:uid="{00000000-0005-0000-0000-000058090000}"/>
    <cellStyle name="Normal 10 2 10 14 3 4" xfId="2412" xr:uid="{00000000-0005-0000-0000-000059090000}"/>
    <cellStyle name="Normal 10 2 10 14 3 5" xfId="2413" xr:uid="{00000000-0005-0000-0000-00005A090000}"/>
    <cellStyle name="Normal 10 2 10 14 3 6" xfId="2414" xr:uid="{00000000-0005-0000-0000-00005B090000}"/>
    <cellStyle name="Normal 10 2 10 14 3 7" xfId="2415" xr:uid="{00000000-0005-0000-0000-00005C090000}"/>
    <cellStyle name="Normal 10 2 10 14 3 8" xfId="2416" xr:uid="{00000000-0005-0000-0000-00005D090000}"/>
    <cellStyle name="Normal 10 2 10 14 3 9" xfId="2417" xr:uid="{00000000-0005-0000-0000-00005E090000}"/>
    <cellStyle name="Normal 10 2 10 14 4" xfId="2418" xr:uid="{00000000-0005-0000-0000-00005F090000}"/>
    <cellStyle name="Normal 10 2 10 14 4 10" xfId="2419" xr:uid="{00000000-0005-0000-0000-000060090000}"/>
    <cellStyle name="Normal 10 2 10 14 4 2" xfId="2420" xr:uid="{00000000-0005-0000-0000-000061090000}"/>
    <cellStyle name="Normal 10 2 10 14 4 3" xfId="2421" xr:uid="{00000000-0005-0000-0000-000062090000}"/>
    <cellStyle name="Normal 10 2 10 14 4 4" xfId="2422" xr:uid="{00000000-0005-0000-0000-000063090000}"/>
    <cellStyle name="Normal 10 2 10 14 4 5" xfId="2423" xr:uid="{00000000-0005-0000-0000-000064090000}"/>
    <cellStyle name="Normal 10 2 10 14 4 6" xfId="2424" xr:uid="{00000000-0005-0000-0000-000065090000}"/>
    <cellStyle name="Normal 10 2 10 14 4 7" xfId="2425" xr:uid="{00000000-0005-0000-0000-000066090000}"/>
    <cellStyle name="Normal 10 2 10 14 4 8" xfId="2426" xr:uid="{00000000-0005-0000-0000-000067090000}"/>
    <cellStyle name="Normal 10 2 10 14 4 9" xfId="2427" xr:uid="{00000000-0005-0000-0000-000068090000}"/>
    <cellStyle name="Normal 10 2 10 14 5" xfId="2428" xr:uid="{00000000-0005-0000-0000-000069090000}"/>
    <cellStyle name="Normal 10 2 10 14 5 10" xfId="2429" xr:uid="{00000000-0005-0000-0000-00006A090000}"/>
    <cellStyle name="Normal 10 2 10 14 5 2" xfId="2430" xr:uid="{00000000-0005-0000-0000-00006B090000}"/>
    <cellStyle name="Normal 10 2 10 14 5 3" xfId="2431" xr:uid="{00000000-0005-0000-0000-00006C090000}"/>
    <cellStyle name="Normal 10 2 10 14 5 4" xfId="2432" xr:uid="{00000000-0005-0000-0000-00006D090000}"/>
    <cellStyle name="Normal 10 2 10 14 5 5" xfId="2433" xr:uid="{00000000-0005-0000-0000-00006E090000}"/>
    <cellStyle name="Normal 10 2 10 14 5 6" xfId="2434" xr:uid="{00000000-0005-0000-0000-00006F090000}"/>
    <cellStyle name="Normal 10 2 10 14 5 7" xfId="2435" xr:uid="{00000000-0005-0000-0000-000070090000}"/>
    <cellStyle name="Normal 10 2 10 14 5 8" xfId="2436" xr:uid="{00000000-0005-0000-0000-000071090000}"/>
    <cellStyle name="Normal 10 2 10 14 5 9" xfId="2437" xr:uid="{00000000-0005-0000-0000-000072090000}"/>
    <cellStyle name="Normal 10 2 10 14 6" xfId="2438" xr:uid="{00000000-0005-0000-0000-000073090000}"/>
    <cellStyle name="Normal 10 2 10 14 7" xfId="2439" xr:uid="{00000000-0005-0000-0000-000074090000}"/>
    <cellStyle name="Normal 10 2 10 14 8" xfId="2440" xr:uid="{00000000-0005-0000-0000-000075090000}"/>
    <cellStyle name="Normal 10 2 10 14 9" xfId="2441" xr:uid="{00000000-0005-0000-0000-000076090000}"/>
    <cellStyle name="Normal 10 2 10 15" xfId="2442" xr:uid="{00000000-0005-0000-0000-000077090000}"/>
    <cellStyle name="Normal 10 2 10 15 10" xfId="2443" xr:uid="{00000000-0005-0000-0000-000078090000}"/>
    <cellStyle name="Normal 10 2 10 15 11" xfId="2444" xr:uid="{00000000-0005-0000-0000-000079090000}"/>
    <cellStyle name="Normal 10 2 10 15 12" xfId="2445" xr:uid="{00000000-0005-0000-0000-00007A090000}"/>
    <cellStyle name="Normal 10 2 10 15 13" xfId="2446" xr:uid="{00000000-0005-0000-0000-00007B090000}"/>
    <cellStyle name="Normal 10 2 10 15 14" xfId="2447" xr:uid="{00000000-0005-0000-0000-00007C090000}"/>
    <cellStyle name="Normal 10 2 10 15 2" xfId="2448" xr:uid="{00000000-0005-0000-0000-00007D090000}"/>
    <cellStyle name="Normal 10 2 10 15 2 10" xfId="2449" xr:uid="{00000000-0005-0000-0000-00007E090000}"/>
    <cellStyle name="Normal 10 2 10 15 2 2" xfId="2450" xr:uid="{00000000-0005-0000-0000-00007F090000}"/>
    <cellStyle name="Normal 10 2 10 15 2 3" xfId="2451" xr:uid="{00000000-0005-0000-0000-000080090000}"/>
    <cellStyle name="Normal 10 2 10 15 2 4" xfId="2452" xr:uid="{00000000-0005-0000-0000-000081090000}"/>
    <cellStyle name="Normal 10 2 10 15 2 5" xfId="2453" xr:uid="{00000000-0005-0000-0000-000082090000}"/>
    <cellStyle name="Normal 10 2 10 15 2 6" xfId="2454" xr:uid="{00000000-0005-0000-0000-000083090000}"/>
    <cellStyle name="Normal 10 2 10 15 2 7" xfId="2455" xr:uid="{00000000-0005-0000-0000-000084090000}"/>
    <cellStyle name="Normal 10 2 10 15 2 8" xfId="2456" xr:uid="{00000000-0005-0000-0000-000085090000}"/>
    <cellStyle name="Normal 10 2 10 15 2 9" xfId="2457" xr:uid="{00000000-0005-0000-0000-000086090000}"/>
    <cellStyle name="Normal 10 2 10 15 3" xfId="2458" xr:uid="{00000000-0005-0000-0000-000087090000}"/>
    <cellStyle name="Normal 10 2 10 15 3 10" xfId="2459" xr:uid="{00000000-0005-0000-0000-000088090000}"/>
    <cellStyle name="Normal 10 2 10 15 3 2" xfId="2460" xr:uid="{00000000-0005-0000-0000-000089090000}"/>
    <cellStyle name="Normal 10 2 10 15 3 3" xfId="2461" xr:uid="{00000000-0005-0000-0000-00008A090000}"/>
    <cellStyle name="Normal 10 2 10 15 3 4" xfId="2462" xr:uid="{00000000-0005-0000-0000-00008B090000}"/>
    <cellStyle name="Normal 10 2 10 15 3 5" xfId="2463" xr:uid="{00000000-0005-0000-0000-00008C090000}"/>
    <cellStyle name="Normal 10 2 10 15 3 6" xfId="2464" xr:uid="{00000000-0005-0000-0000-00008D090000}"/>
    <cellStyle name="Normal 10 2 10 15 3 7" xfId="2465" xr:uid="{00000000-0005-0000-0000-00008E090000}"/>
    <cellStyle name="Normal 10 2 10 15 3 8" xfId="2466" xr:uid="{00000000-0005-0000-0000-00008F090000}"/>
    <cellStyle name="Normal 10 2 10 15 3 9" xfId="2467" xr:uid="{00000000-0005-0000-0000-000090090000}"/>
    <cellStyle name="Normal 10 2 10 15 4" xfId="2468" xr:uid="{00000000-0005-0000-0000-000091090000}"/>
    <cellStyle name="Normal 10 2 10 15 4 10" xfId="2469" xr:uid="{00000000-0005-0000-0000-000092090000}"/>
    <cellStyle name="Normal 10 2 10 15 4 2" xfId="2470" xr:uid="{00000000-0005-0000-0000-000093090000}"/>
    <cellStyle name="Normal 10 2 10 15 4 3" xfId="2471" xr:uid="{00000000-0005-0000-0000-000094090000}"/>
    <cellStyle name="Normal 10 2 10 15 4 4" xfId="2472" xr:uid="{00000000-0005-0000-0000-000095090000}"/>
    <cellStyle name="Normal 10 2 10 15 4 5" xfId="2473" xr:uid="{00000000-0005-0000-0000-000096090000}"/>
    <cellStyle name="Normal 10 2 10 15 4 6" xfId="2474" xr:uid="{00000000-0005-0000-0000-000097090000}"/>
    <cellStyle name="Normal 10 2 10 15 4 7" xfId="2475" xr:uid="{00000000-0005-0000-0000-000098090000}"/>
    <cellStyle name="Normal 10 2 10 15 4 8" xfId="2476" xr:uid="{00000000-0005-0000-0000-000099090000}"/>
    <cellStyle name="Normal 10 2 10 15 4 9" xfId="2477" xr:uid="{00000000-0005-0000-0000-00009A090000}"/>
    <cellStyle name="Normal 10 2 10 15 5" xfId="2478" xr:uid="{00000000-0005-0000-0000-00009B090000}"/>
    <cellStyle name="Normal 10 2 10 15 5 10" xfId="2479" xr:uid="{00000000-0005-0000-0000-00009C090000}"/>
    <cellStyle name="Normal 10 2 10 15 5 2" xfId="2480" xr:uid="{00000000-0005-0000-0000-00009D090000}"/>
    <cellStyle name="Normal 10 2 10 15 5 3" xfId="2481" xr:uid="{00000000-0005-0000-0000-00009E090000}"/>
    <cellStyle name="Normal 10 2 10 15 5 4" xfId="2482" xr:uid="{00000000-0005-0000-0000-00009F090000}"/>
    <cellStyle name="Normal 10 2 10 15 5 5" xfId="2483" xr:uid="{00000000-0005-0000-0000-0000A0090000}"/>
    <cellStyle name="Normal 10 2 10 15 5 6" xfId="2484" xr:uid="{00000000-0005-0000-0000-0000A1090000}"/>
    <cellStyle name="Normal 10 2 10 15 5 7" xfId="2485" xr:uid="{00000000-0005-0000-0000-0000A2090000}"/>
    <cellStyle name="Normal 10 2 10 15 5 8" xfId="2486" xr:uid="{00000000-0005-0000-0000-0000A3090000}"/>
    <cellStyle name="Normal 10 2 10 15 5 9" xfId="2487" xr:uid="{00000000-0005-0000-0000-0000A4090000}"/>
    <cellStyle name="Normal 10 2 10 15 6" xfId="2488" xr:uid="{00000000-0005-0000-0000-0000A5090000}"/>
    <cellStyle name="Normal 10 2 10 15 7" xfId="2489" xr:uid="{00000000-0005-0000-0000-0000A6090000}"/>
    <cellStyle name="Normal 10 2 10 15 8" xfId="2490" xr:uid="{00000000-0005-0000-0000-0000A7090000}"/>
    <cellStyle name="Normal 10 2 10 15 9" xfId="2491" xr:uid="{00000000-0005-0000-0000-0000A8090000}"/>
    <cellStyle name="Normal 10 2 10 16" xfId="2492" xr:uid="{00000000-0005-0000-0000-0000A9090000}"/>
    <cellStyle name="Normal 10 2 10 16 10" xfId="2493" xr:uid="{00000000-0005-0000-0000-0000AA090000}"/>
    <cellStyle name="Normal 10 2 10 16 11" xfId="2494" xr:uid="{00000000-0005-0000-0000-0000AB090000}"/>
    <cellStyle name="Normal 10 2 10 16 12" xfId="2495" xr:uid="{00000000-0005-0000-0000-0000AC090000}"/>
    <cellStyle name="Normal 10 2 10 16 13" xfId="2496" xr:uid="{00000000-0005-0000-0000-0000AD090000}"/>
    <cellStyle name="Normal 10 2 10 16 14" xfId="2497" xr:uid="{00000000-0005-0000-0000-0000AE090000}"/>
    <cellStyle name="Normal 10 2 10 16 2" xfId="2498" xr:uid="{00000000-0005-0000-0000-0000AF090000}"/>
    <cellStyle name="Normal 10 2 10 16 2 10" xfId="2499" xr:uid="{00000000-0005-0000-0000-0000B0090000}"/>
    <cellStyle name="Normal 10 2 10 16 2 2" xfId="2500" xr:uid="{00000000-0005-0000-0000-0000B1090000}"/>
    <cellStyle name="Normal 10 2 10 16 2 3" xfId="2501" xr:uid="{00000000-0005-0000-0000-0000B2090000}"/>
    <cellStyle name="Normal 10 2 10 16 2 4" xfId="2502" xr:uid="{00000000-0005-0000-0000-0000B3090000}"/>
    <cellStyle name="Normal 10 2 10 16 2 5" xfId="2503" xr:uid="{00000000-0005-0000-0000-0000B4090000}"/>
    <cellStyle name="Normal 10 2 10 16 2 6" xfId="2504" xr:uid="{00000000-0005-0000-0000-0000B5090000}"/>
    <cellStyle name="Normal 10 2 10 16 2 7" xfId="2505" xr:uid="{00000000-0005-0000-0000-0000B6090000}"/>
    <cellStyle name="Normal 10 2 10 16 2 8" xfId="2506" xr:uid="{00000000-0005-0000-0000-0000B7090000}"/>
    <cellStyle name="Normal 10 2 10 16 2 9" xfId="2507" xr:uid="{00000000-0005-0000-0000-0000B8090000}"/>
    <cellStyle name="Normal 10 2 10 16 3" xfId="2508" xr:uid="{00000000-0005-0000-0000-0000B9090000}"/>
    <cellStyle name="Normal 10 2 10 16 3 10" xfId="2509" xr:uid="{00000000-0005-0000-0000-0000BA090000}"/>
    <cellStyle name="Normal 10 2 10 16 3 2" xfId="2510" xr:uid="{00000000-0005-0000-0000-0000BB090000}"/>
    <cellStyle name="Normal 10 2 10 16 3 3" xfId="2511" xr:uid="{00000000-0005-0000-0000-0000BC090000}"/>
    <cellStyle name="Normal 10 2 10 16 3 4" xfId="2512" xr:uid="{00000000-0005-0000-0000-0000BD090000}"/>
    <cellStyle name="Normal 10 2 10 16 3 5" xfId="2513" xr:uid="{00000000-0005-0000-0000-0000BE090000}"/>
    <cellStyle name="Normal 10 2 10 16 3 6" xfId="2514" xr:uid="{00000000-0005-0000-0000-0000BF090000}"/>
    <cellStyle name="Normal 10 2 10 16 3 7" xfId="2515" xr:uid="{00000000-0005-0000-0000-0000C0090000}"/>
    <cellStyle name="Normal 10 2 10 16 3 8" xfId="2516" xr:uid="{00000000-0005-0000-0000-0000C1090000}"/>
    <cellStyle name="Normal 10 2 10 16 3 9" xfId="2517" xr:uid="{00000000-0005-0000-0000-0000C2090000}"/>
    <cellStyle name="Normal 10 2 10 16 4" xfId="2518" xr:uid="{00000000-0005-0000-0000-0000C3090000}"/>
    <cellStyle name="Normal 10 2 10 16 4 10" xfId="2519" xr:uid="{00000000-0005-0000-0000-0000C4090000}"/>
    <cellStyle name="Normal 10 2 10 16 4 2" xfId="2520" xr:uid="{00000000-0005-0000-0000-0000C5090000}"/>
    <cellStyle name="Normal 10 2 10 16 4 3" xfId="2521" xr:uid="{00000000-0005-0000-0000-0000C6090000}"/>
    <cellStyle name="Normal 10 2 10 16 4 4" xfId="2522" xr:uid="{00000000-0005-0000-0000-0000C7090000}"/>
    <cellStyle name="Normal 10 2 10 16 4 5" xfId="2523" xr:uid="{00000000-0005-0000-0000-0000C8090000}"/>
    <cellStyle name="Normal 10 2 10 16 4 6" xfId="2524" xr:uid="{00000000-0005-0000-0000-0000C9090000}"/>
    <cellStyle name="Normal 10 2 10 16 4 7" xfId="2525" xr:uid="{00000000-0005-0000-0000-0000CA090000}"/>
    <cellStyle name="Normal 10 2 10 16 4 8" xfId="2526" xr:uid="{00000000-0005-0000-0000-0000CB090000}"/>
    <cellStyle name="Normal 10 2 10 16 4 9" xfId="2527" xr:uid="{00000000-0005-0000-0000-0000CC090000}"/>
    <cellStyle name="Normal 10 2 10 16 5" xfId="2528" xr:uid="{00000000-0005-0000-0000-0000CD090000}"/>
    <cellStyle name="Normal 10 2 10 16 5 10" xfId="2529" xr:uid="{00000000-0005-0000-0000-0000CE090000}"/>
    <cellStyle name="Normal 10 2 10 16 5 2" xfId="2530" xr:uid="{00000000-0005-0000-0000-0000CF090000}"/>
    <cellStyle name="Normal 10 2 10 16 5 3" xfId="2531" xr:uid="{00000000-0005-0000-0000-0000D0090000}"/>
    <cellStyle name="Normal 10 2 10 16 5 4" xfId="2532" xr:uid="{00000000-0005-0000-0000-0000D1090000}"/>
    <cellStyle name="Normal 10 2 10 16 5 5" xfId="2533" xr:uid="{00000000-0005-0000-0000-0000D2090000}"/>
    <cellStyle name="Normal 10 2 10 16 5 6" xfId="2534" xr:uid="{00000000-0005-0000-0000-0000D3090000}"/>
    <cellStyle name="Normal 10 2 10 16 5 7" xfId="2535" xr:uid="{00000000-0005-0000-0000-0000D4090000}"/>
    <cellStyle name="Normal 10 2 10 16 5 8" xfId="2536" xr:uid="{00000000-0005-0000-0000-0000D5090000}"/>
    <cellStyle name="Normal 10 2 10 16 5 9" xfId="2537" xr:uid="{00000000-0005-0000-0000-0000D6090000}"/>
    <cellStyle name="Normal 10 2 10 16 6" xfId="2538" xr:uid="{00000000-0005-0000-0000-0000D7090000}"/>
    <cellStyle name="Normal 10 2 10 16 7" xfId="2539" xr:uid="{00000000-0005-0000-0000-0000D8090000}"/>
    <cellStyle name="Normal 10 2 10 16 8" xfId="2540" xr:uid="{00000000-0005-0000-0000-0000D9090000}"/>
    <cellStyle name="Normal 10 2 10 16 9" xfId="2541" xr:uid="{00000000-0005-0000-0000-0000DA090000}"/>
    <cellStyle name="Normal 10 2 10 17" xfId="2542" xr:uid="{00000000-0005-0000-0000-0000DB090000}"/>
    <cellStyle name="Normal 10 2 10 17 10" xfId="2543" xr:uid="{00000000-0005-0000-0000-0000DC090000}"/>
    <cellStyle name="Normal 10 2 10 17 11" xfId="2544" xr:uid="{00000000-0005-0000-0000-0000DD090000}"/>
    <cellStyle name="Normal 10 2 10 17 12" xfId="2545" xr:uid="{00000000-0005-0000-0000-0000DE090000}"/>
    <cellStyle name="Normal 10 2 10 17 13" xfId="2546" xr:uid="{00000000-0005-0000-0000-0000DF090000}"/>
    <cellStyle name="Normal 10 2 10 17 14" xfId="2547" xr:uid="{00000000-0005-0000-0000-0000E0090000}"/>
    <cellStyle name="Normal 10 2 10 17 2" xfId="2548" xr:uid="{00000000-0005-0000-0000-0000E1090000}"/>
    <cellStyle name="Normal 10 2 10 17 2 10" xfId="2549" xr:uid="{00000000-0005-0000-0000-0000E2090000}"/>
    <cellStyle name="Normal 10 2 10 17 2 2" xfId="2550" xr:uid="{00000000-0005-0000-0000-0000E3090000}"/>
    <cellStyle name="Normal 10 2 10 17 2 3" xfId="2551" xr:uid="{00000000-0005-0000-0000-0000E4090000}"/>
    <cellStyle name="Normal 10 2 10 17 2 4" xfId="2552" xr:uid="{00000000-0005-0000-0000-0000E5090000}"/>
    <cellStyle name="Normal 10 2 10 17 2 5" xfId="2553" xr:uid="{00000000-0005-0000-0000-0000E6090000}"/>
    <cellStyle name="Normal 10 2 10 17 2 6" xfId="2554" xr:uid="{00000000-0005-0000-0000-0000E7090000}"/>
    <cellStyle name="Normal 10 2 10 17 2 7" xfId="2555" xr:uid="{00000000-0005-0000-0000-0000E8090000}"/>
    <cellStyle name="Normal 10 2 10 17 2 8" xfId="2556" xr:uid="{00000000-0005-0000-0000-0000E9090000}"/>
    <cellStyle name="Normal 10 2 10 17 2 9" xfId="2557" xr:uid="{00000000-0005-0000-0000-0000EA090000}"/>
    <cellStyle name="Normal 10 2 10 17 3" xfId="2558" xr:uid="{00000000-0005-0000-0000-0000EB090000}"/>
    <cellStyle name="Normal 10 2 10 17 3 10" xfId="2559" xr:uid="{00000000-0005-0000-0000-0000EC090000}"/>
    <cellStyle name="Normal 10 2 10 17 3 2" xfId="2560" xr:uid="{00000000-0005-0000-0000-0000ED090000}"/>
    <cellStyle name="Normal 10 2 10 17 3 3" xfId="2561" xr:uid="{00000000-0005-0000-0000-0000EE090000}"/>
    <cellStyle name="Normal 10 2 10 17 3 4" xfId="2562" xr:uid="{00000000-0005-0000-0000-0000EF090000}"/>
    <cellStyle name="Normal 10 2 10 17 3 5" xfId="2563" xr:uid="{00000000-0005-0000-0000-0000F0090000}"/>
    <cellStyle name="Normal 10 2 10 17 3 6" xfId="2564" xr:uid="{00000000-0005-0000-0000-0000F1090000}"/>
    <cellStyle name="Normal 10 2 10 17 3 7" xfId="2565" xr:uid="{00000000-0005-0000-0000-0000F2090000}"/>
    <cellStyle name="Normal 10 2 10 17 3 8" xfId="2566" xr:uid="{00000000-0005-0000-0000-0000F3090000}"/>
    <cellStyle name="Normal 10 2 10 17 3 9" xfId="2567" xr:uid="{00000000-0005-0000-0000-0000F4090000}"/>
    <cellStyle name="Normal 10 2 10 17 4" xfId="2568" xr:uid="{00000000-0005-0000-0000-0000F5090000}"/>
    <cellStyle name="Normal 10 2 10 17 4 10" xfId="2569" xr:uid="{00000000-0005-0000-0000-0000F6090000}"/>
    <cellStyle name="Normal 10 2 10 17 4 2" xfId="2570" xr:uid="{00000000-0005-0000-0000-0000F7090000}"/>
    <cellStyle name="Normal 10 2 10 17 4 3" xfId="2571" xr:uid="{00000000-0005-0000-0000-0000F8090000}"/>
    <cellStyle name="Normal 10 2 10 17 4 4" xfId="2572" xr:uid="{00000000-0005-0000-0000-0000F9090000}"/>
    <cellStyle name="Normal 10 2 10 17 4 5" xfId="2573" xr:uid="{00000000-0005-0000-0000-0000FA090000}"/>
    <cellStyle name="Normal 10 2 10 17 4 6" xfId="2574" xr:uid="{00000000-0005-0000-0000-0000FB090000}"/>
    <cellStyle name="Normal 10 2 10 17 4 7" xfId="2575" xr:uid="{00000000-0005-0000-0000-0000FC090000}"/>
    <cellStyle name="Normal 10 2 10 17 4 8" xfId="2576" xr:uid="{00000000-0005-0000-0000-0000FD090000}"/>
    <cellStyle name="Normal 10 2 10 17 4 9" xfId="2577" xr:uid="{00000000-0005-0000-0000-0000FE090000}"/>
    <cellStyle name="Normal 10 2 10 17 5" xfId="2578" xr:uid="{00000000-0005-0000-0000-0000FF090000}"/>
    <cellStyle name="Normal 10 2 10 17 5 10" xfId="2579" xr:uid="{00000000-0005-0000-0000-0000000A0000}"/>
    <cellStyle name="Normal 10 2 10 17 5 2" xfId="2580" xr:uid="{00000000-0005-0000-0000-0000010A0000}"/>
    <cellStyle name="Normal 10 2 10 17 5 3" xfId="2581" xr:uid="{00000000-0005-0000-0000-0000020A0000}"/>
    <cellStyle name="Normal 10 2 10 17 5 4" xfId="2582" xr:uid="{00000000-0005-0000-0000-0000030A0000}"/>
    <cellStyle name="Normal 10 2 10 17 5 5" xfId="2583" xr:uid="{00000000-0005-0000-0000-0000040A0000}"/>
    <cellStyle name="Normal 10 2 10 17 5 6" xfId="2584" xr:uid="{00000000-0005-0000-0000-0000050A0000}"/>
    <cellStyle name="Normal 10 2 10 17 5 7" xfId="2585" xr:uid="{00000000-0005-0000-0000-0000060A0000}"/>
    <cellStyle name="Normal 10 2 10 17 5 8" xfId="2586" xr:uid="{00000000-0005-0000-0000-0000070A0000}"/>
    <cellStyle name="Normal 10 2 10 17 5 9" xfId="2587" xr:uid="{00000000-0005-0000-0000-0000080A0000}"/>
    <cellStyle name="Normal 10 2 10 17 6" xfId="2588" xr:uid="{00000000-0005-0000-0000-0000090A0000}"/>
    <cellStyle name="Normal 10 2 10 17 7" xfId="2589" xr:uid="{00000000-0005-0000-0000-00000A0A0000}"/>
    <cellStyle name="Normal 10 2 10 17 8" xfId="2590" xr:uid="{00000000-0005-0000-0000-00000B0A0000}"/>
    <cellStyle name="Normal 10 2 10 17 9" xfId="2591" xr:uid="{00000000-0005-0000-0000-00000C0A0000}"/>
    <cellStyle name="Normal 10 2 10 18" xfId="2592" xr:uid="{00000000-0005-0000-0000-00000D0A0000}"/>
    <cellStyle name="Normal 10 2 10 18 10" xfId="2593" xr:uid="{00000000-0005-0000-0000-00000E0A0000}"/>
    <cellStyle name="Normal 10 2 10 18 11" xfId="2594" xr:uid="{00000000-0005-0000-0000-00000F0A0000}"/>
    <cellStyle name="Normal 10 2 10 18 12" xfId="2595" xr:uid="{00000000-0005-0000-0000-0000100A0000}"/>
    <cellStyle name="Normal 10 2 10 18 13" xfId="2596" xr:uid="{00000000-0005-0000-0000-0000110A0000}"/>
    <cellStyle name="Normal 10 2 10 18 14" xfId="2597" xr:uid="{00000000-0005-0000-0000-0000120A0000}"/>
    <cellStyle name="Normal 10 2 10 18 2" xfId="2598" xr:uid="{00000000-0005-0000-0000-0000130A0000}"/>
    <cellStyle name="Normal 10 2 10 18 2 10" xfId="2599" xr:uid="{00000000-0005-0000-0000-0000140A0000}"/>
    <cellStyle name="Normal 10 2 10 18 2 2" xfId="2600" xr:uid="{00000000-0005-0000-0000-0000150A0000}"/>
    <cellStyle name="Normal 10 2 10 18 2 3" xfId="2601" xr:uid="{00000000-0005-0000-0000-0000160A0000}"/>
    <cellStyle name="Normal 10 2 10 18 2 4" xfId="2602" xr:uid="{00000000-0005-0000-0000-0000170A0000}"/>
    <cellStyle name="Normal 10 2 10 18 2 5" xfId="2603" xr:uid="{00000000-0005-0000-0000-0000180A0000}"/>
    <cellStyle name="Normal 10 2 10 18 2 6" xfId="2604" xr:uid="{00000000-0005-0000-0000-0000190A0000}"/>
    <cellStyle name="Normal 10 2 10 18 2 7" xfId="2605" xr:uid="{00000000-0005-0000-0000-00001A0A0000}"/>
    <cellStyle name="Normal 10 2 10 18 2 8" xfId="2606" xr:uid="{00000000-0005-0000-0000-00001B0A0000}"/>
    <cellStyle name="Normal 10 2 10 18 2 9" xfId="2607" xr:uid="{00000000-0005-0000-0000-00001C0A0000}"/>
    <cellStyle name="Normal 10 2 10 18 3" xfId="2608" xr:uid="{00000000-0005-0000-0000-00001D0A0000}"/>
    <cellStyle name="Normal 10 2 10 18 3 10" xfId="2609" xr:uid="{00000000-0005-0000-0000-00001E0A0000}"/>
    <cellStyle name="Normal 10 2 10 18 3 2" xfId="2610" xr:uid="{00000000-0005-0000-0000-00001F0A0000}"/>
    <cellStyle name="Normal 10 2 10 18 3 3" xfId="2611" xr:uid="{00000000-0005-0000-0000-0000200A0000}"/>
    <cellStyle name="Normal 10 2 10 18 3 4" xfId="2612" xr:uid="{00000000-0005-0000-0000-0000210A0000}"/>
    <cellStyle name="Normal 10 2 10 18 3 5" xfId="2613" xr:uid="{00000000-0005-0000-0000-0000220A0000}"/>
    <cellStyle name="Normal 10 2 10 18 3 6" xfId="2614" xr:uid="{00000000-0005-0000-0000-0000230A0000}"/>
    <cellStyle name="Normal 10 2 10 18 3 7" xfId="2615" xr:uid="{00000000-0005-0000-0000-0000240A0000}"/>
    <cellStyle name="Normal 10 2 10 18 3 8" xfId="2616" xr:uid="{00000000-0005-0000-0000-0000250A0000}"/>
    <cellStyle name="Normal 10 2 10 18 3 9" xfId="2617" xr:uid="{00000000-0005-0000-0000-0000260A0000}"/>
    <cellStyle name="Normal 10 2 10 18 4" xfId="2618" xr:uid="{00000000-0005-0000-0000-0000270A0000}"/>
    <cellStyle name="Normal 10 2 10 18 4 10" xfId="2619" xr:uid="{00000000-0005-0000-0000-0000280A0000}"/>
    <cellStyle name="Normal 10 2 10 18 4 2" xfId="2620" xr:uid="{00000000-0005-0000-0000-0000290A0000}"/>
    <cellStyle name="Normal 10 2 10 18 4 3" xfId="2621" xr:uid="{00000000-0005-0000-0000-00002A0A0000}"/>
    <cellStyle name="Normal 10 2 10 18 4 4" xfId="2622" xr:uid="{00000000-0005-0000-0000-00002B0A0000}"/>
    <cellStyle name="Normal 10 2 10 18 4 5" xfId="2623" xr:uid="{00000000-0005-0000-0000-00002C0A0000}"/>
    <cellStyle name="Normal 10 2 10 18 4 6" xfId="2624" xr:uid="{00000000-0005-0000-0000-00002D0A0000}"/>
    <cellStyle name="Normal 10 2 10 18 4 7" xfId="2625" xr:uid="{00000000-0005-0000-0000-00002E0A0000}"/>
    <cellStyle name="Normal 10 2 10 18 4 8" xfId="2626" xr:uid="{00000000-0005-0000-0000-00002F0A0000}"/>
    <cellStyle name="Normal 10 2 10 18 4 9" xfId="2627" xr:uid="{00000000-0005-0000-0000-0000300A0000}"/>
    <cellStyle name="Normal 10 2 10 18 5" xfId="2628" xr:uid="{00000000-0005-0000-0000-0000310A0000}"/>
    <cellStyle name="Normal 10 2 10 18 5 10" xfId="2629" xr:uid="{00000000-0005-0000-0000-0000320A0000}"/>
    <cellStyle name="Normal 10 2 10 18 5 2" xfId="2630" xr:uid="{00000000-0005-0000-0000-0000330A0000}"/>
    <cellStyle name="Normal 10 2 10 18 5 3" xfId="2631" xr:uid="{00000000-0005-0000-0000-0000340A0000}"/>
    <cellStyle name="Normal 10 2 10 18 5 4" xfId="2632" xr:uid="{00000000-0005-0000-0000-0000350A0000}"/>
    <cellStyle name="Normal 10 2 10 18 5 5" xfId="2633" xr:uid="{00000000-0005-0000-0000-0000360A0000}"/>
    <cellStyle name="Normal 10 2 10 18 5 6" xfId="2634" xr:uid="{00000000-0005-0000-0000-0000370A0000}"/>
    <cellStyle name="Normal 10 2 10 18 5 7" xfId="2635" xr:uid="{00000000-0005-0000-0000-0000380A0000}"/>
    <cellStyle name="Normal 10 2 10 18 5 8" xfId="2636" xr:uid="{00000000-0005-0000-0000-0000390A0000}"/>
    <cellStyle name="Normal 10 2 10 18 5 9" xfId="2637" xr:uid="{00000000-0005-0000-0000-00003A0A0000}"/>
    <cellStyle name="Normal 10 2 10 18 6" xfId="2638" xr:uid="{00000000-0005-0000-0000-00003B0A0000}"/>
    <cellStyle name="Normal 10 2 10 18 7" xfId="2639" xr:uid="{00000000-0005-0000-0000-00003C0A0000}"/>
    <cellStyle name="Normal 10 2 10 18 8" xfId="2640" xr:uid="{00000000-0005-0000-0000-00003D0A0000}"/>
    <cellStyle name="Normal 10 2 10 18 9" xfId="2641" xr:uid="{00000000-0005-0000-0000-00003E0A0000}"/>
    <cellStyle name="Normal 10 2 10 19" xfId="2642" xr:uid="{00000000-0005-0000-0000-00003F0A0000}"/>
    <cellStyle name="Normal 10 2 10 19 10" xfId="2643" xr:uid="{00000000-0005-0000-0000-0000400A0000}"/>
    <cellStyle name="Normal 10 2 10 19 11" xfId="2644" xr:uid="{00000000-0005-0000-0000-0000410A0000}"/>
    <cellStyle name="Normal 10 2 10 19 12" xfId="2645" xr:uid="{00000000-0005-0000-0000-0000420A0000}"/>
    <cellStyle name="Normal 10 2 10 19 13" xfId="2646" xr:uid="{00000000-0005-0000-0000-0000430A0000}"/>
    <cellStyle name="Normal 10 2 10 19 14" xfId="2647" xr:uid="{00000000-0005-0000-0000-0000440A0000}"/>
    <cellStyle name="Normal 10 2 10 19 2" xfId="2648" xr:uid="{00000000-0005-0000-0000-0000450A0000}"/>
    <cellStyle name="Normal 10 2 10 19 2 10" xfId="2649" xr:uid="{00000000-0005-0000-0000-0000460A0000}"/>
    <cellStyle name="Normal 10 2 10 19 2 2" xfId="2650" xr:uid="{00000000-0005-0000-0000-0000470A0000}"/>
    <cellStyle name="Normal 10 2 10 19 2 3" xfId="2651" xr:uid="{00000000-0005-0000-0000-0000480A0000}"/>
    <cellStyle name="Normal 10 2 10 19 2 4" xfId="2652" xr:uid="{00000000-0005-0000-0000-0000490A0000}"/>
    <cellStyle name="Normal 10 2 10 19 2 5" xfId="2653" xr:uid="{00000000-0005-0000-0000-00004A0A0000}"/>
    <cellStyle name="Normal 10 2 10 19 2 6" xfId="2654" xr:uid="{00000000-0005-0000-0000-00004B0A0000}"/>
    <cellStyle name="Normal 10 2 10 19 2 7" xfId="2655" xr:uid="{00000000-0005-0000-0000-00004C0A0000}"/>
    <cellStyle name="Normal 10 2 10 19 2 8" xfId="2656" xr:uid="{00000000-0005-0000-0000-00004D0A0000}"/>
    <cellStyle name="Normal 10 2 10 19 2 9" xfId="2657" xr:uid="{00000000-0005-0000-0000-00004E0A0000}"/>
    <cellStyle name="Normal 10 2 10 19 3" xfId="2658" xr:uid="{00000000-0005-0000-0000-00004F0A0000}"/>
    <cellStyle name="Normal 10 2 10 19 3 10" xfId="2659" xr:uid="{00000000-0005-0000-0000-0000500A0000}"/>
    <cellStyle name="Normal 10 2 10 19 3 2" xfId="2660" xr:uid="{00000000-0005-0000-0000-0000510A0000}"/>
    <cellStyle name="Normal 10 2 10 19 3 3" xfId="2661" xr:uid="{00000000-0005-0000-0000-0000520A0000}"/>
    <cellStyle name="Normal 10 2 10 19 3 4" xfId="2662" xr:uid="{00000000-0005-0000-0000-0000530A0000}"/>
    <cellStyle name="Normal 10 2 10 19 3 5" xfId="2663" xr:uid="{00000000-0005-0000-0000-0000540A0000}"/>
    <cellStyle name="Normal 10 2 10 19 3 6" xfId="2664" xr:uid="{00000000-0005-0000-0000-0000550A0000}"/>
    <cellStyle name="Normal 10 2 10 19 3 7" xfId="2665" xr:uid="{00000000-0005-0000-0000-0000560A0000}"/>
    <cellStyle name="Normal 10 2 10 19 3 8" xfId="2666" xr:uid="{00000000-0005-0000-0000-0000570A0000}"/>
    <cellStyle name="Normal 10 2 10 19 3 9" xfId="2667" xr:uid="{00000000-0005-0000-0000-0000580A0000}"/>
    <cellStyle name="Normal 10 2 10 19 4" xfId="2668" xr:uid="{00000000-0005-0000-0000-0000590A0000}"/>
    <cellStyle name="Normal 10 2 10 19 4 10" xfId="2669" xr:uid="{00000000-0005-0000-0000-00005A0A0000}"/>
    <cellStyle name="Normal 10 2 10 19 4 2" xfId="2670" xr:uid="{00000000-0005-0000-0000-00005B0A0000}"/>
    <cellStyle name="Normal 10 2 10 19 4 3" xfId="2671" xr:uid="{00000000-0005-0000-0000-00005C0A0000}"/>
    <cellStyle name="Normal 10 2 10 19 4 4" xfId="2672" xr:uid="{00000000-0005-0000-0000-00005D0A0000}"/>
    <cellStyle name="Normal 10 2 10 19 4 5" xfId="2673" xr:uid="{00000000-0005-0000-0000-00005E0A0000}"/>
    <cellStyle name="Normal 10 2 10 19 4 6" xfId="2674" xr:uid="{00000000-0005-0000-0000-00005F0A0000}"/>
    <cellStyle name="Normal 10 2 10 19 4 7" xfId="2675" xr:uid="{00000000-0005-0000-0000-0000600A0000}"/>
    <cellStyle name="Normal 10 2 10 19 4 8" xfId="2676" xr:uid="{00000000-0005-0000-0000-0000610A0000}"/>
    <cellStyle name="Normal 10 2 10 19 4 9" xfId="2677" xr:uid="{00000000-0005-0000-0000-0000620A0000}"/>
    <cellStyle name="Normal 10 2 10 19 5" xfId="2678" xr:uid="{00000000-0005-0000-0000-0000630A0000}"/>
    <cellStyle name="Normal 10 2 10 19 5 10" xfId="2679" xr:uid="{00000000-0005-0000-0000-0000640A0000}"/>
    <cellStyle name="Normal 10 2 10 19 5 2" xfId="2680" xr:uid="{00000000-0005-0000-0000-0000650A0000}"/>
    <cellStyle name="Normal 10 2 10 19 5 3" xfId="2681" xr:uid="{00000000-0005-0000-0000-0000660A0000}"/>
    <cellStyle name="Normal 10 2 10 19 5 4" xfId="2682" xr:uid="{00000000-0005-0000-0000-0000670A0000}"/>
    <cellStyle name="Normal 10 2 10 19 5 5" xfId="2683" xr:uid="{00000000-0005-0000-0000-0000680A0000}"/>
    <cellStyle name="Normal 10 2 10 19 5 6" xfId="2684" xr:uid="{00000000-0005-0000-0000-0000690A0000}"/>
    <cellStyle name="Normal 10 2 10 19 5 7" xfId="2685" xr:uid="{00000000-0005-0000-0000-00006A0A0000}"/>
    <cellStyle name="Normal 10 2 10 19 5 8" xfId="2686" xr:uid="{00000000-0005-0000-0000-00006B0A0000}"/>
    <cellStyle name="Normal 10 2 10 19 5 9" xfId="2687" xr:uid="{00000000-0005-0000-0000-00006C0A0000}"/>
    <cellStyle name="Normal 10 2 10 19 6" xfId="2688" xr:uid="{00000000-0005-0000-0000-00006D0A0000}"/>
    <cellStyle name="Normal 10 2 10 19 7" xfId="2689" xr:uid="{00000000-0005-0000-0000-00006E0A0000}"/>
    <cellStyle name="Normal 10 2 10 19 8" xfId="2690" xr:uid="{00000000-0005-0000-0000-00006F0A0000}"/>
    <cellStyle name="Normal 10 2 10 19 9" xfId="2691" xr:uid="{00000000-0005-0000-0000-0000700A0000}"/>
    <cellStyle name="Normal 10 2 10 2" xfId="2692" xr:uid="{00000000-0005-0000-0000-0000710A0000}"/>
    <cellStyle name="Normal 10 2 10 2 10" xfId="2693" xr:uid="{00000000-0005-0000-0000-0000720A0000}"/>
    <cellStyle name="Normal 10 2 10 2 10 10" xfId="2694" xr:uid="{00000000-0005-0000-0000-0000730A0000}"/>
    <cellStyle name="Normal 10 2 10 2 10 11" xfId="2695" xr:uid="{00000000-0005-0000-0000-0000740A0000}"/>
    <cellStyle name="Normal 10 2 10 2 10 12" xfId="2696" xr:uid="{00000000-0005-0000-0000-0000750A0000}"/>
    <cellStyle name="Normal 10 2 10 2 10 13" xfId="2697" xr:uid="{00000000-0005-0000-0000-0000760A0000}"/>
    <cellStyle name="Normal 10 2 10 2 10 14" xfId="2698" xr:uid="{00000000-0005-0000-0000-0000770A0000}"/>
    <cellStyle name="Normal 10 2 10 2 10 2" xfId="2699" xr:uid="{00000000-0005-0000-0000-0000780A0000}"/>
    <cellStyle name="Normal 10 2 10 2 10 2 10" xfId="2700" xr:uid="{00000000-0005-0000-0000-0000790A0000}"/>
    <cellStyle name="Normal 10 2 10 2 10 2 2" xfId="2701" xr:uid="{00000000-0005-0000-0000-00007A0A0000}"/>
    <cellStyle name="Normal 10 2 10 2 10 2 3" xfId="2702" xr:uid="{00000000-0005-0000-0000-00007B0A0000}"/>
    <cellStyle name="Normal 10 2 10 2 10 2 4" xfId="2703" xr:uid="{00000000-0005-0000-0000-00007C0A0000}"/>
    <cellStyle name="Normal 10 2 10 2 10 2 5" xfId="2704" xr:uid="{00000000-0005-0000-0000-00007D0A0000}"/>
    <cellStyle name="Normal 10 2 10 2 10 2 6" xfId="2705" xr:uid="{00000000-0005-0000-0000-00007E0A0000}"/>
    <cellStyle name="Normal 10 2 10 2 10 2 7" xfId="2706" xr:uid="{00000000-0005-0000-0000-00007F0A0000}"/>
    <cellStyle name="Normal 10 2 10 2 10 2 8" xfId="2707" xr:uid="{00000000-0005-0000-0000-0000800A0000}"/>
    <cellStyle name="Normal 10 2 10 2 10 2 9" xfId="2708" xr:uid="{00000000-0005-0000-0000-0000810A0000}"/>
    <cellStyle name="Normal 10 2 10 2 10 3" xfId="2709" xr:uid="{00000000-0005-0000-0000-0000820A0000}"/>
    <cellStyle name="Normal 10 2 10 2 10 3 10" xfId="2710" xr:uid="{00000000-0005-0000-0000-0000830A0000}"/>
    <cellStyle name="Normal 10 2 10 2 10 3 2" xfId="2711" xr:uid="{00000000-0005-0000-0000-0000840A0000}"/>
    <cellStyle name="Normal 10 2 10 2 10 3 3" xfId="2712" xr:uid="{00000000-0005-0000-0000-0000850A0000}"/>
    <cellStyle name="Normal 10 2 10 2 10 3 4" xfId="2713" xr:uid="{00000000-0005-0000-0000-0000860A0000}"/>
    <cellStyle name="Normal 10 2 10 2 10 3 5" xfId="2714" xr:uid="{00000000-0005-0000-0000-0000870A0000}"/>
    <cellStyle name="Normal 10 2 10 2 10 3 6" xfId="2715" xr:uid="{00000000-0005-0000-0000-0000880A0000}"/>
    <cellStyle name="Normal 10 2 10 2 10 3 7" xfId="2716" xr:uid="{00000000-0005-0000-0000-0000890A0000}"/>
    <cellStyle name="Normal 10 2 10 2 10 3 8" xfId="2717" xr:uid="{00000000-0005-0000-0000-00008A0A0000}"/>
    <cellStyle name="Normal 10 2 10 2 10 3 9" xfId="2718" xr:uid="{00000000-0005-0000-0000-00008B0A0000}"/>
    <cellStyle name="Normal 10 2 10 2 10 4" xfId="2719" xr:uid="{00000000-0005-0000-0000-00008C0A0000}"/>
    <cellStyle name="Normal 10 2 10 2 10 4 10" xfId="2720" xr:uid="{00000000-0005-0000-0000-00008D0A0000}"/>
    <cellStyle name="Normal 10 2 10 2 10 4 2" xfId="2721" xr:uid="{00000000-0005-0000-0000-00008E0A0000}"/>
    <cellStyle name="Normal 10 2 10 2 10 4 3" xfId="2722" xr:uid="{00000000-0005-0000-0000-00008F0A0000}"/>
    <cellStyle name="Normal 10 2 10 2 10 4 4" xfId="2723" xr:uid="{00000000-0005-0000-0000-0000900A0000}"/>
    <cellStyle name="Normal 10 2 10 2 10 4 5" xfId="2724" xr:uid="{00000000-0005-0000-0000-0000910A0000}"/>
    <cellStyle name="Normal 10 2 10 2 10 4 6" xfId="2725" xr:uid="{00000000-0005-0000-0000-0000920A0000}"/>
    <cellStyle name="Normal 10 2 10 2 10 4 7" xfId="2726" xr:uid="{00000000-0005-0000-0000-0000930A0000}"/>
    <cellStyle name="Normal 10 2 10 2 10 4 8" xfId="2727" xr:uid="{00000000-0005-0000-0000-0000940A0000}"/>
    <cellStyle name="Normal 10 2 10 2 10 4 9" xfId="2728" xr:uid="{00000000-0005-0000-0000-0000950A0000}"/>
    <cellStyle name="Normal 10 2 10 2 10 5" xfId="2729" xr:uid="{00000000-0005-0000-0000-0000960A0000}"/>
    <cellStyle name="Normal 10 2 10 2 10 5 10" xfId="2730" xr:uid="{00000000-0005-0000-0000-0000970A0000}"/>
    <cellStyle name="Normal 10 2 10 2 10 5 2" xfId="2731" xr:uid="{00000000-0005-0000-0000-0000980A0000}"/>
    <cellStyle name="Normal 10 2 10 2 10 5 3" xfId="2732" xr:uid="{00000000-0005-0000-0000-0000990A0000}"/>
    <cellStyle name="Normal 10 2 10 2 10 5 4" xfId="2733" xr:uid="{00000000-0005-0000-0000-00009A0A0000}"/>
    <cellStyle name="Normal 10 2 10 2 10 5 5" xfId="2734" xr:uid="{00000000-0005-0000-0000-00009B0A0000}"/>
    <cellStyle name="Normal 10 2 10 2 10 5 6" xfId="2735" xr:uid="{00000000-0005-0000-0000-00009C0A0000}"/>
    <cellStyle name="Normal 10 2 10 2 10 5 7" xfId="2736" xr:uid="{00000000-0005-0000-0000-00009D0A0000}"/>
    <cellStyle name="Normal 10 2 10 2 10 5 8" xfId="2737" xr:uid="{00000000-0005-0000-0000-00009E0A0000}"/>
    <cellStyle name="Normal 10 2 10 2 10 5 9" xfId="2738" xr:uid="{00000000-0005-0000-0000-00009F0A0000}"/>
    <cellStyle name="Normal 10 2 10 2 10 6" xfId="2739" xr:uid="{00000000-0005-0000-0000-0000A00A0000}"/>
    <cellStyle name="Normal 10 2 10 2 10 7" xfId="2740" xr:uid="{00000000-0005-0000-0000-0000A10A0000}"/>
    <cellStyle name="Normal 10 2 10 2 10 8" xfId="2741" xr:uid="{00000000-0005-0000-0000-0000A20A0000}"/>
    <cellStyle name="Normal 10 2 10 2 10 9" xfId="2742" xr:uid="{00000000-0005-0000-0000-0000A30A0000}"/>
    <cellStyle name="Normal 10 2 10 2 11" xfId="2743" xr:uid="{00000000-0005-0000-0000-0000A40A0000}"/>
    <cellStyle name="Normal 10 2 10 2 11 10" xfId="2744" xr:uid="{00000000-0005-0000-0000-0000A50A0000}"/>
    <cellStyle name="Normal 10 2 10 2 11 11" xfId="2745" xr:uid="{00000000-0005-0000-0000-0000A60A0000}"/>
    <cellStyle name="Normal 10 2 10 2 11 12" xfId="2746" xr:uid="{00000000-0005-0000-0000-0000A70A0000}"/>
    <cellStyle name="Normal 10 2 10 2 11 13" xfId="2747" xr:uid="{00000000-0005-0000-0000-0000A80A0000}"/>
    <cellStyle name="Normal 10 2 10 2 11 14" xfId="2748" xr:uid="{00000000-0005-0000-0000-0000A90A0000}"/>
    <cellStyle name="Normal 10 2 10 2 11 2" xfId="2749" xr:uid="{00000000-0005-0000-0000-0000AA0A0000}"/>
    <cellStyle name="Normal 10 2 10 2 11 2 10" xfId="2750" xr:uid="{00000000-0005-0000-0000-0000AB0A0000}"/>
    <cellStyle name="Normal 10 2 10 2 11 2 2" xfId="2751" xr:uid="{00000000-0005-0000-0000-0000AC0A0000}"/>
    <cellStyle name="Normal 10 2 10 2 11 2 3" xfId="2752" xr:uid="{00000000-0005-0000-0000-0000AD0A0000}"/>
    <cellStyle name="Normal 10 2 10 2 11 2 4" xfId="2753" xr:uid="{00000000-0005-0000-0000-0000AE0A0000}"/>
    <cellStyle name="Normal 10 2 10 2 11 2 5" xfId="2754" xr:uid="{00000000-0005-0000-0000-0000AF0A0000}"/>
    <cellStyle name="Normal 10 2 10 2 11 2 6" xfId="2755" xr:uid="{00000000-0005-0000-0000-0000B00A0000}"/>
    <cellStyle name="Normal 10 2 10 2 11 2 7" xfId="2756" xr:uid="{00000000-0005-0000-0000-0000B10A0000}"/>
    <cellStyle name="Normal 10 2 10 2 11 2 8" xfId="2757" xr:uid="{00000000-0005-0000-0000-0000B20A0000}"/>
    <cellStyle name="Normal 10 2 10 2 11 2 9" xfId="2758" xr:uid="{00000000-0005-0000-0000-0000B30A0000}"/>
    <cellStyle name="Normal 10 2 10 2 11 3" xfId="2759" xr:uid="{00000000-0005-0000-0000-0000B40A0000}"/>
    <cellStyle name="Normal 10 2 10 2 11 3 10" xfId="2760" xr:uid="{00000000-0005-0000-0000-0000B50A0000}"/>
    <cellStyle name="Normal 10 2 10 2 11 3 2" xfId="2761" xr:uid="{00000000-0005-0000-0000-0000B60A0000}"/>
    <cellStyle name="Normal 10 2 10 2 11 3 3" xfId="2762" xr:uid="{00000000-0005-0000-0000-0000B70A0000}"/>
    <cellStyle name="Normal 10 2 10 2 11 3 4" xfId="2763" xr:uid="{00000000-0005-0000-0000-0000B80A0000}"/>
    <cellStyle name="Normal 10 2 10 2 11 3 5" xfId="2764" xr:uid="{00000000-0005-0000-0000-0000B90A0000}"/>
    <cellStyle name="Normal 10 2 10 2 11 3 6" xfId="2765" xr:uid="{00000000-0005-0000-0000-0000BA0A0000}"/>
    <cellStyle name="Normal 10 2 10 2 11 3 7" xfId="2766" xr:uid="{00000000-0005-0000-0000-0000BB0A0000}"/>
    <cellStyle name="Normal 10 2 10 2 11 3 8" xfId="2767" xr:uid="{00000000-0005-0000-0000-0000BC0A0000}"/>
    <cellStyle name="Normal 10 2 10 2 11 3 9" xfId="2768" xr:uid="{00000000-0005-0000-0000-0000BD0A0000}"/>
    <cellStyle name="Normal 10 2 10 2 11 4" xfId="2769" xr:uid="{00000000-0005-0000-0000-0000BE0A0000}"/>
    <cellStyle name="Normal 10 2 10 2 11 4 10" xfId="2770" xr:uid="{00000000-0005-0000-0000-0000BF0A0000}"/>
    <cellStyle name="Normal 10 2 10 2 11 4 2" xfId="2771" xr:uid="{00000000-0005-0000-0000-0000C00A0000}"/>
    <cellStyle name="Normal 10 2 10 2 11 4 3" xfId="2772" xr:uid="{00000000-0005-0000-0000-0000C10A0000}"/>
    <cellStyle name="Normal 10 2 10 2 11 4 4" xfId="2773" xr:uid="{00000000-0005-0000-0000-0000C20A0000}"/>
    <cellStyle name="Normal 10 2 10 2 11 4 5" xfId="2774" xr:uid="{00000000-0005-0000-0000-0000C30A0000}"/>
    <cellStyle name="Normal 10 2 10 2 11 4 6" xfId="2775" xr:uid="{00000000-0005-0000-0000-0000C40A0000}"/>
    <cellStyle name="Normal 10 2 10 2 11 4 7" xfId="2776" xr:uid="{00000000-0005-0000-0000-0000C50A0000}"/>
    <cellStyle name="Normal 10 2 10 2 11 4 8" xfId="2777" xr:uid="{00000000-0005-0000-0000-0000C60A0000}"/>
    <cellStyle name="Normal 10 2 10 2 11 4 9" xfId="2778" xr:uid="{00000000-0005-0000-0000-0000C70A0000}"/>
    <cellStyle name="Normal 10 2 10 2 11 5" xfId="2779" xr:uid="{00000000-0005-0000-0000-0000C80A0000}"/>
    <cellStyle name="Normal 10 2 10 2 11 5 10" xfId="2780" xr:uid="{00000000-0005-0000-0000-0000C90A0000}"/>
    <cellStyle name="Normal 10 2 10 2 11 5 2" xfId="2781" xr:uid="{00000000-0005-0000-0000-0000CA0A0000}"/>
    <cellStyle name="Normal 10 2 10 2 11 5 3" xfId="2782" xr:uid="{00000000-0005-0000-0000-0000CB0A0000}"/>
    <cellStyle name="Normal 10 2 10 2 11 5 4" xfId="2783" xr:uid="{00000000-0005-0000-0000-0000CC0A0000}"/>
    <cellStyle name="Normal 10 2 10 2 11 5 5" xfId="2784" xr:uid="{00000000-0005-0000-0000-0000CD0A0000}"/>
    <cellStyle name="Normal 10 2 10 2 11 5 6" xfId="2785" xr:uid="{00000000-0005-0000-0000-0000CE0A0000}"/>
    <cellStyle name="Normal 10 2 10 2 11 5 7" xfId="2786" xr:uid="{00000000-0005-0000-0000-0000CF0A0000}"/>
    <cellStyle name="Normal 10 2 10 2 11 5 8" xfId="2787" xr:uid="{00000000-0005-0000-0000-0000D00A0000}"/>
    <cellStyle name="Normal 10 2 10 2 11 5 9" xfId="2788" xr:uid="{00000000-0005-0000-0000-0000D10A0000}"/>
    <cellStyle name="Normal 10 2 10 2 11 6" xfId="2789" xr:uid="{00000000-0005-0000-0000-0000D20A0000}"/>
    <cellStyle name="Normal 10 2 10 2 11 7" xfId="2790" xr:uid="{00000000-0005-0000-0000-0000D30A0000}"/>
    <cellStyle name="Normal 10 2 10 2 11 8" xfId="2791" xr:uid="{00000000-0005-0000-0000-0000D40A0000}"/>
    <cellStyle name="Normal 10 2 10 2 11 9" xfId="2792" xr:uid="{00000000-0005-0000-0000-0000D50A0000}"/>
    <cellStyle name="Normal 10 2 10 2 12" xfId="2793" xr:uid="{00000000-0005-0000-0000-0000D60A0000}"/>
    <cellStyle name="Normal 10 2 10 2 12 10" xfId="2794" xr:uid="{00000000-0005-0000-0000-0000D70A0000}"/>
    <cellStyle name="Normal 10 2 10 2 12 11" xfId="2795" xr:uid="{00000000-0005-0000-0000-0000D80A0000}"/>
    <cellStyle name="Normal 10 2 10 2 12 12" xfId="2796" xr:uid="{00000000-0005-0000-0000-0000D90A0000}"/>
    <cellStyle name="Normal 10 2 10 2 12 13" xfId="2797" xr:uid="{00000000-0005-0000-0000-0000DA0A0000}"/>
    <cellStyle name="Normal 10 2 10 2 12 14" xfId="2798" xr:uid="{00000000-0005-0000-0000-0000DB0A0000}"/>
    <cellStyle name="Normal 10 2 10 2 12 2" xfId="2799" xr:uid="{00000000-0005-0000-0000-0000DC0A0000}"/>
    <cellStyle name="Normal 10 2 10 2 12 2 10" xfId="2800" xr:uid="{00000000-0005-0000-0000-0000DD0A0000}"/>
    <cellStyle name="Normal 10 2 10 2 12 2 2" xfId="2801" xr:uid="{00000000-0005-0000-0000-0000DE0A0000}"/>
    <cellStyle name="Normal 10 2 10 2 12 2 3" xfId="2802" xr:uid="{00000000-0005-0000-0000-0000DF0A0000}"/>
    <cellStyle name="Normal 10 2 10 2 12 2 4" xfId="2803" xr:uid="{00000000-0005-0000-0000-0000E00A0000}"/>
    <cellStyle name="Normal 10 2 10 2 12 2 5" xfId="2804" xr:uid="{00000000-0005-0000-0000-0000E10A0000}"/>
    <cellStyle name="Normal 10 2 10 2 12 2 6" xfId="2805" xr:uid="{00000000-0005-0000-0000-0000E20A0000}"/>
    <cellStyle name="Normal 10 2 10 2 12 2 7" xfId="2806" xr:uid="{00000000-0005-0000-0000-0000E30A0000}"/>
    <cellStyle name="Normal 10 2 10 2 12 2 8" xfId="2807" xr:uid="{00000000-0005-0000-0000-0000E40A0000}"/>
    <cellStyle name="Normal 10 2 10 2 12 2 9" xfId="2808" xr:uid="{00000000-0005-0000-0000-0000E50A0000}"/>
    <cellStyle name="Normal 10 2 10 2 12 3" xfId="2809" xr:uid="{00000000-0005-0000-0000-0000E60A0000}"/>
    <cellStyle name="Normal 10 2 10 2 12 3 10" xfId="2810" xr:uid="{00000000-0005-0000-0000-0000E70A0000}"/>
    <cellStyle name="Normal 10 2 10 2 12 3 2" xfId="2811" xr:uid="{00000000-0005-0000-0000-0000E80A0000}"/>
    <cellStyle name="Normal 10 2 10 2 12 3 3" xfId="2812" xr:uid="{00000000-0005-0000-0000-0000E90A0000}"/>
    <cellStyle name="Normal 10 2 10 2 12 3 4" xfId="2813" xr:uid="{00000000-0005-0000-0000-0000EA0A0000}"/>
    <cellStyle name="Normal 10 2 10 2 12 3 5" xfId="2814" xr:uid="{00000000-0005-0000-0000-0000EB0A0000}"/>
    <cellStyle name="Normal 10 2 10 2 12 3 6" xfId="2815" xr:uid="{00000000-0005-0000-0000-0000EC0A0000}"/>
    <cellStyle name="Normal 10 2 10 2 12 3 7" xfId="2816" xr:uid="{00000000-0005-0000-0000-0000ED0A0000}"/>
    <cellStyle name="Normal 10 2 10 2 12 3 8" xfId="2817" xr:uid="{00000000-0005-0000-0000-0000EE0A0000}"/>
    <cellStyle name="Normal 10 2 10 2 12 3 9" xfId="2818" xr:uid="{00000000-0005-0000-0000-0000EF0A0000}"/>
    <cellStyle name="Normal 10 2 10 2 12 4" xfId="2819" xr:uid="{00000000-0005-0000-0000-0000F00A0000}"/>
    <cellStyle name="Normal 10 2 10 2 12 4 10" xfId="2820" xr:uid="{00000000-0005-0000-0000-0000F10A0000}"/>
    <cellStyle name="Normal 10 2 10 2 12 4 2" xfId="2821" xr:uid="{00000000-0005-0000-0000-0000F20A0000}"/>
    <cellStyle name="Normal 10 2 10 2 12 4 3" xfId="2822" xr:uid="{00000000-0005-0000-0000-0000F30A0000}"/>
    <cellStyle name="Normal 10 2 10 2 12 4 4" xfId="2823" xr:uid="{00000000-0005-0000-0000-0000F40A0000}"/>
    <cellStyle name="Normal 10 2 10 2 12 4 5" xfId="2824" xr:uid="{00000000-0005-0000-0000-0000F50A0000}"/>
    <cellStyle name="Normal 10 2 10 2 12 4 6" xfId="2825" xr:uid="{00000000-0005-0000-0000-0000F60A0000}"/>
    <cellStyle name="Normal 10 2 10 2 12 4 7" xfId="2826" xr:uid="{00000000-0005-0000-0000-0000F70A0000}"/>
    <cellStyle name="Normal 10 2 10 2 12 4 8" xfId="2827" xr:uid="{00000000-0005-0000-0000-0000F80A0000}"/>
    <cellStyle name="Normal 10 2 10 2 12 4 9" xfId="2828" xr:uid="{00000000-0005-0000-0000-0000F90A0000}"/>
    <cellStyle name="Normal 10 2 10 2 12 5" xfId="2829" xr:uid="{00000000-0005-0000-0000-0000FA0A0000}"/>
    <cellStyle name="Normal 10 2 10 2 12 5 10" xfId="2830" xr:uid="{00000000-0005-0000-0000-0000FB0A0000}"/>
    <cellStyle name="Normal 10 2 10 2 12 5 2" xfId="2831" xr:uid="{00000000-0005-0000-0000-0000FC0A0000}"/>
    <cellStyle name="Normal 10 2 10 2 12 5 3" xfId="2832" xr:uid="{00000000-0005-0000-0000-0000FD0A0000}"/>
    <cellStyle name="Normal 10 2 10 2 12 5 4" xfId="2833" xr:uid="{00000000-0005-0000-0000-0000FE0A0000}"/>
    <cellStyle name="Normal 10 2 10 2 12 5 5" xfId="2834" xr:uid="{00000000-0005-0000-0000-0000FF0A0000}"/>
    <cellStyle name="Normal 10 2 10 2 12 5 6" xfId="2835" xr:uid="{00000000-0005-0000-0000-0000000B0000}"/>
    <cellStyle name="Normal 10 2 10 2 12 5 7" xfId="2836" xr:uid="{00000000-0005-0000-0000-0000010B0000}"/>
    <cellStyle name="Normal 10 2 10 2 12 5 8" xfId="2837" xr:uid="{00000000-0005-0000-0000-0000020B0000}"/>
    <cellStyle name="Normal 10 2 10 2 12 5 9" xfId="2838" xr:uid="{00000000-0005-0000-0000-0000030B0000}"/>
    <cellStyle name="Normal 10 2 10 2 12 6" xfId="2839" xr:uid="{00000000-0005-0000-0000-0000040B0000}"/>
    <cellStyle name="Normal 10 2 10 2 12 7" xfId="2840" xr:uid="{00000000-0005-0000-0000-0000050B0000}"/>
    <cellStyle name="Normal 10 2 10 2 12 8" xfId="2841" xr:uid="{00000000-0005-0000-0000-0000060B0000}"/>
    <cellStyle name="Normal 10 2 10 2 12 9" xfId="2842" xr:uid="{00000000-0005-0000-0000-0000070B0000}"/>
    <cellStyle name="Normal 10 2 10 2 13" xfId="2843" xr:uid="{00000000-0005-0000-0000-0000080B0000}"/>
    <cellStyle name="Normal 10 2 10 2 13 10" xfId="2844" xr:uid="{00000000-0005-0000-0000-0000090B0000}"/>
    <cellStyle name="Normal 10 2 10 2 13 11" xfId="2845" xr:uid="{00000000-0005-0000-0000-00000A0B0000}"/>
    <cellStyle name="Normal 10 2 10 2 13 12" xfId="2846" xr:uid="{00000000-0005-0000-0000-00000B0B0000}"/>
    <cellStyle name="Normal 10 2 10 2 13 13" xfId="2847" xr:uid="{00000000-0005-0000-0000-00000C0B0000}"/>
    <cellStyle name="Normal 10 2 10 2 13 14" xfId="2848" xr:uid="{00000000-0005-0000-0000-00000D0B0000}"/>
    <cellStyle name="Normal 10 2 10 2 13 2" xfId="2849" xr:uid="{00000000-0005-0000-0000-00000E0B0000}"/>
    <cellStyle name="Normal 10 2 10 2 13 2 10" xfId="2850" xr:uid="{00000000-0005-0000-0000-00000F0B0000}"/>
    <cellStyle name="Normal 10 2 10 2 13 2 2" xfId="2851" xr:uid="{00000000-0005-0000-0000-0000100B0000}"/>
    <cellStyle name="Normal 10 2 10 2 13 2 3" xfId="2852" xr:uid="{00000000-0005-0000-0000-0000110B0000}"/>
    <cellStyle name="Normal 10 2 10 2 13 2 4" xfId="2853" xr:uid="{00000000-0005-0000-0000-0000120B0000}"/>
    <cellStyle name="Normal 10 2 10 2 13 2 5" xfId="2854" xr:uid="{00000000-0005-0000-0000-0000130B0000}"/>
    <cellStyle name="Normal 10 2 10 2 13 2 6" xfId="2855" xr:uid="{00000000-0005-0000-0000-0000140B0000}"/>
    <cellStyle name="Normal 10 2 10 2 13 2 7" xfId="2856" xr:uid="{00000000-0005-0000-0000-0000150B0000}"/>
    <cellStyle name="Normal 10 2 10 2 13 2 8" xfId="2857" xr:uid="{00000000-0005-0000-0000-0000160B0000}"/>
    <cellStyle name="Normal 10 2 10 2 13 2 9" xfId="2858" xr:uid="{00000000-0005-0000-0000-0000170B0000}"/>
    <cellStyle name="Normal 10 2 10 2 13 3" xfId="2859" xr:uid="{00000000-0005-0000-0000-0000180B0000}"/>
    <cellStyle name="Normal 10 2 10 2 13 3 10" xfId="2860" xr:uid="{00000000-0005-0000-0000-0000190B0000}"/>
    <cellStyle name="Normal 10 2 10 2 13 3 2" xfId="2861" xr:uid="{00000000-0005-0000-0000-00001A0B0000}"/>
    <cellStyle name="Normal 10 2 10 2 13 3 3" xfId="2862" xr:uid="{00000000-0005-0000-0000-00001B0B0000}"/>
    <cellStyle name="Normal 10 2 10 2 13 3 4" xfId="2863" xr:uid="{00000000-0005-0000-0000-00001C0B0000}"/>
    <cellStyle name="Normal 10 2 10 2 13 3 5" xfId="2864" xr:uid="{00000000-0005-0000-0000-00001D0B0000}"/>
    <cellStyle name="Normal 10 2 10 2 13 3 6" xfId="2865" xr:uid="{00000000-0005-0000-0000-00001E0B0000}"/>
    <cellStyle name="Normal 10 2 10 2 13 3 7" xfId="2866" xr:uid="{00000000-0005-0000-0000-00001F0B0000}"/>
    <cellStyle name="Normal 10 2 10 2 13 3 8" xfId="2867" xr:uid="{00000000-0005-0000-0000-0000200B0000}"/>
    <cellStyle name="Normal 10 2 10 2 13 3 9" xfId="2868" xr:uid="{00000000-0005-0000-0000-0000210B0000}"/>
    <cellStyle name="Normal 10 2 10 2 13 4" xfId="2869" xr:uid="{00000000-0005-0000-0000-0000220B0000}"/>
    <cellStyle name="Normal 10 2 10 2 13 4 10" xfId="2870" xr:uid="{00000000-0005-0000-0000-0000230B0000}"/>
    <cellStyle name="Normal 10 2 10 2 13 4 2" xfId="2871" xr:uid="{00000000-0005-0000-0000-0000240B0000}"/>
    <cellStyle name="Normal 10 2 10 2 13 4 3" xfId="2872" xr:uid="{00000000-0005-0000-0000-0000250B0000}"/>
    <cellStyle name="Normal 10 2 10 2 13 4 4" xfId="2873" xr:uid="{00000000-0005-0000-0000-0000260B0000}"/>
    <cellStyle name="Normal 10 2 10 2 13 4 5" xfId="2874" xr:uid="{00000000-0005-0000-0000-0000270B0000}"/>
    <cellStyle name="Normal 10 2 10 2 13 4 6" xfId="2875" xr:uid="{00000000-0005-0000-0000-0000280B0000}"/>
    <cellStyle name="Normal 10 2 10 2 13 4 7" xfId="2876" xr:uid="{00000000-0005-0000-0000-0000290B0000}"/>
    <cellStyle name="Normal 10 2 10 2 13 4 8" xfId="2877" xr:uid="{00000000-0005-0000-0000-00002A0B0000}"/>
    <cellStyle name="Normal 10 2 10 2 13 4 9" xfId="2878" xr:uid="{00000000-0005-0000-0000-00002B0B0000}"/>
    <cellStyle name="Normal 10 2 10 2 13 5" xfId="2879" xr:uid="{00000000-0005-0000-0000-00002C0B0000}"/>
    <cellStyle name="Normal 10 2 10 2 13 5 10" xfId="2880" xr:uid="{00000000-0005-0000-0000-00002D0B0000}"/>
    <cellStyle name="Normal 10 2 10 2 13 5 2" xfId="2881" xr:uid="{00000000-0005-0000-0000-00002E0B0000}"/>
    <cellStyle name="Normal 10 2 10 2 13 5 3" xfId="2882" xr:uid="{00000000-0005-0000-0000-00002F0B0000}"/>
    <cellStyle name="Normal 10 2 10 2 13 5 4" xfId="2883" xr:uid="{00000000-0005-0000-0000-0000300B0000}"/>
    <cellStyle name="Normal 10 2 10 2 13 5 5" xfId="2884" xr:uid="{00000000-0005-0000-0000-0000310B0000}"/>
    <cellStyle name="Normal 10 2 10 2 13 5 6" xfId="2885" xr:uid="{00000000-0005-0000-0000-0000320B0000}"/>
    <cellStyle name="Normal 10 2 10 2 13 5 7" xfId="2886" xr:uid="{00000000-0005-0000-0000-0000330B0000}"/>
    <cellStyle name="Normal 10 2 10 2 13 5 8" xfId="2887" xr:uid="{00000000-0005-0000-0000-0000340B0000}"/>
    <cellStyle name="Normal 10 2 10 2 13 5 9" xfId="2888" xr:uid="{00000000-0005-0000-0000-0000350B0000}"/>
    <cellStyle name="Normal 10 2 10 2 13 6" xfId="2889" xr:uid="{00000000-0005-0000-0000-0000360B0000}"/>
    <cellStyle name="Normal 10 2 10 2 13 7" xfId="2890" xr:uid="{00000000-0005-0000-0000-0000370B0000}"/>
    <cellStyle name="Normal 10 2 10 2 13 8" xfId="2891" xr:uid="{00000000-0005-0000-0000-0000380B0000}"/>
    <cellStyle name="Normal 10 2 10 2 13 9" xfId="2892" xr:uid="{00000000-0005-0000-0000-0000390B0000}"/>
    <cellStyle name="Normal 10 2 10 2 14" xfId="2893" xr:uid="{00000000-0005-0000-0000-00003A0B0000}"/>
    <cellStyle name="Normal 10 2 10 2 14 10" xfId="2894" xr:uid="{00000000-0005-0000-0000-00003B0B0000}"/>
    <cellStyle name="Normal 10 2 10 2 14 11" xfId="2895" xr:uid="{00000000-0005-0000-0000-00003C0B0000}"/>
    <cellStyle name="Normal 10 2 10 2 14 12" xfId="2896" xr:uid="{00000000-0005-0000-0000-00003D0B0000}"/>
    <cellStyle name="Normal 10 2 10 2 14 13" xfId="2897" xr:uid="{00000000-0005-0000-0000-00003E0B0000}"/>
    <cellStyle name="Normal 10 2 10 2 14 14" xfId="2898" xr:uid="{00000000-0005-0000-0000-00003F0B0000}"/>
    <cellStyle name="Normal 10 2 10 2 14 2" xfId="2899" xr:uid="{00000000-0005-0000-0000-0000400B0000}"/>
    <cellStyle name="Normal 10 2 10 2 14 2 10" xfId="2900" xr:uid="{00000000-0005-0000-0000-0000410B0000}"/>
    <cellStyle name="Normal 10 2 10 2 14 2 2" xfId="2901" xr:uid="{00000000-0005-0000-0000-0000420B0000}"/>
    <cellStyle name="Normal 10 2 10 2 14 2 3" xfId="2902" xr:uid="{00000000-0005-0000-0000-0000430B0000}"/>
    <cellStyle name="Normal 10 2 10 2 14 2 4" xfId="2903" xr:uid="{00000000-0005-0000-0000-0000440B0000}"/>
    <cellStyle name="Normal 10 2 10 2 14 2 5" xfId="2904" xr:uid="{00000000-0005-0000-0000-0000450B0000}"/>
    <cellStyle name="Normal 10 2 10 2 14 2 6" xfId="2905" xr:uid="{00000000-0005-0000-0000-0000460B0000}"/>
    <cellStyle name="Normal 10 2 10 2 14 2 7" xfId="2906" xr:uid="{00000000-0005-0000-0000-0000470B0000}"/>
    <cellStyle name="Normal 10 2 10 2 14 2 8" xfId="2907" xr:uid="{00000000-0005-0000-0000-0000480B0000}"/>
    <cellStyle name="Normal 10 2 10 2 14 2 9" xfId="2908" xr:uid="{00000000-0005-0000-0000-0000490B0000}"/>
    <cellStyle name="Normal 10 2 10 2 14 3" xfId="2909" xr:uid="{00000000-0005-0000-0000-00004A0B0000}"/>
    <cellStyle name="Normal 10 2 10 2 14 3 10" xfId="2910" xr:uid="{00000000-0005-0000-0000-00004B0B0000}"/>
    <cellStyle name="Normal 10 2 10 2 14 3 2" xfId="2911" xr:uid="{00000000-0005-0000-0000-00004C0B0000}"/>
    <cellStyle name="Normal 10 2 10 2 14 3 3" xfId="2912" xr:uid="{00000000-0005-0000-0000-00004D0B0000}"/>
    <cellStyle name="Normal 10 2 10 2 14 3 4" xfId="2913" xr:uid="{00000000-0005-0000-0000-00004E0B0000}"/>
    <cellStyle name="Normal 10 2 10 2 14 3 5" xfId="2914" xr:uid="{00000000-0005-0000-0000-00004F0B0000}"/>
    <cellStyle name="Normal 10 2 10 2 14 3 6" xfId="2915" xr:uid="{00000000-0005-0000-0000-0000500B0000}"/>
    <cellStyle name="Normal 10 2 10 2 14 3 7" xfId="2916" xr:uid="{00000000-0005-0000-0000-0000510B0000}"/>
    <cellStyle name="Normal 10 2 10 2 14 3 8" xfId="2917" xr:uid="{00000000-0005-0000-0000-0000520B0000}"/>
    <cellStyle name="Normal 10 2 10 2 14 3 9" xfId="2918" xr:uid="{00000000-0005-0000-0000-0000530B0000}"/>
    <cellStyle name="Normal 10 2 10 2 14 4" xfId="2919" xr:uid="{00000000-0005-0000-0000-0000540B0000}"/>
    <cellStyle name="Normal 10 2 10 2 14 4 10" xfId="2920" xr:uid="{00000000-0005-0000-0000-0000550B0000}"/>
    <cellStyle name="Normal 10 2 10 2 14 4 2" xfId="2921" xr:uid="{00000000-0005-0000-0000-0000560B0000}"/>
    <cellStyle name="Normal 10 2 10 2 14 4 3" xfId="2922" xr:uid="{00000000-0005-0000-0000-0000570B0000}"/>
    <cellStyle name="Normal 10 2 10 2 14 4 4" xfId="2923" xr:uid="{00000000-0005-0000-0000-0000580B0000}"/>
    <cellStyle name="Normal 10 2 10 2 14 4 5" xfId="2924" xr:uid="{00000000-0005-0000-0000-0000590B0000}"/>
    <cellStyle name="Normal 10 2 10 2 14 4 6" xfId="2925" xr:uid="{00000000-0005-0000-0000-00005A0B0000}"/>
    <cellStyle name="Normal 10 2 10 2 14 4 7" xfId="2926" xr:uid="{00000000-0005-0000-0000-00005B0B0000}"/>
    <cellStyle name="Normal 10 2 10 2 14 4 8" xfId="2927" xr:uid="{00000000-0005-0000-0000-00005C0B0000}"/>
    <cellStyle name="Normal 10 2 10 2 14 4 9" xfId="2928" xr:uid="{00000000-0005-0000-0000-00005D0B0000}"/>
    <cellStyle name="Normal 10 2 10 2 14 5" xfId="2929" xr:uid="{00000000-0005-0000-0000-00005E0B0000}"/>
    <cellStyle name="Normal 10 2 10 2 14 5 10" xfId="2930" xr:uid="{00000000-0005-0000-0000-00005F0B0000}"/>
    <cellStyle name="Normal 10 2 10 2 14 5 2" xfId="2931" xr:uid="{00000000-0005-0000-0000-0000600B0000}"/>
    <cellStyle name="Normal 10 2 10 2 14 5 3" xfId="2932" xr:uid="{00000000-0005-0000-0000-0000610B0000}"/>
    <cellStyle name="Normal 10 2 10 2 14 5 4" xfId="2933" xr:uid="{00000000-0005-0000-0000-0000620B0000}"/>
    <cellStyle name="Normal 10 2 10 2 14 5 5" xfId="2934" xr:uid="{00000000-0005-0000-0000-0000630B0000}"/>
    <cellStyle name="Normal 10 2 10 2 14 5 6" xfId="2935" xr:uid="{00000000-0005-0000-0000-0000640B0000}"/>
    <cellStyle name="Normal 10 2 10 2 14 5 7" xfId="2936" xr:uid="{00000000-0005-0000-0000-0000650B0000}"/>
    <cellStyle name="Normal 10 2 10 2 14 5 8" xfId="2937" xr:uid="{00000000-0005-0000-0000-0000660B0000}"/>
    <cellStyle name="Normal 10 2 10 2 14 5 9" xfId="2938" xr:uid="{00000000-0005-0000-0000-0000670B0000}"/>
    <cellStyle name="Normal 10 2 10 2 14 6" xfId="2939" xr:uid="{00000000-0005-0000-0000-0000680B0000}"/>
    <cellStyle name="Normal 10 2 10 2 14 7" xfId="2940" xr:uid="{00000000-0005-0000-0000-0000690B0000}"/>
    <cellStyle name="Normal 10 2 10 2 14 8" xfId="2941" xr:uid="{00000000-0005-0000-0000-00006A0B0000}"/>
    <cellStyle name="Normal 10 2 10 2 14 9" xfId="2942" xr:uid="{00000000-0005-0000-0000-00006B0B0000}"/>
    <cellStyle name="Normal 10 2 10 2 15" xfId="2943" xr:uid="{00000000-0005-0000-0000-00006C0B0000}"/>
    <cellStyle name="Normal 10 2 10 2 15 10" xfId="2944" xr:uid="{00000000-0005-0000-0000-00006D0B0000}"/>
    <cellStyle name="Normal 10 2 10 2 15 11" xfId="2945" xr:uid="{00000000-0005-0000-0000-00006E0B0000}"/>
    <cellStyle name="Normal 10 2 10 2 15 12" xfId="2946" xr:uid="{00000000-0005-0000-0000-00006F0B0000}"/>
    <cellStyle name="Normal 10 2 10 2 15 13" xfId="2947" xr:uid="{00000000-0005-0000-0000-0000700B0000}"/>
    <cellStyle name="Normal 10 2 10 2 15 14" xfId="2948" xr:uid="{00000000-0005-0000-0000-0000710B0000}"/>
    <cellStyle name="Normal 10 2 10 2 15 2" xfId="2949" xr:uid="{00000000-0005-0000-0000-0000720B0000}"/>
    <cellStyle name="Normal 10 2 10 2 15 2 10" xfId="2950" xr:uid="{00000000-0005-0000-0000-0000730B0000}"/>
    <cellStyle name="Normal 10 2 10 2 15 2 2" xfId="2951" xr:uid="{00000000-0005-0000-0000-0000740B0000}"/>
    <cellStyle name="Normal 10 2 10 2 15 2 3" xfId="2952" xr:uid="{00000000-0005-0000-0000-0000750B0000}"/>
    <cellStyle name="Normal 10 2 10 2 15 2 4" xfId="2953" xr:uid="{00000000-0005-0000-0000-0000760B0000}"/>
    <cellStyle name="Normal 10 2 10 2 15 2 5" xfId="2954" xr:uid="{00000000-0005-0000-0000-0000770B0000}"/>
    <cellStyle name="Normal 10 2 10 2 15 2 6" xfId="2955" xr:uid="{00000000-0005-0000-0000-0000780B0000}"/>
    <cellStyle name="Normal 10 2 10 2 15 2 7" xfId="2956" xr:uid="{00000000-0005-0000-0000-0000790B0000}"/>
    <cellStyle name="Normal 10 2 10 2 15 2 8" xfId="2957" xr:uid="{00000000-0005-0000-0000-00007A0B0000}"/>
    <cellStyle name="Normal 10 2 10 2 15 2 9" xfId="2958" xr:uid="{00000000-0005-0000-0000-00007B0B0000}"/>
    <cellStyle name="Normal 10 2 10 2 15 3" xfId="2959" xr:uid="{00000000-0005-0000-0000-00007C0B0000}"/>
    <cellStyle name="Normal 10 2 10 2 15 3 10" xfId="2960" xr:uid="{00000000-0005-0000-0000-00007D0B0000}"/>
    <cellStyle name="Normal 10 2 10 2 15 3 2" xfId="2961" xr:uid="{00000000-0005-0000-0000-00007E0B0000}"/>
    <cellStyle name="Normal 10 2 10 2 15 3 3" xfId="2962" xr:uid="{00000000-0005-0000-0000-00007F0B0000}"/>
    <cellStyle name="Normal 10 2 10 2 15 3 4" xfId="2963" xr:uid="{00000000-0005-0000-0000-0000800B0000}"/>
    <cellStyle name="Normal 10 2 10 2 15 3 5" xfId="2964" xr:uid="{00000000-0005-0000-0000-0000810B0000}"/>
    <cellStyle name="Normal 10 2 10 2 15 3 6" xfId="2965" xr:uid="{00000000-0005-0000-0000-0000820B0000}"/>
    <cellStyle name="Normal 10 2 10 2 15 3 7" xfId="2966" xr:uid="{00000000-0005-0000-0000-0000830B0000}"/>
    <cellStyle name="Normal 10 2 10 2 15 3 8" xfId="2967" xr:uid="{00000000-0005-0000-0000-0000840B0000}"/>
    <cellStyle name="Normal 10 2 10 2 15 3 9" xfId="2968" xr:uid="{00000000-0005-0000-0000-0000850B0000}"/>
    <cellStyle name="Normal 10 2 10 2 15 4" xfId="2969" xr:uid="{00000000-0005-0000-0000-0000860B0000}"/>
    <cellStyle name="Normal 10 2 10 2 15 4 10" xfId="2970" xr:uid="{00000000-0005-0000-0000-0000870B0000}"/>
    <cellStyle name="Normal 10 2 10 2 15 4 2" xfId="2971" xr:uid="{00000000-0005-0000-0000-0000880B0000}"/>
    <cellStyle name="Normal 10 2 10 2 15 4 3" xfId="2972" xr:uid="{00000000-0005-0000-0000-0000890B0000}"/>
    <cellStyle name="Normal 10 2 10 2 15 4 4" xfId="2973" xr:uid="{00000000-0005-0000-0000-00008A0B0000}"/>
    <cellStyle name="Normal 10 2 10 2 15 4 5" xfId="2974" xr:uid="{00000000-0005-0000-0000-00008B0B0000}"/>
    <cellStyle name="Normal 10 2 10 2 15 4 6" xfId="2975" xr:uid="{00000000-0005-0000-0000-00008C0B0000}"/>
    <cellStyle name="Normal 10 2 10 2 15 4 7" xfId="2976" xr:uid="{00000000-0005-0000-0000-00008D0B0000}"/>
    <cellStyle name="Normal 10 2 10 2 15 4 8" xfId="2977" xr:uid="{00000000-0005-0000-0000-00008E0B0000}"/>
    <cellStyle name="Normal 10 2 10 2 15 4 9" xfId="2978" xr:uid="{00000000-0005-0000-0000-00008F0B0000}"/>
    <cellStyle name="Normal 10 2 10 2 15 5" xfId="2979" xr:uid="{00000000-0005-0000-0000-0000900B0000}"/>
    <cellStyle name="Normal 10 2 10 2 15 5 10" xfId="2980" xr:uid="{00000000-0005-0000-0000-0000910B0000}"/>
    <cellStyle name="Normal 10 2 10 2 15 5 2" xfId="2981" xr:uid="{00000000-0005-0000-0000-0000920B0000}"/>
    <cellStyle name="Normal 10 2 10 2 15 5 3" xfId="2982" xr:uid="{00000000-0005-0000-0000-0000930B0000}"/>
    <cellStyle name="Normal 10 2 10 2 15 5 4" xfId="2983" xr:uid="{00000000-0005-0000-0000-0000940B0000}"/>
    <cellStyle name="Normal 10 2 10 2 15 5 5" xfId="2984" xr:uid="{00000000-0005-0000-0000-0000950B0000}"/>
    <cellStyle name="Normal 10 2 10 2 15 5 6" xfId="2985" xr:uid="{00000000-0005-0000-0000-0000960B0000}"/>
    <cellStyle name="Normal 10 2 10 2 15 5 7" xfId="2986" xr:uid="{00000000-0005-0000-0000-0000970B0000}"/>
    <cellStyle name="Normal 10 2 10 2 15 5 8" xfId="2987" xr:uid="{00000000-0005-0000-0000-0000980B0000}"/>
    <cellStyle name="Normal 10 2 10 2 15 5 9" xfId="2988" xr:uid="{00000000-0005-0000-0000-0000990B0000}"/>
    <cellStyle name="Normal 10 2 10 2 15 6" xfId="2989" xr:uid="{00000000-0005-0000-0000-00009A0B0000}"/>
    <cellStyle name="Normal 10 2 10 2 15 7" xfId="2990" xr:uid="{00000000-0005-0000-0000-00009B0B0000}"/>
    <cellStyle name="Normal 10 2 10 2 15 8" xfId="2991" xr:uid="{00000000-0005-0000-0000-00009C0B0000}"/>
    <cellStyle name="Normal 10 2 10 2 15 9" xfId="2992" xr:uid="{00000000-0005-0000-0000-00009D0B0000}"/>
    <cellStyle name="Normal 10 2 10 2 16" xfId="2993" xr:uid="{00000000-0005-0000-0000-00009E0B0000}"/>
    <cellStyle name="Normal 10 2 10 2 16 10" xfId="2994" xr:uid="{00000000-0005-0000-0000-00009F0B0000}"/>
    <cellStyle name="Normal 10 2 10 2 16 11" xfId="2995" xr:uid="{00000000-0005-0000-0000-0000A00B0000}"/>
    <cellStyle name="Normal 10 2 10 2 16 12" xfId="2996" xr:uid="{00000000-0005-0000-0000-0000A10B0000}"/>
    <cellStyle name="Normal 10 2 10 2 16 13" xfId="2997" xr:uid="{00000000-0005-0000-0000-0000A20B0000}"/>
    <cellStyle name="Normal 10 2 10 2 16 14" xfId="2998" xr:uid="{00000000-0005-0000-0000-0000A30B0000}"/>
    <cellStyle name="Normal 10 2 10 2 16 2" xfId="2999" xr:uid="{00000000-0005-0000-0000-0000A40B0000}"/>
    <cellStyle name="Normal 10 2 10 2 16 2 10" xfId="3000" xr:uid="{00000000-0005-0000-0000-0000A50B0000}"/>
    <cellStyle name="Normal 10 2 10 2 16 2 2" xfId="3001" xr:uid="{00000000-0005-0000-0000-0000A60B0000}"/>
    <cellStyle name="Normal 10 2 10 2 16 2 3" xfId="3002" xr:uid="{00000000-0005-0000-0000-0000A70B0000}"/>
    <cellStyle name="Normal 10 2 10 2 16 2 4" xfId="3003" xr:uid="{00000000-0005-0000-0000-0000A80B0000}"/>
    <cellStyle name="Normal 10 2 10 2 16 2 5" xfId="3004" xr:uid="{00000000-0005-0000-0000-0000A90B0000}"/>
    <cellStyle name="Normal 10 2 10 2 16 2 6" xfId="3005" xr:uid="{00000000-0005-0000-0000-0000AA0B0000}"/>
    <cellStyle name="Normal 10 2 10 2 16 2 7" xfId="3006" xr:uid="{00000000-0005-0000-0000-0000AB0B0000}"/>
    <cellStyle name="Normal 10 2 10 2 16 2 8" xfId="3007" xr:uid="{00000000-0005-0000-0000-0000AC0B0000}"/>
    <cellStyle name="Normal 10 2 10 2 16 2 9" xfId="3008" xr:uid="{00000000-0005-0000-0000-0000AD0B0000}"/>
    <cellStyle name="Normal 10 2 10 2 16 3" xfId="3009" xr:uid="{00000000-0005-0000-0000-0000AE0B0000}"/>
    <cellStyle name="Normal 10 2 10 2 16 3 10" xfId="3010" xr:uid="{00000000-0005-0000-0000-0000AF0B0000}"/>
    <cellStyle name="Normal 10 2 10 2 16 3 2" xfId="3011" xr:uid="{00000000-0005-0000-0000-0000B00B0000}"/>
    <cellStyle name="Normal 10 2 10 2 16 3 3" xfId="3012" xr:uid="{00000000-0005-0000-0000-0000B10B0000}"/>
    <cellStyle name="Normal 10 2 10 2 16 3 4" xfId="3013" xr:uid="{00000000-0005-0000-0000-0000B20B0000}"/>
    <cellStyle name="Normal 10 2 10 2 16 3 5" xfId="3014" xr:uid="{00000000-0005-0000-0000-0000B30B0000}"/>
    <cellStyle name="Normal 10 2 10 2 16 3 6" xfId="3015" xr:uid="{00000000-0005-0000-0000-0000B40B0000}"/>
    <cellStyle name="Normal 10 2 10 2 16 3 7" xfId="3016" xr:uid="{00000000-0005-0000-0000-0000B50B0000}"/>
    <cellStyle name="Normal 10 2 10 2 16 3 8" xfId="3017" xr:uid="{00000000-0005-0000-0000-0000B60B0000}"/>
    <cellStyle name="Normal 10 2 10 2 16 3 9" xfId="3018" xr:uid="{00000000-0005-0000-0000-0000B70B0000}"/>
    <cellStyle name="Normal 10 2 10 2 16 4" xfId="3019" xr:uid="{00000000-0005-0000-0000-0000B80B0000}"/>
    <cellStyle name="Normal 10 2 10 2 16 4 10" xfId="3020" xr:uid="{00000000-0005-0000-0000-0000B90B0000}"/>
    <cellStyle name="Normal 10 2 10 2 16 4 2" xfId="3021" xr:uid="{00000000-0005-0000-0000-0000BA0B0000}"/>
    <cellStyle name="Normal 10 2 10 2 16 4 3" xfId="3022" xr:uid="{00000000-0005-0000-0000-0000BB0B0000}"/>
    <cellStyle name="Normal 10 2 10 2 16 4 4" xfId="3023" xr:uid="{00000000-0005-0000-0000-0000BC0B0000}"/>
    <cellStyle name="Normal 10 2 10 2 16 4 5" xfId="3024" xr:uid="{00000000-0005-0000-0000-0000BD0B0000}"/>
    <cellStyle name="Normal 10 2 10 2 16 4 6" xfId="3025" xr:uid="{00000000-0005-0000-0000-0000BE0B0000}"/>
    <cellStyle name="Normal 10 2 10 2 16 4 7" xfId="3026" xr:uid="{00000000-0005-0000-0000-0000BF0B0000}"/>
    <cellStyle name="Normal 10 2 10 2 16 4 8" xfId="3027" xr:uid="{00000000-0005-0000-0000-0000C00B0000}"/>
    <cellStyle name="Normal 10 2 10 2 16 4 9" xfId="3028" xr:uid="{00000000-0005-0000-0000-0000C10B0000}"/>
    <cellStyle name="Normal 10 2 10 2 16 5" xfId="3029" xr:uid="{00000000-0005-0000-0000-0000C20B0000}"/>
    <cellStyle name="Normal 10 2 10 2 16 5 10" xfId="3030" xr:uid="{00000000-0005-0000-0000-0000C30B0000}"/>
    <cellStyle name="Normal 10 2 10 2 16 5 2" xfId="3031" xr:uid="{00000000-0005-0000-0000-0000C40B0000}"/>
    <cellStyle name="Normal 10 2 10 2 16 5 3" xfId="3032" xr:uid="{00000000-0005-0000-0000-0000C50B0000}"/>
    <cellStyle name="Normal 10 2 10 2 16 5 4" xfId="3033" xr:uid="{00000000-0005-0000-0000-0000C60B0000}"/>
    <cellStyle name="Normal 10 2 10 2 16 5 5" xfId="3034" xr:uid="{00000000-0005-0000-0000-0000C70B0000}"/>
    <cellStyle name="Normal 10 2 10 2 16 5 6" xfId="3035" xr:uid="{00000000-0005-0000-0000-0000C80B0000}"/>
    <cellStyle name="Normal 10 2 10 2 16 5 7" xfId="3036" xr:uid="{00000000-0005-0000-0000-0000C90B0000}"/>
    <cellStyle name="Normal 10 2 10 2 16 5 8" xfId="3037" xr:uid="{00000000-0005-0000-0000-0000CA0B0000}"/>
    <cellStyle name="Normal 10 2 10 2 16 5 9" xfId="3038" xr:uid="{00000000-0005-0000-0000-0000CB0B0000}"/>
    <cellStyle name="Normal 10 2 10 2 16 6" xfId="3039" xr:uid="{00000000-0005-0000-0000-0000CC0B0000}"/>
    <cellStyle name="Normal 10 2 10 2 16 7" xfId="3040" xr:uid="{00000000-0005-0000-0000-0000CD0B0000}"/>
    <cellStyle name="Normal 10 2 10 2 16 8" xfId="3041" xr:uid="{00000000-0005-0000-0000-0000CE0B0000}"/>
    <cellStyle name="Normal 10 2 10 2 16 9" xfId="3042" xr:uid="{00000000-0005-0000-0000-0000CF0B0000}"/>
    <cellStyle name="Normal 10 2 10 2 17" xfId="3043" xr:uid="{00000000-0005-0000-0000-0000D00B0000}"/>
    <cellStyle name="Normal 10 2 10 2 17 10" xfId="3044" xr:uid="{00000000-0005-0000-0000-0000D10B0000}"/>
    <cellStyle name="Normal 10 2 10 2 17 11" xfId="3045" xr:uid="{00000000-0005-0000-0000-0000D20B0000}"/>
    <cellStyle name="Normal 10 2 10 2 17 12" xfId="3046" xr:uid="{00000000-0005-0000-0000-0000D30B0000}"/>
    <cellStyle name="Normal 10 2 10 2 17 13" xfId="3047" xr:uid="{00000000-0005-0000-0000-0000D40B0000}"/>
    <cellStyle name="Normal 10 2 10 2 17 14" xfId="3048" xr:uid="{00000000-0005-0000-0000-0000D50B0000}"/>
    <cellStyle name="Normal 10 2 10 2 17 2" xfId="3049" xr:uid="{00000000-0005-0000-0000-0000D60B0000}"/>
    <cellStyle name="Normal 10 2 10 2 17 2 10" xfId="3050" xr:uid="{00000000-0005-0000-0000-0000D70B0000}"/>
    <cellStyle name="Normal 10 2 10 2 17 2 2" xfId="3051" xr:uid="{00000000-0005-0000-0000-0000D80B0000}"/>
    <cellStyle name="Normal 10 2 10 2 17 2 3" xfId="3052" xr:uid="{00000000-0005-0000-0000-0000D90B0000}"/>
    <cellStyle name="Normal 10 2 10 2 17 2 4" xfId="3053" xr:uid="{00000000-0005-0000-0000-0000DA0B0000}"/>
    <cellStyle name="Normal 10 2 10 2 17 2 5" xfId="3054" xr:uid="{00000000-0005-0000-0000-0000DB0B0000}"/>
    <cellStyle name="Normal 10 2 10 2 17 2 6" xfId="3055" xr:uid="{00000000-0005-0000-0000-0000DC0B0000}"/>
    <cellStyle name="Normal 10 2 10 2 17 2 7" xfId="3056" xr:uid="{00000000-0005-0000-0000-0000DD0B0000}"/>
    <cellStyle name="Normal 10 2 10 2 17 2 8" xfId="3057" xr:uid="{00000000-0005-0000-0000-0000DE0B0000}"/>
    <cellStyle name="Normal 10 2 10 2 17 2 9" xfId="3058" xr:uid="{00000000-0005-0000-0000-0000DF0B0000}"/>
    <cellStyle name="Normal 10 2 10 2 17 3" xfId="3059" xr:uid="{00000000-0005-0000-0000-0000E00B0000}"/>
    <cellStyle name="Normal 10 2 10 2 17 3 10" xfId="3060" xr:uid="{00000000-0005-0000-0000-0000E10B0000}"/>
    <cellStyle name="Normal 10 2 10 2 17 3 2" xfId="3061" xr:uid="{00000000-0005-0000-0000-0000E20B0000}"/>
    <cellStyle name="Normal 10 2 10 2 17 3 3" xfId="3062" xr:uid="{00000000-0005-0000-0000-0000E30B0000}"/>
    <cellStyle name="Normal 10 2 10 2 17 3 4" xfId="3063" xr:uid="{00000000-0005-0000-0000-0000E40B0000}"/>
    <cellStyle name="Normal 10 2 10 2 17 3 5" xfId="3064" xr:uid="{00000000-0005-0000-0000-0000E50B0000}"/>
    <cellStyle name="Normal 10 2 10 2 17 3 6" xfId="3065" xr:uid="{00000000-0005-0000-0000-0000E60B0000}"/>
    <cellStyle name="Normal 10 2 10 2 17 3 7" xfId="3066" xr:uid="{00000000-0005-0000-0000-0000E70B0000}"/>
    <cellStyle name="Normal 10 2 10 2 17 3 8" xfId="3067" xr:uid="{00000000-0005-0000-0000-0000E80B0000}"/>
    <cellStyle name="Normal 10 2 10 2 17 3 9" xfId="3068" xr:uid="{00000000-0005-0000-0000-0000E90B0000}"/>
    <cellStyle name="Normal 10 2 10 2 17 4" xfId="3069" xr:uid="{00000000-0005-0000-0000-0000EA0B0000}"/>
    <cellStyle name="Normal 10 2 10 2 17 4 10" xfId="3070" xr:uid="{00000000-0005-0000-0000-0000EB0B0000}"/>
    <cellStyle name="Normal 10 2 10 2 17 4 2" xfId="3071" xr:uid="{00000000-0005-0000-0000-0000EC0B0000}"/>
    <cellStyle name="Normal 10 2 10 2 17 4 3" xfId="3072" xr:uid="{00000000-0005-0000-0000-0000ED0B0000}"/>
    <cellStyle name="Normal 10 2 10 2 17 4 4" xfId="3073" xr:uid="{00000000-0005-0000-0000-0000EE0B0000}"/>
    <cellStyle name="Normal 10 2 10 2 17 4 5" xfId="3074" xr:uid="{00000000-0005-0000-0000-0000EF0B0000}"/>
    <cellStyle name="Normal 10 2 10 2 17 4 6" xfId="3075" xr:uid="{00000000-0005-0000-0000-0000F00B0000}"/>
    <cellStyle name="Normal 10 2 10 2 17 4 7" xfId="3076" xr:uid="{00000000-0005-0000-0000-0000F10B0000}"/>
    <cellStyle name="Normal 10 2 10 2 17 4 8" xfId="3077" xr:uid="{00000000-0005-0000-0000-0000F20B0000}"/>
    <cellStyle name="Normal 10 2 10 2 17 4 9" xfId="3078" xr:uid="{00000000-0005-0000-0000-0000F30B0000}"/>
    <cellStyle name="Normal 10 2 10 2 17 5" xfId="3079" xr:uid="{00000000-0005-0000-0000-0000F40B0000}"/>
    <cellStyle name="Normal 10 2 10 2 17 5 10" xfId="3080" xr:uid="{00000000-0005-0000-0000-0000F50B0000}"/>
    <cellStyle name="Normal 10 2 10 2 17 5 2" xfId="3081" xr:uid="{00000000-0005-0000-0000-0000F60B0000}"/>
    <cellStyle name="Normal 10 2 10 2 17 5 3" xfId="3082" xr:uid="{00000000-0005-0000-0000-0000F70B0000}"/>
    <cellStyle name="Normal 10 2 10 2 17 5 4" xfId="3083" xr:uid="{00000000-0005-0000-0000-0000F80B0000}"/>
    <cellStyle name="Normal 10 2 10 2 17 5 5" xfId="3084" xr:uid="{00000000-0005-0000-0000-0000F90B0000}"/>
    <cellStyle name="Normal 10 2 10 2 17 5 6" xfId="3085" xr:uid="{00000000-0005-0000-0000-0000FA0B0000}"/>
    <cellStyle name="Normal 10 2 10 2 17 5 7" xfId="3086" xr:uid="{00000000-0005-0000-0000-0000FB0B0000}"/>
    <cellStyle name="Normal 10 2 10 2 17 5 8" xfId="3087" xr:uid="{00000000-0005-0000-0000-0000FC0B0000}"/>
    <cellStyle name="Normal 10 2 10 2 17 5 9" xfId="3088" xr:uid="{00000000-0005-0000-0000-0000FD0B0000}"/>
    <cellStyle name="Normal 10 2 10 2 17 6" xfId="3089" xr:uid="{00000000-0005-0000-0000-0000FE0B0000}"/>
    <cellStyle name="Normal 10 2 10 2 17 7" xfId="3090" xr:uid="{00000000-0005-0000-0000-0000FF0B0000}"/>
    <cellStyle name="Normal 10 2 10 2 17 8" xfId="3091" xr:uid="{00000000-0005-0000-0000-0000000C0000}"/>
    <cellStyle name="Normal 10 2 10 2 17 9" xfId="3092" xr:uid="{00000000-0005-0000-0000-0000010C0000}"/>
    <cellStyle name="Normal 10 2 10 2 18" xfId="3093" xr:uid="{00000000-0005-0000-0000-0000020C0000}"/>
    <cellStyle name="Normal 10 2 10 2 18 10" xfId="3094" xr:uid="{00000000-0005-0000-0000-0000030C0000}"/>
    <cellStyle name="Normal 10 2 10 2 18 11" xfId="3095" xr:uid="{00000000-0005-0000-0000-0000040C0000}"/>
    <cellStyle name="Normal 10 2 10 2 18 12" xfId="3096" xr:uid="{00000000-0005-0000-0000-0000050C0000}"/>
    <cellStyle name="Normal 10 2 10 2 18 13" xfId="3097" xr:uid="{00000000-0005-0000-0000-0000060C0000}"/>
    <cellStyle name="Normal 10 2 10 2 18 14" xfId="3098" xr:uid="{00000000-0005-0000-0000-0000070C0000}"/>
    <cellStyle name="Normal 10 2 10 2 18 2" xfId="3099" xr:uid="{00000000-0005-0000-0000-0000080C0000}"/>
    <cellStyle name="Normal 10 2 10 2 18 2 10" xfId="3100" xr:uid="{00000000-0005-0000-0000-0000090C0000}"/>
    <cellStyle name="Normal 10 2 10 2 18 2 2" xfId="3101" xr:uid="{00000000-0005-0000-0000-00000A0C0000}"/>
    <cellStyle name="Normal 10 2 10 2 18 2 3" xfId="3102" xr:uid="{00000000-0005-0000-0000-00000B0C0000}"/>
    <cellStyle name="Normal 10 2 10 2 18 2 4" xfId="3103" xr:uid="{00000000-0005-0000-0000-00000C0C0000}"/>
    <cellStyle name="Normal 10 2 10 2 18 2 5" xfId="3104" xr:uid="{00000000-0005-0000-0000-00000D0C0000}"/>
    <cellStyle name="Normal 10 2 10 2 18 2 6" xfId="3105" xr:uid="{00000000-0005-0000-0000-00000E0C0000}"/>
    <cellStyle name="Normal 10 2 10 2 18 2 7" xfId="3106" xr:uid="{00000000-0005-0000-0000-00000F0C0000}"/>
    <cellStyle name="Normal 10 2 10 2 18 2 8" xfId="3107" xr:uid="{00000000-0005-0000-0000-0000100C0000}"/>
    <cellStyle name="Normal 10 2 10 2 18 2 9" xfId="3108" xr:uid="{00000000-0005-0000-0000-0000110C0000}"/>
    <cellStyle name="Normal 10 2 10 2 18 3" xfId="3109" xr:uid="{00000000-0005-0000-0000-0000120C0000}"/>
    <cellStyle name="Normal 10 2 10 2 18 3 10" xfId="3110" xr:uid="{00000000-0005-0000-0000-0000130C0000}"/>
    <cellStyle name="Normal 10 2 10 2 18 3 2" xfId="3111" xr:uid="{00000000-0005-0000-0000-0000140C0000}"/>
    <cellStyle name="Normal 10 2 10 2 18 3 3" xfId="3112" xr:uid="{00000000-0005-0000-0000-0000150C0000}"/>
    <cellStyle name="Normal 10 2 10 2 18 3 4" xfId="3113" xr:uid="{00000000-0005-0000-0000-0000160C0000}"/>
    <cellStyle name="Normal 10 2 10 2 18 3 5" xfId="3114" xr:uid="{00000000-0005-0000-0000-0000170C0000}"/>
    <cellStyle name="Normal 10 2 10 2 18 3 6" xfId="3115" xr:uid="{00000000-0005-0000-0000-0000180C0000}"/>
    <cellStyle name="Normal 10 2 10 2 18 3 7" xfId="3116" xr:uid="{00000000-0005-0000-0000-0000190C0000}"/>
    <cellStyle name="Normal 10 2 10 2 18 3 8" xfId="3117" xr:uid="{00000000-0005-0000-0000-00001A0C0000}"/>
    <cellStyle name="Normal 10 2 10 2 18 3 9" xfId="3118" xr:uid="{00000000-0005-0000-0000-00001B0C0000}"/>
    <cellStyle name="Normal 10 2 10 2 18 4" xfId="3119" xr:uid="{00000000-0005-0000-0000-00001C0C0000}"/>
    <cellStyle name="Normal 10 2 10 2 18 4 10" xfId="3120" xr:uid="{00000000-0005-0000-0000-00001D0C0000}"/>
    <cellStyle name="Normal 10 2 10 2 18 4 2" xfId="3121" xr:uid="{00000000-0005-0000-0000-00001E0C0000}"/>
    <cellStyle name="Normal 10 2 10 2 18 4 3" xfId="3122" xr:uid="{00000000-0005-0000-0000-00001F0C0000}"/>
    <cellStyle name="Normal 10 2 10 2 18 4 4" xfId="3123" xr:uid="{00000000-0005-0000-0000-0000200C0000}"/>
    <cellStyle name="Normal 10 2 10 2 18 4 5" xfId="3124" xr:uid="{00000000-0005-0000-0000-0000210C0000}"/>
    <cellStyle name="Normal 10 2 10 2 18 4 6" xfId="3125" xr:uid="{00000000-0005-0000-0000-0000220C0000}"/>
    <cellStyle name="Normal 10 2 10 2 18 4 7" xfId="3126" xr:uid="{00000000-0005-0000-0000-0000230C0000}"/>
    <cellStyle name="Normal 10 2 10 2 18 4 8" xfId="3127" xr:uid="{00000000-0005-0000-0000-0000240C0000}"/>
    <cellStyle name="Normal 10 2 10 2 18 4 9" xfId="3128" xr:uid="{00000000-0005-0000-0000-0000250C0000}"/>
    <cellStyle name="Normal 10 2 10 2 18 5" xfId="3129" xr:uid="{00000000-0005-0000-0000-0000260C0000}"/>
    <cellStyle name="Normal 10 2 10 2 18 5 10" xfId="3130" xr:uid="{00000000-0005-0000-0000-0000270C0000}"/>
    <cellStyle name="Normal 10 2 10 2 18 5 2" xfId="3131" xr:uid="{00000000-0005-0000-0000-0000280C0000}"/>
    <cellStyle name="Normal 10 2 10 2 18 5 3" xfId="3132" xr:uid="{00000000-0005-0000-0000-0000290C0000}"/>
    <cellStyle name="Normal 10 2 10 2 18 5 4" xfId="3133" xr:uid="{00000000-0005-0000-0000-00002A0C0000}"/>
    <cellStyle name="Normal 10 2 10 2 18 5 5" xfId="3134" xr:uid="{00000000-0005-0000-0000-00002B0C0000}"/>
    <cellStyle name="Normal 10 2 10 2 18 5 6" xfId="3135" xr:uid="{00000000-0005-0000-0000-00002C0C0000}"/>
    <cellStyle name="Normal 10 2 10 2 18 5 7" xfId="3136" xr:uid="{00000000-0005-0000-0000-00002D0C0000}"/>
    <cellStyle name="Normal 10 2 10 2 18 5 8" xfId="3137" xr:uid="{00000000-0005-0000-0000-00002E0C0000}"/>
    <cellStyle name="Normal 10 2 10 2 18 5 9" xfId="3138" xr:uid="{00000000-0005-0000-0000-00002F0C0000}"/>
    <cellStyle name="Normal 10 2 10 2 18 6" xfId="3139" xr:uid="{00000000-0005-0000-0000-0000300C0000}"/>
    <cellStyle name="Normal 10 2 10 2 18 7" xfId="3140" xr:uid="{00000000-0005-0000-0000-0000310C0000}"/>
    <cellStyle name="Normal 10 2 10 2 18 8" xfId="3141" xr:uid="{00000000-0005-0000-0000-0000320C0000}"/>
    <cellStyle name="Normal 10 2 10 2 18 9" xfId="3142" xr:uid="{00000000-0005-0000-0000-0000330C0000}"/>
    <cellStyle name="Normal 10 2 10 2 19" xfId="3143" xr:uid="{00000000-0005-0000-0000-0000340C0000}"/>
    <cellStyle name="Normal 10 2 10 2 19 10" xfId="3144" xr:uid="{00000000-0005-0000-0000-0000350C0000}"/>
    <cellStyle name="Normal 10 2 10 2 19 11" xfId="3145" xr:uid="{00000000-0005-0000-0000-0000360C0000}"/>
    <cellStyle name="Normal 10 2 10 2 19 12" xfId="3146" xr:uid="{00000000-0005-0000-0000-0000370C0000}"/>
    <cellStyle name="Normal 10 2 10 2 19 13" xfId="3147" xr:uid="{00000000-0005-0000-0000-0000380C0000}"/>
    <cellStyle name="Normal 10 2 10 2 19 14" xfId="3148" xr:uid="{00000000-0005-0000-0000-0000390C0000}"/>
    <cellStyle name="Normal 10 2 10 2 19 2" xfId="3149" xr:uid="{00000000-0005-0000-0000-00003A0C0000}"/>
    <cellStyle name="Normal 10 2 10 2 19 2 10" xfId="3150" xr:uid="{00000000-0005-0000-0000-00003B0C0000}"/>
    <cellStyle name="Normal 10 2 10 2 19 2 2" xfId="3151" xr:uid="{00000000-0005-0000-0000-00003C0C0000}"/>
    <cellStyle name="Normal 10 2 10 2 19 2 3" xfId="3152" xr:uid="{00000000-0005-0000-0000-00003D0C0000}"/>
    <cellStyle name="Normal 10 2 10 2 19 2 4" xfId="3153" xr:uid="{00000000-0005-0000-0000-00003E0C0000}"/>
    <cellStyle name="Normal 10 2 10 2 19 2 5" xfId="3154" xr:uid="{00000000-0005-0000-0000-00003F0C0000}"/>
    <cellStyle name="Normal 10 2 10 2 19 2 6" xfId="3155" xr:uid="{00000000-0005-0000-0000-0000400C0000}"/>
    <cellStyle name="Normal 10 2 10 2 19 2 7" xfId="3156" xr:uid="{00000000-0005-0000-0000-0000410C0000}"/>
    <cellStyle name="Normal 10 2 10 2 19 2 8" xfId="3157" xr:uid="{00000000-0005-0000-0000-0000420C0000}"/>
    <cellStyle name="Normal 10 2 10 2 19 2 9" xfId="3158" xr:uid="{00000000-0005-0000-0000-0000430C0000}"/>
    <cellStyle name="Normal 10 2 10 2 19 3" xfId="3159" xr:uid="{00000000-0005-0000-0000-0000440C0000}"/>
    <cellStyle name="Normal 10 2 10 2 19 3 10" xfId="3160" xr:uid="{00000000-0005-0000-0000-0000450C0000}"/>
    <cellStyle name="Normal 10 2 10 2 19 3 2" xfId="3161" xr:uid="{00000000-0005-0000-0000-0000460C0000}"/>
    <cellStyle name="Normal 10 2 10 2 19 3 3" xfId="3162" xr:uid="{00000000-0005-0000-0000-0000470C0000}"/>
    <cellStyle name="Normal 10 2 10 2 19 3 4" xfId="3163" xr:uid="{00000000-0005-0000-0000-0000480C0000}"/>
    <cellStyle name="Normal 10 2 10 2 19 3 5" xfId="3164" xr:uid="{00000000-0005-0000-0000-0000490C0000}"/>
    <cellStyle name="Normal 10 2 10 2 19 3 6" xfId="3165" xr:uid="{00000000-0005-0000-0000-00004A0C0000}"/>
    <cellStyle name="Normal 10 2 10 2 19 3 7" xfId="3166" xr:uid="{00000000-0005-0000-0000-00004B0C0000}"/>
    <cellStyle name="Normal 10 2 10 2 19 3 8" xfId="3167" xr:uid="{00000000-0005-0000-0000-00004C0C0000}"/>
    <cellStyle name="Normal 10 2 10 2 19 3 9" xfId="3168" xr:uid="{00000000-0005-0000-0000-00004D0C0000}"/>
    <cellStyle name="Normal 10 2 10 2 19 4" xfId="3169" xr:uid="{00000000-0005-0000-0000-00004E0C0000}"/>
    <cellStyle name="Normal 10 2 10 2 19 4 10" xfId="3170" xr:uid="{00000000-0005-0000-0000-00004F0C0000}"/>
    <cellStyle name="Normal 10 2 10 2 19 4 2" xfId="3171" xr:uid="{00000000-0005-0000-0000-0000500C0000}"/>
    <cellStyle name="Normal 10 2 10 2 19 4 3" xfId="3172" xr:uid="{00000000-0005-0000-0000-0000510C0000}"/>
    <cellStyle name="Normal 10 2 10 2 19 4 4" xfId="3173" xr:uid="{00000000-0005-0000-0000-0000520C0000}"/>
    <cellStyle name="Normal 10 2 10 2 19 4 5" xfId="3174" xr:uid="{00000000-0005-0000-0000-0000530C0000}"/>
    <cellStyle name="Normal 10 2 10 2 19 4 6" xfId="3175" xr:uid="{00000000-0005-0000-0000-0000540C0000}"/>
    <cellStyle name="Normal 10 2 10 2 19 4 7" xfId="3176" xr:uid="{00000000-0005-0000-0000-0000550C0000}"/>
    <cellStyle name="Normal 10 2 10 2 19 4 8" xfId="3177" xr:uid="{00000000-0005-0000-0000-0000560C0000}"/>
    <cellStyle name="Normal 10 2 10 2 19 4 9" xfId="3178" xr:uid="{00000000-0005-0000-0000-0000570C0000}"/>
    <cellStyle name="Normal 10 2 10 2 19 5" xfId="3179" xr:uid="{00000000-0005-0000-0000-0000580C0000}"/>
    <cellStyle name="Normal 10 2 10 2 19 5 10" xfId="3180" xr:uid="{00000000-0005-0000-0000-0000590C0000}"/>
    <cellStyle name="Normal 10 2 10 2 19 5 2" xfId="3181" xr:uid="{00000000-0005-0000-0000-00005A0C0000}"/>
    <cellStyle name="Normal 10 2 10 2 19 5 3" xfId="3182" xr:uid="{00000000-0005-0000-0000-00005B0C0000}"/>
    <cellStyle name="Normal 10 2 10 2 19 5 4" xfId="3183" xr:uid="{00000000-0005-0000-0000-00005C0C0000}"/>
    <cellStyle name="Normal 10 2 10 2 19 5 5" xfId="3184" xr:uid="{00000000-0005-0000-0000-00005D0C0000}"/>
    <cellStyle name="Normal 10 2 10 2 19 5 6" xfId="3185" xr:uid="{00000000-0005-0000-0000-00005E0C0000}"/>
    <cellStyle name="Normal 10 2 10 2 19 5 7" xfId="3186" xr:uid="{00000000-0005-0000-0000-00005F0C0000}"/>
    <cellStyle name="Normal 10 2 10 2 19 5 8" xfId="3187" xr:uid="{00000000-0005-0000-0000-0000600C0000}"/>
    <cellStyle name="Normal 10 2 10 2 19 5 9" xfId="3188" xr:uid="{00000000-0005-0000-0000-0000610C0000}"/>
    <cellStyle name="Normal 10 2 10 2 19 6" xfId="3189" xr:uid="{00000000-0005-0000-0000-0000620C0000}"/>
    <cellStyle name="Normal 10 2 10 2 19 7" xfId="3190" xr:uid="{00000000-0005-0000-0000-0000630C0000}"/>
    <cellStyle name="Normal 10 2 10 2 19 8" xfId="3191" xr:uid="{00000000-0005-0000-0000-0000640C0000}"/>
    <cellStyle name="Normal 10 2 10 2 19 9" xfId="3192" xr:uid="{00000000-0005-0000-0000-0000650C0000}"/>
    <cellStyle name="Normal 10 2 10 2 2" xfId="3193" xr:uid="{00000000-0005-0000-0000-0000660C0000}"/>
    <cellStyle name="Normal 10 2 10 2 2 10" xfId="3194" xr:uid="{00000000-0005-0000-0000-0000670C0000}"/>
    <cellStyle name="Normal 10 2 10 2 2 11" xfId="3195" xr:uid="{00000000-0005-0000-0000-0000680C0000}"/>
    <cellStyle name="Normal 10 2 10 2 2 12" xfId="3196" xr:uid="{00000000-0005-0000-0000-0000690C0000}"/>
    <cellStyle name="Normal 10 2 10 2 2 13" xfId="3197" xr:uid="{00000000-0005-0000-0000-00006A0C0000}"/>
    <cellStyle name="Normal 10 2 10 2 2 14" xfId="3198" xr:uid="{00000000-0005-0000-0000-00006B0C0000}"/>
    <cellStyle name="Normal 10 2 10 2 2 2" xfId="3199" xr:uid="{00000000-0005-0000-0000-00006C0C0000}"/>
    <cellStyle name="Normal 10 2 10 2 2 2 10" xfId="3200" xr:uid="{00000000-0005-0000-0000-00006D0C0000}"/>
    <cellStyle name="Normal 10 2 10 2 2 2 2" xfId="3201" xr:uid="{00000000-0005-0000-0000-00006E0C0000}"/>
    <cellStyle name="Normal 10 2 10 2 2 2 3" xfId="3202" xr:uid="{00000000-0005-0000-0000-00006F0C0000}"/>
    <cellStyle name="Normal 10 2 10 2 2 2 4" xfId="3203" xr:uid="{00000000-0005-0000-0000-0000700C0000}"/>
    <cellStyle name="Normal 10 2 10 2 2 2 5" xfId="3204" xr:uid="{00000000-0005-0000-0000-0000710C0000}"/>
    <cellStyle name="Normal 10 2 10 2 2 2 6" xfId="3205" xr:uid="{00000000-0005-0000-0000-0000720C0000}"/>
    <cellStyle name="Normal 10 2 10 2 2 2 7" xfId="3206" xr:uid="{00000000-0005-0000-0000-0000730C0000}"/>
    <cellStyle name="Normal 10 2 10 2 2 2 8" xfId="3207" xr:uid="{00000000-0005-0000-0000-0000740C0000}"/>
    <cellStyle name="Normal 10 2 10 2 2 2 9" xfId="3208" xr:uid="{00000000-0005-0000-0000-0000750C0000}"/>
    <cellStyle name="Normal 10 2 10 2 2 3" xfId="3209" xr:uid="{00000000-0005-0000-0000-0000760C0000}"/>
    <cellStyle name="Normal 10 2 10 2 2 3 10" xfId="3210" xr:uid="{00000000-0005-0000-0000-0000770C0000}"/>
    <cellStyle name="Normal 10 2 10 2 2 3 2" xfId="3211" xr:uid="{00000000-0005-0000-0000-0000780C0000}"/>
    <cellStyle name="Normal 10 2 10 2 2 3 3" xfId="3212" xr:uid="{00000000-0005-0000-0000-0000790C0000}"/>
    <cellStyle name="Normal 10 2 10 2 2 3 4" xfId="3213" xr:uid="{00000000-0005-0000-0000-00007A0C0000}"/>
    <cellStyle name="Normal 10 2 10 2 2 3 5" xfId="3214" xr:uid="{00000000-0005-0000-0000-00007B0C0000}"/>
    <cellStyle name="Normal 10 2 10 2 2 3 6" xfId="3215" xr:uid="{00000000-0005-0000-0000-00007C0C0000}"/>
    <cellStyle name="Normal 10 2 10 2 2 3 7" xfId="3216" xr:uid="{00000000-0005-0000-0000-00007D0C0000}"/>
    <cellStyle name="Normal 10 2 10 2 2 3 8" xfId="3217" xr:uid="{00000000-0005-0000-0000-00007E0C0000}"/>
    <cellStyle name="Normal 10 2 10 2 2 3 9" xfId="3218" xr:uid="{00000000-0005-0000-0000-00007F0C0000}"/>
    <cellStyle name="Normal 10 2 10 2 2 4" xfId="3219" xr:uid="{00000000-0005-0000-0000-0000800C0000}"/>
    <cellStyle name="Normal 10 2 10 2 2 4 10" xfId="3220" xr:uid="{00000000-0005-0000-0000-0000810C0000}"/>
    <cellStyle name="Normal 10 2 10 2 2 4 2" xfId="3221" xr:uid="{00000000-0005-0000-0000-0000820C0000}"/>
    <cellStyle name="Normal 10 2 10 2 2 4 3" xfId="3222" xr:uid="{00000000-0005-0000-0000-0000830C0000}"/>
    <cellStyle name="Normal 10 2 10 2 2 4 4" xfId="3223" xr:uid="{00000000-0005-0000-0000-0000840C0000}"/>
    <cellStyle name="Normal 10 2 10 2 2 4 5" xfId="3224" xr:uid="{00000000-0005-0000-0000-0000850C0000}"/>
    <cellStyle name="Normal 10 2 10 2 2 4 6" xfId="3225" xr:uid="{00000000-0005-0000-0000-0000860C0000}"/>
    <cellStyle name="Normal 10 2 10 2 2 4 7" xfId="3226" xr:uid="{00000000-0005-0000-0000-0000870C0000}"/>
    <cellStyle name="Normal 10 2 10 2 2 4 8" xfId="3227" xr:uid="{00000000-0005-0000-0000-0000880C0000}"/>
    <cellStyle name="Normal 10 2 10 2 2 4 9" xfId="3228" xr:uid="{00000000-0005-0000-0000-0000890C0000}"/>
    <cellStyle name="Normal 10 2 10 2 2 5" xfId="3229" xr:uid="{00000000-0005-0000-0000-00008A0C0000}"/>
    <cellStyle name="Normal 10 2 10 2 2 5 10" xfId="3230" xr:uid="{00000000-0005-0000-0000-00008B0C0000}"/>
    <cellStyle name="Normal 10 2 10 2 2 5 2" xfId="3231" xr:uid="{00000000-0005-0000-0000-00008C0C0000}"/>
    <cellStyle name="Normal 10 2 10 2 2 5 3" xfId="3232" xr:uid="{00000000-0005-0000-0000-00008D0C0000}"/>
    <cellStyle name="Normal 10 2 10 2 2 5 4" xfId="3233" xr:uid="{00000000-0005-0000-0000-00008E0C0000}"/>
    <cellStyle name="Normal 10 2 10 2 2 5 5" xfId="3234" xr:uid="{00000000-0005-0000-0000-00008F0C0000}"/>
    <cellStyle name="Normal 10 2 10 2 2 5 6" xfId="3235" xr:uid="{00000000-0005-0000-0000-0000900C0000}"/>
    <cellStyle name="Normal 10 2 10 2 2 5 7" xfId="3236" xr:uid="{00000000-0005-0000-0000-0000910C0000}"/>
    <cellStyle name="Normal 10 2 10 2 2 5 8" xfId="3237" xr:uid="{00000000-0005-0000-0000-0000920C0000}"/>
    <cellStyle name="Normal 10 2 10 2 2 5 9" xfId="3238" xr:uid="{00000000-0005-0000-0000-0000930C0000}"/>
    <cellStyle name="Normal 10 2 10 2 2 6" xfId="3239" xr:uid="{00000000-0005-0000-0000-0000940C0000}"/>
    <cellStyle name="Normal 10 2 10 2 2 7" xfId="3240" xr:uid="{00000000-0005-0000-0000-0000950C0000}"/>
    <cellStyle name="Normal 10 2 10 2 2 8" xfId="3241" xr:uid="{00000000-0005-0000-0000-0000960C0000}"/>
    <cellStyle name="Normal 10 2 10 2 2 9" xfId="3242" xr:uid="{00000000-0005-0000-0000-0000970C0000}"/>
    <cellStyle name="Normal 10 2 10 2 20" xfId="3243" xr:uid="{00000000-0005-0000-0000-0000980C0000}"/>
    <cellStyle name="Normal 10 2 10 2 20 10" xfId="3244" xr:uid="{00000000-0005-0000-0000-0000990C0000}"/>
    <cellStyle name="Normal 10 2 10 2 20 11" xfId="3245" xr:uid="{00000000-0005-0000-0000-00009A0C0000}"/>
    <cellStyle name="Normal 10 2 10 2 20 12" xfId="3246" xr:uid="{00000000-0005-0000-0000-00009B0C0000}"/>
    <cellStyle name="Normal 10 2 10 2 20 13" xfId="3247" xr:uid="{00000000-0005-0000-0000-00009C0C0000}"/>
    <cellStyle name="Normal 10 2 10 2 20 14" xfId="3248" xr:uid="{00000000-0005-0000-0000-00009D0C0000}"/>
    <cellStyle name="Normal 10 2 10 2 20 2" xfId="3249" xr:uid="{00000000-0005-0000-0000-00009E0C0000}"/>
    <cellStyle name="Normal 10 2 10 2 20 2 10" xfId="3250" xr:uid="{00000000-0005-0000-0000-00009F0C0000}"/>
    <cellStyle name="Normal 10 2 10 2 20 2 2" xfId="3251" xr:uid="{00000000-0005-0000-0000-0000A00C0000}"/>
    <cellStyle name="Normal 10 2 10 2 20 2 3" xfId="3252" xr:uid="{00000000-0005-0000-0000-0000A10C0000}"/>
    <cellStyle name="Normal 10 2 10 2 20 2 4" xfId="3253" xr:uid="{00000000-0005-0000-0000-0000A20C0000}"/>
    <cellStyle name="Normal 10 2 10 2 20 2 5" xfId="3254" xr:uid="{00000000-0005-0000-0000-0000A30C0000}"/>
    <cellStyle name="Normal 10 2 10 2 20 2 6" xfId="3255" xr:uid="{00000000-0005-0000-0000-0000A40C0000}"/>
    <cellStyle name="Normal 10 2 10 2 20 2 7" xfId="3256" xr:uid="{00000000-0005-0000-0000-0000A50C0000}"/>
    <cellStyle name="Normal 10 2 10 2 20 2 8" xfId="3257" xr:uid="{00000000-0005-0000-0000-0000A60C0000}"/>
    <cellStyle name="Normal 10 2 10 2 20 2 9" xfId="3258" xr:uid="{00000000-0005-0000-0000-0000A70C0000}"/>
    <cellStyle name="Normal 10 2 10 2 20 3" xfId="3259" xr:uid="{00000000-0005-0000-0000-0000A80C0000}"/>
    <cellStyle name="Normal 10 2 10 2 20 3 10" xfId="3260" xr:uid="{00000000-0005-0000-0000-0000A90C0000}"/>
    <cellStyle name="Normal 10 2 10 2 20 3 2" xfId="3261" xr:uid="{00000000-0005-0000-0000-0000AA0C0000}"/>
    <cellStyle name="Normal 10 2 10 2 20 3 3" xfId="3262" xr:uid="{00000000-0005-0000-0000-0000AB0C0000}"/>
    <cellStyle name="Normal 10 2 10 2 20 3 4" xfId="3263" xr:uid="{00000000-0005-0000-0000-0000AC0C0000}"/>
    <cellStyle name="Normal 10 2 10 2 20 3 5" xfId="3264" xr:uid="{00000000-0005-0000-0000-0000AD0C0000}"/>
    <cellStyle name="Normal 10 2 10 2 20 3 6" xfId="3265" xr:uid="{00000000-0005-0000-0000-0000AE0C0000}"/>
    <cellStyle name="Normal 10 2 10 2 20 3 7" xfId="3266" xr:uid="{00000000-0005-0000-0000-0000AF0C0000}"/>
    <cellStyle name="Normal 10 2 10 2 20 3 8" xfId="3267" xr:uid="{00000000-0005-0000-0000-0000B00C0000}"/>
    <cellStyle name="Normal 10 2 10 2 20 3 9" xfId="3268" xr:uid="{00000000-0005-0000-0000-0000B10C0000}"/>
    <cellStyle name="Normal 10 2 10 2 20 4" xfId="3269" xr:uid="{00000000-0005-0000-0000-0000B20C0000}"/>
    <cellStyle name="Normal 10 2 10 2 20 4 10" xfId="3270" xr:uid="{00000000-0005-0000-0000-0000B30C0000}"/>
    <cellStyle name="Normal 10 2 10 2 20 4 2" xfId="3271" xr:uid="{00000000-0005-0000-0000-0000B40C0000}"/>
    <cellStyle name="Normal 10 2 10 2 20 4 3" xfId="3272" xr:uid="{00000000-0005-0000-0000-0000B50C0000}"/>
    <cellStyle name="Normal 10 2 10 2 20 4 4" xfId="3273" xr:uid="{00000000-0005-0000-0000-0000B60C0000}"/>
    <cellStyle name="Normal 10 2 10 2 20 4 5" xfId="3274" xr:uid="{00000000-0005-0000-0000-0000B70C0000}"/>
    <cellStyle name="Normal 10 2 10 2 20 4 6" xfId="3275" xr:uid="{00000000-0005-0000-0000-0000B80C0000}"/>
    <cellStyle name="Normal 10 2 10 2 20 4 7" xfId="3276" xr:uid="{00000000-0005-0000-0000-0000B90C0000}"/>
    <cellStyle name="Normal 10 2 10 2 20 4 8" xfId="3277" xr:uid="{00000000-0005-0000-0000-0000BA0C0000}"/>
    <cellStyle name="Normal 10 2 10 2 20 4 9" xfId="3278" xr:uid="{00000000-0005-0000-0000-0000BB0C0000}"/>
    <cellStyle name="Normal 10 2 10 2 20 5" xfId="3279" xr:uid="{00000000-0005-0000-0000-0000BC0C0000}"/>
    <cellStyle name="Normal 10 2 10 2 20 5 10" xfId="3280" xr:uid="{00000000-0005-0000-0000-0000BD0C0000}"/>
    <cellStyle name="Normal 10 2 10 2 20 5 2" xfId="3281" xr:uid="{00000000-0005-0000-0000-0000BE0C0000}"/>
    <cellStyle name="Normal 10 2 10 2 20 5 3" xfId="3282" xr:uid="{00000000-0005-0000-0000-0000BF0C0000}"/>
    <cellStyle name="Normal 10 2 10 2 20 5 4" xfId="3283" xr:uid="{00000000-0005-0000-0000-0000C00C0000}"/>
    <cellStyle name="Normal 10 2 10 2 20 5 5" xfId="3284" xr:uid="{00000000-0005-0000-0000-0000C10C0000}"/>
    <cellStyle name="Normal 10 2 10 2 20 5 6" xfId="3285" xr:uid="{00000000-0005-0000-0000-0000C20C0000}"/>
    <cellStyle name="Normal 10 2 10 2 20 5 7" xfId="3286" xr:uid="{00000000-0005-0000-0000-0000C30C0000}"/>
    <cellStyle name="Normal 10 2 10 2 20 5 8" xfId="3287" xr:uid="{00000000-0005-0000-0000-0000C40C0000}"/>
    <cellStyle name="Normal 10 2 10 2 20 5 9" xfId="3288" xr:uid="{00000000-0005-0000-0000-0000C50C0000}"/>
    <cellStyle name="Normal 10 2 10 2 20 6" xfId="3289" xr:uid="{00000000-0005-0000-0000-0000C60C0000}"/>
    <cellStyle name="Normal 10 2 10 2 20 7" xfId="3290" xr:uid="{00000000-0005-0000-0000-0000C70C0000}"/>
    <cellStyle name="Normal 10 2 10 2 20 8" xfId="3291" xr:uid="{00000000-0005-0000-0000-0000C80C0000}"/>
    <cellStyle name="Normal 10 2 10 2 20 9" xfId="3292" xr:uid="{00000000-0005-0000-0000-0000C90C0000}"/>
    <cellStyle name="Normal 10 2 10 2 21" xfId="3293" xr:uid="{00000000-0005-0000-0000-0000CA0C0000}"/>
    <cellStyle name="Normal 10 2 10 2 21 10" xfId="3294" xr:uid="{00000000-0005-0000-0000-0000CB0C0000}"/>
    <cellStyle name="Normal 10 2 10 2 21 11" xfId="3295" xr:uid="{00000000-0005-0000-0000-0000CC0C0000}"/>
    <cellStyle name="Normal 10 2 10 2 21 12" xfId="3296" xr:uid="{00000000-0005-0000-0000-0000CD0C0000}"/>
    <cellStyle name="Normal 10 2 10 2 21 13" xfId="3297" xr:uid="{00000000-0005-0000-0000-0000CE0C0000}"/>
    <cellStyle name="Normal 10 2 10 2 21 14" xfId="3298" xr:uid="{00000000-0005-0000-0000-0000CF0C0000}"/>
    <cellStyle name="Normal 10 2 10 2 21 2" xfId="3299" xr:uid="{00000000-0005-0000-0000-0000D00C0000}"/>
    <cellStyle name="Normal 10 2 10 2 21 2 10" xfId="3300" xr:uid="{00000000-0005-0000-0000-0000D10C0000}"/>
    <cellStyle name="Normal 10 2 10 2 21 2 2" xfId="3301" xr:uid="{00000000-0005-0000-0000-0000D20C0000}"/>
    <cellStyle name="Normal 10 2 10 2 21 2 3" xfId="3302" xr:uid="{00000000-0005-0000-0000-0000D30C0000}"/>
    <cellStyle name="Normal 10 2 10 2 21 2 4" xfId="3303" xr:uid="{00000000-0005-0000-0000-0000D40C0000}"/>
    <cellStyle name="Normal 10 2 10 2 21 2 5" xfId="3304" xr:uid="{00000000-0005-0000-0000-0000D50C0000}"/>
    <cellStyle name="Normal 10 2 10 2 21 2 6" xfId="3305" xr:uid="{00000000-0005-0000-0000-0000D60C0000}"/>
    <cellStyle name="Normal 10 2 10 2 21 2 7" xfId="3306" xr:uid="{00000000-0005-0000-0000-0000D70C0000}"/>
    <cellStyle name="Normal 10 2 10 2 21 2 8" xfId="3307" xr:uid="{00000000-0005-0000-0000-0000D80C0000}"/>
    <cellStyle name="Normal 10 2 10 2 21 2 9" xfId="3308" xr:uid="{00000000-0005-0000-0000-0000D90C0000}"/>
    <cellStyle name="Normal 10 2 10 2 21 3" xfId="3309" xr:uid="{00000000-0005-0000-0000-0000DA0C0000}"/>
    <cellStyle name="Normal 10 2 10 2 21 3 10" xfId="3310" xr:uid="{00000000-0005-0000-0000-0000DB0C0000}"/>
    <cellStyle name="Normal 10 2 10 2 21 3 2" xfId="3311" xr:uid="{00000000-0005-0000-0000-0000DC0C0000}"/>
    <cellStyle name="Normal 10 2 10 2 21 3 3" xfId="3312" xr:uid="{00000000-0005-0000-0000-0000DD0C0000}"/>
    <cellStyle name="Normal 10 2 10 2 21 3 4" xfId="3313" xr:uid="{00000000-0005-0000-0000-0000DE0C0000}"/>
    <cellStyle name="Normal 10 2 10 2 21 3 5" xfId="3314" xr:uid="{00000000-0005-0000-0000-0000DF0C0000}"/>
    <cellStyle name="Normal 10 2 10 2 21 3 6" xfId="3315" xr:uid="{00000000-0005-0000-0000-0000E00C0000}"/>
    <cellStyle name="Normal 10 2 10 2 21 3 7" xfId="3316" xr:uid="{00000000-0005-0000-0000-0000E10C0000}"/>
    <cellStyle name="Normal 10 2 10 2 21 3 8" xfId="3317" xr:uid="{00000000-0005-0000-0000-0000E20C0000}"/>
    <cellStyle name="Normal 10 2 10 2 21 3 9" xfId="3318" xr:uid="{00000000-0005-0000-0000-0000E30C0000}"/>
    <cellStyle name="Normal 10 2 10 2 21 4" xfId="3319" xr:uid="{00000000-0005-0000-0000-0000E40C0000}"/>
    <cellStyle name="Normal 10 2 10 2 21 4 10" xfId="3320" xr:uid="{00000000-0005-0000-0000-0000E50C0000}"/>
    <cellStyle name="Normal 10 2 10 2 21 4 2" xfId="3321" xr:uid="{00000000-0005-0000-0000-0000E60C0000}"/>
    <cellStyle name="Normal 10 2 10 2 21 4 3" xfId="3322" xr:uid="{00000000-0005-0000-0000-0000E70C0000}"/>
    <cellStyle name="Normal 10 2 10 2 21 4 4" xfId="3323" xr:uid="{00000000-0005-0000-0000-0000E80C0000}"/>
    <cellStyle name="Normal 10 2 10 2 21 4 5" xfId="3324" xr:uid="{00000000-0005-0000-0000-0000E90C0000}"/>
    <cellStyle name="Normal 10 2 10 2 21 4 6" xfId="3325" xr:uid="{00000000-0005-0000-0000-0000EA0C0000}"/>
    <cellStyle name="Normal 10 2 10 2 21 4 7" xfId="3326" xr:uid="{00000000-0005-0000-0000-0000EB0C0000}"/>
    <cellStyle name="Normal 10 2 10 2 21 4 8" xfId="3327" xr:uid="{00000000-0005-0000-0000-0000EC0C0000}"/>
    <cellStyle name="Normal 10 2 10 2 21 4 9" xfId="3328" xr:uid="{00000000-0005-0000-0000-0000ED0C0000}"/>
    <cellStyle name="Normal 10 2 10 2 21 5" xfId="3329" xr:uid="{00000000-0005-0000-0000-0000EE0C0000}"/>
    <cellStyle name="Normal 10 2 10 2 21 5 10" xfId="3330" xr:uid="{00000000-0005-0000-0000-0000EF0C0000}"/>
    <cellStyle name="Normal 10 2 10 2 21 5 2" xfId="3331" xr:uid="{00000000-0005-0000-0000-0000F00C0000}"/>
    <cellStyle name="Normal 10 2 10 2 21 5 3" xfId="3332" xr:uid="{00000000-0005-0000-0000-0000F10C0000}"/>
    <cellStyle name="Normal 10 2 10 2 21 5 4" xfId="3333" xr:uid="{00000000-0005-0000-0000-0000F20C0000}"/>
    <cellStyle name="Normal 10 2 10 2 21 5 5" xfId="3334" xr:uid="{00000000-0005-0000-0000-0000F30C0000}"/>
    <cellStyle name="Normal 10 2 10 2 21 5 6" xfId="3335" xr:uid="{00000000-0005-0000-0000-0000F40C0000}"/>
    <cellStyle name="Normal 10 2 10 2 21 5 7" xfId="3336" xr:uid="{00000000-0005-0000-0000-0000F50C0000}"/>
    <cellStyle name="Normal 10 2 10 2 21 5 8" xfId="3337" xr:uid="{00000000-0005-0000-0000-0000F60C0000}"/>
    <cellStyle name="Normal 10 2 10 2 21 5 9" xfId="3338" xr:uid="{00000000-0005-0000-0000-0000F70C0000}"/>
    <cellStyle name="Normal 10 2 10 2 21 6" xfId="3339" xr:uid="{00000000-0005-0000-0000-0000F80C0000}"/>
    <cellStyle name="Normal 10 2 10 2 21 7" xfId="3340" xr:uid="{00000000-0005-0000-0000-0000F90C0000}"/>
    <cellStyle name="Normal 10 2 10 2 21 8" xfId="3341" xr:uid="{00000000-0005-0000-0000-0000FA0C0000}"/>
    <cellStyle name="Normal 10 2 10 2 21 9" xfId="3342" xr:uid="{00000000-0005-0000-0000-0000FB0C0000}"/>
    <cellStyle name="Normal 10 2 10 2 22" xfId="3343" xr:uid="{00000000-0005-0000-0000-0000FC0C0000}"/>
    <cellStyle name="Normal 10 2 10 2 22 10" xfId="3344" xr:uid="{00000000-0005-0000-0000-0000FD0C0000}"/>
    <cellStyle name="Normal 10 2 10 2 22 11" xfId="3345" xr:uid="{00000000-0005-0000-0000-0000FE0C0000}"/>
    <cellStyle name="Normal 10 2 10 2 22 12" xfId="3346" xr:uid="{00000000-0005-0000-0000-0000FF0C0000}"/>
    <cellStyle name="Normal 10 2 10 2 22 13" xfId="3347" xr:uid="{00000000-0005-0000-0000-0000000D0000}"/>
    <cellStyle name="Normal 10 2 10 2 22 14" xfId="3348" xr:uid="{00000000-0005-0000-0000-0000010D0000}"/>
    <cellStyle name="Normal 10 2 10 2 22 2" xfId="3349" xr:uid="{00000000-0005-0000-0000-0000020D0000}"/>
    <cellStyle name="Normal 10 2 10 2 22 2 10" xfId="3350" xr:uid="{00000000-0005-0000-0000-0000030D0000}"/>
    <cellStyle name="Normal 10 2 10 2 22 2 2" xfId="3351" xr:uid="{00000000-0005-0000-0000-0000040D0000}"/>
    <cellStyle name="Normal 10 2 10 2 22 2 3" xfId="3352" xr:uid="{00000000-0005-0000-0000-0000050D0000}"/>
    <cellStyle name="Normal 10 2 10 2 22 2 4" xfId="3353" xr:uid="{00000000-0005-0000-0000-0000060D0000}"/>
    <cellStyle name="Normal 10 2 10 2 22 2 5" xfId="3354" xr:uid="{00000000-0005-0000-0000-0000070D0000}"/>
    <cellStyle name="Normal 10 2 10 2 22 2 6" xfId="3355" xr:uid="{00000000-0005-0000-0000-0000080D0000}"/>
    <cellStyle name="Normal 10 2 10 2 22 2 7" xfId="3356" xr:uid="{00000000-0005-0000-0000-0000090D0000}"/>
    <cellStyle name="Normal 10 2 10 2 22 2 8" xfId="3357" xr:uid="{00000000-0005-0000-0000-00000A0D0000}"/>
    <cellStyle name="Normal 10 2 10 2 22 2 9" xfId="3358" xr:uid="{00000000-0005-0000-0000-00000B0D0000}"/>
    <cellStyle name="Normal 10 2 10 2 22 3" xfId="3359" xr:uid="{00000000-0005-0000-0000-00000C0D0000}"/>
    <cellStyle name="Normal 10 2 10 2 22 3 10" xfId="3360" xr:uid="{00000000-0005-0000-0000-00000D0D0000}"/>
    <cellStyle name="Normal 10 2 10 2 22 3 2" xfId="3361" xr:uid="{00000000-0005-0000-0000-00000E0D0000}"/>
    <cellStyle name="Normal 10 2 10 2 22 3 3" xfId="3362" xr:uid="{00000000-0005-0000-0000-00000F0D0000}"/>
    <cellStyle name="Normal 10 2 10 2 22 3 4" xfId="3363" xr:uid="{00000000-0005-0000-0000-0000100D0000}"/>
    <cellStyle name="Normal 10 2 10 2 22 3 5" xfId="3364" xr:uid="{00000000-0005-0000-0000-0000110D0000}"/>
    <cellStyle name="Normal 10 2 10 2 22 3 6" xfId="3365" xr:uid="{00000000-0005-0000-0000-0000120D0000}"/>
    <cellStyle name="Normal 10 2 10 2 22 3 7" xfId="3366" xr:uid="{00000000-0005-0000-0000-0000130D0000}"/>
    <cellStyle name="Normal 10 2 10 2 22 3 8" xfId="3367" xr:uid="{00000000-0005-0000-0000-0000140D0000}"/>
    <cellStyle name="Normal 10 2 10 2 22 3 9" xfId="3368" xr:uid="{00000000-0005-0000-0000-0000150D0000}"/>
    <cellStyle name="Normal 10 2 10 2 22 4" xfId="3369" xr:uid="{00000000-0005-0000-0000-0000160D0000}"/>
    <cellStyle name="Normal 10 2 10 2 22 4 10" xfId="3370" xr:uid="{00000000-0005-0000-0000-0000170D0000}"/>
    <cellStyle name="Normal 10 2 10 2 22 4 2" xfId="3371" xr:uid="{00000000-0005-0000-0000-0000180D0000}"/>
    <cellStyle name="Normal 10 2 10 2 22 4 3" xfId="3372" xr:uid="{00000000-0005-0000-0000-0000190D0000}"/>
    <cellStyle name="Normal 10 2 10 2 22 4 4" xfId="3373" xr:uid="{00000000-0005-0000-0000-00001A0D0000}"/>
    <cellStyle name="Normal 10 2 10 2 22 4 5" xfId="3374" xr:uid="{00000000-0005-0000-0000-00001B0D0000}"/>
    <cellStyle name="Normal 10 2 10 2 22 4 6" xfId="3375" xr:uid="{00000000-0005-0000-0000-00001C0D0000}"/>
    <cellStyle name="Normal 10 2 10 2 22 4 7" xfId="3376" xr:uid="{00000000-0005-0000-0000-00001D0D0000}"/>
    <cellStyle name="Normal 10 2 10 2 22 4 8" xfId="3377" xr:uid="{00000000-0005-0000-0000-00001E0D0000}"/>
    <cellStyle name="Normal 10 2 10 2 22 4 9" xfId="3378" xr:uid="{00000000-0005-0000-0000-00001F0D0000}"/>
    <cellStyle name="Normal 10 2 10 2 22 5" xfId="3379" xr:uid="{00000000-0005-0000-0000-0000200D0000}"/>
    <cellStyle name="Normal 10 2 10 2 22 5 10" xfId="3380" xr:uid="{00000000-0005-0000-0000-0000210D0000}"/>
    <cellStyle name="Normal 10 2 10 2 22 5 2" xfId="3381" xr:uid="{00000000-0005-0000-0000-0000220D0000}"/>
    <cellStyle name="Normal 10 2 10 2 22 5 3" xfId="3382" xr:uid="{00000000-0005-0000-0000-0000230D0000}"/>
    <cellStyle name="Normal 10 2 10 2 22 5 4" xfId="3383" xr:uid="{00000000-0005-0000-0000-0000240D0000}"/>
    <cellStyle name="Normal 10 2 10 2 22 5 5" xfId="3384" xr:uid="{00000000-0005-0000-0000-0000250D0000}"/>
    <cellStyle name="Normal 10 2 10 2 22 5 6" xfId="3385" xr:uid="{00000000-0005-0000-0000-0000260D0000}"/>
    <cellStyle name="Normal 10 2 10 2 22 5 7" xfId="3386" xr:uid="{00000000-0005-0000-0000-0000270D0000}"/>
    <cellStyle name="Normal 10 2 10 2 22 5 8" xfId="3387" xr:uid="{00000000-0005-0000-0000-0000280D0000}"/>
    <cellStyle name="Normal 10 2 10 2 22 5 9" xfId="3388" xr:uid="{00000000-0005-0000-0000-0000290D0000}"/>
    <cellStyle name="Normal 10 2 10 2 22 6" xfId="3389" xr:uid="{00000000-0005-0000-0000-00002A0D0000}"/>
    <cellStyle name="Normal 10 2 10 2 22 7" xfId="3390" xr:uid="{00000000-0005-0000-0000-00002B0D0000}"/>
    <cellStyle name="Normal 10 2 10 2 22 8" xfId="3391" xr:uid="{00000000-0005-0000-0000-00002C0D0000}"/>
    <cellStyle name="Normal 10 2 10 2 22 9" xfId="3392" xr:uid="{00000000-0005-0000-0000-00002D0D0000}"/>
    <cellStyle name="Normal 10 2 10 2 23" xfId="3393" xr:uid="{00000000-0005-0000-0000-00002E0D0000}"/>
    <cellStyle name="Normal 10 2 10 2 23 10" xfId="3394" xr:uid="{00000000-0005-0000-0000-00002F0D0000}"/>
    <cellStyle name="Normal 10 2 10 2 23 11" xfId="3395" xr:uid="{00000000-0005-0000-0000-0000300D0000}"/>
    <cellStyle name="Normal 10 2 10 2 23 12" xfId="3396" xr:uid="{00000000-0005-0000-0000-0000310D0000}"/>
    <cellStyle name="Normal 10 2 10 2 23 13" xfId="3397" xr:uid="{00000000-0005-0000-0000-0000320D0000}"/>
    <cellStyle name="Normal 10 2 10 2 23 14" xfId="3398" xr:uid="{00000000-0005-0000-0000-0000330D0000}"/>
    <cellStyle name="Normal 10 2 10 2 23 2" xfId="3399" xr:uid="{00000000-0005-0000-0000-0000340D0000}"/>
    <cellStyle name="Normal 10 2 10 2 23 2 10" xfId="3400" xr:uid="{00000000-0005-0000-0000-0000350D0000}"/>
    <cellStyle name="Normal 10 2 10 2 23 2 2" xfId="3401" xr:uid="{00000000-0005-0000-0000-0000360D0000}"/>
    <cellStyle name="Normal 10 2 10 2 23 2 3" xfId="3402" xr:uid="{00000000-0005-0000-0000-0000370D0000}"/>
    <cellStyle name="Normal 10 2 10 2 23 2 4" xfId="3403" xr:uid="{00000000-0005-0000-0000-0000380D0000}"/>
    <cellStyle name="Normal 10 2 10 2 23 2 5" xfId="3404" xr:uid="{00000000-0005-0000-0000-0000390D0000}"/>
    <cellStyle name="Normal 10 2 10 2 23 2 6" xfId="3405" xr:uid="{00000000-0005-0000-0000-00003A0D0000}"/>
    <cellStyle name="Normal 10 2 10 2 23 2 7" xfId="3406" xr:uid="{00000000-0005-0000-0000-00003B0D0000}"/>
    <cellStyle name="Normal 10 2 10 2 23 2 8" xfId="3407" xr:uid="{00000000-0005-0000-0000-00003C0D0000}"/>
    <cellStyle name="Normal 10 2 10 2 23 2 9" xfId="3408" xr:uid="{00000000-0005-0000-0000-00003D0D0000}"/>
    <cellStyle name="Normal 10 2 10 2 23 3" xfId="3409" xr:uid="{00000000-0005-0000-0000-00003E0D0000}"/>
    <cellStyle name="Normal 10 2 10 2 23 3 10" xfId="3410" xr:uid="{00000000-0005-0000-0000-00003F0D0000}"/>
    <cellStyle name="Normal 10 2 10 2 23 3 2" xfId="3411" xr:uid="{00000000-0005-0000-0000-0000400D0000}"/>
    <cellStyle name="Normal 10 2 10 2 23 3 3" xfId="3412" xr:uid="{00000000-0005-0000-0000-0000410D0000}"/>
    <cellStyle name="Normal 10 2 10 2 23 3 4" xfId="3413" xr:uid="{00000000-0005-0000-0000-0000420D0000}"/>
    <cellStyle name="Normal 10 2 10 2 23 3 5" xfId="3414" xr:uid="{00000000-0005-0000-0000-0000430D0000}"/>
    <cellStyle name="Normal 10 2 10 2 23 3 6" xfId="3415" xr:uid="{00000000-0005-0000-0000-0000440D0000}"/>
    <cellStyle name="Normal 10 2 10 2 23 3 7" xfId="3416" xr:uid="{00000000-0005-0000-0000-0000450D0000}"/>
    <cellStyle name="Normal 10 2 10 2 23 3 8" xfId="3417" xr:uid="{00000000-0005-0000-0000-0000460D0000}"/>
    <cellStyle name="Normal 10 2 10 2 23 3 9" xfId="3418" xr:uid="{00000000-0005-0000-0000-0000470D0000}"/>
    <cellStyle name="Normal 10 2 10 2 23 4" xfId="3419" xr:uid="{00000000-0005-0000-0000-0000480D0000}"/>
    <cellStyle name="Normal 10 2 10 2 23 4 10" xfId="3420" xr:uid="{00000000-0005-0000-0000-0000490D0000}"/>
    <cellStyle name="Normal 10 2 10 2 23 4 2" xfId="3421" xr:uid="{00000000-0005-0000-0000-00004A0D0000}"/>
    <cellStyle name="Normal 10 2 10 2 23 4 3" xfId="3422" xr:uid="{00000000-0005-0000-0000-00004B0D0000}"/>
    <cellStyle name="Normal 10 2 10 2 23 4 4" xfId="3423" xr:uid="{00000000-0005-0000-0000-00004C0D0000}"/>
    <cellStyle name="Normal 10 2 10 2 23 4 5" xfId="3424" xr:uid="{00000000-0005-0000-0000-00004D0D0000}"/>
    <cellStyle name="Normal 10 2 10 2 23 4 6" xfId="3425" xr:uid="{00000000-0005-0000-0000-00004E0D0000}"/>
    <cellStyle name="Normal 10 2 10 2 23 4 7" xfId="3426" xr:uid="{00000000-0005-0000-0000-00004F0D0000}"/>
    <cellStyle name="Normal 10 2 10 2 23 4 8" xfId="3427" xr:uid="{00000000-0005-0000-0000-0000500D0000}"/>
    <cellStyle name="Normal 10 2 10 2 23 4 9" xfId="3428" xr:uid="{00000000-0005-0000-0000-0000510D0000}"/>
    <cellStyle name="Normal 10 2 10 2 23 5" xfId="3429" xr:uid="{00000000-0005-0000-0000-0000520D0000}"/>
    <cellStyle name="Normal 10 2 10 2 23 5 10" xfId="3430" xr:uid="{00000000-0005-0000-0000-0000530D0000}"/>
    <cellStyle name="Normal 10 2 10 2 23 5 2" xfId="3431" xr:uid="{00000000-0005-0000-0000-0000540D0000}"/>
    <cellStyle name="Normal 10 2 10 2 23 5 3" xfId="3432" xr:uid="{00000000-0005-0000-0000-0000550D0000}"/>
    <cellStyle name="Normal 10 2 10 2 23 5 4" xfId="3433" xr:uid="{00000000-0005-0000-0000-0000560D0000}"/>
    <cellStyle name="Normal 10 2 10 2 23 5 5" xfId="3434" xr:uid="{00000000-0005-0000-0000-0000570D0000}"/>
    <cellStyle name="Normal 10 2 10 2 23 5 6" xfId="3435" xr:uid="{00000000-0005-0000-0000-0000580D0000}"/>
    <cellStyle name="Normal 10 2 10 2 23 5 7" xfId="3436" xr:uid="{00000000-0005-0000-0000-0000590D0000}"/>
    <cellStyle name="Normal 10 2 10 2 23 5 8" xfId="3437" xr:uid="{00000000-0005-0000-0000-00005A0D0000}"/>
    <cellStyle name="Normal 10 2 10 2 23 5 9" xfId="3438" xr:uid="{00000000-0005-0000-0000-00005B0D0000}"/>
    <cellStyle name="Normal 10 2 10 2 23 6" xfId="3439" xr:uid="{00000000-0005-0000-0000-00005C0D0000}"/>
    <cellStyle name="Normal 10 2 10 2 23 7" xfId="3440" xr:uid="{00000000-0005-0000-0000-00005D0D0000}"/>
    <cellStyle name="Normal 10 2 10 2 23 8" xfId="3441" xr:uid="{00000000-0005-0000-0000-00005E0D0000}"/>
    <cellStyle name="Normal 10 2 10 2 23 9" xfId="3442" xr:uid="{00000000-0005-0000-0000-00005F0D0000}"/>
    <cellStyle name="Normal 10 2 10 2 24" xfId="3443" xr:uid="{00000000-0005-0000-0000-0000600D0000}"/>
    <cellStyle name="Normal 10 2 10 2 24 10" xfId="3444" xr:uid="{00000000-0005-0000-0000-0000610D0000}"/>
    <cellStyle name="Normal 10 2 10 2 24 11" xfId="3445" xr:uid="{00000000-0005-0000-0000-0000620D0000}"/>
    <cellStyle name="Normal 10 2 10 2 24 12" xfId="3446" xr:uid="{00000000-0005-0000-0000-0000630D0000}"/>
    <cellStyle name="Normal 10 2 10 2 24 13" xfId="3447" xr:uid="{00000000-0005-0000-0000-0000640D0000}"/>
    <cellStyle name="Normal 10 2 10 2 24 14" xfId="3448" xr:uid="{00000000-0005-0000-0000-0000650D0000}"/>
    <cellStyle name="Normal 10 2 10 2 24 2" xfId="3449" xr:uid="{00000000-0005-0000-0000-0000660D0000}"/>
    <cellStyle name="Normal 10 2 10 2 24 2 10" xfId="3450" xr:uid="{00000000-0005-0000-0000-0000670D0000}"/>
    <cellStyle name="Normal 10 2 10 2 24 2 2" xfId="3451" xr:uid="{00000000-0005-0000-0000-0000680D0000}"/>
    <cellStyle name="Normal 10 2 10 2 24 2 3" xfId="3452" xr:uid="{00000000-0005-0000-0000-0000690D0000}"/>
    <cellStyle name="Normal 10 2 10 2 24 2 4" xfId="3453" xr:uid="{00000000-0005-0000-0000-00006A0D0000}"/>
    <cellStyle name="Normal 10 2 10 2 24 2 5" xfId="3454" xr:uid="{00000000-0005-0000-0000-00006B0D0000}"/>
    <cellStyle name="Normal 10 2 10 2 24 2 6" xfId="3455" xr:uid="{00000000-0005-0000-0000-00006C0D0000}"/>
    <cellStyle name="Normal 10 2 10 2 24 2 7" xfId="3456" xr:uid="{00000000-0005-0000-0000-00006D0D0000}"/>
    <cellStyle name="Normal 10 2 10 2 24 2 8" xfId="3457" xr:uid="{00000000-0005-0000-0000-00006E0D0000}"/>
    <cellStyle name="Normal 10 2 10 2 24 2 9" xfId="3458" xr:uid="{00000000-0005-0000-0000-00006F0D0000}"/>
    <cellStyle name="Normal 10 2 10 2 24 3" xfId="3459" xr:uid="{00000000-0005-0000-0000-0000700D0000}"/>
    <cellStyle name="Normal 10 2 10 2 24 3 10" xfId="3460" xr:uid="{00000000-0005-0000-0000-0000710D0000}"/>
    <cellStyle name="Normal 10 2 10 2 24 3 2" xfId="3461" xr:uid="{00000000-0005-0000-0000-0000720D0000}"/>
    <cellStyle name="Normal 10 2 10 2 24 3 3" xfId="3462" xr:uid="{00000000-0005-0000-0000-0000730D0000}"/>
    <cellStyle name="Normal 10 2 10 2 24 3 4" xfId="3463" xr:uid="{00000000-0005-0000-0000-0000740D0000}"/>
    <cellStyle name="Normal 10 2 10 2 24 3 5" xfId="3464" xr:uid="{00000000-0005-0000-0000-0000750D0000}"/>
    <cellStyle name="Normal 10 2 10 2 24 3 6" xfId="3465" xr:uid="{00000000-0005-0000-0000-0000760D0000}"/>
    <cellStyle name="Normal 10 2 10 2 24 3 7" xfId="3466" xr:uid="{00000000-0005-0000-0000-0000770D0000}"/>
    <cellStyle name="Normal 10 2 10 2 24 3 8" xfId="3467" xr:uid="{00000000-0005-0000-0000-0000780D0000}"/>
    <cellStyle name="Normal 10 2 10 2 24 3 9" xfId="3468" xr:uid="{00000000-0005-0000-0000-0000790D0000}"/>
    <cellStyle name="Normal 10 2 10 2 24 4" xfId="3469" xr:uid="{00000000-0005-0000-0000-00007A0D0000}"/>
    <cellStyle name="Normal 10 2 10 2 24 4 10" xfId="3470" xr:uid="{00000000-0005-0000-0000-00007B0D0000}"/>
    <cellStyle name="Normal 10 2 10 2 24 4 2" xfId="3471" xr:uid="{00000000-0005-0000-0000-00007C0D0000}"/>
    <cellStyle name="Normal 10 2 10 2 24 4 3" xfId="3472" xr:uid="{00000000-0005-0000-0000-00007D0D0000}"/>
    <cellStyle name="Normal 10 2 10 2 24 4 4" xfId="3473" xr:uid="{00000000-0005-0000-0000-00007E0D0000}"/>
    <cellStyle name="Normal 10 2 10 2 24 4 5" xfId="3474" xr:uid="{00000000-0005-0000-0000-00007F0D0000}"/>
    <cellStyle name="Normal 10 2 10 2 24 4 6" xfId="3475" xr:uid="{00000000-0005-0000-0000-0000800D0000}"/>
    <cellStyle name="Normal 10 2 10 2 24 4 7" xfId="3476" xr:uid="{00000000-0005-0000-0000-0000810D0000}"/>
    <cellStyle name="Normal 10 2 10 2 24 4 8" xfId="3477" xr:uid="{00000000-0005-0000-0000-0000820D0000}"/>
    <cellStyle name="Normal 10 2 10 2 24 4 9" xfId="3478" xr:uid="{00000000-0005-0000-0000-0000830D0000}"/>
    <cellStyle name="Normal 10 2 10 2 24 5" xfId="3479" xr:uid="{00000000-0005-0000-0000-0000840D0000}"/>
    <cellStyle name="Normal 10 2 10 2 24 5 10" xfId="3480" xr:uid="{00000000-0005-0000-0000-0000850D0000}"/>
    <cellStyle name="Normal 10 2 10 2 24 5 2" xfId="3481" xr:uid="{00000000-0005-0000-0000-0000860D0000}"/>
    <cellStyle name="Normal 10 2 10 2 24 5 3" xfId="3482" xr:uid="{00000000-0005-0000-0000-0000870D0000}"/>
    <cellStyle name="Normal 10 2 10 2 24 5 4" xfId="3483" xr:uid="{00000000-0005-0000-0000-0000880D0000}"/>
    <cellStyle name="Normal 10 2 10 2 24 5 5" xfId="3484" xr:uid="{00000000-0005-0000-0000-0000890D0000}"/>
    <cellStyle name="Normal 10 2 10 2 24 5 6" xfId="3485" xr:uid="{00000000-0005-0000-0000-00008A0D0000}"/>
    <cellStyle name="Normal 10 2 10 2 24 5 7" xfId="3486" xr:uid="{00000000-0005-0000-0000-00008B0D0000}"/>
    <cellStyle name="Normal 10 2 10 2 24 5 8" xfId="3487" xr:uid="{00000000-0005-0000-0000-00008C0D0000}"/>
    <cellStyle name="Normal 10 2 10 2 24 5 9" xfId="3488" xr:uid="{00000000-0005-0000-0000-00008D0D0000}"/>
    <cellStyle name="Normal 10 2 10 2 24 6" xfId="3489" xr:uid="{00000000-0005-0000-0000-00008E0D0000}"/>
    <cellStyle name="Normal 10 2 10 2 24 7" xfId="3490" xr:uid="{00000000-0005-0000-0000-00008F0D0000}"/>
    <cellStyle name="Normal 10 2 10 2 24 8" xfId="3491" xr:uid="{00000000-0005-0000-0000-0000900D0000}"/>
    <cellStyle name="Normal 10 2 10 2 24 9" xfId="3492" xr:uid="{00000000-0005-0000-0000-0000910D0000}"/>
    <cellStyle name="Normal 10 2 10 2 25" xfId="3493" xr:uid="{00000000-0005-0000-0000-0000920D0000}"/>
    <cellStyle name="Normal 10 2 10 2 25 10" xfId="3494" xr:uid="{00000000-0005-0000-0000-0000930D0000}"/>
    <cellStyle name="Normal 10 2 10 2 25 11" xfId="3495" xr:uid="{00000000-0005-0000-0000-0000940D0000}"/>
    <cellStyle name="Normal 10 2 10 2 25 12" xfId="3496" xr:uid="{00000000-0005-0000-0000-0000950D0000}"/>
    <cellStyle name="Normal 10 2 10 2 25 13" xfId="3497" xr:uid="{00000000-0005-0000-0000-0000960D0000}"/>
    <cellStyle name="Normal 10 2 10 2 25 14" xfId="3498" xr:uid="{00000000-0005-0000-0000-0000970D0000}"/>
    <cellStyle name="Normal 10 2 10 2 25 2" xfId="3499" xr:uid="{00000000-0005-0000-0000-0000980D0000}"/>
    <cellStyle name="Normal 10 2 10 2 25 2 10" xfId="3500" xr:uid="{00000000-0005-0000-0000-0000990D0000}"/>
    <cellStyle name="Normal 10 2 10 2 25 2 2" xfId="3501" xr:uid="{00000000-0005-0000-0000-00009A0D0000}"/>
    <cellStyle name="Normal 10 2 10 2 25 2 3" xfId="3502" xr:uid="{00000000-0005-0000-0000-00009B0D0000}"/>
    <cellStyle name="Normal 10 2 10 2 25 2 4" xfId="3503" xr:uid="{00000000-0005-0000-0000-00009C0D0000}"/>
    <cellStyle name="Normal 10 2 10 2 25 2 5" xfId="3504" xr:uid="{00000000-0005-0000-0000-00009D0D0000}"/>
    <cellStyle name="Normal 10 2 10 2 25 2 6" xfId="3505" xr:uid="{00000000-0005-0000-0000-00009E0D0000}"/>
    <cellStyle name="Normal 10 2 10 2 25 2 7" xfId="3506" xr:uid="{00000000-0005-0000-0000-00009F0D0000}"/>
    <cellStyle name="Normal 10 2 10 2 25 2 8" xfId="3507" xr:uid="{00000000-0005-0000-0000-0000A00D0000}"/>
    <cellStyle name="Normal 10 2 10 2 25 2 9" xfId="3508" xr:uid="{00000000-0005-0000-0000-0000A10D0000}"/>
    <cellStyle name="Normal 10 2 10 2 25 3" xfId="3509" xr:uid="{00000000-0005-0000-0000-0000A20D0000}"/>
    <cellStyle name="Normal 10 2 10 2 25 3 10" xfId="3510" xr:uid="{00000000-0005-0000-0000-0000A30D0000}"/>
    <cellStyle name="Normal 10 2 10 2 25 3 2" xfId="3511" xr:uid="{00000000-0005-0000-0000-0000A40D0000}"/>
    <cellStyle name="Normal 10 2 10 2 25 3 3" xfId="3512" xr:uid="{00000000-0005-0000-0000-0000A50D0000}"/>
    <cellStyle name="Normal 10 2 10 2 25 3 4" xfId="3513" xr:uid="{00000000-0005-0000-0000-0000A60D0000}"/>
    <cellStyle name="Normal 10 2 10 2 25 3 5" xfId="3514" xr:uid="{00000000-0005-0000-0000-0000A70D0000}"/>
    <cellStyle name="Normal 10 2 10 2 25 3 6" xfId="3515" xr:uid="{00000000-0005-0000-0000-0000A80D0000}"/>
    <cellStyle name="Normal 10 2 10 2 25 3 7" xfId="3516" xr:uid="{00000000-0005-0000-0000-0000A90D0000}"/>
    <cellStyle name="Normal 10 2 10 2 25 3 8" xfId="3517" xr:uid="{00000000-0005-0000-0000-0000AA0D0000}"/>
    <cellStyle name="Normal 10 2 10 2 25 3 9" xfId="3518" xr:uid="{00000000-0005-0000-0000-0000AB0D0000}"/>
    <cellStyle name="Normal 10 2 10 2 25 4" xfId="3519" xr:uid="{00000000-0005-0000-0000-0000AC0D0000}"/>
    <cellStyle name="Normal 10 2 10 2 25 4 10" xfId="3520" xr:uid="{00000000-0005-0000-0000-0000AD0D0000}"/>
    <cellStyle name="Normal 10 2 10 2 25 4 2" xfId="3521" xr:uid="{00000000-0005-0000-0000-0000AE0D0000}"/>
    <cellStyle name="Normal 10 2 10 2 25 4 3" xfId="3522" xr:uid="{00000000-0005-0000-0000-0000AF0D0000}"/>
    <cellStyle name="Normal 10 2 10 2 25 4 4" xfId="3523" xr:uid="{00000000-0005-0000-0000-0000B00D0000}"/>
    <cellStyle name="Normal 10 2 10 2 25 4 5" xfId="3524" xr:uid="{00000000-0005-0000-0000-0000B10D0000}"/>
    <cellStyle name="Normal 10 2 10 2 25 4 6" xfId="3525" xr:uid="{00000000-0005-0000-0000-0000B20D0000}"/>
    <cellStyle name="Normal 10 2 10 2 25 4 7" xfId="3526" xr:uid="{00000000-0005-0000-0000-0000B30D0000}"/>
    <cellStyle name="Normal 10 2 10 2 25 4 8" xfId="3527" xr:uid="{00000000-0005-0000-0000-0000B40D0000}"/>
    <cellStyle name="Normal 10 2 10 2 25 4 9" xfId="3528" xr:uid="{00000000-0005-0000-0000-0000B50D0000}"/>
    <cellStyle name="Normal 10 2 10 2 25 5" xfId="3529" xr:uid="{00000000-0005-0000-0000-0000B60D0000}"/>
    <cellStyle name="Normal 10 2 10 2 25 5 10" xfId="3530" xr:uid="{00000000-0005-0000-0000-0000B70D0000}"/>
    <cellStyle name="Normal 10 2 10 2 25 5 2" xfId="3531" xr:uid="{00000000-0005-0000-0000-0000B80D0000}"/>
    <cellStyle name="Normal 10 2 10 2 25 5 3" xfId="3532" xr:uid="{00000000-0005-0000-0000-0000B90D0000}"/>
    <cellStyle name="Normal 10 2 10 2 25 5 4" xfId="3533" xr:uid="{00000000-0005-0000-0000-0000BA0D0000}"/>
    <cellStyle name="Normal 10 2 10 2 25 5 5" xfId="3534" xr:uid="{00000000-0005-0000-0000-0000BB0D0000}"/>
    <cellStyle name="Normal 10 2 10 2 25 5 6" xfId="3535" xr:uid="{00000000-0005-0000-0000-0000BC0D0000}"/>
    <cellStyle name="Normal 10 2 10 2 25 5 7" xfId="3536" xr:uid="{00000000-0005-0000-0000-0000BD0D0000}"/>
    <cellStyle name="Normal 10 2 10 2 25 5 8" xfId="3537" xr:uid="{00000000-0005-0000-0000-0000BE0D0000}"/>
    <cellStyle name="Normal 10 2 10 2 25 5 9" xfId="3538" xr:uid="{00000000-0005-0000-0000-0000BF0D0000}"/>
    <cellStyle name="Normal 10 2 10 2 25 6" xfId="3539" xr:uid="{00000000-0005-0000-0000-0000C00D0000}"/>
    <cellStyle name="Normal 10 2 10 2 25 7" xfId="3540" xr:uid="{00000000-0005-0000-0000-0000C10D0000}"/>
    <cellStyle name="Normal 10 2 10 2 25 8" xfId="3541" xr:uid="{00000000-0005-0000-0000-0000C20D0000}"/>
    <cellStyle name="Normal 10 2 10 2 25 9" xfId="3542" xr:uid="{00000000-0005-0000-0000-0000C30D0000}"/>
    <cellStyle name="Normal 10 2 10 2 26" xfId="3543" xr:uid="{00000000-0005-0000-0000-0000C40D0000}"/>
    <cellStyle name="Normal 10 2 10 2 26 10" xfId="3544" xr:uid="{00000000-0005-0000-0000-0000C50D0000}"/>
    <cellStyle name="Normal 10 2 10 2 26 11" xfId="3545" xr:uid="{00000000-0005-0000-0000-0000C60D0000}"/>
    <cellStyle name="Normal 10 2 10 2 26 12" xfId="3546" xr:uid="{00000000-0005-0000-0000-0000C70D0000}"/>
    <cellStyle name="Normal 10 2 10 2 26 13" xfId="3547" xr:uid="{00000000-0005-0000-0000-0000C80D0000}"/>
    <cellStyle name="Normal 10 2 10 2 26 14" xfId="3548" xr:uid="{00000000-0005-0000-0000-0000C90D0000}"/>
    <cellStyle name="Normal 10 2 10 2 26 2" xfId="3549" xr:uid="{00000000-0005-0000-0000-0000CA0D0000}"/>
    <cellStyle name="Normal 10 2 10 2 26 2 10" xfId="3550" xr:uid="{00000000-0005-0000-0000-0000CB0D0000}"/>
    <cellStyle name="Normal 10 2 10 2 26 2 2" xfId="3551" xr:uid="{00000000-0005-0000-0000-0000CC0D0000}"/>
    <cellStyle name="Normal 10 2 10 2 26 2 3" xfId="3552" xr:uid="{00000000-0005-0000-0000-0000CD0D0000}"/>
    <cellStyle name="Normal 10 2 10 2 26 2 4" xfId="3553" xr:uid="{00000000-0005-0000-0000-0000CE0D0000}"/>
    <cellStyle name="Normal 10 2 10 2 26 2 5" xfId="3554" xr:uid="{00000000-0005-0000-0000-0000CF0D0000}"/>
    <cellStyle name="Normal 10 2 10 2 26 2 6" xfId="3555" xr:uid="{00000000-0005-0000-0000-0000D00D0000}"/>
    <cellStyle name="Normal 10 2 10 2 26 2 7" xfId="3556" xr:uid="{00000000-0005-0000-0000-0000D10D0000}"/>
    <cellStyle name="Normal 10 2 10 2 26 2 8" xfId="3557" xr:uid="{00000000-0005-0000-0000-0000D20D0000}"/>
    <cellStyle name="Normal 10 2 10 2 26 2 9" xfId="3558" xr:uid="{00000000-0005-0000-0000-0000D30D0000}"/>
    <cellStyle name="Normal 10 2 10 2 26 3" xfId="3559" xr:uid="{00000000-0005-0000-0000-0000D40D0000}"/>
    <cellStyle name="Normal 10 2 10 2 26 3 10" xfId="3560" xr:uid="{00000000-0005-0000-0000-0000D50D0000}"/>
    <cellStyle name="Normal 10 2 10 2 26 3 2" xfId="3561" xr:uid="{00000000-0005-0000-0000-0000D60D0000}"/>
    <cellStyle name="Normal 10 2 10 2 26 3 3" xfId="3562" xr:uid="{00000000-0005-0000-0000-0000D70D0000}"/>
    <cellStyle name="Normal 10 2 10 2 26 3 4" xfId="3563" xr:uid="{00000000-0005-0000-0000-0000D80D0000}"/>
    <cellStyle name="Normal 10 2 10 2 26 3 5" xfId="3564" xr:uid="{00000000-0005-0000-0000-0000D90D0000}"/>
    <cellStyle name="Normal 10 2 10 2 26 3 6" xfId="3565" xr:uid="{00000000-0005-0000-0000-0000DA0D0000}"/>
    <cellStyle name="Normal 10 2 10 2 26 3 7" xfId="3566" xr:uid="{00000000-0005-0000-0000-0000DB0D0000}"/>
    <cellStyle name="Normal 10 2 10 2 26 3 8" xfId="3567" xr:uid="{00000000-0005-0000-0000-0000DC0D0000}"/>
    <cellStyle name="Normal 10 2 10 2 26 3 9" xfId="3568" xr:uid="{00000000-0005-0000-0000-0000DD0D0000}"/>
    <cellStyle name="Normal 10 2 10 2 26 4" xfId="3569" xr:uid="{00000000-0005-0000-0000-0000DE0D0000}"/>
    <cellStyle name="Normal 10 2 10 2 26 4 10" xfId="3570" xr:uid="{00000000-0005-0000-0000-0000DF0D0000}"/>
    <cellStyle name="Normal 10 2 10 2 26 4 2" xfId="3571" xr:uid="{00000000-0005-0000-0000-0000E00D0000}"/>
    <cellStyle name="Normal 10 2 10 2 26 4 3" xfId="3572" xr:uid="{00000000-0005-0000-0000-0000E10D0000}"/>
    <cellStyle name="Normal 10 2 10 2 26 4 4" xfId="3573" xr:uid="{00000000-0005-0000-0000-0000E20D0000}"/>
    <cellStyle name="Normal 10 2 10 2 26 4 5" xfId="3574" xr:uid="{00000000-0005-0000-0000-0000E30D0000}"/>
    <cellStyle name="Normal 10 2 10 2 26 4 6" xfId="3575" xr:uid="{00000000-0005-0000-0000-0000E40D0000}"/>
    <cellStyle name="Normal 10 2 10 2 26 4 7" xfId="3576" xr:uid="{00000000-0005-0000-0000-0000E50D0000}"/>
    <cellStyle name="Normal 10 2 10 2 26 4 8" xfId="3577" xr:uid="{00000000-0005-0000-0000-0000E60D0000}"/>
    <cellStyle name="Normal 10 2 10 2 26 4 9" xfId="3578" xr:uid="{00000000-0005-0000-0000-0000E70D0000}"/>
    <cellStyle name="Normal 10 2 10 2 26 5" xfId="3579" xr:uid="{00000000-0005-0000-0000-0000E80D0000}"/>
    <cellStyle name="Normal 10 2 10 2 26 5 10" xfId="3580" xr:uid="{00000000-0005-0000-0000-0000E90D0000}"/>
    <cellStyle name="Normal 10 2 10 2 26 5 2" xfId="3581" xr:uid="{00000000-0005-0000-0000-0000EA0D0000}"/>
    <cellStyle name="Normal 10 2 10 2 26 5 3" xfId="3582" xr:uid="{00000000-0005-0000-0000-0000EB0D0000}"/>
    <cellStyle name="Normal 10 2 10 2 26 5 4" xfId="3583" xr:uid="{00000000-0005-0000-0000-0000EC0D0000}"/>
    <cellStyle name="Normal 10 2 10 2 26 5 5" xfId="3584" xr:uid="{00000000-0005-0000-0000-0000ED0D0000}"/>
    <cellStyle name="Normal 10 2 10 2 26 5 6" xfId="3585" xr:uid="{00000000-0005-0000-0000-0000EE0D0000}"/>
    <cellStyle name="Normal 10 2 10 2 26 5 7" xfId="3586" xr:uid="{00000000-0005-0000-0000-0000EF0D0000}"/>
    <cellStyle name="Normal 10 2 10 2 26 5 8" xfId="3587" xr:uid="{00000000-0005-0000-0000-0000F00D0000}"/>
    <cellStyle name="Normal 10 2 10 2 26 5 9" xfId="3588" xr:uid="{00000000-0005-0000-0000-0000F10D0000}"/>
    <cellStyle name="Normal 10 2 10 2 26 6" xfId="3589" xr:uid="{00000000-0005-0000-0000-0000F20D0000}"/>
    <cellStyle name="Normal 10 2 10 2 26 7" xfId="3590" xr:uid="{00000000-0005-0000-0000-0000F30D0000}"/>
    <cellStyle name="Normal 10 2 10 2 26 8" xfId="3591" xr:uid="{00000000-0005-0000-0000-0000F40D0000}"/>
    <cellStyle name="Normal 10 2 10 2 26 9" xfId="3592" xr:uid="{00000000-0005-0000-0000-0000F50D0000}"/>
    <cellStyle name="Normal 10 2 10 2 27" xfId="3593" xr:uid="{00000000-0005-0000-0000-0000F60D0000}"/>
    <cellStyle name="Normal 10 2 10 2 27 10" xfId="3594" xr:uid="{00000000-0005-0000-0000-0000F70D0000}"/>
    <cellStyle name="Normal 10 2 10 2 27 11" xfId="3595" xr:uid="{00000000-0005-0000-0000-0000F80D0000}"/>
    <cellStyle name="Normal 10 2 10 2 27 12" xfId="3596" xr:uid="{00000000-0005-0000-0000-0000F90D0000}"/>
    <cellStyle name="Normal 10 2 10 2 27 13" xfId="3597" xr:uid="{00000000-0005-0000-0000-0000FA0D0000}"/>
    <cellStyle name="Normal 10 2 10 2 27 14" xfId="3598" xr:uid="{00000000-0005-0000-0000-0000FB0D0000}"/>
    <cellStyle name="Normal 10 2 10 2 27 2" xfId="3599" xr:uid="{00000000-0005-0000-0000-0000FC0D0000}"/>
    <cellStyle name="Normal 10 2 10 2 27 2 10" xfId="3600" xr:uid="{00000000-0005-0000-0000-0000FD0D0000}"/>
    <cellStyle name="Normal 10 2 10 2 27 2 2" xfId="3601" xr:uid="{00000000-0005-0000-0000-0000FE0D0000}"/>
    <cellStyle name="Normal 10 2 10 2 27 2 3" xfId="3602" xr:uid="{00000000-0005-0000-0000-0000FF0D0000}"/>
    <cellStyle name="Normal 10 2 10 2 27 2 4" xfId="3603" xr:uid="{00000000-0005-0000-0000-0000000E0000}"/>
    <cellStyle name="Normal 10 2 10 2 27 2 5" xfId="3604" xr:uid="{00000000-0005-0000-0000-0000010E0000}"/>
    <cellStyle name="Normal 10 2 10 2 27 2 6" xfId="3605" xr:uid="{00000000-0005-0000-0000-0000020E0000}"/>
    <cellStyle name="Normal 10 2 10 2 27 2 7" xfId="3606" xr:uid="{00000000-0005-0000-0000-0000030E0000}"/>
    <cellStyle name="Normal 10 2 10 2 27 2 8" xfId="3607" xr:uid="{00000000-0005-0000-0000-0000040E0000}"/>
    <cellStyle name="Normal 10 2 10 2 27 2 9" xfId="3608" xr:uid="{00000000-0005-0000-0000-0000050E0000}"/>
    <cellStyle name="Normal 10 2 10 2 27 3" xfId="3609" xr:uid="{00000000-0005-0000-0000-0000060E0000}"/>
    <cellStyle name="Normal 10 2 10 2 27 3 10" xfId="3610" xr:uid="{00000000-0005-0000-0000-0000070E0000}"/>
    <cellStyle name="Normal 10 2 10 2 27 3 2" xfId="3611" xr:uid="{00000000-0005-0000-0000-0000080E0000}"/>
    <cellStyle name="Normal 10 2 10 2 27 3 3" xfId="3612" xr:uid="{00000000-0005-0000-0000-0000090E0000}"/>
    <cellStyle name="Normal 10 2 10 2 27 3 4" xfId="3613" xr:uid="{00000000-0005-0000-0000-00000A0E0000}"/>
    <cellStyle name="Normal 10 2 10 2 27 3 5" xfId="3614" xr:uid="{00000000-0005-0000-0000-00000B0E0000}"/>
    <cellStyle name="Normal 10 2 10 2 27 3 6" xfId="3615" xr:uid="{00000000-0005-0000-0000-00000C0E0000}"/>
    <cellStyle name="Normal 10 2 10 2 27 3 7" xfId="3616" xr:uid="{00000000-0005-0000-0000-00000D0E0000}"/>
    <cellStyle name="Normal 10 2 10 2 27 3 8" xfId="3617" xr:uid="{00000000-0005-0000-0000-00000E0E0000}"/>
    <cellStyle name="Normal 10 2 10 2 27 3 9" xfId="3618" xr:uid="{00000000-0005-0000-0000-00000F0E0000}"/>
    <cellStyle name="Normal 10 2 10 2 27 4" xfId="3619" xr:uid="{00000000-0005-0000-0000-0000100E0000}"/>
    <cellStyle name="Normal 10 2 10 2 27 4 10" xfId="3620" xr:uid="{00000000-0005-0000-0000-0000110E0000}"/>
    <cellStyle name="Normal 10 2 10 2 27 4 2" xfId="3621" xr:uid="{00000000-0005-0000-0000-0000120E0000}"/>
    <cellStyle name="Normal 10 2 10 2 27 4 3" xfId="3622" xr:uid="{00000000-0005-0000-0000-0000130E0000}"/>
    <cellStyle name="Normal 10 2 10 2 27 4 4" xfId="3623" xr:uid="{00000000-0005-0000-0000-0000140E0000}"/>
    <cellStyle name="Normal 10 2 10 2 27 4 5" xfId="3624" xr:uid="{00000000-0005-0000-0000-0000150E0000}"/>
    <cellStyle name="Normal 10 2 10 2 27 4 6" xfId="3625" xr:uid="{00000000-0005-0000-0000-0000160E0000}"/>
    <cellStyle name="Normal 10 2 10 2 27 4 7" xfId="3626" xr:uid="{00000000-0005-0000-0000-0000170E0000}"/>
    <cellStyle name="Normal 10 2 10 2 27 4 8" xfId="3627" xr:uid="{00000000-0005-0000-0000-0000180E0000}"/>
    <cellStyle name="Normal 10 2 10 2 27 4 9" xfId="3628" xr:uid="{00000000-0005-0000-0000-0000190E0000}"/>
    <cellStyle name="Normal 10 2 10 2 27 5" xfId="3629" xr:uid="{00000000-0005-0000-0000-00001A0E0000}"/>
    <cellStyle name="Normal 10 2 10 2 27 5 10" xfId="3630" xr:uid="{00000000-0005-0000-0000-00001B0E0000}"/>
    <cellStyle name="Normal 10 2 10 2 27 5 2" xfId="3631" xr:uid="{00000000-0005-0000-0000-00001C0E0000}"/>
    <cellStyle name="Normal 10 2 10 2 27 5 3" xfId="3632" xr:uid="{00000000-0005-0000-0000-00001D0E0000}"/>
    <cellStyle name="Normal 10 2 10 2 27 5 4" xfId="3633" xr:uid="{00000000-0005-0000-0000-00001E0E0000}"/>
    <cellStyle name="Normal 10 2 10 2 27 5 5" xfId="3634" xr:uid="{00000000-0005-0000-0000-00001F0E0000}"/>
    <cellStyle name="Normal 10 2 10 2 27 5 6" xfId="3635" xr:uid="{00000000-0005-0000-0000-0000200E0000}"/>
    <cellStyle name="Normal 10 2 10 2 27 5 7" xfId="3636" xr:uid="{00000000-0005-0000-0000-0000210E0000}"/>
    <cellStyle name="Normal 10 2 10 2 27 5 8" xfId="3637" xr:uid="{00000000-0005-0000-0000-0000220E0000}"/>
    <cellStyle name="Normal 10 2 10 2 27 5 9" xfId="3638" xr:uid="{00000000-0005-0000-0000-0000230E0000}"/>
    <cellStyle name="Normal 10 2 10 2 27 6" xfId="3639" xr:uid="{00000000-0005-0000-0000-0000240E0000}"/>
    <cellStyle name="Normal 10 2 10 2 27 7" xfId="3640" xr:uid="{00000000-0005-0000-0000-0000250E0000}"/>
    <cellStyle name="Normal 10 2 10 2 27 8" xfId="3641" xr:uid="{00000000-0005-0000-0000-0000260E0000}"/>
    <cellStyle name="Normal 10 2 10 2 27 9" xfId="3642" xr:uid="{00000000-0005-0000-0000-0000270E0000}"/>
    <cellStyle name="Normal 10 2 10 2 28" xfId="3643" xr:uid="{00000000-0005-0000-0000-0000280E0000}"/>
    <cellStyle name="Normal 10 2 10 2 28 10" xfId="3644" xr:uid="{00000000-0005-0000-0000-0000290E0000}"/>
    <cellStyle name="Normal 10 2 10 2 28 11" xfId="3645" xr:uid="{00000000-0005-0000-0000-00002A0E0000}"/>
    <cellStyle name="Normal 10 2 10 2 28 12" xfId="3646" xr:uid="{00000000-0005-0000-0000-00002B0E0000}"/>
    <cellStyle name="Normal 10 2 10 2 28 13" xfId="3647" xr:uid="{00000000-0005-0000-0000-00002C0E0000}"/>
    <cellStyle name="Normal 10 2 10 2 28 14" xfId="3648" xr:uid="{00000000-0005-0000-0000-00002D0E0000}"/>
    <cellStyle name="Normal 10 2 10 2 28 2" xfId="3649" xr:uid="{00000000-0005-0000-0000-00002E0E0000}"/>
    <cellStyle name="Normal 10 2 10 2 28 2 10" xfId="3650" xr:uid="{00000000-0005-0000-0000-00002F0E0000}"/>
    <cellStyle name="Normal 10 2 10 2 28 2 2" xfId="3651" xr:uid="{00000000-0005-0000-0000-0000300E0000}"/>
    <cellStyle name="Normal 10 2 10 2 28 2 3" xfId="3652" xr:uid="{00000000-0005-0000-0000-0000310E0000}"/>
    <cellStyle name="Normal 10 2 10 2 28 2 4" xfId="3653" xr:uid="{00000000-0005-0000-0000-0000320E0000}"/>
    <cellStyle name="Normal 10 2 10 2 28 2 5" xfId="3654" xr:uid="{00000000-0005-0000-0000-0000330E0000}"/>
    <cellStyle name="Normal 10 2 10 2 28 2 6" xfId="3655" xr:uid="{00000000-0005-0000-0000-0000340E0000}"/>
    <cellStyle name="Normal 10 2 10 2 28 2 7" xfId="3656" xr:uid="{00000000-0005-0000-0000-0000350E0000}"/>
    <cellStyle name="Normal 10 2 10 2 28 2 8" xfId="3657" xr:uid="{00000000-0005-0000-0000-0000360E0000}"/>
    <cellStyle name="Normal 10 2 10 2 28 2 9" xfId="3658" xr:uid="{00000000-0005-0000-0000-0000370E0000}"/>
    <cellStyle name="Normal 10 2 10 2 28 3" xfId="3659" xr:uid="{00000000-0005-0000-0000-0000380E0000}"/>
    <cellStyle name="Normal 10 2 10 2 28 3 10" xfId="3660" xr:uid="{00000000-0005-0000-0000-0000390E0000}"/>
    <cellStyle name="Normal 10 2 10 2 28 3 2" xfId="3661" xr:uid="{00000000-0005-0000-0000-00003A0E0000}"/>
    <cellStyle name="Normal 10 2 10 2 28 3 3" xfId="3662" xr:uid="{00000000-0005-0000-0000-00003B0E0000}"/>
    <cellStyle name="Normal 10 2 10 2 28 3 4" xfId="3663" xr:uid="{00000000-0005-0000-0000-00003C0E0000}"/>
    <cellStyle name="Normal 10 2 10 2 28 3 5" xfId="3664" xr:uid="{00000000-0005-0000-0000-00003D0E0000}"/>
    <cellStyle name="Normal 10 2 10 2 28 3 6" xfId="3665" xr:uid="{00000000-0005-0000-0000-00003E0E0000}"/>
    <cellStyle name="Normal 10 2 10 2 28 3 7" xfId="3666" xr:uid="{00000000-0005-0000-0000-00003F0E0000}"/>
    <cellStyle name="Normal 10 2 10 2 28 3 8" xfId="3667" xr:uid="{00000000-0005-0000-0000-0000400E0000}"/>
    <cellStyle name="Normal 10 2 10 2 28 3 9" xfId="3668" xr:uid="{00000000-0005-0000-0000-0000410E0000}"/>
    <cellStyle name="Normal 10 2 10 2 28 4" xfId="3669" xr:uid="{00000000-0005-0000-0000-0000420E0000}"/>
    <cellStyle name="Normal 10 2 10 2 28 4 10" xfId="3670" xr:uid="{00000000-0005-0000-0000-0000430E0000}"/>
    <cellStyle name="Normal 10 2 10 2 28 4 2" xfId="3671" xr:uid="{00000000-0005-0000-0000-0000440E0000}"/>
    <cellStyle name="Normal 10 2 10 2 28 4 3" xfId="3672" xr:uid="{00000000-0005-0000-0000-0000450E0000}"/>
    <cellStyle name="Normal 10 2 10 2 28 4 4" xfId="3673" xr:uid="{00000000-0005-0000-0000-0000460E0000}"/>
    <cellStyle name="Normal 10 2 10 2 28 4 5" xfId="3674" xr:uid="{00000000-0005-0000-0000-0000470E0000}"/>
    <cellStyle name="Normal 10 2 10 2 28 4 6" xfId="3675" xr:uid="{00000000-0005-0000-0000-0000480E0000}"/>
    <cellStyle name="Normal 10 2 10 2 28 4 7" xfId="3676" xr:uid="{00000000-0005-0000-0000-0000490E0000}"/>
    <cellStyle name="Normal 10 2 10 2 28 4 8" xfId="3677" xr:uid="{00000000-0005-0000-0000-00004A0E0000}"/>
    <cellStyle name="Normal 10 2 10 2 28 4 9" xfId="3678" xr:uid="{00000000-0005-0000-0000-00004B0E0000}"/>
    <cellStyle name="Normal 10 2 10 2 28 5" xfId="3679" xr:uid="{00000000-0005-0000-0000-00004C0E0000}"/>
    <cellStyle name="Normal 10 2 10 2 28 5 10" xfId="3680" xr:uid="{00000000-0005-0000-0000-00004D0E0000}"/>
    <cellStyle name="Normal 10 2 10 2 28 5 2" xfId="3681" xr:uid="{00000000-0005-0000-0000-00004E0E0000}"/>
    <cellStyle name="Normal 10 2 10 2 28 5 3" xfId="3682" xr:uid="{00000000-0005-0000-0000-00004F0E0000}"/>
    <cellStyle name="Normal 10 2 10 2 28 5 4" xfId="3683" xr:uid="{00000000-0005-0000-0000-0000500E0000}"/>
    <cellStyle name="Normal 10 2 10 2 28 5 5" xfId="3684" xr:uid="{00000000-0005-0000-0000-0000510E0000}"/>
    <cellStyle name="Normal 10 2 10 2 28 5 6" xfId="3685" xr:uid="{00000000-0005-0000-0000-0000520E0000}"/>
    <cellStyle name="Normal 10 2 10 2 28 5 7" xfId="3686" xr:uid="{00000000-0005-0000-0000-0000530E0000}"/>
    <cellStyle name="Normal 10 2 10 2 28 5 8" xfId="3687" xr:uid="{00000000-0005-0000-0000-0000540E0000}"/>
    <cellStyle name="Normal 10 2 10 2 28 5 9" xfId="3688" xr:uid="{00000000-0005-0000-0000-0000550E0000}"/>
    <cellStyle name="Normal 10 2 10 2 28 6" xfId="3689" xr:uid="{00000000-0005-0000-0000-0000560E0000}"/>
    <cellStyle name="Normal 10 2 10 2 28 7" xfId="3690" xr:uid="{00000000-0005-0000-0000-0000570E0000}"/>
    <cellStyle name="Normal 10 2 10 2 28 8" xfId="3691" xr:uid="{00000000-0005-0000-0000-0000580E0000}"/>
    <cellStyle name="Normal 10 2 10 2 28 9" xfId="3692" xr:uid="{00000000-0005-0000-0000-0000590E0000}"/>
    <cellStyle name="Normal 10 2 10 2 29" xfId="3693" xr:uid="{00000000-0005-0000-0000-00005A0E0000}"/>
    <cellStyle name="Normal 10 2 10 2 29 10" xfId="3694" xr:uid="{00000000-0005-0000-0000-00005B0E0000}"/>
    <cellStyle name="Normal 10 2 10 2 29 11" xfId="3695" xr:uid="{00000000-0005-0000-0000-00005C0E0000}"/>
    <cellStyle name="Normal 10 2 10 2 29 12" xfId="3696" xr:uid="{00000000-0005-0000-0000-00005D0E0000}"/>
    <cellStyle name="Normal 10 2 10 2 29 13" xfId="3697" xr:uid="{00000000-0005-0000-0000-00005E0E0000}"/>
    <cellStyle name="Normal 10 2 10 2 29 14" xfId="3698" xr:uid="{00000000-0005-0000-0000-00005F0E0000}"/>
    <cellStyle name="Normal 10 2 10 2 29 2" xfId="3699" xr:uid="{00000000-0005-0000-0000-0000600E0000}"/>
    <cellStyle name="Normal 10 2 10 2 29 2 10" xfId="3700" xr:uid="{00000000-0005-0000-0000-0000610E0000}"/>
    <cellStyle name="Normal 10 2 10 2 29 2 2" xfId="3701" xr:uid="{00000000-0005-0000-0000-0000620E0000}"/>
    <cellStyle name="Normal 10 2 10 2 29 2 3" xfId="3702" xr:uid="{00000000-0005-0000-0000-0000630E0000}"/>
    <cellStyle name="Normal 10 2 10 2 29 2 4" xfId="3703" xr:uid="{00000000-0005-0000-0000-0000640E0000}"/>
    <cellStyle name="Normal 10 2 10 2 29 2 5" xfId="3704" xr:uid="{00000000-0005-0000-0000-0000650E0000}"/>
    <cellStyle name="Normal 10 2 10 2 29 2 6" xfId="3705" xr:uid="{00000000-0005-0000-0000-0000660E0000}"/>
    <cellStyle name="Normal 10 2 10 2 29 2 7" xfId="3706" xr:uid="{00000000-0005-0000-0000-0000670E0000}"/>
    <cellStyle name="Normal 10 2 10 2 29 2 8" xfId="3707" xr:uid="{00000000-0005-0000-0000-0000680E0000}"/>
    <cellStyle name="Normal 10 2 10 2 29 2 9" xfId="3708" xr:uid="{00000000-0005-0000-0000-0000690E0000}"/>
    <cellStyle name="Normal 10 2 10 2 29 3" xfId="3709" xr:uid="{00000000-0005-0000-0000-00006A0E0000}"/>
    <cellStyle name="Normal 10 2 10 2 29 3 10" xfId="3710" xr:uid="{00000000-0005-0000-0000-00006B0E0000}"/>
    <cellStyle name="Normal 10 2 10 2 29 3 2" xfId="3711" xr:uid="{00000000-0005-0000-0000-00006C0E0000}"/>
    <cellStyle name="Normal 10 2 10 2 29 3 3" xfId="3712" xr:uid="{00000000-0005-0000-0000-00006D0E0000}"/>
    <cellStyle name="Normal 10 2 10 2 29 3 4" xfId="3713" xr:uid="{00000000-0005-0000-0000-00006E0E0000}"/>
    <cellStyle name="Normal 10 2 10 2 29 3 5" xfId="3714" xr:uid="{00000000-0005-0000-0000-00006F0E0000}"/>
    <cellStyle name="Normal 10 2 10 2 29 3 6" xfId="3715" xr:uid="{00000000-0005-0000-0000-0000700E0000}"/>
    <cellStyle name="Normal 10 2 10 2 29 3 7" xfId="3716" xr:uid="{00000000-0005-0000-0000-0000710E0000}"/>
    <cellStyle name="Normal 10 2 10 2 29 3 8" xfId="3717" xr:uid="{00000000-0005-0000-0000-0000720E0000}"/>
    <cellStyle name="Normal 10 2 10 2 29 3 9" xfId="3718" xr:uid="{00000000-0005-0000-0000-0000730E0000}"/>
    <cellStyle name="Normal 10 2 10 2 29 4" xfId="3719" xr:uid="{00000000-0005-0000-0000-0000740E0000}"/>
    <cellStyle name="Normal 10 2 10 2 29 4 10" xfId="3720" xr:uid="{00000000-0005-0000-0000-0000750E0000}"/>
    <cellStyle name="Normal 10 2 10 2 29 4 2" xfId="3721" xr:uid="{00000000-0005-0000-0000-0000760E0000}"/>
    <cellStyle name="Normal 10 2 10 2 29 4 3" xfId="3722" xr:uid="{00000000-0005-0000-0000-0000770E0000}"/>
    <cellStyle name="Normal 10 2 10 2 29 4 4" xfId="3723" xr:uid="{00000000-0005-0000-0000-0000780E0000}"/>
    <cellStyle name="Normal 10 2 10 2 29 4 5" xfId="3724" xr:uid="{00000000-0005-0000-0000-0000790E0000}"/>
    <cellStyle name="Normal 10 2 10 2 29 4 6" xfId="3725" xr:uid="{00000000-0005-0000-0000-00007A0E0000}"/>
    <cellStyle name="Normal 10 2 10 2 29 4 7" xfId="3726" xr:uid="{00000000-0005-0000-0000-00007B0E0000}"/>
    <cellStyle name="Normal 10 2 10 2 29 4 8" xfId="3727" xr:uid="{00000000-0005-0000-0000-00007C0E0000}"/>
    <cellStyle name="Normal 10 2 10 2 29 4 9" xfId="3728" xr:uid="{00000000-0005-0000-0000-00007D0E0000}"/>
    <cellStyle name="Normal 10 2 10 2 29 5" xfId="3729" xr:uid="{00000000-0005-0000-0000-00007E0E0000}"/>
    <cellStyle name="Normal 10 2 10 2 29 5 10" xfId="3730" xr:uid="{00000000-0005-0000-0000-00007F0E0000}"/>
    <cellStyle name="Normal 10 2 10 2 29 5 2" xfId="3731" xr:uid="{00000000-0005-0000-0000-0000800E0000}"/>
    <cellStyle name="Normal 10 2 10 2 29 5 3" xfId="3732" xr:uid="{00000000-0005-0000-0000-0000810E0000}"/>
    <cellStyle name="Normal 10 2 10 2 29 5 4" xfId="3733" xr:uid="{00000000-0005-0000-0000-0000820E0000}"/>
    <cellStyle name="Normal 10 2 10 2 29 5 5" xfId="3734" xr:uid="{00000000-0005-0000-0000-0000830E0000}"/>
    <cellStyle name="Normal 10 2 10 2 29 5 6" xfId="3735" xr:uid="{00000000-0005-0000-0000-0000840E0000}"/>
    <cellStyle name="Normal 10 2 10 2 29 5 7" xfId="3736" xr:uid="{00000000-0005-0000-0000-0000850E0000}"/>
    <cellStyle name="Normal 10 2 10 2 29 5 8" xfId="3737" xr:uid="{00000000-0005-0000-0000-0000860E0000}"/>
    <cellStyle name="Normal 10 2 10 2 29 5 9" xfId="3738" xr:uid="{00000000-0005-0000-0000-0000870E0000}"/>
    <cellStyle name="Normal 10 2 10 2 29 6" xfId="3739" xr:uid="{00000000-0005-0000-0000-0000880E0000}"/>
    <cellStyle name="Normal 10 2 10 2 29 7" xfId="3740" xr:uid="{00000000-0005-0000-0000-0000890E0000}"/>
    <cellStyle name="Normal 10 2 10 2 29 8" xfId="3741" xr:uid="{00000000-0005-0000-0000-00008A0E0000}"/>
    <cellStyle name="Normal 10 2 10 2 29 9" xfId="3742" xr:uid="{00000000-0005-0000-0000-00008B0E0000}"/>
    <cellStyle name="Normal 10 2 10 2 3" xfId="3743" xr:uid="{00000000-0005-0000-0000-00008C0E0000}"/>
    <cellStyle name="Normal 10 2 10 2 3 10" xfId="3744" xr:uid="{00000000-0005-0000-0000-00008D0E0000}"/>
    <cellStyle name="Normal 10 2 10 2 3 11" xfId="3745" xr:uid="{00000000-0005-0000-0000-00008E0E0000}"/>
    <cellStyle name="Normal 10 2 10 2 3 12" xfId="3746" xr:uid="{00000000-0005-0000-0000-00008F0E0000}"/>
    <cellStyle name="Normal 10 2 10 2 3 13" xfId="3747" xr:uid="{00000000-0005-0000-0000-0000900E0000}"/>
    <cellStyle name="Normal 10 2 10 2 3 14" xfId="3748" xr:uid="{00000000-0005-0000-0000-0000910E0000}"/>
    <cellStyle name="Normal 10 2 10 2 3 2" xfId="3749" xr:uid="{00000000-0005-0000-0000-0000920E0000}"/>
    <cellStyle name="Normal 10 2 10 2 3 2 10" xfId="3750" xr:uid="{00000000-0005-0000-0000-0000930E0000}"/>
    <cellStyle name="Normal 10 2 10 2 3 2 2" xfId="3751" xr:uid="{00000000-0005-0000-0000-0000940E0000}"/>
    <cellStyle name="Normal 10 2 10 2 3 2 3" xfId="3752" xr:uid="{00000000-0005-0000-0000-0000950E0000}"/>
    <cellStyle name="Normal 10 2 10 2 3 2 4" xfId="3753" xr:uid="{00000000-0005-0000-0000-0000960E0000}"/>
    <cellStyle name="Normal 10 2 10 2 3 2 5" xfId="3754" xr:uid="{00000000-0005-0000-0000-0000970E0000}"/>
    <cellStyle name="Normal 10 2 10 2 3 2 6" xfId="3755" xr:uid="{00000000-0005-0000-0000-0000980E0000}"/>
    <cellStyle name="Normal 10 2 10 2 3 2 7" xfId="3756" xr:uid="{00000000-0005-0000-0000-0000990E0000}"/>
    <cellStyle name="Normal 10 2 10 2 3 2 8" xfId="3757" xr:uid="{00000000-0005-0000-0000-00009A0E0000}"/>
    <cellStyle name="Normal 10 2 10 2 3 2 9" xfId="3758" xr:uid="{00000000-0005-0000-0000-00009B0E0000}"/>
    <cellStyle name="Normal 10 2 10 2 3 3" xfId="3759" xr:uid="{00000000-0005-0000-0000-00009C0E0000}"/>
    <cellStyle name="Normal 10 2 10 2 3 3 10" xfId="3760" xr:uid="{00000000-0005-0000-0000-00009D0E0000}"/>
    <cellStyle name="Normal 10 2 10 2 3 3 2" xfId="3761" xr:uid="{00000000-0005-0000-0000-00009E0E0000}"/>
    <cellStyle name="Normal 10 2 10 2 3 3 3" xfId="3762" xr:uid="{00000000-0005-0000-0000-00009F0E0000}"/>
    <cellStyle name="Normal 10 2 10 2 3 3 4" xfId="3763" xr:uid="{00000000-0005-0000-0000-0000A00E0000}"/>
    <cellStyle name="Normal 10 2 10 2 3 3 5" xfId="3764" xr:uid="{00000000-0005-0000-0000-0000A10E0000}"/>
    <cellStyle name="Normal 10 2 10 2 3 3 6" xfId="3765" xr:uid="{00000000-0005-0000-0000-0000A20E0000}"/>
    <cellStyle name="Normal 10 2 10 2 3 3 7" xfId="3766" xr:uid="{00000000-0005-0000-0000-0000A30E0000}"/>
    <cellStyle name="Normal 10 2 10 2 3 3 8" xfId="3767" xr:uid="{00000000-0005-0000-0000-0000A40E0000}"/>
    <cellStyle name="Normal 10 2 10 2 3 3 9" xfId="3768" xr:uid="{00000000-0005-0000-0000-0000A50E0000}"/>
    <cellStyle name="Normal 10 2 10 2 3 4" xfId="3769" xr:uid="{00000000-0005-0000-0000-0000A60E0000}"/>
    <cellStyle name="Normal 10 2 10 2 3 4 10" xfId="3770" xr:uid="{00000000-0005-0000-0000-0000A70E0000}"/>
    <cellStyle name="Normal 10 2 10 2 3 4 2" xfId="3771" xr:uid="{00000000-0005-0000-0000-0000A80E0000}"/>
    <cellStyle name="Normal 10 2 10 2 3 4 3" xfId="3772" xr:uid="{00000000-0005-0000-0000-0000A90E0000}"/>
    <cellStyle name="Normal 10 2 10 2 3 4 4" xfId="3773" xr:uid="{00000000-0005-0000-0000-0000AA0E0000}"/>
    <cellStyle name="Normal 10 2 10 2 3 4 5" xfId="3774" xr:uid="{00000000-0005-0000-0000-0000AB0E0000}"/>
    <cellStyle name="Normal 10 2 10 2 3 4 6" xfId="3775" xr:uid="{00000000-0005-0000-0000-0000AC0E0000}"/>
    <cellStyle name="Normal 10 2 10 2 3 4 7" xfId="3776" xr:uid="{00000000-0005-0000-0000-0000AD0E0000}"/>
    <cellStyle name="Normal 10 2 10 2 3 4 8" xfId="3777" xr:uid="{00000000-0005-0000-0000-0000AE0E0000}"/>
    <cellStyle name="Normal 10 2 10 2 3 4 9" xfId="3778" xr:uid="{00000000-0005-0000-0000-0000AF0E0000}"/>
    <cellStyle name="Normal 10 2 10 2 3 5" xfId="3779" xr:uid="{00000000-0005-0000-0000-0000B00E0000}"/>
    <cellStyle name="Normal 10 2 10 2 3 5 10" xfId="3780" xr:uid="{00000000-0005-0000-0000-0000B10E0000}"/>
    <cellStyle name="Normal 10 2 10 2 3 5 2" xfId="3781" xr:uid="{00000000-0005-0000-0000-0000B20E0000}"/>
    <cellStyle name="Normal 10 2 10 2 3 5 3" xfId="3782" xr:uid="{00000000-0005-0000-0000-0000B30E0000}"/>
    <cellStyle name="Normal 10 2 10 2 3 5 4" xfId="3783" xr:uid="{00000000-0005-0000-0000-0000B40E0000}"/>
    <cellStyle name="Normal 10 2 10 2 3 5 5" xfId="3784" xr:uid="{00000000-0005-0000-0000-0000B50E0000}"/>
    <cellStyle name="Normal 10 2 10 2 3 5 6" xfId="3785" xr:uid="{00000000-0005-0000-0000-0000B60E0000}"/>
    <cellStyle name="Normal 10 2 10 2 3 5 7" xfId="3786" xr:uid="{00000000-0005-0000-0000-0000B70E0000}"/>
    <cellStyle name="Normal 10 2 10 2 3 5 8" xfId="3787" xr:uid="{00000000-0005-0000-0000-0000B80E0000}"/>
    <cellStyle name="Normal 10 2 10 2 3 5 9" xfId="3788" xr:uid="{00000000-0005-0000-0000-0000B90E0000}"/>
    <cellStyle name="Normal 10 2 10 2 3 6" xfId="3789" xr:uid="{00000000-0005-0000-0000-0000BA0E0000}"/>
    <cellStyle name="Normal 10 2 10 2 3 7" xfId="3790" xr:uid="{00000000-0005-0000-0000-0000BB0E0000}"/>
    <cellStyle name="Normal 10 2 10 2 3 8" xfId="3791" xr:uid="{00000000-0005-0000-0000-0000BC0E0000}"/>
    <cellStyle name="Normal 10 2 10 2 3 9" xfId="3792" xr:uid="{00000000-0005-0000-0000-0000BD0E0000}"/>
    <cellStyle name="Normal 10 2 10 2 30" xfId="3793" xr:uid="{00000000-0005-0000-0000-0000BE0E0000}"/>
    <cellStyle name="Normal 10 2 10 2 30 10" xfId="3794" xr:uid="{00000000-0005-0000-0000-0000BF0E0000}"/>
    <cellStyle name="Normal 10 2 10 2 30 11" xfId="3795" xr:uid="{00000000-0005-0000-0000-0000C00E0000}"/>
    <cellStyle name="Normal 10 2 10 2 30 12" xfId="3796" xr:uid="{00000000-0005-0000-0000-0000C10E0000}"/>
    <cellStyle name="Normal 10 2 10 2 30 13" xfId="3797" xr:uid="{00000000-0005-0000-0000-0000C20E0000}"/>
    <cellStyle name="Normal 10 2 10 2 30 14" xfId="3798" xr:uid="{00000000-0005-0000-0000-0000C30E0000}"/>
    <cellStyle name="Normal 10 2 10 2 30 2" xfId="3799" xr:uid="{00000000-0005-0000-0000-0000C40E0000}"/>
    <cellStyle name="Normal 10 2 10 2 30 2 10" xfId="3800" xr:uid="{00000000-0005-0000-0000-0000C50E0000}"/>
    <cellStyle name="Normal 10 2 10 2 30 2 2" xfId="3801" xr:uid="{00000000-0005-0000-0000-0000C60E0000}"/>
    <cellStyle name="Normal 10 2 10 2 30 2 3" xfId="3802" xr:uid="{00000000-0005-0000-0000-0000C70E0000}"/>
    <cellStyle name="Normal 10 2 10 2 30 2 4" xfId="3803" xr:uid="{00000000-0005-0000-0000-0000C80E0000}"/>
    <cellStyle name="Normal 10 2 10 2 30 2 5" xfId="3804" xr:uid="{00000000-0005-0000-0000-0000C90E0000}"/>
    <cellStyle name="Normal 10 2 10 2 30 2 6" xfId="3805" xr:uid="{00000000-0005-0000-0000-0000CA0E0000}"/>
    <cellStyle name="Normal 10 2 10 2 30 2 7" xfId="3806" xr:uid="{00000000-0005-0000-0000-0000CB0E0000}"/>
    <cellStyle name="Normal 10 2 10 2 30 2 8" xfId="3807" xr:uid="{00000000-0005-0000-0000-0000CC0E0000}"/>
    <cellStyle name="Normal 10 2 10 2 30 2 9" xfId="3808" xr:uid="{00000000-0005-0000-0000-0000CD0E0000}"/>
    <cellStyle name="Normal 10 2 10 2 30 3" xfId="3809" xr:uid="{00000000-0005-0000-0000-0000CE0E0000}"/>
    <cellStyle name="Normal 10 2 10 2 30 3 10" xfId="3810" xr:uid="{00000000-0005-0000-0000-0000CF0E0000}"/>
    <cellStyle name="Normal 10 2 10 2 30 3 2" xfId="3811" xr:uid="{00000000-0005-0000-0000-0000D00E0000}"/>
    <cellStyle name="Normal 10 2 10 2 30 3 3" xfId="3812" xr:uid="{00000000-0005-0000-0000-0000D10E0000}"/>
    <cellStyle name="Normal 10 2 10 2 30 3 4" xfId="3813" xr:uid="{00000000-0005-0000-0000-0000D20E0000}"/>
    <cellStyle name="Normal 10 2 10 2 30 3 5" xfId="3814" xr:uid="{00000000-0005-0000-0000-0000D30E0000}"/>
    <cellStyle name="Normal 10 2 10 2 30 3 6" xfId="3815" xr:uid="{00000000-0005-0000-0000-0000D40E0000}"/>
    <cellStyle name="Normal 10 2 10 2 30 3 7" xfId="3816" xr:uid="{00000000-0005-0000-0000-0000D50E0000}"/>
    <cellStyle name="Normal 10 2 10 2 30 3 8" xfId="3817" xr:uid="{00000000-0005-0000-0000-0000D60E0000}"/>
    <cellStyle name="Normal 10 2 10 2 30 3 9" xfId="3818" xr:uid="{00000000-0005-0000-0000-0000D70E0000}"/>
    <cellStyle name="Normal 10 2 10 2 30 4" xfId="3819" xr:uid="{00000000-0005-0000-0000-0000D80E0000}"/>
    <cellStyle name="Normal 10 2 10 2 30 4 10" xfId="3820" xr:uid="{00000000-0005-0000-0000-0000D90E0000}"/>
    <cellStyle name="Normal 10 2 10 2 30 4 2" xfId="3821" xr:uid="{00000000-0005-0000-0000-0000DA0E0000}"/>
    <cellStyle name="Normal 10 2 10 2 30 4 3" xfId="3822" xr:uid="{00000000-0005-0000-0000-0000DB0E0000}"/>
    <cellStyle name="Normal 10 2 10 2 30 4 4" xfId="3823" xr:uid="{00000000-0005-0000-0000-0000DC0E0000}"/>
    <cellStyle name="Normal 10 2 10 2 30 4 5" xfId="3824" xr:uid="{00000000-0005-0000-0000-0000DD0E0000}"/>
    <cellStyle name="Normal 10 2 10 2 30 4 6" xfId="3825" xr:uid="{00000000-0005-0000-0000-0000DE0E0000}"/>
    <cellStyle name="Normal 10 2 10 2 30 4 7" xfId="3826" xr:uid="{00000000-0005-0000-0000-0000DF0E0000}"/>
    <cellStyle name="Normal 10 2 10 2 30 4 8" xfId="3827" xr:uid="{00000000-0005-0000-0000-0000E00E0000}"/>
    <cellStyle name="Normal 10 2 10 2 30 4 9" xfId="3828" xr:uid="{00000000-0005-0000-0000-0000E10E0000}"/>
    <cellStyle name="Normal 10 2 10 2 30 5" xfId="3829" xr:uid="{00000000-0005-0000-0000-0000E20E0000}"/>
    <cellStyle name="Normal 10 2 10 2 30 5 10" xfId="3830" xr:uid="{00000000-0005-0000-0000-0000E30E0000}"/>
    <cellStyle name="Normal 10 2 10 2 30 5 2" xfId="3831" xr:uid="{00000000-0005-0000-0000-0000E40E0000}"/>
    <cellStyle name="Normal 10 2 10 2 30 5 3" xfId="3832" xr:uid="{00000000-0005-0000-0000-0000E50E0000}"/>
    <cellStyle name="Normal 10 2 10 2 30 5 4" xfId="3833" xr:uid="{00000000-0005-0000-0000-0000E60E0000}"/>
    <cellStyle name="Normal 10 2 10 2 30 5 5" xfId="3834" xr:uid="{00000000-0005-0000-0000-0000E70E0000}"/>
    <cellStyle name="Normal 10 2 10 2 30 5 6" xfId="3835" xr:uid="{00000000-0005-0000-0000-0000E80E0000}"/>
    <cellStyle name="Normal 10 2 10 2 30 5 7" xfId="3836" xr:uid="{00000000-0005-0000-0000-0000E90E0000}"/>
    <cellStyle name="Normal 10 2 10 2 30 5 8" xfId="3837" xr:uid="{00000000-0005-0000-0000-0000EA0E0000}"/>
    <cellStyle name="Normal 10 2 10 2 30 5 9" xfId="3838" xr:uid="{00000000-0005-0000-0000-0000EB0E0000}"/>
    <cellStyle name="Normal 10 2 10 2 30 6" xfId="3839" xr:uid="{00000000-0005-0000-0000-0000EC0E0000}"/>
    <cellStyle name="Normal 10 2 10 2 30 7" xfId="3840" xr:uid="{00000000-0005-0000-0000-0000ED0E0000}"/>
    <cellStyle name="Normal 10 2 10 2 30 8" xfId="3841" xr:uid="{00000000-0005-0000-0000-0000EE0E0000}"/>
    <cellStyle name="Normal 10 2 10 2 30 9" xfId="3842" xr:uid="{00000000-0005-0000-0000-0000EF0E0000}"/>
    <cellStyle name="Normal 10 2 10 2 31" xfId="3843" xr:uid="{00000000-0005-0000-0000-0000F00E0000}"/>
    <cellStyle name="Normal 10 2 10 2 31 10" xfId="3844" xr:uid="{00000000-0005-0000-0000-0000F10E0000}"/>
    <cellStyle name="Normal 10 2 10 2 31 11" xfId="3845" xr:uid="{00000000-0005-0000-0000-0000F20E0000}"/>
    <cellStyle name="Normal 10 2 10 2 31 12" xfId="3846" xr:uid="{00000000-0005-0000-0000-0000F30E0000}"/>
    <cellStyle name="Normal 10 2 10 2 31 13" xfId="3847" xr:uid="{00000000-0005-0000-0000-0000F40E0000}"/>
    <cellStyle name="Normal 10 2 10 2 31 14" xfId="3848" xr:uid="{00000000-0005-0000-0000-0000F50E0000}"/>
    <cellStyle name="Normal 10 2 10 2 31 2" xfId="3849" xr:uid="{00000000-0005-0000-0000-0000F60E0000}"/>
    <cellStyle name="Normal 10 2 10 2 31 2 10" xfId="3850" xr:uid="{00000000-0005-0000-0000-0000F70E0000}"/>
    <cellStyle name="Normal 10 2 10 2 31 2 2" xfId="3851" xr:uid="{00000000-0005-0000-0000-0000F80E0000}"/>
    <cellStyle name="Normal 10 2 10 2 31 2 3" xfId="3852" xr:uid="{00000000-0005-0000-0000-0000F90E0000}"/>
    <cellStyle name="Normal 10 2 10 2 31 2 4" xfId="3853" xr:uid="{00000000-0005-0000-0000-0000FA0E0000}"/>
    <cellStyle name="Normal 10 2 10 2 31 2 5" xfId="3854" xr:uid="{00000000-0005-0000-0000-0000FB0E0000}"/>
    <cellStyle name="Normal 10 2 10 2 31 2 6" xfId="3855" xr:uid="{00000000-0005-0000-0000-0000FC0E0000}"/>
    <cellStyle name="Normal 10 2 10 2 31 2 7" xfId="3856" xr:uid="{00000000-0005-0000-0000-0000FD0E0000}"/>
    <cellStyle name="Normal 10 2 10 2 31 2 8" xfId="3857" xr:uid="{00000000-0005-0000-0000-0000FE0E0000}"/>
    <cellStyle name="Normal 10 2 10 2 31 2 9" xfId="3858" xr:uid="{00000000-0005-0000-0000-0000FF0E0000}"/>
    <cellStyle name="Normal 10 2 10 2 31 3" xfId="3859" xr:uid="{00000000-0005-0000-0000-0000000F0000}"/>
    <cellStyle name="Normal 10 2 10 2 31 3 10" xfId="3860" xr:uid="{00000000-0005-0000-0000-0000010F0000}"/>
    <cellStyle name="Normal 10 2 10 2 31 3 2" xfId="3861" xr:uid="{00000000-0005-0000-0000-0000020F0000}"/>
    <cellStyle name="Normal 10 2 10 2 31 3 3" xfId="3862" xr:uid="{00000000-0005-0000-0000-0000030F0000}"/>
    <cellStyle name="Normal 10 2 10 2 31 3 4" xfId="3863" xr:uid="{00000000-0005-0000-0000-0000040F0000}"/>
    <cellStyle name="Normal 10 2 10 2 31 3 5" xfId="3864" xr:uid="{00000000-0005-0000-0000-0000050F0000}"/>
    <cellStyle name="Normal 10 2 10 2 31 3 6" xfId="3865" xr:uid="{00000000-0005-0000-0000-0000060F0000}"/>
    <cellStyle name="Normal 10 2 10 2 31 3 7" xfId="3866" xr:uid="{00000000-0005-0000-0000-0000070F0000}"/>
    <cellStyle name="Normal 10 2 10 2 31 3 8" xfId="3867" xr:uid="{00000000-0005-0000-0000-0000080F0000}"/>
    <cellStyle name="Normal 10 2 10 2 31 3 9" xfId="3868" xr:uid="{00000000-0005-0000-0000-0000090F0000}"/>
    <cellStyle name="Normal 10 2 10 2 31 4" xfId="3869" xr:uid="{00000000-0005-0000-0000-00000A0F0000}"/>
    <cellStyle name="Normal 10 2 10 2 31 4 10" xfId="3870" xr:uid="{00000000-0005-0000-0000-00000B0F0000}"/>
    <cellStyle name="Normal 10 2 10 2 31 4 2" xfId="3871" xr:uid="{00000000-0005-0000-0000-00000C0F0000}"/>
    <cellStyle name="Normal 10 2 10 2 31 4 3" xfId="3872" xr:uid="{00000000-0005-0000-0000-00000D0F0000}"/>
    <cellStyle name="Normal 10 2 10 2 31 4 4" xfId="3873" xr:uid="{00000000-0005-0000-0000-00000E0F0000}"/>
    <cellStyle name="Normal 10 2 10 2 31 4 5" xfId="3874" xr:uid="{00000000-0005-0000-0000-00000F0F0000}"/>
    <cellStyle name="Normal 10 2 10 2 31 4 6" xfId="3875" xr:uid="{00000000-0005-0000-0000-0000100F0000}"/>
    <cellStyle name="Normal 10 2 10 2 31 4 7" xfId="3876" xr:uid="{00000000-0005-0000-0000-0000110F0000}"/>
    <cellStyle name="Normal 10 2 10 2 31 4 8" xfId="3877" xr:uid="{00000000-0005-0000-0000-0000120F0000}"/>
    <cellStyle name="Normal 10 2 10 2 31 4 9" xfId="3878" xr:uid="{00000000-0005-0000-0000-0000130F0000}"/>
    <cellStyle name="Normal 10 2 10 2 31 5" xfId="3879" xr:uid="{00000000-0005-0000-0000-0000140F0000}"/>
    <cellStyle name="Normal 10 2 10 2 31 5 10" xfId="3880" xr:uid="{00000000-0005-0000-0000-0000150F0000}"/>
    <cellStyle name="Normal 10 2 10 2 31 5 2" xfId="3881" xr:uid="{00000000-0005-0000-0000-0000160F0000}"/>
    <cellStyle name="Normal 10 2 10 2 31 5 3" xfId="3882" xr:uid="{00000000-0005-0000-0000-0000170F0000}"/>
    <cellStyle name="Normal 10 2 10 2 31 5 4" xfId="3883" xr:uid="{00000000-0005-0000-0000-0000180F0000}"/>
    <cellStyle name="Normal 10 2 10 2 31 5 5" xfId="3884" xr:uid="{00000000-0005-0000-0000-0000190F0000}"/>
    <cellStyle name="Normal 10 2 10 2 31 5 6" xfId="3885" xr:uid="{00000000-0005-0000-0000-00001A0F0000}"/>
    <cellStyle name="Normal 10 2 10 2 31 5 7" xfId="3886" xr:uid="{00000000-0005-0000-0000-00001B0F0000}"/>
    <cellStyle name="Normal 10 2 10 2 31 5 8" xfId="3887" xr:uid="{00000000-0005-0000-0000-00001C0F0000}"/>
    <cellStyle name="Normal 10 2 10 2 31 5 9" xfId="3888" xr:uid="{00000000-0005-0000-0000-00001D0F0000}"/>
    <cellStyle name="Normal 10 2 10 2 31 6" xfId="3889" xr:uid="{00000000-0005-0000-0000-00001E0F0000}"/>
    <cellStyle name="Normal 10 2 10 2 31 7" xfId="3890" xr:uid="{00000000-0005-0000-0000-00001F0F0000}"/>
    <cellStyle name="Normal 10 2 10 2 31 8" xfId="3891" xr:uid="{00000000-0005-0000-0000-0000200F0000}"/>
    <cellStyle name="Normal 10 2 10 2 31 9" xfId="3892" xr:uid="{00000000-0005-0000-0000-0000210F0000}"/>
    <cellStyle name="Normal 10 2 10 2 32" xfId="3893" xr:uid="{00000000-0005-0000-0000-0000220F0000}"/>
    <cellStyle name="Normal 10 2 10 2 32 10" xfId="3894" xr:uid="{00000000-0005-0000-0000-0000230F0000}"/>
    <cellStyle name="Normal 10 2 10 2 32 11" xfId="3895" xr:uid="{00000000-0005-0000-0000-0000240F0000}"/>
    <cellStyle name="Normal 10 2 10 2 32 12" xfId="3896" xr:uid="{00000000-0005-0000-0000-0000250F0000}"/>
    <cellStyle name="Normal 10 2 10 2 32 13" xfId="3897" xr:uid="{00000000-0005-0000-0000-0000260F0000}"/>
    <cellStyle name="Normal 10 2 10 2 32 14" xfId="3898" xr:uid="{00000000-0005-0000-0000-0000270F0000}"/>
    <cellStyle name="Normal 10 2 10 2 32 2" xfId="3899" xr:uid="{00000000-0005-0000-0000-0000280F0000}"/>
    <cellStyle name="Normal 10 2 10 2 32 2 10" xfId="3900" xr:uid="{00000000-0005-0000-0000-0000290F0000}"/>
    <cellStyle name="Normal 10 2 10 2 32 2 2" xfId="3901" xr:uid="{00000000-0005-0000-0000-00002A0F0000}"/>
    <cellStyle name="Normal 10 2 10 2 32 2 3" xfId="3902" xr:uid="{00000000-0005-0000-0000-00002B0F0000}"/>
    <cellStyle name="Normal 10 2 10 2 32 2 4" xfId="3903" xr:uid="{00000000-0005-0000-0000-00002C0F0000}"/>
    <cellStyle name="Normal 10 2 10 2 32 2 5" xfId="3904" xr:uid="{00000000-0005-0000-0000-00002D0F0000}"/>
    <cellStyle name="Normal 10 2 10 2 32 2 6" xfId="3905" xr:uid="{00000000-0005-0000-0000-00002E0F0000}"/>
    <cellStyle name="Normal 10 2 10 2 32 2 7" xfId="3906" xr:uid="{00000000-0005-0000-0000-00002F0F0000}"/>
    <cellStyle name="Normal 10 2 10 2 32 2 8" xfId="3907" xr:uid="{00000000-0005-0000-0000-0000300F0000}"/>
    <cellStyle name="Normal 10 2 10 2 32 2 9" xfId="3908" xr:uid="{00000000-0005-0000-0000-0000310F0000}"/>
    <cellStyle name="Normal 10 2 10 2 32 3" xfId="3909" xr:uid="{00000000-0005-0000-0000-0000320F0000}"/>
    <cellStyle name="Normal 10 2 10 2 32 3 10" xfId="3910" xr:uid="{00000000-0005-0000-0000-0000330F0000}"/>
    <cellStyle name="Normal 10 2 10 2 32 3 2" xfId="3911" xr:uid="{00000000-0005-0000-0000-0000340F0000}"/>
    <cellStyle name="Normal 10 2 10 2 32 3 3" xfId="3912" xr:uid="{00000000-0005-0000-0000-0000350F0000}"/>
    <cellStyle name="Normal 10 2 10 2 32 3 4" xfId="3913" xr:uid="{00000000-0005-0000-0000-0000360F0000}"/>
    <cellStyle name="Normal 10 2 10 2 32 3 5" xfId="3914" xr:uid="{00000000-0005-0000-0000-0000370F0000}"/>
    <cellStyle name="Normal 10 2 10 2 32 3 6" xfId="3915" xr:uid="{00000000-0005-0000-0000-0000380F0000}"/>
    <cellStyle name="Normal 10 2 10 2 32 3 7" xfId="3916" xr:uid="{00000000-0005-0000-0000-0000390F0000}"/>
    <cellStyle name="Normal 10 2 10 2 32 3 8" xfId="3917" xr:uid="{00000000-0005-0000-0000-00003A0F0000}"/>
    <cellStyle name="Normal 10 2 10 2 32 3 9" xfId="3918" xr:uid="{00000000-0005-0000-0000-00003B0F0000}"/>
    <cellStyle name="Normal 10 2 10 2 32 4" xfId="3919" xr:uid="{00000000-0005-0000-0000-00003C0F0000}"/>
    <cellStyle name="Normal 10 2 10 2 32 4 10" xfId="3920" xr:uid="{00000000-0005-0000-0000-00003D0F0000}"/>
    <cellStyle name="Normal 10 2 10 2 32 4 2" xfId="3921" xr:uid="{00000000-0005-0000-0000-00003E0F0000}"/>
    <cellStyle name="Normal 10 2 10 2 32 4 3" xfId="3922" xr:uid="{00000000-0005-0000-0000-00003F0F0000}"/>
    <cellStyle name="Normal 10 2 10 2 32 4 4" xfId="3923" xr:uid="{00000000-0005-0000-0000-0000400F0000}"/>
    <cellStyle name="Normal 10 2 10 2 32 4 5" xfId="3924" xr:uid="{00000000-0005-0000-0000-0000410F0000}"/>
    <cellStyle name="Normal 10 2 10 2 32 4 6" xfId="3925" xr:uid="{00000000-0005-0000-0000-0000420F0000}"/>
    <cellStyle name="Normal 10 2 10 2 32 4 7" xfId="3926" xr:uid="{00000000-0005-0000-0000-0000430F0000}"/>
    <cellStyle name="Normal 10 2 10 2 32 4 8" xfId="3927" xr:uid="{00000000-0005-0000-0000-0000440F0000}"/>
    <cellStyle name="Normal 10 2 10 2 32 4 9" xfId="3928" xr:uid="{00000000-0005-0000-0000-0000450F0000}"/>
    <cellStyle name="Normal 10 2 10 2 32 5" xfId="3929" xr:uid="{00000000-0005-0000-0000-0000460F0000}"/>
    <cellStyle name="Normal 10 2 10 2 32 5 10" xfId="3930" xr:uid="{00000000-0005-0000-0000-0000470F0000}"/>
    <cellStyle name="Normal 10 2 10 2 32 5 2" xfId="3931" xr:uid="{00000000-0005-0000-0000-0000480F0000}"/>
    <cellStyle name="Normal 10 2 10 2 32 5 3" xfId="3932" xr:uid="{00000000-0005-0000-0000-0000490F0000}"/>
    <cellStyle name="Normal 10 2 10 2 32 5 4" xfId="3933" xr:uid="{00000000-0005-0000-0000-00004A0F0000}"/>
    <cellStyle name="Normal 10 2 10 2 32 5 5" xfId="3934" xr:uid="{00000000-0005-0000-0000-00004B0F0000}"/>
    <cellStyle name="Normal 10 2 10 2 32 5 6" xfId="3935" xr:uid="{00000000-0005-0000-0000-00004C0F0000}"/>
    <cellStyle name="Normal 10 2 10 2 32 5 7" xfId="3936" xr:uid="{00000000-0005-0000-0000-00004D0F0000}"/>
    <cellStyle name="Normal 10 2 10 2 32 5 8" xfId="3937" xr:uid="{00000000-0005-0000-0000-00004E0F0000}"/>
    <cellStyle name="Normal 10 2 10 2 32 5 9" xfId="3938" xr:uid="{00000000-0005-0000-0000-00004F0F0000}"/>
    <cellStyle name="Normal 10 2 10 2 32 6" xfId="3939" xr:uid="{00000000-0005-0000-0000-0000500F0000}"/>
    <cellStyle name="Normal 10 2 10 2 32 7" xfId="3940" xr:uid="{00000000-0005-0000-0000-0000510F0000}"/>
    <cellStyle name="Normal 10 2 10 2 32 8" xfId="3941" xr:uid="{00000000-0005-0000-0000-0000520F0000}"/>
    <cellStyle name="Normal 10 2 10 2 32 9" xfId="3942" xr:uid="{00000000-0005-0000-0000-0000530F0000}"/>
    <cellStyle name="Normal 10 2 10 2 33" xfId="3943" xr:uid="{00000000-0005-0000-0000-0000540F0000}"/>
    <cellStyle name="Normal 10 2 10 2 33 10" xfId="3944" xr:uid="{00000000-0005-0000-0000-0000550F0000}"/>
    <cellStyle name="Normal 10 2 10 2 33 11" xfId="3945" xr:uid="{00000000-0005-0000-0000-0000560F0000}"/>
    <cellStyle name="Normal 10 2 10 2 33 12" xfId="3946" xr:uid="{00000000-0005-0000-0000-0000570F0000}"/>
    <cellStyle name="Normal 10 2 10 2 33 13" xfId="3947" xr:uid="{00000000-0005-0000-0000-0000580F0000}"/>
    <cellStyle name="Normal 10 2 10 2 33 14" xfId="3948" xr:uid="{00000000-0005-0000-0000-0000590F0000}"/>
    <cellStyle name="Normal 10 2 10 2 33 2" xfId="3949" xr:uid="{00000000-0005-0000-0000-00005A0F0000}"/>
    <cellStyle name="Normal 10 2 10 2 33 2 10" xfId="3950" xr:uid="{00000000-0005-0000-0000-00005B0F0000}"/>
    <cellStyle name="Normal 10 2 10 2 33 2 2" xfId="3951" xr:uid="{00000000-0005-0000-0000-00005C0F0000}"/>
    <cellStyle name="Normal 10 2 10 2 33 2 3" xfId="3952" xr:uid="{00000000-0005-0000-0000-00005D0F0000}"/>
    <cellStyle name="Normal 10 2 10 2 33 2 4" xfId="3953" xr:uid="{00000000-0005-0000-0000-00005E0F0000}"/>
    <cellStyle name="Normal 10 2 10 2 33 2 5" xfId="3954" xr:uid="{00000000-0005-0000-0000-00005F0F0000}"/>
    <cellStyle name="Normal 10 2 10 2 33 2 6" xfId="3955" xr:uid="{00000000-0005-0000-0000-0000600F0000}"/>
    <cellStyle name="Normal 10 2 10 2 33 2 7" xfId="3956" xr:uid="{00000000-0005-0000-0000-0000610F0000}"/>
    <cellStyle name="Normal 10 2 10 2 33 2 8" xfId="3957" xr:uid="{00000000-0005-0000-0000-0000620F0000}"/>
    <cellStyle name="Normal 10 2 10 2 33 2 9" xfId="3958" xr:uid="{00000000-0005-0000-0000-0000630F0000}"/>
    <cellStyle name="Normal 10 2 10 2 33 3" xfId="3959" xr:uid="{00000000-0005-0000-0000-0000640F0000}"/>
    <cellStyle name="Normal 10 2 10 2 33 3 10" xfId="3960" xr:uid="{00000000-0005-0000-0000-0000650F0000}"/>
    <cellStyle name="Normal 10 2 10 2 33 3 2" xfId="3961" xr:uid="{00000000-0005-0000-0000-0000660F0000}"/>
    <cellStyle name="Normal 10 2 10 2 33 3 3" xfId="3962" xr:uid="{00000000-0005-0000-0000-0000670F0000}"/>
    <cellStyle name="Normal 10 2 10 2 33 3 4" xfId="3963" xr:uid="{00000000-0005-0000-0000-0000680F0000}"/>
    <cellStyle name="Normal 10 2 10 2 33 3 5" xfId="3964" xr:uid="{00000000-0005-0000-0000-0000690F0000}"/>
    <cellStyle name="Normal 10 2 10 2 33 3 6" xfId="3965" xr:uid="{00000000-0005-0000-0000-00006A0F0000}"/>
    <cellStyle name="Normal 10 2 10 2 33 3 7" xfId="3966" xr:uid="{00000000-0005-0000-0000-00006B0F0000}"/>
    <cellStyle name="Normal 10 2 10 2 33 3 8" xfId="3967" xr:uid="{00000000-0005-0000-0000-00006C0F0000}"/>
    <cellStyle name="Normal 10 2 10 2 33 3 9" xfId="3968" xr:uid="{00000000-0005-0000-0000-00006D0F0000}"/>
    <cellStyle name="Normal 10 2 10 2 33 4" xfId="3969" xr:uid="{00000000-0005-0000-0000-00006E0F0000}"/>
    <cellStyle name="Normal 10 2 10 2 33 4 10" xfId="3970" xr:uid="{00000000-0005-0000-0000-00006F0F0000}"/>
    <cellStyle name="Normal 10 2 10 2 33 4 2" xfId="3971" xr:uid="{00000000-0005-0000-0000-0000700F0000}"/>
    <cellStyle name="Normal 10 2 10 2 33 4 3" xfId="3972" xr:uid="{00000000-0005-0000-0000-0000710F0000}"/>
    <cellStyle name="Normal 10 2 10 2 33 4 4" xfId="3973" xr:uid="{00000000-0005-0000-0000-0000720F0000}"/>
    <cellStyle name="Normal 10 2 10 2 33 4 5" xfId="3974" xr:uid="{00000000-0005-0000-0000-0000730F0000}"/>
    <cellStyle name="Normal 10 2 10 2 33 4 6" xfId="3975" xr:uid="{00000000-0005-0000-0000-0000740F0000}"/>
    <cellStyle name="Normal 10 2 10 2 33 4 7" xfId="3976" xr:uid="{00000000-0005-0000-0000-0000750F0000}"/>
    <cellStyle name="Normal 10 2 10 2 33 4 8" xfId="3977" xr:uid="{00000000-0005-0000-0000-0000760F0000}"/>
    <cellStyle name="Normal 10 2 10 2 33 4 9" xfId="3978" xr:uid="{00000000-0005-0000-0000-0000770F0000}"/>
    <cellStyle name="Normal 10 2 10 2 33 5" xfId="3979" xr:uid="{00000000-0005-0000-0000-0000780F0000}"/>
    <cellStyle name="Normal 10 2 10 2 33 5 10" xfId="3980" xr:uid="{00000000-0005-0000-0000-0000790F0000}"/>
    <cellStyle name="Normal 10 2 10 2 33 5 2" xfId="3981" xr:uid="{00000000-0005-0000-0000-00007A0F0000}"/>
    <cellStyle name="Normal 10 2 10 2 33 5 3" xfId="3982" xr:uid="{00000000-0005-0000-0000-00007B0F0000}"/>
    <cellStyle name="Normal 10 2 10 2 33 5 4" xfId="3983" xr:uid="{00000000-0005-0000-0000-00007C0F0000}"/>
    <cellStyle name="Normal 10 2 10 2 33 5 5" xfId="3984" xr:uid="{00000000-0005-0000-0000-00007D0F0000}"/>
    <cellStyle name="Normal 10 2 10 2 33 5 6" xfId="3985" xr:uid="{00000000-0005-0000-0000-00007E0F0000}"/>
    <cellStyle name="Normal 10 2 10 2 33 5 7" xfId="3986" xr:uid="{00000000-0005-0000-0000-00007F0F0000}"/>
    <cellStyle name="Normal 10 2 10 2 33 5 8" xfId="3987" xr:uid="{00000000-0005-0000-0000-0000800F0000}"/>
    <cellStyle name="Normal 10 2 10 2 33 5 9" xfId="3988" xr:uid="{00000000-0005-0000-0000-0000810F0000}"/>
    <cellStyle name="Normal 10 2 10 2 33 6" xfId="3989" xr:uid="{00000000-0005-0000-0000-0000820F0000}"/>
    <cellStyle name="Normal 10 2 10 2 33 7" xfId="3990" xr:uid="{00000000-0005-0000-0000-0000830F0000}"/>
    <cellStyle name="Normal 10 2 10 2 33 8" xfId="3991" xr:uid="{00000000-0005-0000-0000-0000840F0000}"/>
    <cellStyle name="Normal 10 2 10 2 33 9" xfId="3992" xr:uid="{00000000-0005-0000-0000-0000850F0000}"/>
    <cellStyle name="Normal 10 2 10 2 34" xfId="3993" xr:uid="{00000000-0005-0000-0000-0000860F0000}"/>
    <cellStyle name="Normal 10 2 10 2 34 10" xfId="3994" xr:uid="{00000000-0005-0000-0000-0000870F0000}"/>
    <cellStyle name="Normal 10 2 10 2 34 2" xfId="3995" xr:uid="{00000000-0005-0000-0000-0000880F0000}"/>
    <cellStyle name="Normal 10 2 10 2 34 3" xfId="3996" xr:uid="{00000000-0005-0000-0000-0000890F0000}"/>
    <cellStyle name="Normal 10 2 10 2 34 4" xfId="3997" xr:uid="{00000000-0005-0000-0000-00008A0F0000}"/>
    <cellStyle name="Normal 10 2 10 2 34 5" xfId="3998" xr:uid="{00000000-0005-0000-0000-00008B0F0000}"/>
    <cellStyle name="Normal 10 2 10 2 34 6" xfId="3999" xr:uid="{00000000-0005-0000-0000-00008C0F0000}"/>
    <cellStyle name="Normal 10 2 10 2 34 7" xfId="4000" xr:uid="{00000000-0005-0000-0000-00008D0F0000}"/>
    <cellStyle name="Normal 10 2 10 2 34 8" xfId="4001" xr:uid="{00000000-0005-0000-0000-00008E0F0000}"/>
    <cellStyle name="Normal 10 2 10 2 34 9" xfId="4002" xr:uid="{00000000-0005-0000-0000-00008F0F0000}"/>
    <cellStyle name="Normal 10 2 10 2 35" xfId="4003" xr:uid="{00000000-0005-0000-0000-0000900F0000}"/>
    <cellStyle name="Normal 10 2 10 2 35 10" xfId="4004" xr:uid="{00000000-0005-0000-0000-0000910F0000}"/>
    <cellStyle name="Normal 10 2 10 2 35 2" xfId="4005" xr:uid="{00000000-0005-0000-0000-0000920F0000}"/>
    <cellStyle name="Normal 10 2 10 2 35 3" xfId="4006" xr:uid="{00000000-0005-0000-0000-0000930F0000}"/>
    <cellStyle name="Normal 10 2 10 2 35 4" xfId="4007" xr:uid="{00000000-0005-0000-0000-0000940F0000}"/>
    <cellStyle name="Normal 10 2 10 2 35 5" xfId="4008" xr:uid="{00000000-0005-0000-0000-0000950F0000}"/>
    <cellStyle name="Normal 10 2 10 2 35 6" xfId="4009" xr:uid="{00000000-0005-0000-0000-0000960F0000}"/>
    <cellStyle name="Normal 10 2 10 2 35 7" xfId="4010" xr:uid="{00000000-0005-0000-0000-0000970F0000}"/>
    <cellStyle name="Normal 10 2 10 2 35 8" xfId="4011" xr:uid="{00000000-0005-0000-0000-0000980F0000}"/>
    <cellStyle name="Normal 10 2 10 2 35 9" xfId="4012" xr:uid="{00000000-0005-0000-0000-0000990F0000}"/>
    <cellStyle name="Normal 10 2 10 2 36" xfId="4013" xr:uid="{00000000-0005-0000-0000-00009A0F0000}"/>
    <cellStyle name="Normal 10 2 10 2 36 10" xfId="4014" xr:uid="{00000000-0005-0000-0000-00009B0F0000}"/>
    <cellStyle name="Normal 10 2 10 2 36 2" xfId="4015" xr:uid="{00000000-0005-0000-0000-00009C0F0000}"/>
    <cellStyle name="Normal 10 2 10 2 36 3" xfId="4016" xr:uid="{00000000-0005-0000-0000-00009D0F0000}"/>
    <cellStyle name="Normal 10 2 10 2 36 4" xfId="4017" xr:uid="{00000000-0005-0000-0000-00009E0F0000}"/>
    <cellStyle name="Normal 10 2 10 2 36 5" xfId="4018" xr:uid="{00000000-0005-0000-0000-00009F0F0000}"/>
    <cellStyle name="Normal 10 2 10 2 36 6" xfId="4019" xr:uid="{00000000-0005-0000-0000-0000A00F0000}"/>
    <cellStyle name="Normal 10 2 10 2 36 7" xfId="4020" xr:uid="{00000000-0005-0000-0000-0000A10F0000}"/>
    <cellStyle name="Normal 10 2 10 2 36 8" xfId="4021" xr:uid="{00000000-0005-0000-0000-0000A20F0000}"/>
    <cellStyle name="Normal 10 2 10 2 36 9" xfId="4022" xr:uid="{00000000-0005-0000-0000-0000A30F0000}"/>
    <cellStyle name="Normal 10 2 10 2 37" xfId="4023" xr:uid="{00000000-0005-0000-0000-0000A40F0000}"/>
    <cellStyle name="Normal 10 2 10 2 37 10" xfId="4024" xr:uid="{00000000-0005-0000-0000-0000A50F0000}"/>
    <cellStyle name="Normal 10 2 10 2 37 2" xfId="4025" xr:uid="{00000000-0005-0000-0000-0000A60F0000}"/>
    <cellStyle name="Normal 10 2 10 2 37 3" xfId="4026" xr:uid="{00000000-0005-0000-0000-0000A70F0000}"/>
    <cellStyle name="Normal 10 2 10 2 37 4" xfId="4027" xr:uid="{00000000-0005-0000-0000-0000A80F0000}"/>
    <cellStyle name="Normal 10 2 10 2 37 5" xfId="4028" xr:uid="{00000000-0005-0000-0000-0000A90F0000}"/>
    <cellStyle name="Normal 10 2 10 2 37 6" xfId="4029" xr:uid="{00000000-0005-0000-0000-0000AA0F0000}"/>
    <cellStyle name="Normal 10 2 10 2 37 7" xfId="4030" xr:uid="{00000000-0005-0000-0000-0000AB0F0000}"/>
    <cellStyle name="Normal 10 2 10 2 37 8" xfId="4031" xr:uid="{00000000-0005-0000-0000-0000AC0F0000}"/>
    <cellStyle name="Normal 10 2 10 2 37 9" xfId="4032" xr:uid="{00000000-0005-0000-0000-0000AD0F0000}"/>
    <cellStyle name="Normal 10 2 10 2 38" xfId="4033" xr:uid="{00000000-0005-0000-0000-0000AE0F0000}"/>
    <cellStyle name="Normal 10 2 10 2 39" xfId="4034" xr:uid="{00000000-0005-0000-0000-0000AF0F0000}"/>
    <cellStyle name="Normal 10 2 10 2 4" xfId="4035" xr:uid="{00000000-0005-0000-0000-0000B00F0000}"/>
    <cellStyle name="Normal 10 2 10 2 4 10" xfId="4036" xr:uid="{00000000-0005-0000-0000-0000B10F0000}"/>
    <cellStyle name="Normal 10 2 10 2 4 11" xfId="4037" xr:uid="{00000000-0005-0000-0000-0000B20F0000}"/>
    <cellStyle name="Normal 10 2 10 2 4 12" xfId="4038" xr:uid="{00000000-0005-0000-0000-0000B30F0000}"/>
    <cellStyle name="Normal 10 2 10 2 4 13" xfId="4039" xr:uid="{00000000-0005-0000-0000-0000B40F0000}"/>
    <cellStyle name="Normal 10 2 10 2 4 14" xfId="4040" xr:uid="{00000000-0005-0000-0000-0000B50F0000}"/>
    <cellStyle name="Normal 10 2 10 2 4 2" xfId="4041" xr:uid="{00000000-0005-0000-0000-0000B60F0000}"/>
    <cellStyle name="Normal 10 2 10 2 4 2 10" xfId="4042" xr:uid="{00000000-0005-0000-0000-0000B70F0000}"/>
    <cellStyle name="Normal 10 2 10 2 4 2 2" xfId="4043" xr:uid="{00000000-0005-0000-0000-0000B80F0000}"/>
    <cellStyle name="Normal 10 2 10 2 4 2 3" xfId="4044" xr:uid="{00000000-0005-0000-0000-0000B90F0000}"/>
    <cellStyle name="Normal 10 2 10 2 4 2 4" xfId="4045" xr:uid="{00000000-0005-0000-0000-0000BA0F0000}"/>
    <cellStyle name="Normal 10 2 10 2 4 2 5" xfId="4046" xr:uid="{00000000-0005-0000-0000-0000BB0F0000}"/>
    <cellStyle name="Normal 10 2 10 2 4 2 6" xfId="4047" xr:uid="{00000000-0005-0000-0000-0000BC0F0000}"/>
    <cellStyle name="Normal 10 2 10 2 4 2 7" xfId="4048" xr:uid="{00000000-0005-0000-0000-0000BD0F0000}"/>
    <cellStyle name="Normal 10 2 10 2 4 2 8" xfId="4049" xr:uid="{00000000-0005-0000-0000-0000BE0F0000}"/>
    <cellStyle name="Normal 10 2 10 2 4 2 9" xfId="4050" xr:uid="{00000000-0005-0000-0000-0000BF0F0000}"/>
    <cellStyle name="Normal 10 2 10 2 4 3" xfId="4051" xr:uid="{00000000-0005-0000-0000-0000C00F0000}"/>
    <cellStyle name="Normal 10 2 10 2 4 3 10" xfId="4052" xr:uid="{00000000-0005-0000-0000-0000C10F0000}"/>
    <cellStyle name="Normal 10 2 10 2 4 3 2" xfId="4053" xr:uid="{00000000-0005-0000-0000-0000C20F0000}"/>
    <cellStyle name="Normal 10 2 10 2 4 3 3" xfId="4054" xr:uid="{00000000-0005-0000-0000-0000C30F0000}"/>
    <cellStyle name="Normal 10 2 10 2 4 3 4" xfId="4055" xr:uid="{00000000-0005-0000-0000-0000C40F0000}"/>
    <cellStyle name="Normal 10 2 10 2 4 3 5" xfId="4056" xr:uid="{00000000-0005-0000-0000-0000C50F0000}"/>
    <cellStyle name="Normal 10 2 10 2 4 3 6" xfId="4057" xr:uid="{00000000-0005-0000-0000-0000C60F0000}"/>
    <cellStyle name="Normal 10 2 10 2 4 3 7" xfId="4058" xr:uid="{00000000-0005-0000-0000-0000C70F0000}"/>
    <cellStyle name="Normal 10 2 10 2 4 3 8" xfId="4059" xr:uid="{00000000-0005-0000-0000-0000C80F0000}"/>
    <cellStyle name="Normal 10 2 10 2 4 3 9" xfId="4060" xr:uid="{00000000-0005-0000-0000-0000C90F0000}"/>
    <cellStyle name="Normal 10 2 10 2 4 4" xfId="4061" xr:uid="{00000000-0005-0000-0000-0000CA0F0000}"/>
    <cellStyle name="Normal 10 2 10 2 4 4 10" xfId="4062" xr:uid="{00000000-0005-0000-0000-0000CB0F0000}"/>
    <cellStyle name="Normal 10 2 10 2 4 4 2" xfId="4063" xr:uid="{00000000-0005-0000-0000-0000CC0F0000}"/>
    <cellStyle name="Normal 10 2 10 2 4 4 3" xfId="4064" xr:uid="{00000000-0005-0000-0000-0000CD0F0000}"/>
    <cellStyle name="Normal 10 2 10 2 4 4 4" xfId="4065" xr:uid="{00000000-0005-0000-0000-0000CE0F0000}"/>
    <cellStyle name="Normal 10 2 10 2 4 4 5" xfId="4066" xr:uid="{00000000-0005-0000-0000-0000CF0F0000}"/>
    <cellStyle name="Normal 10 2 10 2 4 4 6" xfId="4067" xr:uid="{00000000-0005-0000-0000-0000D00F0000}"/>
    <cellStyle name="Normal 10 2 10 2 4 4 7" xfId="4068" xr:uid="{00000000-0005-0000-0000-0000D10F0000}"/>
    <cellStyle name="Normal 10 2 10 2 4 4 8" xfId="4069" xr:uid="{00000000-0005-0000-0000-0000D20F0000}"/>
    <cellStyle name="Normal 10 2 10 2 4 4 9" xfId="4070" xr:uid="{00000000-0005-0000-0000-0000D30F0000}"/>
    <cellStyle name="Normal 10 2 10 2 4 5" xfId="4071" xr:uid="{00000000-0005-0000-0000-0000D40F0000}"/>
    <cellStyle name="Normal 10 2 10 2 4 5 10" xfId="4072" xr:uid="{00000000-0005-0000-0000-0000D50F0000}"/>
    <cellStyle name="Normal 10 2 10 2 4 5 2" xfId="4073" xr:uid="{00000000-0005-0000-0000-0000D60F0000}"/>
    <cellStyle name="Normal 10 2 10 2 4 5 3" xfId="4074" xr:uid="{00000000-0005-0000-0000-0000D70F0000}"/>
    <cellStyle name="Normal 10 2 10 2 4 5 4" xfId="4075" xr:uid="{00000000-0005-0000-0000-0000D80F0000}"/>
    <cellStyle name="Normal 10 2 10 2 4 5 5" xfId="4076" xr:uid="{00000000-0005-0000-0000-0000D90F0000}"/>
    <cellStyle name="Normal 10 2 10 2 4 5 6" xfId="4077" xr:uid="{00000000-0005-0000-0000-0000DA0F0000}"/>
    <cellStyle name="Normal 10 2 10 2 4 5 7" xfId="4078" xr:uid="{00000000-0005-0000-0000-0000DB0F0000}"/>
    <cellStyle name="Normal 10 2 10 2 4 5 8" xfId="4079" xr:uid="{00000000-0005-0000-0000-0000DC0F0000}"/>
    <cellStyle name="Normal 10 2 10 2 4 5 9" xfId="4080" xr:uid="{00000000-0005-0000-0000-0000DD0F0000}"/>
    <cellStyle name="Normal 10 2 10 2 4 6" xfId="4081" xr:uid="{00000000-0005-0000-0000-0000DE0F0000}"/>
    <cellStyle name="Normal 10 2 10 2 4 7" xfId="4082" xr:uid="{00000000-0005-0000-0000-0000DF0F0000}"/>
    <cellStyle name="Normal 10 2 10 2 4 8" xfId="4083" xr:uid="{00000000-0005-0000-0000-0000E00F0000}"/>
    <cellStyle name="Normal 10 2 10 2 4 9" xfId="4084" xr:uid="{00000000-0005-0000-0000-0000E10F0000}"/>
    <cellStyle name="Normal 10 2 10 2 40" xfId="4085" xr:uid="{00000000-0005-0000-0000-0000E20F0000}"/>
    <cellStyle name="Normal 10 2 10 2 41" xfId="4086" xr:uid="{00000000-0005-0000-0000-0000E30F0000}"/>
    <cellStyle name="Normal 10 2 10 2 42" xfId="4087" xr:uid="{00000000-0005-0000-0000-0000E40F0000}"/>
    <cellStyle name="Normal 10 2 10 2 43" xfId="4088" xr:uid="{00000000-0005-0000-0000-0000E50F0000}"/>
    <cellStyle name="Normal 10 2 10 2 44" xfId="4089" xr:uid="{00000000-0005-0000-0000-0000E60F0000}"/>
    <cellStyle name="Normal 10 2 10 2 45" xfId="4090" xr:uid="{00000000-0005-0000-0000-0000E70F0000}"/>
    <cellStyle name="Normal 10 2 10 2 46" xfId="4091" xr:uid="{00000000-0005-0000-0000-0000E80F0000}"/>
    <cellStyle name="Normal 10 2 10 2 47" xfId="4092" xr:uid="{00000000-0005-0000-0000-0000E90F0000}"/>
    <cellStyle name="Normal 10 2 10 2 48" xfId="4093" xr:uid="{00000000-0005-0000-0000-0000EA0F0000}"/>
    <cellStyle name="Normal 10 2 10 2 5" xfId="4094" xr:uid="{00000000-0005-0000-0000-0000EB0F0000}"/>
    <cellStyle name="Normal 10 2 10 2 5 10" xfId="4095" xr:uid="{00000000-0005-0000-0000-0000EC0F0000}"/>
    <cellStyle name="Normal 10 2 10 2 5 11" xfId="4096" xr:uid="{00000000-0005-0000-0000-0000ED0F0000}"/>
    <cellStyle name="Normal 10 2 10 2 5 12" xfId="4097" xr:uid="{00000000-0005-0000-0000-0000EE0F0000}"/>
    <cellStyle name="Normal 10 2 10 2 5 13" xfId="4098" xr:uid="{00000000-0005-0000-0000-0000EF0F0000}"/>
    <cellStyle name="Normal 10 2 10 2 5 14" xfId="4099" xr:uid="{00000000-0005-0000-0000-0000F00F0000}"/>
    <cellStyle name="Normal 10 2 10 2 5 2" xfId="4100" xr:uid="{00000000-0005-0000-0000-0000F10F0000}"/>
    <cellStyle name="Normal 10 2 10 2 5 2 10" xfId="4101" xr:uid="{00000000-0005-0000-0000-0000F20F0000}"/>
    <cellStyle name="Normal 10 2 10 2 5 2 2" xfId="4102" xr:uid="{00000000-0005-0000-0000-0000F30F0000}"/>
    <cellStyle name="Normal 10 2 10 2 5 2 3" xfId="4103" xr:uid="{00000000-0005-0000-0000-0000F40F0000}"/>
    <cellStyle name="Normal 10 2 10 2 5 2 4" xfId="4104" xr:uid="{00000000-0005-0000-0000-0000F50F0000}"/>
    <cellStyle name="Normal 10 2 10 2 5 2 5" xfId="4105" xr:uid="{00000000-0005-0000-0000-0000F60F0000}"/>
    <cellStyle name="Normal 10 2 10 2 5 2 6" xfId="4106" xr:uid="{00000000-0005-0000-0000-0000F70F0000}"/>
    <cellStyle name="Normal 10 2 10 2 5 2 7" xfId="4107" xr:uid="{00000000-0005-0000-0000-0000F80F0000}"/>
    <cellStyle name="Normal 10 2 10 2 5 2 8" xfId="4108" xr:uid="{00000000-0005-0000-0000-0000F90F0000}"/>
    <cellStyle name="Normal 10 2 10 2 5 2 9" xfId="4109" xr:uid="{00000000-0005-0000-0000-0000FA0F0000}"/>
    <cellStyle name="Normal 10 2 10 2 5 3" xfId="4110" xr:uid="{00000000-0005-0000-0000-0000FB0F0000}"/>
    <cellStyle name="Normal 10 2 10 2 5 3 10" xfId="4111" xr:uid="{00000000-0005-0000-0000-0000FC0F0000}"/>
    <cellStyle name="Normal 10 2 10 2 5 3 2" xfId="4112" xr:uid="{00000000-0005-0000-0000-0000FD0F0000}"/>
    <cellStyle name="Normal 10 2 10 2 5 3 3" xfId="4113" xr:uid="{00000000-0005-0000-0000-0000FE0F0000}"/>
    <cellStyle name="Normal 10 2 10 2 5 3 4" xfId="4114" xr:uid="{00000000-0005-0000-0000-0000FF0F0000}"/>
    <cellStyle name="Normal 10 2 10 2 5 3 5" xfId="4115" xr:uid="{00000000-0005-0000-0000-000000100000}"/>
    <cellStyle name="Normal 10 2 10 2 5 3 6" xfId="4116" xr:uid="{00000000-0005-0000-0000-000001100000}"/>
    <cellStyle name="Normal 10 2 10 2 5 3 7" xfId="4117" xr:uid="{00000000-0005-0000-0000-000002100000}"/>
    <cellStyle name="Normal 10 2 10 2 5 3 8" xfId="4118" xr:uid="{00000000-0005-0000-0000-000003100000}"/>
    <cellStyle name="Normal 10 2 10 2 5 3 9" xfId="4119" xr:uid="{00000000-0005-0000-0000-000004100000}"/>
    <cellStyle name="Normal 10 2 10 2 5 4" xfId="4120" xr:uid="{00000000-0005-0000-0000-000005100000}"/>
    <cellStyle name="Normal 10 2 10 2 5 4 10" xfId="4121" xr:uid="{00000000-0005-0000-0000-000006100000}"/>
    <cellStyle name="Normal 10 2 10 2 5 4 2" xfId="4122" xr:uid="{00000000-0005-0000-0000-000007100000}"/>
    <cellStyle name="Normal 10 2 10 2 5 4 3" xfId="4123" xr:uid="{00000000-0005-0000-0000-000008100000}"/>
    <cellStyle name="Normal 10 2 10 2 5 4 4" xfId="4124" xr:uid="{00000000-0005-0000-0000-000009100000}"/>
    <cellStyle name="Normal 10 2 10 2 5 4 5" xfId="4125" xr:uid="{00000000-0005-0000-0000-00000A100000}"/>
    <cellStyle name="Normal 10 2 10 2 5 4 6" xfId="4126" xr:uid="{00000000-0005-0000-0000-00000B100000}"/>
    <cellStyle name="Normal 10 2 10 2 5 4 7" xfId="4127" xr:uid="{00000000-0005-0000-0000-00000C100000}"/>
    <cellStyle name="Normal 10 2 10 2 5 4 8" xfId="4128" xr:uid="{00000000-0005-0000-0000-00000D100000}"/>
    <cellStyle name="Normal 10 2 10 2 5 4 9" xfId="4129" xr:uid="{00000000-0005-0000-0000-00000E100000}"/>
    <cellStyle name="Normal 10 2 10 2 5 5" xfId="4130" xr:uid="{00000000-0005-0000-0000-00000F100000}"/>
    <cellStyle name="Normal 10 2 10 2 5 5 10" xfId="4131" xr:uid="{00000000-0005-0000-0000-000010100000}"/>
    <cellStyle name="Normal 10 2 10 2 5 5 2" xfId="4132" xr:uid="{00000000-0005-0000-0000-000011100000}"/>
    <cellStyle name="Normal 10 2 10 2 5 5 3" xfId="4133" xr:uid="{00000000-0005-0000-0000-000012100000}"/>
    <cellStyle name="Normal 10 2 10 2 5 5 4" xfId="4134" xr:uid="{00000000-0005-0000-0000-000013100000}"/>
    <cellStyle name="Normal 10 2 10 2 5 5 5" xfId="4135" xr:uid="{00000000-0005-0000-0000-000014100000}"/>
    <cellStyle name="Normal 10 2 10 2 5 5 6" xfId="4136" xr:uid="{00000000-0005-0000-0000-000015100000}"/>
    <cellStyle name="Normal 10 2 10 2 5 5 7" xfId="4137" xr:uid="{00000000-0005-0000-0000-000016100000}"/>
    <cellStyle name="Normal 10 2 10 2 5 5 8" xfId="4138" xr:uid="{00000000-0005-0000-0000-000017100000}"/>
    <cellStyle name="Normal 10 2 10 2 5 5 9" xfId="4139" xr:uid="{00000000-0005-0000-0000-000018100000}"/>
    <cellStyle name="Normal 10 2 10 2 5 6" xfId="4140" xr:uid="{00000000-0005-0000-0000-000019100000}"/>
    <cellStyle name="Normal 10 2 10 2 5 7" xfId="4141" xr:uid="{00000000-0005-0000-0000-00001A100000}"/>
    <cellStyle name="Normal 10 2 10 2 5 8" xfId="4142" xr:uid="{00000000-0005-0000-0000-00001B100000}"/>
    <cellStyle name="Normal 10 2 10 2 5 9" xfId="4143" xr:uid="{00000000-0005-0000-0000-00001C100000}"/>
    <cellStyle name="Normal 10 2 10 2 6" xfId="4144" xr:uid="{00000000-0005-0000-0000-00001D100000}"/>
    <cellStyle name="Normal 10 2 10 2 6 10" xfId="4145" xr:uid="{00000000-0005-0000-0000-00001E100000}"/>
    <cellStyle name="Normal 10 2 10 2 6 11" xfId="4146" xr:uid="{00000000-0005-0000-0000-00001F100000}"/>
    <cellStyle name="Normal 10 2 10 2 6 12" xfId="4147" xr:uid="{00000000-0005-0000-0000-000020100000}"/>
    <cellStyle name="Normal 10 2 10 2 6 13" xfId="4148" xr:uid="{00000000-0005-0000-0000-000021100000}"/>
    <cellStyle name="Normal 10 2 10 2 6 14" xfId="4149" xr:uid="{00000000-0005-0000-0000-000022100000}"/>
    <cellStyle name="Normal 10 2 10 2 6 2" xfId="4150" xr:uid="{00000000-0005-0000-0000-000023100000}"/>
    <cellStyle name="Normal 10 2 10 2 6 2 10" xfId="4151" xr:uid="{00000000-0005-0000-0000-000024100000}"/>
    <cellStyle name="Normal 10 2 10 2 6 2 2" xfId="4152" xr:uid="{00000000-0005-0000-0000-000025100000}"/>
    <cellStyle name="Normal 10 2 10 2 6 2 3" xfId="4153" xr:uid="{00000000-0005-0000-0000-000026100000}"/>
    <cellStyle name="Normal 10 2 10 2 6 2 4" xfId="4154" xr:uid="{00000000-0005-0000-0000-000027100000}"/>
    <cellStyle name="Normal 10 2 10 2 6 2 5" xfId="4155" xr:uid="{00000000-0005-0000-0000-000028100000}"/>
    <cellStyle name="Normal 10 2 10 2 6 2 6" xfId="4156" xr:uid="{00000000-0005-0000-0000-000029100000}"/>
    <cellStyle name="Normal 10 2 10 2 6 2 7" xfId="4157" xr:uid="{00000000-0005-0000-0000-00002A100000}"/>
    <cellStyle name="Normal 10 2 10 2 6 2 8" xfId="4158" xr:uid="{00000000-0005-0000-0000-00002B100000}"/>
    <cellStyle name="Normal 10 2 10 2 6 2 9" xfId="4159" xr:uid="{00000000-0005-0000-0000-00002C100000}"/>
    <cellStyle name="Normal 10 2 10 2 6 3" xfId="4160" xr:uid="{00000000-0005-0000-0000-00002D100000}"/>
    <cellStyle name="Normal 10 2 10 2 6 3 10" xfId="4161" xr:uid="{00000000-0005-0000-0000-00002E100000}"/>
    <cellStyle name="Normal 10 2 10 2 6 3 2" xfId="4162" xr:uid="{00000000-0005-0000-0000-00002F100000}"/>
    <cellStyle name="Normal 10 2 10 2 6 3 3" xfId="4163" xr:uid="{00000000-0005-0000-0000-000030100000}"/>
    <cellStyle name="Normal 10 2 10 2 6 3 4" xfId="4164" xr:uid="{00000000-0005-0000-0000-000031100000}"/>
    <cellStyle name="Normal 10 2 10 2 6 3 5" xfId="4165" xr:uid="{00000000-0005-0000-0000-000032100000}"/>
    <cellStyle name="Normal 10 2 10 2 6 3 6" xfId="4166" xr:uid="{00000000-0005-0000-0000-000033100000}"/>
    <cellStyle name="Normal 10 2 10 2 6 3 7" xfId="4167" xr:uid="{00000000-0005-0000-0000-000034100000}"/>
    <cellStyle name="Normal 10 2 10 2 6 3 8" xfId="4168" xr:uid="{00000000-0005-0000-0000-000035100000}"/>
    <cellStyle name="Normal 10 2 10 2 6 3 9" xfId="4169" xr:uid="{00000000-0005-0000-0000-000036100000}"/>
    <cellStyle name="Normal 10 2 10 2 6 4" xfId="4170" xr:uid="{00000000-0005-0000-0000-000037100000}"/>
    <cellStyle name="Normal 10 2 10 2 6 4 10" xfId="4171" xr:uid="{00000000-0005-0000-0000-000038100000}"/>
    <cellStyle name="Normal 10 2 10 2 6 4 2" xfId="4172" xr:uid="{00000000-0005-0000-0000-000039100000}"/>
    <cellStyle name="Normal 10 2 10 2 6 4 3" xfId="4173" xr:uid="{00000000-0005-0000-0000-00003A100000}"/>
    <cellStyle name="Normal 10 2 10 2 6 4 4" xfId="4174" xr:uid="{00000000-0005-0000-0000-00003B100000}"/>
    <cellStyle name="Normal 10 2 10 2 6 4 5" xfId="4175" xr:uid="{00000000-0005-0000-0000-00003C100000}"/>
    <cellStyle name="Normal 10 2 10 2 6 4 6" xfId="4176" xr:uid="{00000000-0005-0000-0000-00003D100000}"/>
    <cellStyle name="Normal 10 2 10 2 6 4 7" xfId="4177" xr:uid="{00000000-0005-0000-0000-00003E100000}"/>
    <cellStyle name="Normal 10 2 10 2 6 4 8" xfId="4178" xr:uid="{00000000-0005-0000-0000-00003F100000}"/>
    <cellStyle name="Normal 10 2 10 2 6 4 9" xfId="4179" xr:uid="{00000000-0005-0000-0000-000040100000}"/>
    <cellStyle name="Normal 10 2 10 2 6 5" xfId="4180" xr:uid="{00000000-0005-0000-0000-000041100000}"/>
    <cellStyle name="Normal 10 2 10 2 6 5 10" xfId="4181" xr:uid="{00000000-0005-0000-0000-000042100000}"/>
    <cellStyle name="Normal 10 2 10 2 6 5 2" xfId="4182" xr:uid="{00000000-0005-0000-0000-000043100000}"/>
    <cellStyle name="Normal 10 2 10 2 6 5 3" xfId="4183" xr:uid="{00000000-0005-0000-0000-000044100000}"/>
    <cellStyle name="Normal 10 2 10 2 6 5 4" xfId="4184" xr:uid="{00000000-0005-0000-0000-000045100000}"/>
    <cellStyle name="Normal 10 2 10 2 6 5 5" xfId="4185" xr:uid="{00000000-0005-0000-0000-000046100000}"/>
    <cellStyle name="Normal 10 2 10 2 6 5 6" xfId="4186" xr:uid="{00000000-0005-0000-0000-000047100000}"/>
    <cellStyle name="Normal 10 2 10 2 6 5 7" xfId="4187" xr:uid="{00000000-0005-0000-0000-000048100000}"/>
    <cellStyle name="Normal 10 2 10 2 6 5 8" xfId="4188" xr:uid="{00000000-0005-0000-0000-000049100000}"/>
    <cellStyle name="Normal 10 2 10 2 6 5 9" xfId="4189" xr:uid="{00000000-0005-0000-0000-00004A100000}"/>
    <cellStyle name="Normal 10 2 10 2 6 6" xfId="4190" xr:uid="{00000000-0005-0000-0000-00004B100000}"/>
    <cellStyle name="Normal 10 2 10 2 6 7" xfId="4191" xr:uid="{00000000-0005-0000-0000-00004C100000}"/>
    <cellStyle name="Normal 10 2 10 2 6 8" xfId="4192" xr:uid="{00000000-0005-0000-0000-00004D100000}"/>
    <cellStyle name="Normal 10 2 10 2 6 9" xfId="4193" xr:uid="{00000000-0005-0000-0000-00004E100000}"/>
    <cellStyle name="Normal 10 2 10 2 7" xfId="4194" xr:uid="{00000000-0005-0000-0000-00004F100000}"/>
    <cellStyle name="Normal 10 2 10 2 7 10" xfId="4195" xr:uid="{00000000-0005-0000-0000-000050100000}"/>
    <cellStyle name="Normal 10 2 10 2 7 11" xfId="4196" xr:uid="{00000000-0005-0000-0000-000051100000}"/>
    <cellStyle name="Normal 10 2 10 2 7 12" xfId="4197" xr:uid="{00000000-0005-0000-0000-000052100000}"/>
    <cellStyle name="Normal 10 2 10 2 7 13" xfId="4198" xr:uid="{00000000-0005-0000-0000-000053100000}"/>
    <cellStyle name="Normal 10 2 10 2 7 14" xfId="4199" xr:uid="{00000000-0005-0000-0000-000054100000}"/>
    <cellStyle name="Normal 10 2 10 2 7 2" xfId="4200" xr:uid="{00000000-0005-0000-0000-000055100000}"/>
    <cellStyle name="Normal 10 2 10 2 7 2 10" xfId="4201" xr:uid="{00000000-0005-0000-0000-000056100000}"/>
    <cellStyle name="Normal 10 2 10 2 7 2 2" xfId="4202" xr:uid="{00000000-0005-0000-0000-000057100000}"/>
    <cellStyle name="Normal 10 2 10 2 7 2 3" xfId="4203" xr:uid="{00000000-0005-0000-0000-000058100000}"/>
    <cellStyle name="Normal 10 2 10 2 7 2 4" xfId="4204" xr:uid="{00000000-0005-0000-0000-000059100000}"/>
    <cellStyle name="Normal 10 2 10 2 7 2 5" xfId="4205" xr:uid="{00000000-0005-0000-0000-00005A100000}"/>
    <cellStyle name="Normal 10 2 10 2 7 2 6" xfId="4206" xr:uid="{00000000-0005-0000-0000-00005B100000}"/>
    <cellStyle name="Normal 10 2 10 2 7 2 7" xfId="4207" xr:uid="{00000000-0005-0000-0000-00005C100000}"/>
    <cellStyle name="Normal 10 2 10 2 7 2 8" xfId="4208" xr:uid="{00000000-0005-0000-0000-00005D100000}"/>
    <cellStyle name="Normal 10 2 10 2 7 2 9" xfId="4209" xr:uid="{00000000-0005-0000-0000-00005E100000}"/>
    <cellStyle name="Normal 10 2 10 2 7 3" xfId="4210" xr:uid="{00000000-0005-0000-0000-00005F100000}"/>
    <cellStyle name="Normal 10 2 10 2 7 3 10" xfId="4211" xr:uid="{00000000-0005-0000-0000-000060100000}"/>
    <cellStyle name="Normal 10 2 10 2 7 3 2" xfId="4212" xr:uid="{00000000-0005-0000-0000-000061100000}"/>
    <cellStyle name="Normal 10 2 10 2 7 3 3" xfId="4213" xr:uid="{00000000-0005-0000-0000-000062100000}"/>
    <cellStyle name="Normal 10 2 10 2 7 3 4" xfId="4214" xr:uid="{00000000-0005-0000-0000-000063100000}"/>
    <cellStyle name="Normal 10 2 10 2 7 3 5" xfId="4215" xr:uid="{00000000-0005-0000-0000-000064100000}"/>
    <cellStyle name="Normal 10 2 10 2 7 3 6" xfId="4216" xr:uid="{00000000-0005-0000-0000-000065100000}"/>
    <cellStyle name="Normal 10 2 10 2 7 3 7" xfId="4217" xr:uid="{00000000-0005-0000-0000-000066100000}"/>
    <cellStyle name="Normal 10 2 10 2 7 3 8" xfId="4218" xr:uid="{00000000-0005-0000-0000-000067100000}"/>
    <cellStyle name="Normal 10 2 10 2 7 3 9" xfId="4219" xr:uid="{00000000-0005-0000-0000-000068100000}"/>
    <cellStyle name="Normal 10 2 10 2 7 4" xfId="4220" xr:uid="{00000000-0005-0000-0000-000069100000}"/>
    <cellStyle name="Normal 10 2 10 2 7 4 10" xfId="4221" xr:uid="{00000000-0005-0000-0000-00006A100000}"/>
    <cellStyle name="Normal 10 2 10 2 7 4 2" xfId="4222" xr:uid="{00000000-0005-0000-0000-00006B100000}"/>
    <cellStyle name="Normal 10 2 10 2 7 4 3" xfId="4223" xr:uid="{00000000-0005-0000-0000-00006C100000}"/>
    <cellStyle name="Normal 10 2 10 2 7 4 4" xfId="4224" xr:uid="{00000000-0005-0000-0000-00006D100000}"/>
    <cellStyle name="Normal 10 2 10 2 7 4 5" xfId="4225" xr:uid="{00000000-0005-0000-0000-00006E100000}"/>
    <cellStyle name="Normal 10 2 10 2 7 4 6" xfId="4226" xr:uid="{00000000-0005-0000-0000-00006F100000}"/>
    <cellStyle name="Normal 10 2 10 2 7 4 7" xfId="4227" xr:uid="{00000000-0005-0000-0000-000070100000}"/>
    <cellStyle name="Normal 10 2 10 2 7 4 8" xfId="4228" xr:uid="{00000000-0005-0000-0000-000071100000}"/>
    <cellStyle name="Normal 10 2 10 2 7 4 9" xfId="4229" xr:uid="{00000000-0005-0000-0000-000072100000}"/>
    <cellStyle name="Normal 10 2 10 2 7 5" xfId="4230" xr:uid="{00000000-0005-0000-0000-000073100000}"/>
    <cellStyle name="Normal 10 2 10 2 7 5 10" xfId="4231" xr:uid="{00000000-0005-0000-0000-000074100000}"/>
    <cellStyle name="Normal 10 2 10 2 7 5 2" xfId="4232" xr:uid="{00000000-0005-0000-0000-000075100000}"/>
    <cellStyle name="Normal 10 2 10 2 7 5 3" xfId="4233" xr:uid="{00000000-0005-0000-0000-000076100000}"/>
    <cellStyle name="Normal 10 2 10 2 7 5 4" xfId="4234" xr:uid="{00000000-0005-0000-0000-000077100000}"/>
    <cellStyle name="Normal 10 2 10 2 7 5 5" xfId="4235" xr:uid="{00000000-0005-0000-0000-000078100000}"/>
    <cellStyle name="Normal 10 2 10 2 7 5 6" xfId="4236" xr:uid="{00000000-0005-0000-0000-000079100000}"/>
    <cellStyle name="Normal 10 2 10 2 7 5 7" xfId="4237" xr:uid="{00000000-0005-0000-0000-00007A100000}"/>
    <cellStyle name="Normal 10 2 10 2 7 5 8" xfId="4238" xr:uid="{00000000-0005-0000-0000-00007B100000}"/>
    <cellStyle name="Normal 10 2 10 2 7 5 9" xfId="4239" xr:uid="{00000000-0005-0000-0000-00007C100000}"/>
    <cellStyle name="Normal 10 2 10 2 7 6" xfId="4240" xr:uid="{00000000-0005-0000-0000-00007D100000}"/>
    <cellStyle name="Normal 10 2 10 2 7 7" xfId="4241" xr:uid="{00000000-0005-0000-0000-00007E100000}"/>
    <cellStyle name="Normal 10 2 10 2 7 8" xfId="4242" xr:uid="{00000000-0005-0000-0000-00007F100000}"/>
    <cellStyle name="Normal 10 2 10 2 7 9" xfId="4243" xr:uid="{00000000-0005-0000-0000-000080100000}"/>
    <cellStyle name="Normal 10 2 10 2 8" xfId="4244" xr:uid="{00000000-0005-0000-0000-000081100000}"/>
    <cellStyle name="Normal 10 2 10 2 8 10" xfId="4245" xr:uid="{00000000-0005-0000-0000-000082100000}"/>
    <cellStyle name="Normal 10 2 10 2 8 11" xfId="4246" xr:uid="{00000000-0005-0000-0000-000083100000}"/>
    <cellStyle name="Normal 10 2 10 2 8 12" xfId="4247" xr:uid="{00000000-0005-0000-0000-000084100000}"/>
    <cellStyle name="Normal 10 2 10 2 8 13" xfId="4248" xr:uid="{00000000-0005-0000-0000-000085100000}"/>
    <cellStyle name="Normal 10 2 10 2 8 14" xfId="4249" xr:uid="{00000000-0005-0000-0000-000086100000}"/>
    <cellStyle name="Normal 10 2 10 2 8 2" xfId="4250" xr:uid="{00000000-0005-0000-0000-000087100000}"/>
    <cellStyle name="Normal 10 2 10 2 8 2 10" xfId="4251" xr:uid="{00000000-0005-0000-0000-000088100000}"/>
    <cellStyle name="Normal 10 2 10 2 8 2 2" xfId="4252" xr:uid="{00000000-0005-0000-0000-000089100000}"/>
    <cellStyle name="Normal 10 2 10 2 8 2 3" xfId="4253" xr:uid="{00000000-0005-0000-0000-00008A100000}"/>
    <cellStyle name="Normal 10 2 10 2 8 2 4" xfId="4254" xr:uid="{00000000-0005-0000-0000-00008B100000}"/>
    <cellStyle name="Normal 10 2 10 2 8 2 5" xfId="4255" xr:uid="{00000000-0005-0000-0000-00008C100000}"/>
    <cellStyle name="Normal 10 2 10 2 8 2 6" xfId="4256" xr:uid="{00000000-0005-0000-0000-00008D100000}"/>
    <cellStyle name="Normal 10 2 10 2 8 2 7" xfId="4257" xr:uid="{00000000-0005-0000-0000-00008E100000}"/>
    <cellStyle name="Normal 10 2 10 2 8 2 8" xfId="4258" xr:uid="{00000000-0005-0000-0000-00008F100000}"/>
    <cellStyle name="Normal 10 2 10 2 8 2 9" xfId="4259" xr:uid="{00000000-0005-0000-0000-000090100000}"/>
    <cellStyle name="Normal 10 2 10 2 8 3" xfId="4260" xr:uid="{00000000-0005-0000-0000-000091100000}"/>
    <cellStyle name="Normal 10 2 10 2 8 3 10" xfId="4261" xr:uid="{00000000-0005-0000-0000-000092100000}"/>
    <cellStyle name="Normal 10 2 10 2 8 3 2" xfId="4262" xr:uid="{00000000-0005-0000-0000-000093100000}"/>
    <cellStyle name="Normal 10 2 10 2 8 3 3" xfId="4263" xr:uid="{00000000-0005-0000-0000-000094100000}"/>
    <cellStyle name="Normal 10 2 10 2 8 3 4" xfId="4264" xr:uid="{00000000-0005-0000-0000-000095100000}"/>
    <cellStyle name="Normal 10 2 10 2 8 3 5" xfId="4265" xr:uid="{00000000-0005-0000-0000-000096100000}"/>
    <cellStyle name="Normal 10 2 10 2 8 3 6" xfId="4266" xr:uid="{00000000-0005-0000-0000-000097100000}"/>
    <cellStyle name="Normal 10 2 10 2 8 3 7" xfId="4267" xr:uid="{00000000-0005-0000-0000-000098100000}"/>
    <cellStyle name="Normal 10 2 10 2 8 3 8" xfId="4268" xr:uid="{00000000-0005-0000-0000-000099100000}"/>
    <cellStyle name="Normal 10 2 10 2 8 3 9" xfId="4269" xr:uid="{00000000-0005-0000-0000-00009A100000}"/>
    <cellStyle name="Normal 10 2 10 2 8 4" xfId="4270" xr:uid="{00000000-0005-0000-0000-00009B100000}"/>
    <cellStyle name="Normal 10 2 10 2 8 4 10" xfId="4271" xr:uid="{00000000-0005-0000-0000-00009C100000}"/>
    <cellStyle name="Normal 10 2 10 2 8 4 2" xfId="4272" xr:uid="{00000000-0005-0000-0000-00009D100000}"/>
    <cellStyle name="Normal 10 2 10 2 8 4 3" xfId="4273" xr:uid="{00000000-0005-0000-0000-00009E100000}"/>
    <cellStyle name="Normal 10 2 10 2 8 4 4" xfId="4274" xr:uid="{00000000-0005-0000-0000-00009F100000}"/>
    <cellStyle name="Normal 10 2 10 2 8 4 5" xfId="4275" xr:uid="{00000000-0005-0000-0000-0000A0100000}"/>
    <cellStyle name="Normal 10 2 10 2 8 4 6" xfId="4276" xr:uid="{00000000-0005-0000-0000-0000A1100000}"/>
    <cellStyle name="Normal 10 2 10 2 8 4 7" xfId="4277" xr:uid="{00000000-0005-0000-0000-0000A2100000}"/>
    <cellStyle name="Normal 10 2 10 2 8 4 8" xfId="4278" xr:uid="{00000000-0005-0000-0000-0000A3100000}"/>
    <cellStyle name="Normal 10 2 10 2 8 4 9" xfId="4279" xr:uid="{00000000-0005-0000-0000-0000A4100000}"/>
    <cellStyle name="Normal 10 2 10 2 8 5" xfId="4280" xr:uid="{00000000-0005-0000-0000-0000A5100000}"/>
    <cellStyle name="Normal 10 2 10 2 8 5 10" xfId="4281" xr:uid="{00000000-0005-0000-0000-0000A6100000}"/>
    <cellStyle name="Normal 10 2 10 2 8 5 2" xfId="4282" xr:uid="{00000000-0005-0000-0000-0000A7100000}"/>
    <cellStyle name="Normal 10 2 10 2 8 5 3" xfId="4283" xr:uid="{00000000-0005-0000-0000-0000A8100000}"/>
    <cellStyle name="Normal 10 2 10 2 8 5 4" xfId="4284" xr:uid="{00000000-0005-0000-0000-0000A9100000}"/>
    <cellStyle name="Normal 10 2 10 2 8 5 5" xfId="4285" xr:uid="{00000000-0005-0000-0000-0000AA100000}"/>
    <cellStyle name="Normal 10 2 10 2 8 5 6" xfId="4286" xr:uid="{00000000-0005-0000-0000-0000AB100000}"/>
    <cellStyle name="Normal 10 2 10 2 8 5 7" xfId="4287" xr:uid="{00000000-0005-0000-0000-0000AC100000}"/>
    <cellStyle name="Normal 10 2 10 2 8 5 8" xfId="4288" xr:uid="{00000000-0005-0000-0000-0000AD100000}"/>
    <cellStyle name="Normal 10 2 10 2 8 5 9" xfId="4289" xr:uid="{00000000-0005-0000-0000-0000AE100000}"/>
    <cellStyle name="Normal 10 2 10 2 8 6" xfId="4290" xr:uid="{00000000-0005-0000-0000-0000AF100000}"/>
    <cellStyle name="Normal 10 2 10 2 8 7" xfId="4291" xr:uid="{00000000-0005-0000-0000-0000B0100000}"/>
    <cellStyle name="Normal 10 2 10 2 8 8" xfId="4292" xr:uid="{00000000-0005-0000-0000-0000B1100000}"/>
    <cellStyle name="Normal 10 2 10 2 8 9" xfId="4293" xr:uid="{00000000-0005-0000-0000-0000B2100000}"/>
    <cellStyle name="Normal 10 2 10 2 9" xfId="4294" xr:uid="{00000000-0005-0000-0000-0000B3100000}"/>
    <cellStyle name="Normal 10 2 10 2 9 10" xfId="4295" xr:uid="{00000000-0005-0000-0000-0000B4100000}"/>
    <cellStyle name="Normal 10 2 10 2 9 11" xfId="4296" xr:uid="{00000000-0005-0000-0000-0000B5100000}"/>
    <cellStyle name="Normal 10 2 10 2 9 12" xfId="4297" xr:uid="{00000000-0005-0000-0000-0000B6100000}"/>
    <cellStyle name="Normal 10 2 10 2 9 13" xfId="4298" xr:uid="{00000000-0005-0000-0000-0000B7100000}"/>
    <cellStyle name="Normal 10 2 10 2 9 14" xfId="4299" xr:uid="{00000000-0005-0000-0000-0000B8100000}"/>
    <cellStyle name="Normal 10 2 10 2 9 2" xfId="4300" xr:uid="{00000000-0005-0000-0000-0000B9100000}"/>
    <cellStyle name="Normal 10 2 10 2 9 2 10" xfId="4301" xr:uid="{00000000-0005-0000-0000-0000BA100000}"/>
    <cellStyle name="Normal 10 2 10 2 9 2 2" xfId="4302" xr:uid="{00000000-0005-0000-0000-0000BB100000}"/>
    <cellStyle name="Normal 10 2 10 2 9 2 3" xfId="4303" xr:uid="{00000000-0005-0000-0000-0000BC100000}"/>
    <cellStyle name="Normal 10 2 10 2 9 2 4" xfId="4304" xr:uid="{00000000-0005-0000-0000-0000BD100000}"/>
    <cellStyle name="Normal 10 2 10 2 9 2 5" xfId="4305" xr:uid="{00000000-0005-0000-0000-0000BE100000}"/>
    <cellStyle name="Normal 10 2 10 2 9 2 6" xfId="4306" xr:uid="{00000000-0005-0000-0000-0000BF100000}"/>
    <cellStyle name="Normal 10 2 10 2 9 2 7" xfId="4307" xr:uid="{00000000-0005-0000-0000-0000C0100000}"/>
    <cellStyle name="Normal 10 2 10 2 9 2 8" xfId="4308" xr:uid="{00000000-0005-0000-0000-0000C1100000}"/>
    <cellStyle name="Normal 10 2 10 2 9 2 9" xfId="4309" xr:uid="{00000000-0005-0000-0000-0000C2100000}"/>
    <cellStyle name="Normal 10 2 10 2 9 3" xfId="4310" xr:uid="{00000000-0005-0000-0000-0000C3100000}"/>
    <cellStyle name="Normal 10 2 10 2 9 3 10" xfId="4311" xr:uid="{00000000-0005-0000-0000-0000C4100000}"/>
    <cellStyle name="Normal 10 2 10 2 9 3 2" xfId="4312" xr:uid="{00000000-0005-0000-0000-0000C5100000}"/>
    <cellStyle name="Normal 10 2 10 2 9 3 3" xfId="4313" xr:uid="{00000000-0005-0000-0000-0000C6100000}"/>
    <cellStyle name="Normal 10 2 10 2 9 3 4" xfId="4314" xr:uid="{00000000-0005-0000-0000-0000C7100000}"/>
    <cellStyle name="Normal 10 2 10 2 9 3 5" xfId="4315" xr:uid="{00000000-0005-0000-0000-0000C8100000}"/>
    <cellStyle name="Normal 10 2 10 2 9 3 6" xfId="4316" xr:uid="{00000000-0005-0000-0000-0000C9100000}"/>
    <cellStyle name="Normal 10 2 10 2 9 3 7" xfId="4317" xr:uid="{00000000-0005-0000-0000-0000CA100000}"/>
    <cellStyle name="Normal 10 2 10 2 9 3 8" xfId="4318" xr:uid="{00000000-0005-0000-0000-0000CB100000}"/>
    <cellStyle name="Normal 10 2 10 2 9 3 9" xfId="4319" xr:uid="{00000000-0005-0000-0000-0000CC100000}"/>
    <cellStyle name="Normal 10 2 10 2 9 4" xfId="4320" xr:uid="{00000000-0005-0000-0000-0000CD100000}"/>
    <cellStyle name="Normal 10 2 10 2 9 4 10" xfId="4321" xr:uid="{00000000-0005-0000-0000-0000CE100000}"/>
    <cellStyle name="Normal 10 2 10 2 9 4 2" xfId="4322" xr:uid="{00000000-0005-0000-0000-0000CF100000}"/>
    <cellStyle name="Normal 10 2 10 2 9 4 3" xfId="4323" xr:uid="{00000000-0005-0000-0000-0000D0100000}"/>
    <cellStyle name="Normal 10 2 10 2 9 4 4" xfId="4324" xr:uid="{00000000-0005-0000-0000-0000D1100000}"/>
    <cellStyle name="Normal 10 2 10 2 9 4 5" xfId="4325" xr:uid="{00000000-0005-0000-0000-0000D2100000}"/>
    <cellStyle name="Normal 10 2 10 2 9 4 6" xfId="4326" xr:uid="{00000000-0005-0000-0000-0000D3100000}"/>
    <cellStyle name="Normal 10 2 10 2 9 4 7" xfId="4327" xr:uid="{00000000-0005-0000-0000-0000D4100000}"/>
    <cellStyle name="Normal 10 2 10 2 9 4 8" xfId="4328" xr:uid="{00000000-0005-0000-0000-0000D5100000}"/>
    <cellStyle name="Normal 10 2 10 2 9 4 9" xfId="4329" xr:uid="{00000000-0005-0000-0000-0000D6100000}"/>
    <cellStyle name="Normal 10 2 10 2 9 5" xfId="4330" xr:uid="{00000000-0005-0000-0000-0000D7100000}"/>
    <cellStyle name="Normal 10 2 10 2 9 5 10" xfId="4331" xr:uid="{00000000-0005-0000-0000-0000D8100000}"/>
    <cellStyle name="Normal 10 2 10 2 9 5 2" xfId="4332" xr:uid="{00000000-0005-0000-0000-0000D9100000}"/>
    <cellStyle name="Normal 10 2 10 2 9 5 3" xfId="4333" xr:uid="{00000000-0005-0000-0000-0000DA100000}"/>
    <cellStyle name="Normal 10 2 10 2 9 5 4" xfId="4334" xr:uid="{00000000-0005-0000-0000-0000DB100000}"/>
    <cellStyle name="Normal 10 2 10 2 9 5 5" xfId="4335" xr:uid="{00000000-0005-0000-0000-0000DC100000}"/>
    <cellStyle name="Normal 10 2 10 2 9 5 6" xfId="4336" xr:uid="{00000000-0005-0000-0000-0000DD100000}"/>
    <cellStyle name="Normal 10 2 10 2 9 5 7" xfId="4337" xr:uid="{00000000-0005-0000-0000-0000DE100000}"/>
    <cellStyle name="Normal 10 2 10 2 9 5 8" xfId="4338" xr:uid="{00000000-0005-0000-0000-0000DF100000}"/>
    <cellStyle name="Normal 10 2 10 2 9 5 9" xfId="4339" xr:uid="{00000000-0005-0000-0000-0000E0100000}"/>
    <cellStyle name="Normal 10 2 10 2 9 6" xfId="4340" xr:uid="{00000000-0005-0000-0000-0000E1100000}"/>
    <cellStyle name="Normal 10 2 10 2 9 7" xfId="4341" xr:uid="{00000000-0005-0000-0000-0000E2100000}"/>
    <cellStyle name="Normal 10 2 10 2 9 8" xfId="4342" xr:uid="{00000000-0005-0000-0000-0000E3100000}"/>
    <cellStyle name="Normal 10 2 10 2 9 9" xfId="4343" xr:uid="{00000000-0005-0000-0000-0000E4100000}"/>
    <cellStyle name="Normal 10 2 10 20" xfId="4344" xr:uid="{00000000-0005-0000-0000-0000E5100000}"/>
    <cellStyle name="Normal 10 2 10 20 10" xfId="4345" xr:uid="{00000000-0005-0000-0000-0000E6100000}"/>
    <cellStyle name="Normal 10 2 10 20 11" xfId="4346" xr:uid="{00000000-0005-0000-0000-0000E7100000}"/>
    <cellStyle name="Normal 10 2 10 20 12" xfId="4347" xr:uid="{00000000-0005-0000-0000-0000E8100000}"/>
    <cellStyle name="Normal 10 2 10 20 13" xfId="4348" xr:uid="{00000000-0005-0000-0000-0000E9100000}"/>
    <cellStyle name="Normal 10 2 10 20 14" xfId="4349" xr:uid="{00000000-0005-0000-0000-0000EA100000}"/>
    <cellStyle name="Normal 10 2 10 20 2" xfId="4350" xr:uid="{00000000-0005-0000-0000-0000EB100000}"/>
    <cellStyle name="Normal 10 2 10 20 2 10" xfId="4351" xr:uid="{00000000-0005-0000-0000-0000EC100000}"/>
    <cellStyle name="Normal 10 2 10 20 2 2" xfId="4352" xr:uid="{00000000-0005-0000-0000-0000ED100000}"/>
    <cellStyle name="Normal 10 2 10 20 2 3" xfId="4353" xr:uid="{00000000-0005-0000-0000-0000EE100000}"/>
    <cellStyle name="Normal 10 2 10 20 2 4" xfId="4354" xr:uid="{00000000-0005-0000-0000-0000EF100000}"/>
    <cellStyle name="Normal 10 2 10 20 2 5" xfId="4355" xr:uid="{00000000-0005-0000-0000-0000F0100000}"/>
    <cellStyle name="Normal 10 2 10 20 2 6" xfId="4356" xr:uid="{00000000-0005-0000-0000-0000F1100000}"/>
    <cellStyle name="Normal 10 2 10 20 2 7" xfId="4357" xr:uid="{00000000-0005-0000-0000-0000F2100000}"/>
    <cellStyle name="Normal 10 2 10 20 2 8" xfId="4358" xr:uid="{00000000-0005-0000-0000-0000F3100000}"/>
    <cellStyle name="Normal 10 2 10 20 2 9" xfId="4359" xr:uid="{00000000-0005-0000-0000-0000F4100000}"/>
    <cellStyle name="Normal 10 2 10 20 3" xfId="4360" xr:uid="{00000000-0005-0000-0000-0000F5100000}"/>
    <cellStyle name="Normal 10 2 10 20 3 10" xfId="4361" xr:uid="{00000000-0005-0000-0000-0000F6100000}"/>
    <cellStyle name="Normal 10 2 10 20 3 2" xfId="4362" xr:uid="{00000000-0005-0000-0000-0000F7100000}"/>
    <cellStyle name="Normal 10 2 10 20 3 3" xfId="4363" xr:uid="{00000000-0005-0000-0000-0000F8100000}"/>
    <cellStyle name="Normal 10 2 10 20 3 4" xfId="4364" xr:uid="{00000000-0005-0000-0000-0000F9100000}"/>
    <cellStyle name="Normal 10 2 10 20 3 5" xfId="4365" xr:uid="{00000000-0005-0000-0000-0000FA100000}"/>
    <cellStyle name="Normal 10 2 10 20 3 6" xfId="4366" xr:uid="{00000000-0005-0000-0000-0000FB100000}"/>
    <cellStyle name="Normal 10 2 10 20 3 7" xfId="4367" xr:uid="{00000000-0005-0000-0000-0000FC100000}"/>
    <cellStyle name="Normal 10 2 10 20 3 8" xfId="4368" xr:uid="{00000000-0005-0000-0000-0000FD100000}"/>
    <cellStyle name="Normal 10 2 10 20 3 9" xfId="4369" xr:uid="{00000000-0005-0000-0000-0000FE100000}"/>
    <cellStyle name="Normal 10 2 10 20 4" xfId="4370" xr:uid="{00000000-0005-0000-0000-0000FF100000}"/>
    <cellStyle name="Normal 10 2 10 20 4 10" xfId="4371" xr:uid="{00000000-0005-0000-0000-000000110000}"/>
    <cellStyle name="Normal 10 2 10 20 4 2" xfId="4372" xr:uid="{00000000-0005-0000-0000-000001110000}"/>
    <cellStyle name="Normal 10 2 10 20 4 3" xfId="4373" xr:uid="{00000000-0005-0000-0000-000002110000}"/>
    <cellStyle name="Normal 10 2 10 20 4 4" xfId="4374" xr:uid="{00000000-0005-0000-0000-000003110000}"/>
    <cellStyle name="Normal 10 2 10 20 4 5" xfId="4375" xr:uid="{00000000-0005-0000-0000-000004110000}"/>
    <cellStyle name="Normal 10 2 10 20 4 6" xfId="4376" xr:uid="{00000000-0005-0000-0000-000005110000}"/>
    <cellStyle name="Normal 10 2 10 20 4 7" xfId="4377" xr:uid="{00000000-0005-0000-0000-000006110000}"/>
    <cellStyle name="Normal 10 2 10 20 4 8" xfId="4378" xr:uid="{00000000-0005-0000-0000-000007110000}"/>
    <cellStyle name="Normal 10 2 10 20 4 9" xfId="4379" xr:uid="{00000000-0005-0000-0000-000008110000}"/>
    <cellStyle name="Normal 10 2 10 20 5" xfId="4380" xr:uid="{00000000-0005-0000-0000-000009110000}"/>
    <cellStyle name="Normal 10 2 10 20 5 10" xfId="4381" xr:uid="{00000000-0005-0000-0000-00000A110000}"/>
    <cellStyle name="Normal 10 2 10 20 5 2" xfId="4382" xr:uid="{00000000-0005-0000-0000-00000B110000}"/>
    <cellStyle name="Normal 10 2 10 20 5 3" xfId="4383" xr:uid="{00000000-0005-0000-0000-00000C110000}"/>
    <cellStyle name="Normal 10 2 10 20 5 4" xfId="4384" xr:uid="{00000000-0005-0000-0000-00000D110000}"/>
    <cellStyle name="Normal 10 2 10 20 5 5" xfId="4385" xr:uid="{00000000-0005-0000-0000-00000E110000}"/>
    <cellStyle name="Normal 10 2 10 20 5 6" xfId="4386" xr:uid="{00000000-0005-0000-0000-00000F110000}"/>
    <cellStyle name="Normal 10 2 10 20 5 7" xfId="4387" xr:uid="{00000000-0005-0000-0000-000010110000}"/>
    <cellStyle name="Normal 10 2 10 20 5 8" xfId="4388" xr:uid="{00000000-0005-0000-0000-000011110000}"/>
    <cellStyle name="Normal 10 2 10 20 5 9" xfId="4389" xr:uid="{00000000-0005-0000-0000-000012110000}"/>
    <cellStyle name="Normal 10 2 10 20 6" xfId="4390" xr:uid="{00000000-0005-0000-0000-000013110000}"/>
    <cellStyle name="Normal 10 2 10 20 7" xfId="4391" xr:uid="{00000000-0005-0000-0000-000014110000}"/>
    <cellStyle name="Normal 10 2 10 20 8" xfId="4392" xr:uid="{00000000-0005-0000-0000-000015110000}"/>
    <cellStyle name="Normal 10 2 10 20 9" xfId="4393" xr:uid="{00000000-0005-0000-0000-000016110000}"/>
    <cellStyle name="Normal 10 2 10 21" xfId="4394" xr:uid="{00000000-0005-0000-0000-000017110000}"/>
    <cellStyle name="Normal 10 2 10 21 10" xfId="4395" xr:uid="{00000000-0005-0000-0000-000018110000}"/>
    <cellStyle name="Normal 10 2 10 21 11" xfId="4396" xr:uid="{00000000-0005-0000-0000-000019110000}"/>
    <cellStyle name="Normal 10 2 10 21 12" xfId="4397" xr:uid="{00000000-0005-0000-0000-00001A110000}"/>
    <cellStyle name="Normal 10 2 10 21 13" xfId="4398" xr:uid="{00000000-0005-0000-0000-00001B110000}"/>
    <cellStyle name="Normal 10 2 10 21 14" xfId="4399" xr:uid="{00000000-0005-0000-0000-00001C110000}"/>
    <cellStyle name="Normal 10 2 10 21 2" xfId="4400" xr:uid="{00000000-0005-0000-0000-00001D110000}"/>
    <cellStyle name="Normal 10 2 10 21 2 10" xfId="4401" xr:uid="{00000000-0005-0000-0000-00001E110000}"/>
    <cellStyle name="Normal 10 2 10 21 2 2" xfId="4402" xr:uid="{00000000-0005-0000-0000-00001F110000}"/>
    <cellStyle name="Normal 10 2 10 21 2 3" xfId="4403" xr:uid="{00000000-0005-0000-0000-000020110000}"/>
    <cellStyle name="Normal 10 2 10 21 2 4" xfId="4404" xr:uid="{00000000-0005-0000-0000-000021110000}"/>
    <cellStyle name="Normal 10 2 10 21 2 5" xfId="4405" xr:uid="{00000000-0005-0000-0000-000022110000}"/>
    <cellStyle name="Normal 10 2 10 21 2 6" xfId="4406" xr:uid="{00000000-0005-0000-0000-000023110000}"/>
    <cellStyle name="Normal 10 2 10 21 2 7" xfId="4407" xr:uid="{00000000-0005-0000-0000-000024110000}"/>
    <cellStyle name="Normal 10 2 10 21 2 8" xfId="4408" xr:uid="{00000000-0005-0000-0000-000025110000}"/>
    <cellStyle name="Normal 10 2 10 21 2 9" xfId="4409" xr:uid="{00000000-0005-0000-0000-000026110000}"/>
    <cellStyle name="Normal 10 2 10 21 3" xfId="4410" xr:uid="{00000000-0005-0000-0000-000027110000}"/>
    <cellStyle name="Normal 10 2 10 21 3 10" xfId="4411" xr:uid="{00000000-0005-0000-0000-000028110000}"/>
    <cellStyle name="Normal 10 2 10 21 3 2" xfId="4412" xr:uid="{00000000-0005-0000-0000-000029110000}"/>
    <cellStyle name="Normal 10 2 10 21 3 3" xfId="4413" xr:uid="{00000000-0005-0000-0000-00002A110000}"/>
    <cellStyle name="Normal 10 2 10 21 3 4" xfId="4414" xr:uid="{00000000-0005-0000-0000-00002B110000}"/>
    <cellStyle name="Normal 10 2 10 21 3 5" xfId="4415" xr:uid="{00000000-0005-0000-0000-00002C110000}"/>
    <cellStyle name="Normal 10 2 10 21 3 6" xfId="4416" xr:uid="{00000000-0005-0000-0000-00002D110000}"/>
    <cellStyle name="Normal 10 2 10 21 3 7" xfId="4417" xr:uid="{00000000-0005-0000-0000-00002E110000}"/>
    <cellStyle name="Normal 10 2 10 21 3 8" xfId="4418" xr:uid="{00000000-0005-0000-0000-00002F110000}"/>
    <cellStyle name="Normal 10 2 10 21 3 9" xfId="4419" xr:uid="{00000000-0005-0000-0000-000030110000}"/>
    <cellStyle name="Normal 10 2 10 21 4" xfId="4420" xr:uid="{00000000-0005-0000-0000-000031110000}"/>
    <cellStyle name="Normal 10 2 10 21 4 10" xfId="4421" xr:uid="{00000000-0005-0000-0000-000032110000}"/>
    <cellStyle name="Normal 10 2 10 21 4 2" xfId="4422" xr:uid="{00000000-0005-0000-0000-000033110000}"/>
    <cellStyle name="Normal 10 2 10 21 4 3" xfId="4423" xr:uid="{00000000-0005-0000-0000-000034110000}"/>
    <cellStyle name="Normal 10 2 10 21 4 4" xfId="4424" xr:uid="{00000000-0005-0000-0000-000035110000}"/>
    <cellStyle name="Normal 10 2 10 21 4 5" xfId="4425" xr:uid="{00000000-0005-0000-0000-000036110000}"/>
    <cellStyle name="Normal 10 2 10 21 4 6" xfId="4426" xr:uid="{00000000-0005-0000-0000-000037110000}"/>
    <cellStyle name="Normal 10 2 10 21 4 7" xfId="4427" xr:uid="{00000000-0005-0000-0000-000038110000}"/>
    <cellStyle name="Normal 10 2 10 21 4 8" xfId="4428" xr:uid="{00000000-0005-0000-0000-000039110000}"/>
    <cellStyle name="Normal 10 2 10 21 4 9" xfId="4429" xr:uid="{00000000-0005-0000-0000-00003A110000}"/>
    <cellStyle name="Normal 10 2 10 21 5" xfId="4430" xr:uid="{00000000-0005-0000-0000-00003B110000}"/>
    <cellStyle name="Normal 10 2 10 21 5 10" xfId="4431" xr:uid="{00000000-0005-0000-0000-00003C110000}"/>
    <cellStyle name="Normal 10 2 10 21 5 2" xfId="4432" xr:uid="{00000000-0005-0000-0000-00003D110000}"/>
    <cellStyle name="Normal 10 2 10 21 5 3" xfId="4433" xr:uid="{00000000-0005-0000-0000-00003E110000}"/>
    <cellStyle name="Normal 10 2 10 21 5 4" xfId="4434" xr:uid="{00000000-0005-0000-0000-00003F110000}"/>
    <cellStyle name="Normal 10 2 10 21 5 5" xfId="4435" xr:uid="{00000000-0005-0000-0000-000040110000}"/>
    <cellStyle name="Normal 10 2 10 21 5 6" xfId="4436" xr:uid="{00000000-0005-0000-0000-000041110000}"/>
    <cellStyle name="Normal 10 2 10 21 5 7" xfId="4437" xr:uid="{00000000-0005-0000-0000-000042110000}"/>
    <cellStyle name="Normal 10 2 10 21 5 8" xfId="4438" xr:uid="{00000000-0005-0000-0000-000043110000}"/>
    <cellStyle name="Normal 10 2 10 21 5 9" xfId="4439" xr:uid="{00000000-0005-0000-0000-000044110000}"/>
    <cellStyle name="Normal 10 2 10 21 6" xfId="4440" xr:uid="{00000000-0005-0000-0000-000045110000}"/>
    <cellStyle name="Normal 10 2 10 21 7" xfId="4441" xr:uid="{00000000-0005-0000-0000-000046110000}"/>
    <cellStyle name="Normal 10 2 10 21 8" xfId="4442" xr:uid="{00000000-0005-0000-0000-000047110000}"/>
    <cellStyle name="Normal 10 2 10 21 9" xfId="4443" xr:uid="{00000000-0005-0000-0000-000048110000}"/>
    <cellStyle name="Normal 10 2 10 22" xfId="4444" xr:uid="{00000000-0005-0000-0000-000049110000}"/>
    <cellStyle name="Normal 10 2 10 22 10" xfId="4445" xr:uid="{00000000-0005-0000-0000-00004A110000}"/>
    <cellStyle name="Normal 10 2 10 22 11" xfId="4446" xr:uid="{00000000-0005-0000-0000-00004B110000}"/>
    <cellStyle name="Normal 10 2 10 22 12" xfId="4447" xr:uid="{00000000-0005-0000-0000-00004C110000}"/>
    <cellStyle name="Normal 10 2 10 22 13" xfId="4448" xr:uid="{00000000-0005-0000-0000-00004D110000}"/>
    <cellStyle name="Normal 10 2 10 22 14" xfId="4449" xr:uid="{00000000-0005-0000-0000-00004E110000}"/>
    <cellStyle name="Normal 10 2 10 22 2" xfId="4450" xr:uid="{00000000-0005-0000-0000-00004F110000}"/>
    <cellStyle name="Normal 10 2 10 22 2 10" xfId="4451" xr:uid="{00000000-0005-0000-0000-000050110000}"/>
    <cellStyle name="Normal 10 2 10 22 2 2" xfId="4452" xr:uid="{00000000-0005-0000-0000-000051110000}"/>
    <cellStyle name="Normal 10 2 10 22 2 3" xfId="4453" xr:uid="{00000000-0005-0000-0000-000052110000}"/>
    <cellStyle name="Normal 10 2 10 22 2 4" xfId="4454" xr:uid="{00000000-0005-0000-0000-000053110000}"/>
    <cellStyle name="Normal 10 2 10 22 2 5" xfId="4455" xr:uid="{00000000-0005-0000-0000-000054110000}"/>
    <cellStyle name="Normal 10 2 10 22 2 6" xfId="4456" xr:uid="{00000000-0005-0000-0000-000055110000}"/>
    <cellStyle name="Normal 10 2 10 22 2 7" xfId="4457" xr:uid="{00000000-0005-0000-0000-000056110000}"/>
    <cellStyle name="Normal 10 2 10 22 2 8" xfId="4458" xr:uid="{00000000-0005-0000-0000-000057110000}"/>
    <cellStyle name="Normal 10 2 10 22 2 9" xfId="4459" xr:uid="{00000000-0005-0000-0000-000058110000}"/>
    <cellStyle name="Normal 10 2 10 22 3" xfId="4460" xr:uid="{00000000-0005-0000-0000-000059110000}"/>
    <cellStyle name="Normal 10 2 10 22 3 10" xfId="4461" xr:uid="{00000000-0005-0000-0000-00005A110000}"/>
    <cellStyle name="Normal 10 2 10 22 3 2" xfId="4462" xr:uid="{00000000-0005-0000-0000-00005B110000}"/>
    <cellStyle name="Normal 10 2 10 22 3 3" xfId="4463" xr:uid="{00000000-0005-0000-0000-00005C110000}"/>
    <cellStyle name="Normal 10 2 10 22 3 4" xfId="4464" xr:uid="{00000000-0005-0000-0000-00005D110000}"/>
    <cellStyle name="Normal 10 2 10 22 3 5" xfId="4465" xr:uid="{00000000-0005-0000-0000-00005E110000}"/>
    <cellStyle name="Normal 10 2 10 22 3 6" xfId="4466" xr:uid="{00000000-0005-0000-0000-00005F110000}"/>
    <cellStyle name="Normal 10 2 10 22 3 7" xfId="4467" xr:uid="{00000000-0005-0000-0000-000060110000}"/>
    <cellStyle name="Normal 10 2 10 22 3 8" xfId="4468" xr:uid="{00000000-0005-0000-0000-000061110000}"/>
    <cellStyle name="Normal 10 2 10 22 3 9" xfId="4469" xr:uid="{00000000-0005-0000-0000-000062110000}"/>
    <cellStyle name="Normal 10 2 10 22 4" xfId="4470" xr:uid="{00000000-0005-0000-0000-000063110000}"/>
    <cellStyle name="Normal 10 2 10 22 4 10" xfId="4471" xr:uid="{00000000-0005-0000-0000-000064110000}"/>
    <cellStyle name="Normal 10 2 10 22 4 2" xfId="4472" xr:uid="{00000000-0005-0000-0000-000065110000}"/>
    <cellStyle name="Normal 10 2 10 22 4 3" xfId="4473" xr:uid="{00000000-0005-0000-0000-000066110000}"/>
    <cellStyle name="Normal 10 2 10 22 4 4" xfId="4474" xr:uid="{00000000-0005-0000-0000-000067110000}"/>
    <cellStyle name="Normal 10 2 10 22 4 5" xfId="4475" xr:uid="{00000000-0005-0000-0000-000068110000}"/>
    <cellStyle name="Normal 10 2 10 22 4 6" xfId="4476" xr:uid="{00000000-0005-0000-0000-000069110000}"/>
    <cellStyle name="Normal 10 2 10 22 4 7" xfId="4477" xr:uid="{00000000-0005-0000-0000-00006A110000}"/>
    <cellStyle name="Normal 10 2 10 22 4 8" xfId="4478" xr:uid="{00000000-0005-0000-0000-00006B110000}"/>
    <cellStyle name="Normal 10 2 10 22 4 9" xfId="4479" xr:uid="{00000000-0005-0000-0000-00006C110000}"/>
    <cellStyle name="Normal 10 2 10 22 5" xfId="4480" xr:uid="{00000000-0005-0000-0000-00006D110000}"/>
    <cellStyle name="Normal 10 2 10 22 5 10" xfId="4481" xr:uid="{00000000-0005-0000-0000-00006E110000}"/>
    <cellStyle name="Normal 10 2 10 22 5 2" xfId="4482" xr:uid="{00000000-0005-0000-0000-00006F110000}"/>
    <cellStyle name="Normal 10 2 10 22 5 3" xfId="4483" xr:uid="{00000000-0005-0000-0000-000070110000}"/>
    <cellStyle name="Normal 10 2 10 22 5 4" xfId="4484" xr:uid="{00000000-0005-0000-0000-000071110000}"/>
    <cellStyle name="Normal 10 2 10 22 5 5" xfId="4485" xr:uid="{00000000-0005-0000-0000-000072110000}"/>
    <cellStyle name="Normal 10 2 10 22 5 6" xfId="4486" xr:uid="{00000000-0005-0000-0000-000073110000}"/>
    <cellStyle name="Normal 10 2 10 22 5 7" xfId="4487" xr:uid="{00000000-0005-0000-0000-000074110000}"/>
    <cellStyle name="Normal 10 2 10 22 5 8" xfId="4488" xr:uid="{00000000-0005-0000-0000-000075110000}"/>
    <cellStyle name="Normal 10 2 10 22 5 9" xfId="4489" xr:uid="{00000000-0005-0000-0000-000076110000}"/>
    <cellStyle name="Normal 10 2 10 22 6" xfId="4490" xr:uid="{00000000-0005-0000-0000-000077110000}"/>
    <cellStyle name="Normal 10 2 10 22 7" xfId="4491" xr:uid="{00000000-0005-0000-0000-000078110000}"/>
    <cellStyle name="Normal 10 2 10 22 8" xfId="4492" xr:uid="{00000000-0005-0000-0000-000079110000}"/>
    <cellStyle name="Normal 10 2 10 22 9" xfId="4493" xr:uid="{00000000-0005-0000-0000-00007A110000}"/>
    <cellStyle name="Normal 10 2 10 23" xfId="4494" xr:uid="{00000000-0005-0000-0000-00007B110000}"/>
    <cellStyle name="Normal 10 2 10 23 10" xfId="4495" xr:uid="{00000000-0005-0000-0000-00007C110000}"/>
    <cellStyle name="Normal 10 2 10 23 11" xfId="4496" xr:uid="{00000000-0005-0000-0000-00007D110000}"/>
    <cellStyle name="Normal 10 2 10 23 12" xfId="4497" xr:uid="{00000000-0005-0000-0000-00007E110000}"/>
    <cellStyle name="Normal 10 2 10 23 13" xfId="4498" xr:uid="{00000000-0005-0000-0000-00007F110000}"/>
    <cellStyle name="Normal 10 2 10 23 14" xfId="4499" xr:uid="{00000000-0005-0000-0000-000080110000}"/>
    <cellStyle name="Normal 10 2 10 23 2" xfId="4500" xr:uid="{00000000-0005-0000-0000-000081110000}"/>
    <cellStyle name="Normal 10 2 10 23 2 10" xfId="4501" xr:uid="{00000000-0005-0000-0000-000082110000}"/>
    <cellStyle name="Normal 10 2 10 23 2 2" xfId="4502" xr:uid="{00000000-0005-0000-0000-000083110000}"/>
    <cellStyle name="Normal 10 2 10 23 2 3" xfId="4503" xr:uid="{00000000-0005-0000-0000-000084110000}"/>
    <cellStyle name="Normal 10 2 10 23 2 4" xfId="4504" xr:uid="{00000000-0005-0000-0000-000085110000}"/>
    <cellStyle name="Normal 10 2 10 23 2 5" xfId="4505" xr:uid="{00000000-0005-0000-0000-000086110000}"/>
    <cellStyle name="Normal 10 2 10 23 2 6" xfId="4506" xr:uid="{00000000-0005-0000-0000-000087110000}"/>
    <cellStyle name="Normal 10 2 10 23 2 7" xfId="4507" xr:uid="{00000000-0005-0000-0000-000088110000}"/>
    <cellStyle name="Normal 10 2 10 23 2 8" xfId="4508" xr:uid="{00000000-0005-0000-0000-000089110000}"/>
    <cellStyle name="Normal 10 2 10 23 2 9" xfId="4509" xr:uid="{00000000-0005-0000-0000-00008A110000}"/>
    <cellStyle name="Normal 10 2 10 23 3" xfId="4510" xr:uid="{00000000-0005-0000-0000-00008B110000}"/>
    <cellStyle name="Normal 10 2 10 23 3 10" xfId="4511" xr:uid="{00000000-0005-0000-0000-00008C110000}"/>
    <cellStyle name="Normal 10 2 10 23 3 2" xfId="4512" xr:uid="{00000000-0005-0000-0000-00008D110000}"/>
    <cellStyle name="Normal 10 2 10 23 3 3" xfId="4513" xr:uid="{00000000-0005-0000-0000-00008E110000}"/>
    <cellStyle name="Normal 10 2 10 23 3 4" xfId="4514" xr:uid="{00000000-0005-0000-0000-00008F110000}"/>
    <cellStyle name="Normal 10 2 10 23 3 5" xfId="4515" xr:uid="{00000000-0005-0000-0000-000090110000}"/>
    <cellStyle name="Normal 10 2 10 23 3 6" xfId="4516" xr:uid="{00000000-0005-0000-0000-000091110000}"/>
    <cellStyle name="Normal 10 2 10 23 3 7" xfId="4517" xr:uid="{00000000-0005-0000-0000-000092110000}"/>
    <cellStyle name="Normal 10 2 10 23 3 8" xfId="4518" xr:uid="{00000000-0005-0000-0000-000093110000}"/>
    <cellStyle name="Normal 10 2 10 23 3 9" xfId="4519" xr:uid="{00000000-0005-0000-0000-000094110000}"/>
    <cellStyle name="Normal 10 2 10 23 4" xfId="4520" xr:uid="{00000000-0005-0000-0000-000095110000}"/>
    <cellStyle name="Normal 10 2 10 23 4 10" xfId="4521" xr:uid="{00000000-0005-0000-0000-000096110000}"/>
    <cellStyle name="Normal 10 2 10 23 4 2" xfId="4522" xr:uid="{00000000-0005-0000-0000-000097110000}"/>
    <cellStyle name="Normal 10 2 10 23 4 3" xfId="4523" xr:uid="{00000000-0005-0000-0000-000098110000}"/>
    <cellStyle name="Normal 10 2 10 23 4 4" xfId="4524" xr:uid="{00000000-0005-0000-0000-000099110000}"/>
    <cellStyle name="Normal 10 2 10 23 4 5" xfId="4525" xr:uid="{00000000-0005-0000-0000-00009A110000}"/>
    <cellStyle name="Normal 10 2 10 23 4 6" xfId="4526" xr:uid="{00000000-0005-0000-0000-00009B110000}"/>
    <cellStyle name="Normal 10 2 10 23 4 7" xfId="4527" xr:uid="{00000000-0005-0000-0000-00009C110000}"/>
    <cellStyle name="Normal 10 2 10 23 4 8" xfId="4528" xr:uid="{00000000-0005-0000-0000-00009D110000}"/>
    <cellStyle name="Normal 10 2 10 23 4 9" xfId="4529" xr:uid="{00000000-0005-0000-0000-00009E110000}"/>
    <cellStyle name="Normal 10 2 10 23 5" xfId="4530" xr:uid="{00000000-0005-0000-0000-00009F110000}"/>
    <cellStyle name="Normal 10 2 10 23 5 10" xfId="4531" xr:uid="{00000000-0005-0000-0000-0000A0110000}"/>
    <cellStyle name="Normal 10 2 10 23 5 2" xfId="4532" xr:uid="{00000000-0005-0000-0000-0000A1110000}"/>
    <cellStyle name="Normal 10 2 10 23 5 3" xfId="4533" xr:uid="{00000000-0005-0000-0000-0000A2110000}"/>
    <cellStyle name="Normal 10 2 10 23 5 4" xfId="4534" xr:uid="{00000000-0005-0000-0000-0000A3110000}"/>
    <cellStyle name="Normal 10 2 10 23 5 5" xfId="4535" xr:uid="{00000000-0005-0000-0000-0000A4110000}"/>
    <cellStyle name="Normal 10 2 10 23 5 6" xfId="4536" xr:uid="{00000000-0005-0000-0000-0000A5110000}"/>
    <cellStyle name="Normal 10 2 10 23 5 7" xfId="4537" xr:uid="{00000000-0005-0000-0000-0000A6110000}"/>
    <cellStyle name="Normal 10 2 10 23 5 8" xfId="4538" xr:uid="{00000000-0005-0000-0000-0000A7110000}"/>
    <cellStyle name="Normal 10 2 10 23 5 9" xfId="4539" xr:uid="{00000000-0005-0000-0000-0000A8110000}"/>
    <cellStyle name="Normal 10 2 10 23 6" xfId="4540" xr:uid="{00000000-0005-0000-0000-0000A9110000}"/>
    <cellStyle name="Normal 10 2 10 23 7" xfId="4541" xr:uid="{00000000-0005-0000-0000-0000AA110000}"/>
    <cellStyle name="Normal 10 2 10 23 8" xfId="4542" xr:uid="{00000000-0005-0000-0000-0000AB110000}"/>
    <cellStyle name="Normal 10 2 10 23 9" xfId="4543" xr:uid="{00000000-0005-0000-0000-0000AC110000}"/>
    <cellStyle name="Normal 10 2 10 24" xfId="4544" xr:uid="{00000000-0005-0000-0000-0000AD110000}"/>
    <cellStyle name="Normal 10 2 10 24 10" xfId="4545" xr:uid="{00000000-0005-0000-0000-0000AE110000}"/>
    <cellStyle name="Normal 10 2 10 24 11" xfId="4546" xr:uid="{00000000-0005-0000-0000-0000AF110000}"/>
    <cellStyle name="Normal 10 2 10 24 12" xfId="4547" xr:uid="{00000000-0005-0000-0000-0000B0110000}"/>
    <cellStyle name="Normal 10 2 10 24 13" xfId="4548" xr:uid="{00000000-0005-0000-0000-0000B1110000}"/>
    <cellStyle name="Normal 10 2 10 24 14" xfId="4549" xr:uid="{00000000-0005-0000-0000-0000B2110000}"/>
    <cellStyle name="Normal 10 2 10 24 2" xfId="4550" xr:uid="{00000000-0005-0000-0000-0000B3110000}"/>
    <cellStyle name="Normal 10 2 10 24 2 10" xfId="4551" xr:uid="{00000000-0005-0000-0000-0000B4110000}"/>
    <cellStyle name="Normal 10 2 10 24 2 2" xfId="4552" xr:uid="{00000000-0005-0000-0000-0000B5110000}"/>
    <cellStyle name="Normal 10 2 10 24 2 3" xfId="4553" xr:uid="{00000000-0005-0000-0000-0000B6110000}"/>
    <cellStyle name="Normal 10 2 10 24 2 4" xfId="4554" xr:uid="{00000000-0005-0000-0000-0000B7110000}"/>
    <cellStyle name="Normal 10 2 10 24 2 5" xfId="4555" xr:uid="{00000000-0005-0000-0000-0000B8110000}"/>
    <cellStyle name="Normal 10 2 10 24 2 6" xfId="4556" xr:uid="{00000000-0005-0000-0000-0000B9110000}"/>
    <cellStyle name="Normal 10 2 10 24 2 7" xfId="4557" xr:uid="{00000000-0005-0000-0000-0000BA110000}"/>
    <cellStyle name="Normal 10 2 10 24 2 8" xfId="4558" xr:uid="{00000000-0005-0000-0000-0000BB110000}"/>
    <cellStyle name="Normal 10 2 10 24 2 9" xfId="4559" xr:uid="{00000000-0005-0000-0000-0000BC110000}"/>
    <cellStyle name="Normal 10 2 10 24 3" xfId="4560" xr:uid="{00000000-0005-0000-0000-0000BD110000}"/>
    <cellStyle name="Normal 10 2 10 24 3 10" xfId="4561" xr:uid="{00000000-0005-0000-0000-0000BE110000}"/>
    <cellStyle name="Normal 10 2 10 24 3 2" xfId="4562" xr:uid="{00000000-0005-0000-0000-0000BF110000}"/>
    <cellStyle name="Normal 10 2 10 24 3 3" xfId="4563" xr:uid="{00000000-0005-0000-0000-0000C0110000}"/>
    <cellStyle name="Normal 10 2 10 24 3 4" xfId="4564" xr:uid="{00000000-0005-0000-0000-0000C1110000}"/>
    <cellStyle name="Normal 10 2 10 24 3 5" xfId="4565" xr:uid="{00000000-0005-0000-0000-0000C2110000}"/>
    <cellStyle name="Normal 10 2 10 24 3 6" xfId="4566" xr:uid="{00000000-0005-0000-0000-0000C3110000}"/>
    <cellStyle name="Normal 10 2 10 24 3 7" xfId="4567" xr:uid="{00000000-0005-0000-0000-0000C4110000}"/>
    <cellStyle name="Normal 10 2 10 24 3 8" xfId="4568" xr:uid="{00000000-0005-0000-0000-0000C5110000}"/>
    <cellStyle name="Normal 10 2 10 24 3 9" xfId="4569" xr:uid="{00000000-0005-0000-0000-0000C6110000}"/>
    <cellStyle name="Normal 10 2 10 24 4" xfId="4570" xr:uid="{00000000-0005-0000-0000-0000C7110000}"/>
    <cellStyle name="Normal 10 2 10 24 4 10" xfId="4571" xr:uid="{00000000-0005-0000-0000-0000C8110000}"/>
    <cellStyle name="Normal 10 2 10 24 4 2" xfId="4572" xr:uid="{00000000-0005-0000-0000-0000C9110000}"/>
    <cellStyle name="Normal 10 2 10 24 4 3" xfId="4573" xr:uid="{00000000-0005-0000-0000-0000CA110000}"/>
    <cellStyle name="Normal 10 2 10 24 4 4" xfId="4574" xr:uid="{00000000-0005-0000-0000-0000CB110000}"/>
    <cellStyle name="Normal 10 2 10 24 4 5" xfId="4575" xr:uid="{00000000-0005-0000-0000-0000CC110000}"/>
    <cellStyle name="Normal 10 2 10 24 4 6" xfId="4576" xr:uid="{00000000-0005-0000-0000-0000CD110000}"/>
    <cellStyle name="Normal 10 2 10 24 4 7" xfId="4577" xr:uid="{00000000-0005-0000-0000-0000CE110000}"/>
    <cellStyle name="Normal 10 2 10 24 4 8" xfId="4578" xr:uid="{00000000-0005-0000-0000-0000CF110000}"/>
    <cellStyle name="Normal 10 2 10 24 4 9" xfId="4579" xr:uid="{00000000-0005-0000-0000-0000D0110000}"/>
    <cellStyle name="Normal 10 2 10 24 5" xfId="4580" xr:uid="{00000000-0005-0000-0000-0000D1110000}"/>
    <cellStyle name="Normal 10 2 10 24 5 10" xfId="4581" xr:uid="{00000000-0005-0000-0000-0000D2110000}"/>
    <cellStyle name="Normal 10 2 10 24 5 2" xfId="4582" xr:uid="{00000000-0005-0000-0000-0000D3110000}"/>
    <cellStyle name="Normal 10 2 10 24 5 3" xfId="4583" xr:uid="{00000000-0005-0000-0000-0000D4110000}"/>
    <cellStyle name="Normal 10 2 10 24 5 4" xfId="4584" xr:uid="{00000000-0005-0000-0000-0000D5110000}"/>
    <cellStyle name="Normal 10 2 10 24 5 5" xfId="4585" xr:uid="{00000000-0005-0000-0000-0000D6110000}"/>
    <cellStyle name="Normal 10 2 10 24 5 6" xfId="4586" xr:uid="{00000000-0005-0000-0000-0000D7110000}"/>
    <cellStyle name="Normal 10 2 10 24 5 7" xfId="4587" xr:uid="{00000000-0005-0000-0000-0000D8110000}"/>
    <cellStyle name="Normal 10 2 10 24 5 8" xfId="4588" xr:uid="{00000000-0005-0000-0000-0000D9110000}"/>
    <cellStyle name="Normal 10 2 10 24 5 9" xfId="4589" xr:uid="{00000000-0005-0000-0000-0000DA110000}"/>
    <cellStyle name="Normal 10 2 10 24 6" xfId="4590" xr:uid="{00000000-0005-0000-0000-0000DB110000}"/>
    <cellStyle name="Normal 10 2 10 24 7" xfId="4591" xr:uid="{00000000-0005-0000-0000-0000DC110000}"/>
    <cellStyle name="Normal 10 2 10 24 8" xfId="4592" xr:uid="{00000000-0005-0000-0000-0000DD110000}"/>
    <cellStyle name="Normal 10 2 10 24 9" xfId="4593" xr:uid="{00000000-0005-0000-0000-0000DE110000}"/>
    <cellStyle name="Normal 10 2 10 25" xfId="4594" xr:uid="{00000000-0005-0000-0000-0000DF110000}"/>
    <cellStyle name="Normal 10 2 10 25 10" xfId="4595" xr:uid="{00000000-0005-0000-0000-0000E0110000}"/>
    <cellStyle name="Normal 10 2 10 25 11" xfId="4596" xr:uid="{00000000-0005-0000-0000-0000E1110000}"/>
    <cellStyle name="Normal 10 2 10 25 12" xfId="4597" xr:uid="{00000000-0005-0000-0000-0000E2110000}"/>
    <cellStyle name="Normal 10 2 10 25 13" xfId="4598" xr:uid="{00000000-0005-0000-0000-0000E3110000}"/>
    <cellStyle name="Normal 10 2 10 25 14" xfId="4599" xr:uid="{00000000-0005-0000-0000-0000E4110000}"/>
    <cellStyle name="Normal 10 2 10 25 2" xfId="4600" xr:uid="{00000000-0005-0000-0000-0000E5110000}"/>
    <cellStyle name="Normal 10 2 10 25 2 10" xfId="4601" xr:uid="{00000000-0005-0000-0000-0000E6110000}"/>
    <cellStyle name="Normal 10 2 10 25 2 2" xfId="4602" xr:uid="{00000000-0005-0000-0000-0000E7110000}"/>
    <cellStyle name="Normal 10 2 10 25 2 3" xfId="4603" xr:uid="{00000000-0005-0000-0000-0000E8110000}"/>
    <cellStyle name="Normal 10 2 10 25 2 4" xfId="4604" xr:uid="{00000000-0005-0000-0000-0000E9110000}"/>
    <cellStyle name="Normal 10 2 10 25 2 5" xfId="4605" xr:uid="{00000000-0005-0000-0000-0000EA110000}"/>
    <cellStyle name="Normal 10 2 10 25 2 6" xfId="4606" xr:uid="{00000000-0005-0000-0000-0000EB110000}"/>
    <cellStyle name="Normal 10 2 10 25 2 7" xfId="4607" xr:uid="{00000000-0005-0000-0000-0000EC110000}"/>
    <cellStyle name="Normal 10 2 10 25 2 8" xfId="4608" xr:uid="{00000000-0005-0000-0000-0000ED110000}"/>
    <cellStyle name="Normal 10 2 10 25 2 9" xfId="4609" xr:uid="{00000000-0005-0000-0000-0000EE110000}"/>
    <cellStyle name="Normal 10 2 10 25 3" xfId="4610" xr:uid="{00000000-0005-0000-0000-0000EF110000}"/>
    <cellStyle name="Normal 10 2 10 25 3 10" xfId="4611" xr:uid="{00000000-0005-0000-0000-0000F0110000}"/>
    <cellStyle name="Normal 10 2 10 25 3 2" xfId="4612" xr:uid="{00000000-0005-0000-0000-0000F1110000}"/>
    <cellStyle name="Normal 10 2 10 25 3 3" xfId="4613" xr:uid="{00000000-0005-0000-0000-0000F2110000}"/>
    <cellStyle name="Normal 10 2 10 25 3 4" xfId="4614" xr:uid="{00000000-0005-0000-0000-0000F3110000}"/>
    <cellStyle name="Normal 10 2 10 25 3 5" xfId="4615" xr:uid="{00000000-0005-0000-0000-0000F4110000}"/>
    <cellStyle name="Normal 10 2 10 25 3 6" xfId="4616" xr:uid="{00000000-0005-0000-0000-0000F5110000}"/>
    <cellStyle name="Normal 10 2 10 25 3 7" xfId="4617" xr:uid="{00000000-0005-0000-0000-0000F6110000}"/>
    <cellStyle name="Normal 10 2 10 25 3 8" xfId="4618" xr:uid="{00000000-0005-0000-0000-0000F7110000}"/>
    <cellStyle name="Normal 10 2 10 25 3 9" xfId="4619" xr:uid="{00000000-0005-0000-0000-0000F8110000}"/>
    <cellStyle name="Normal 10 2 10 25 4" xfId="4620" xr:uid="{00000000-0005-0000-0000-0000F9110000}"/>
    <cellStyle name="Normal 10 2 10 25 4 10" xfId="4621" xr:uid="{00000000-0005-0000-0000-0000FA110000}"/>
    <cellStyle name="Normal 10 2 10 25 4 2" xfId="4622" xr:uid="{00000000-0005-0000-0000-0000FB110000}"/>
    <cellStyle name="Normal 10 2 10 25 4 3" xfId="4623" xr:uid="{00000000-0005-0000-0000-0000FC110000}"/>
    <cellStyle name="Normal 10 2 10 25 4 4" xfId="4624" xr:uid="{00000000-0005-0000-0000-0000FD110000}"/>
    <cellStyle name="Normal 10 2 10 25 4 5" xfId="4625" xr:uid="{00000000-0005-0000-0000-0000FE110000}"/>
    <cellStyle name="Normal 10 2 10 25 4 6" xfId="4626" xr:uid="{00000000-0005-0000-0000-0000FF110000}"/>
    <cellStyle name="Normal 10 2 10 25 4 7" xfId="4627" xr:uid="{00000000-0005-0000-0000-000000120000}"/>
    <cellStyle name="Normal 10 2 10 25 4 8" xfId="4628" xr:uid="{00000000-0005-0000-0000-000001120000}"/>
    <cellStyle name="Normal 10 2 10 25 4 9" xfId="4629" xr:uid="{00000000-0005-0000-0000-000002120000}"/>
    <cellStyle name="Normal 10 2 10 25 5" xfId="4630" xr:uid="{00000000-0005-0000-0000-000003120000}"/>
    <cellStyle name="Normal 10 2 10 25 5 10" xfId="4631" xr:uid="{00000000-0005-0000-0000-000004120000}"/>
    <cellStyle name="Normal 10 2 10 25 5 2" xfId="4632" xr:uid="{00000000-0005-0000-0000-000005120000}"/>
    <cellStyle name="Normal 10 2 10 25 5 3" xfId="4633" xr:uid="{00000000-0005-0000-0000-000006120000}"/>
    <cellStyle name="Normal 10 2 10 25 5 4" xfId="4634" xr:uid="{00000000-0005-0000-0000-000007120000}"/>
    <cellStyle name="Normal 10 2 10 25 5 5" xfId="4635" xr:uid="{00000000-0005-0000-0000-000008120000}"/>
    <cellStyle name="Normal 10 2 10 25 5 6" xfId="4636" xr:uid="{00000000-0005-0000-0000-000009120000}"/>
    <cellStyle name="Normal 10 2 10 25 5 7" xfId="4637" xr:uid="{00000000-0005-0000-0000-00000A120000}"/>
    <cellStyle name="Normal 10 2 10 25 5 8" xfId="4638" xr:uid="{00000000-0005-0000-0000-00000B120000}"/>
    <cellStyle name="Normal 10 2 10 25 5 9" xfId="4639" xr:uid="{00000000-0005-0000-0000-00000C120000}"/>
    <cellStyle name="Normal 10 2 10 25 6" xfId="4640" xr:uid="{00000000-0005-0000-0000-00000D120000}"/>
    <cellStyle name="Normal 10 2 10 25 7" xfId="4641" xr:uid="{00000000-0005-0000-0000-00000E120000}"/>
    <cellStyle name="Normal 10 2 10 25 8" xfId="4642" xr:uid="{00000000-0005-0000-0000-00000F120000}"/>
    <cellStyle name="Normal 10 2 10 25 9" xfId="4643" xr:uid="{00000000-0005-0000-0000-000010120000}"/>
    <cellStyle name="Normal 10 2 10 26" xfId="4644" xr:uid="{00000000-0005-0000-0000-000011120000}"/>
    <cellStyle name="Normal 10 2 10 26 10" xfId="4645" xr:uid="{00000000-0005-0000-0000-000012120000}"/>
    <cellStyle name="Normal 10 2 10 26 11" xfId="4646" xr:uid="{00000000-0005-0000-0000-000013120000}"/>
    <cellStyle name="Normal 10 2 10 26 12" xfId="4647" xr:uid="{00000000-0005-0000-0000-000014120000}"/>
    <cellStyle name="Normal 10 2 10 26 13" xfId="4648" xr:uid="{00000000-0005-0000-0000-000015120000}"/>
    <cellStyle name="Normal 10 2 10 26 14" xfId="4649" xr:uid="{00000000-0005-0000-0000-000016120000}"/>
    <cellStyle name="Normal 10 2 10 26 2" xfId="4650" xr:uid="{00000000-0005-0000-0000-000017120000}"/>
    <cellStyle name="Normal 10 2 10 26 2 10" xfId="4651" xr:uid="{00000000-0005-0000-0000-000018120000}"/>
    <cellStyle name="Normal 10 2 10 26 2 2" xfId="4652" xr:uid="{00000000-0005-0000-0000-000019120000}"/>
    <cellStyle name="Normal 10 2 10 26 2 3" xfId="4653" xr:uid="{00000000-0005-0000-0000-00001A120000}"/>
    <cellStyle name="Normal 10 2 10 26 2 4" xfId="4654" xr:uid="{00000000-0005-0000-0000-00001B120000}"/>
    <cellStyle name="Normal 10 2 10 26 2 5" xfId="4655" xr:uid="{00000000-0005-0000-0000-00001C120000}"/>
    <cellStyle name="Normal 10 2 10 26 2 6" xfId="4656" xr:uid="{00000000-0005-0000-0000-00001D120000}"/>
    <cellStyle name="Normal 10 2 10 26 2 7" xfId="4657" xr:uid="{00000000-0005-0000-0000-00001E120000}"/>
    <cellStyle name="Normal 10 2 10 26 2 8" xfId="4658" xr:uid="{00000000-0005-0000-0000-00001F120000}"/>
    <cellStyle name="Normal 10 2 10 26 2 9" xfId="4659" xr:uid="{00000000-0005-0000-0000-000020120000}"/>
    <cellStyle name="Normal 10 2 10 26 3" xfId="4660" xr:uid="{00000000-0005-0000-0000-000021120000}"/>
    <cellStyle name="Normal 10 2 10 26 3 10" xfId="4661" xr:uid="{00000000-0005-0000-0000-000022120000}"/>
    <cellStyle name="Normal 10 2 10 26 3 2" xfId="4662" xr:uid="{00000000-0005-0000-0000-000023120000}"/>
    <cellStyle name="Normal 10 2 10 26 3 3" xfId="4663" xr:uid="{00000000-0005-0000-0000-000024120000}"/>
    <cellStyle name="Normal 10 2 10 26 3 4" xfId="4664" xr:uid="{00000000-0005-0000-0000-000025120000}"/>
    <cellStyle name="Normal 10 2 10 26 3 5" xfId="4665" xr:uid="{00000000-0005-0000-0000-000026120000}"/>
    <cellStyle name="Normal 10 2 10 26 3 6" xfId="4666" xr:uid="{00000000-0005-0000-0000-000027120000}"/>
    <cellStyle name="Normal 10 2 10 26 3 7" xfId="4667" xr:uid="{00000000-0005-0000-0000-000028120000}"/>
    <cellStyle name="Normal 10 2 10 26 3 8" xfId="4668" xr:uid="{00000000-0005-0000-0000-000029120000}"/>
    <cellStyle name="Normal 10 2 10 26 3 9" xfId="4669" xr:uid="{00000000-0005-0000-0000-00002A120000}"/>
    <cellStyle name="Normal 10 2 10 26 4" xfId="4670" xr:uid="{00000000-0005-0000-0000-00002B120000}"/>
    <cellStyle name="Normal 10 2 10 26 4 10" xfId="4671" xr:uid="{00000000-0005-0000-0000-00002C120000}"/>
    <cellStyle name="Normal 10 2 10 26 4 2" xfId="4672" xr:uid="{00000000-0005-0000-0000-00002D120000}"/>
    <cellStyle name="Normal 10 2 10 26 4 3" xfId="4673" xr:uid="{00000000-0005-0000-0000-00002E120000}"/>
    <cellStyle name="Normal 10 2 10 26 4 4" xfId="4674" xr:uid="{00000000-0005-0000-0000-00002F120000}"/>
    <cellStyle name="Normal 10 2 10 26 4 5" xfId="4675" xr:uid="{00000000-0005-0000-0000-000030120000}"/>
    <cellStyle name="Normal 10 2 10 26 4 6" xfId="4676" xr:uid="{00000000-0005-0000-0000-000031120000}"/>
    <cellStyle name="Normal 10 2 10 26 4 7" xfId="4677" xr:uid="{00000000-0005-0000-0000-000032120000}"/>
    <cellStyle name="Normal 10 2 10 26 4 8" xfId="4678" xr:uid="{00000000-0005-0000-0000-000033120000}"/>
    <cellStyle name="Normal 10 2 10 26 4 9" xfId="4679" xr:uid="{00000000-0005-0000-0000-000034120000}"/>
    <cellStyle name="Normal 10 2 10 26 5" xfId="4680" xr:uid="{00000000-0005-0000-0000-000035120000}"/>
    <cellStyle name="Normal 10 2 10 26 5 10" xfId="4681" xr:uid="{00000000-0005-0000-0000-000036120000}"/>
    <cellStyle name="Normal 10 2 10 26 5 2" xfId="4682" xr:uid="{00000000-0005-0000-0000-000037120000}"/>
    <cellStyle name="Normal 10 2 10 26 5 3" xfId="4683" xr:uid="{00000000-0005-0000-0000-000038120000}"/>
    <cellStyle name="Normal 10 2 10 26 5 4" xfId="4684" xr:uid="{00000000-0005-0000-0000-000039120000}"/>
    <cellStyle name="Normal 10 2 10 26 5 5" xfId="4685" xr:uid="{00000000-0005-0000-0000-00003A120000}"/>
    <cellStyle name="Normal 10 2 10 26 5 6" xfId="4686" xr:uid="{00000000-0005-0000-0000-00003B120000}"/>
    <cellStyle name="Normal 10 2 10 26 5 7" xfId="4687" xr:uid="{00000000-0005-0000-0000-00003C120000}"/>
    <cellStyle name="Normal 10 2 10 26 5 8" xfId="4688" xr:uid="{00000000-0005-0000-0000-00003D120000}"/>
    <cellStyle name="Normal 10 2 10 26 5 9" xfId="4689" xr:uid="{00000000-0005-0000-0000-00003E120000}"/>
    <cellStyle name="Normal 10 2 10 26 6" xfId="4690" xr:uid="{00000000-0005-0000-0000-00003F120000}"/>
    <cellStyle name="Normal 10 2 10 26 7" xfId="4691" xr:uid="{00000000-0005-0000-0000-000040120000}"/>
    <cellStyle name="Normal 10 2 10 26 8" xfId="4692" xr:uid="{00000000-0005-0000-0000-000041120000}"/>
    <cellStyle name="Normal 10 2 10 26 9" xfId="4693" xr:uid="{00000000-0005-0000-0000-000042120000}"/>
    <cellStyle name="Normal 10 2 10 27" xfId="4694" xr:uid="{00000000-0005-0000-0000-000043120000}"/>
    <cellStyle name="Normal 10 2 10 27 10" xfId="4695" xr:uid="{00000000-0005-0000-0000-000044120000}"/>
    <cellStyle name="Normal 10 2 10 27 11" xfId="4696" xr:uid="{00000000-0005-0000-0000-000045120000}"/>
    <cellStyle name="Normal 10 2 10 27 12" xfId="4697" xr:uid="{00000000-0005-0000-0000-000046120000}"/>
    <cellStyle name="Normal 10 2 10 27 13" xfId="4698" xr:uid="{00000000-0005-0000-0000-000047120000}"/>
    <cellStyle name="Normal 10 2 10 27 14" xfId="4699" xr:uid="{00000000-0005-0000-0000-000048120000}"/>
    <cellStyle name="Normal 10 2 10 27 2" xfId="4700" xr:uid="{00000000-0005-0000-0000-000049120000}"/>
    <cellStyle name="Normal 10 2 10 27 2 10" xfId="4701" xr:uid="{00000000-0005-0000-0000-00004A120000}"/>
    <cellStyle name="Normal 10 2 10 27 2 2" xfId="4702" xr:uid="{00000000-0005-0000-0000-00004B120000}"/>
    <cellStyle name="Normal 10 2 10 27 2 3" xfId="4703" xr:uid="{00000000-0005-0000-0000-00004C120000}"/>
    <cellStyle name="Normal 10 2 10 27 2 4" xfId="4704" xr:uid="{00000000-0005-0000-0000-00004D120000}"/>
    <cellStyle name="Normal 10 2 10 27 2 5" xfId="4705" xr:uid="{00000000-0005-0000-0000-00004E120000}"/>
    <cellStyle name="Normal 10 2 10 27 2 6" xfId="4706" xr:uid="{00000000-0005-0000-0000-00004F120000}"/>
    <cellStyle name="Normal 10 2 10 27 2 7" xfId="4707" xr:uid="{00000000-0005-0000-0000-000050120000}"/>
    <cellStyle name="Normal 10 2 10 27 2 8" xfId="4708" xr:uid="{00000000-0005-0000-0000-000051120000}"/>
    <cellStyle name="Normal 10 2 10 27 2 9" xfId="4709" xr:uid="{00000000-0005-0000-0000-000052120000}"/>
    <cellStyle name="Normal 10 2 10 27 3" xfId="4710" xr:uid="{00000000-0005-0000-0000-000053120000}"/>
    <cellStyle name="Normal 10 2 10 27 3 10" xfId="4711" xr:uid="{00000000-0005-0000-0000-000054120000}"/>
    <cellStyle name="Normal 10 2 10 27 3 2" xfId="4712" xr:uid="{00000000-0005-0000-0000-000055120000}"/>
    <cellStyle name="Normal 10 2 10 27 3 3" xfId="4713" xr:uid="{00000000-0005-0000-0000-000056120000}"/>
    <cellStyle name="Normal 10 2 10 27 3 4" xfId="4714" xr:uid="{00000000-0005-0000-0000-000057120000}"/>
    <cellStyle name="Normal 10 2 10 27 3 5" xfId="4715" xr:uid="{00000000-0005-0000-0000-000058120000}"/>
    <cellStyle name="Normal 10 2 10 27 3 6" xfId="4716" xr:uid="{00000000-0005-0000-0000-000059120000}"/>
    <cellStyle name="Normal 10 2 10 27 3 7" xfId="4717" xr:uid="{00000000-0005-0000-0000-00005A120000}"/>
    <cellStyle name="Normal 10 2 10 27 3 8" xfId="4718" xr:uid="{00000000-0005-0000-0000-00005B120000}"/>
    <cellStyle name="Normal 10 2 10 27 3 9" xfId="4719" xr:uid="{00000000-0005-0000-0000-00005C120000}"/>
    <cellStyle name="Normal 10 2 10 27 4" xfId="4720" xr:uid="{00000000-0005-0000-0000-00005D120000}"/>
    <cellStyle name="Normal 10 2 10 27 4 10" xfId="4721" xr:uid="{00000000-0005-0000-0000-00005E120000}"/>
    <cellStyle name="Normal 10 2 10 27 4 2" xfId="4722" xr:uid="{00000000-0005-0000-0000-00005F120000}"/>
    <cellStyle name="Normal 10 2 10 27 4 3" xfId="4723" xr:uid="{00000000-0005-0000-0000-000060120000}"/>
    <cellStyle name="Normal 10 2 10 27 4 4" xfId="4724" xr:uid="{00000000-0005-0000-0000-000061120000}"/>
    <cellStyle name="Normal 10 2 10 27 4 5" xfId="4725" xr:uid="{00000000-0005-0000-0000-000062120000}"/>
    <cellStyle name="Normal 10 2 10 27 4 6" xfId="4726" xr:uid="{00000000-0005-0000-0000-000063120000}"/>
    <cellStyle name="Normal 10 2 10 27 4 7" xfId="4727" xr:uid="{00000000-0005-0000-0000-000064120000}"/>
    <cellStyle name="Normal 10 2 10 27 4 8" xfId="4728" xr:uid="{00000000-0005-0000-0000-000065120000}"/>
    <cellStyle name="Normal 10 2 10 27 4 9" xfId="4729" xr:uid="{00000000-0005-0000-0000-000066120000}"/>
    <cellStyle name="Normal 10 2 10 27 5" xfId="4730" xr:uid="{00000000-0005-0000-0000-000067120000}"/>
    <cellStyle name="Normal 10 2 10 27 5 10" xfId="4731" xr:uid="{00000000-0005-0000-0000-000068120000}"/>
    <cellStyle name="Normal 10 2 10 27 5 2" xfId="4732" xr:uid="{00000000-0005-0000-0000-000069120000}"/>
    <cellStyle name="Normal 10 2 10 27 5 3" xfId="4733" xr:uid="{00000000-0005-0000-0000-00006A120000}"/>
    <cellStyle name="Normal 10 2 10 27 5 4" xfId="4734" xr:uid="{00000000-0005-0000-0000-00006B120000}"/>
    <cellStyle name="Normal 10 2 10 27 5 5" xfId="4735" xr:uid="{00000000-0005-0000-0000-00006C120000}"/>
    <cellStyle name="Normal 10 2 10 27 5 6" xfId="4736" xr:uid="{00000000-0005-0000-0000-00006D120000}"/>
    <cellStyle name="Normal 10 2 10 27 5 7" xfId="4737" xr:uid="{00000000-0005-0000-0000-00006E120000}"/>
    <cellStyle name="Normal 10 2 10 27 5 8" xfId="4738" xr:uid="{00000000-0005-0000-0000-00006F120000}"/>
    <cellStyle name="Normal 10 2 10 27 5 9" xfId="4739" xr:uid="{00000000-0005-0000-0000-000070120000}"/>
    <cellStyle name="Normal 10 2 10 27 6" xfId="4740" xr:uid="{00000000-0005-0000-0000-000071120000}"/>
    <cellStyle name="Normal 10 2 10 27 7" xfId="4741" xr:uid="{00000000-0005-0000-0000-000072120000}"/>
    <cellStyle name="Normal 10 2 10 27 8" xfId="4742" xr:uid="{00000000-0005-0000-0000-000073120000}"/>
    <cellStyle name="Normal 10 2 10 27 9" xfId="4743" xr:uid="{00000000-0005-0000-0000-000074120000}"/>
    <cellStyle name="Normal 10 2 10 28" xfId="4744" xr:uid="{00000000-0005-0000-0000-000075120000}"/>
    <cellStyle name="Normal 10 2 10 28 10" xfId="4745" xr:uid="{00000000-0005-0000-0000-000076120000}"/>
    <cellStyle name="Normal 10 2 10 28 11" xfId="4746" xr:uid="{00000000-0005-0000-0000-000077120000}"/>
    <cellStyle name="Normal 10 2 10 28 12" xfId="4747" xr:uid="{00000000-0005-0000-0000-000078120000}"/>
    <cellStyle name="Normal 10 2 10 28 13" xfId="4748" xr:uid="{00000000-0005-0000-0000-000079120000}"/>
    <cellStyle name="Normal 10 2 10 28 14" xfId="4749" xr:uid="{00000000-0005-0000-0000-00007A120000}"/>
    <cellStyle name="Normal 10 2 10 28 2" xfId="4750" xr:uid="{00000000-0005-0000-0000-00007B120000}"/>
    <cellStyle name="Normal 10 2 10 28 2 10" xfId="4751" xr:uid="{00000000-0005-0000-0000-00007C120000}"/>
    <cellStyle name="Normal 10 2 10 28 2 2" xfId="4752" xr:uid="{00000000-0005-0000-0000-00007D120000}"/>
    <cellStyle name="Normal 10 2 10 28 2 3" xfId="4753" xr:uid="{00000000-0005-0000-0000-00007E120000}"/>
    <cellStyle name="Normal 10 2 10 28 2 4" xfId="4754" xr:uid="{00000000-0005-0000-0000-00007F120000}"/>
    <cellStyle name="Normal 10 2 10 28 2 5" xfId="4755" xr:uid="{00000000-0005-0000-0000-000080120000}"/>
    <cellStyle name="Normal 10 2 10 28 2 6" xfId="4756" xr:uid="{00000000-0005-0000-0000-000081120000}"/>
    <cellStyle name="Normal 10 2 10 28 2 7" xfId="4757" xr:uid="{00000000-0005-0000-0000-000082120000}"/>
    <cellStyle name="Normal 10 2 10 28 2 8" xfId="4758" xr:uid="{00000000-0005-0000-0000-000083120000}"/>
    <cellStyle name="Normal 10 2 10 28 2 9" xfId="4759" xr:uid="{00000000-0005-0000-0000-000084120000}"/>
    <cellStyle name="Normal 10 2 10 28 3" xfId="4760" xr:uid="{00000000-0005-0000-0000-000085120000}"/>
    <cellStyle name="Normal 10 2 10 28 3 10" xfId="4761" xr:uid="{00000000-0005-0000-0000-000086120000}"/>
    <cellStyle name="Normal 10 2 10 28 3 2" xfId="4762" xr:uid="{00000000-0005-0000-0000-000087120000}"/>
    <cellStyle name="Normal 10 2 10 28 3 3" xfId="4763" xr:uid="{00000000-0005-0000-0000-000088120000}"/>
    <cellStyle name="Normal 10 2 10 28 3 4" xfId="4764" xr:uid="{00000000-0005-0000-0000-000089120000}"/>
    <cellStyle name="Normal 10 2 10 28 3 5" xfId="4765" xr:uid="{00000000-0005-0000-0000-00008A120000}"/>
    <cellStyle name="Normal 10 2 10 28 3 6" xfId="4766" xr:uid="{00000000-0005-0000-0000-00008B120000}"/>
    <cellStyle name="Normal 10 2 10 28 3 7" xfId="4767" xr:uid="{00000000-0005-0000-0000-00008C120000}"/>
    <cellStyle name="Normal 10 2 10 28 3 8" xfId="4768" xr:uid="{00000000-0005-0000-0000-00008D120000}"/>
    <cellStyle name="Normal 10 2 10 28 3 9" xfId="4769" xr:uid="{00000000-0005-0000-0000-00008E120000}"/>
    <cellStyle name="Normal 10 2 10 28 4" xfId="4770" xr:uid="{00000000-0005-0000-0000-00008F120000}"/>
    <cellStyle name="Normal 10 2 10 28 4 10" xfId="4771" xr:uid="{00000000-0005-0000-0000-000090120000}"/>
    <cellStyle name="Normal 10 2 10 28 4 2" xfId="4772" xr:uid="{00000000-0005-0000-0000-000091120000}"/>
    <cellStyle name="Normal 10 2 10 28 4 3" xfId="4773" xr:uid="{00000000-0005-0000-0000-000092120000}"/>
    <cellStyle name="Normal 10 2 10 28 4 4" xfId="4774" xr:uid="{00000000-0005-0000-0000-000093120000}"/>
    <cellStyle name="Normal 10 2 10 28 4 5" xfId="4775" xr:uid="{00000000-0005-0000-0000-000094120000}"/>
    <cellStyle name="Normal 10 2 10 28 4 6" xfId="4776" xr:uid="{00000000-0005-0000-0000-000095120000}"/>
    <cellStyle name="Normal 10 2 10 28 4 7" xfId="4777" xr:uid="{00000000-0005-0000-0000-000096120000}"/>
    <cellStyle name="Normal 10 2 10 28 4 8" xfId="4778" xr:uid="{00000000-0005-0000-0000-000097120000}"/>
    <cellStyle name="Normal 10 2 10 28 4 9" xfId="4779" xr:uid="{00000000-0005-0000-0000-000098120000}"/>
    <cellStyle name="Normal 10 2 10 28 5" xfId="4780" xr:uid="{00000000-0005-0000-0000-000099120000}"/>
    <cellStyle name="Normal 10 2 10 28 5 10" xfId="4781" xr:uid="{00000000-0005-0000-0000-00009A120000}"/>
    <cellStyle name="Normal 10 2 10 28 5 2" xfId="4782" xr:uid="{00000000-0005-0000-0000-00009B120000}"/>
    <cellStyle name="Normal 10 2 10 28 5 3" xfId="4783" xr:uid="{00000000-0005-0000-0000-00009C120000}"/>
    <cellStyle name="Normal 10 2 10 28 5 4" xfId="4784" xr:uid="{00000000-0005-0000-0000-00009D120000}"/>
    <cellStyle name="Normal 10 2 10 28 5 5" xfId="4785" xr:uid="{00000000-0005-0000-0000-00009E120000}"/>
    <cellStyle name="Normal 10 2 10 28 5 6" xfId="4786" xr:uid="{00000000-0005-0000-0000-00009F120000}"/>
    <cellStyle name="Normal 10 2 10 28 5 7" xfId="4787" xr:uid="{00000000-0005-0000-0000-0000A0120000}"/>
    <cellStyle name="Normal 10 2 10 28 5 8" xfId="4788" xr:uid="{00000000-0005-0000-0000-0000A1120000}"/>
    <cellStyle name="Normal 10 2 10 28 5 9" xfId="4789" xr:uid="{00000000-0005-0000-0000-0000A2120000}"/>
    <cellStyle name="Normal 10 2 10 28 6" xfId="4790" xr:uid="{00000000-0005-0000-0000-0000A3120000}"/>
    <cellStyle name="Normal 10 2 10 28 7" xfId="4791" xr:uid="{00000000-0005-0000-0000-0000A4120000}"/>
    <cellStyle name="Normal 10 2 10 28 8" xfId="4792" xr:uid="{00000000-0005-0000-0000-0000A5120000}"/>
    <cellStyle name="Normal 10 2 10 28 9" xfId="4793" xr:uid="{00000000-0005-0000-0000-0000A6120000}"/>
    <cellStyle name="Normal 10 2 10 29" xfId="4794" xr:uid="{00000000-0005-0000-0000-0000A7120000}"/>
    <cellStyle name="Normal 10 2 10 29 10" xfId="4795" xr:uid="{00000000-0005-0000-0000-0000A8120000}"/>
    <cellStyle name="Normal 10 2 10 29 11" xfId="4796" xr:uid="{00000000-0005-0000-0000-0000A9120000}"/>
    <cellStyle name="Normal 10 2 10 29 12" xfId="4797" xr:uid="{00000000-0005-0000-0000-0000AA120000}"/>
    <cellStyle name="Normal 10 2 10 29 13" xfId="4798" xr:uid="{00000000-0005-0000-0000-0000AB120000}"/>
    <cellStyle name="Normal 10 2 10 29 14" xfId="4799" xr:uid="{00000000-0005-0000-0000-0000AC120000}"/>
    <cellStyle name="Normal 10 2 10 29 2" xfId="4800" xr:uid="{00000000-0005-0000-0000-0000AD120000}"/>
    <cellStyle name="Normal 10 2 10 29 2 10" xfId="4801" xr:uid="{00000000-0005-0000-0000-0000AE120000}"/>
    <cellStyle name="Normal 10 2 10 29 2 2" xfId="4802" xr:uid="{00000000-0005-0000-0000-0000AF120000}"/>
    <cellStyle name="Normal 10 2 10 29 2 3" xfId="4803" xr:uid="{00000000-0005-0000-0000-0000B0120000}"/>
    <cellStyle name="Normal 10 2 10 29 2 4" xfId="4804" xr:uid="{00000000-0005-0000-0000-0000B1120000}"/>
    <cellStyle name="Normal 10 2 10 29 2 5" xfId="4805" xr:uid="{00000000-0005-0000-0000-0000B2120000}"/>
    <cellStyle name="Normal 10 2 10 29 2 6" xfId="4806" xr:uid="{00000000-0005-0000-0000-0000B3120000}"/>
    <cellStyle name="Normal 10 2 10 29 2 7" xfId="4807" xr:uid="{00000000-0005-0000-0000-0000B4120000}"/>
    <cellStyle name="Normal 10 2 10 29 2 8" xfId="4808" xr:uid="{00000000-0005-0000-0000-0000B5120000}"/>
    <cellStyle name="Normal 10 2 10 29 2 9" xfId="4809" xr:uid="{00000000-0005-0000-0000-0000B6120000}"/>
    <cellStyle name="Normal 10 2 10 29 3" xfId="4810" xr:uid="{00000000-0005-0000-0000-0000B7120000}"/>
    <cellStyle name="Normal 10 2 10 29 3 10" xfId="4811" xr:uid="{00000000-0005-0000-0000-0000B8120000}"/>
    <cellStyle name="Normal 10 2 10 29 3 2" xfId="4812" xr:uid="{00000000-0005-0000-0000-0000B9120000}"/>
    <cellStyle name="Normal 10 2 10 29 3 3" xfId="4813" xr:uid="{00000000-0005-0000-0000-0000BA120000}"/>
    <cellStyle name="Normal 10 2 10 29 3 4" xfId="4814" xr:uid="{00000000-0005-0000-0000-0000BB120000}"/>
    <cellStyle name="Normal 10 2 10 29 3 5" xfId="4815" xr:uid="{00000000-0005-0000-0000-0000BC120000}"/>
    <cellStyle name="Normal 10 2 10 29 3 6" xfId="4816" xr:uid="{00000000-0005-0000-0000-0000BD120000}"/>
    <cellStyle name="Normal 10 2 10 29 3 7" xfId="4817" xr:uid="{00000000-0005-0000-0000-0000BE120000}"/>
    <cellStyle name="Normal 10 2 10 29 3 8" xfId="4818" xr:uid="{00000000-0005-0000-0000-0000BF120000}"/>
    <cellStyle name="Normal 10 2 10 29 3 9" xfId="4819" xr:uid="{00000000-0005-0000-0000-0000C0120000}"/>
    <cellStyle name="Normal 10 2 10 29 4" xfId="4820" xr:uid="{00000000-0005-0000-0000-0000C1120000}"/>
    <cellStyle name="Normal 10 2 10 29 4 10" xfId="4821" xr:uid="{00000000-0005-0000-0000-0000C2120000}"/>
    <cellStyle name="Normal 10 2 10 29 4 2" xfId="4822" xr:uid="{00000000-0005-0000-0000-0000C3120000}"/>
    <cellStyle name="Normal 10 2 10 29 4 3" xfId="4823" xr:uid="{00000000-0005-0000-0000-0000C4120000}"/>
    <cellStyle name="Normal 10 2 10 29 4 4" xfId="4824" xr:uid="{00000000-0005-0000-0000-0000C5120000}"/>
    <cellStyle name="Normal 10 2 10 29 4 5" xfId="4825" xr:uid="{00000000-0005-0000-0000-0000C6120000}"/>
    <cellStyle name="Normal 10 2 10 29 4 6" xfId="4826" xr:uid="{00000000-0005-0000-0000-0000C7120000}"/>
    <cellStyle name="Normal 10 2 10 29 4 7" xfId="4827" xr:uid="{00000000-0005-0000-0000-0000C8120000}"/>
    <cellStyle name="Normal 10 2 10 29 4 8" xfId="4828" xr:uid="{00000000-0005-0000-0000-0000C9120000}"/>
    <cellStyle name="Normal 10 2 10 29 4 9" xfId="4829" xr:uid="{00000000-0005-0000-0000-0000CA120000}"/>
    <cellStyle name="Normal 10 2 10 29 5" xfId="4830" xr:uid="{00000000-0005-0000-0000-0000CB120000}"/>
    <cellStyle name="Normal 10 2 10 29 5 10" xfId="4831" xr:uid="{00000000-0005-0000-0000-0000CC120000}"/>
    <cellStyle name="Normal 10 2 10 29 5 2" xfId="4832" xr:uid="{00000000-0005-0000-0000-0000CD120000}"/>
    <cellStyle name="Normal 10 2 10 29 5 3" xfId="4833" xr:uid="{00000000-0005-0000-0000-0000CE120000}"/>
    <cellStyle name="Normal 10 2 10 29 5 4" xfId="4834" xr:uid="{00000000-0005-0000-0000-0000CF120000}"/>
    <cellStyle name="Normal 10 2 10 29 5 5" xfId="4835" xr:uid="{00000000-0005-0000-0000-0000D0120000}"/>
    <cellStyle name="Normal 10 2 10 29 5 6" xfId="4836" xr:uid="{00000000-0005-0000-0000-0000D1120000}"/>
    <cellStyle name="Normal 10 2 10 29 5 7" xfId="4837" xr:uid="{00000000-0005-0000-0000-0000D2120000}"/>
    <cellStyle name="Normal 10 2 10 29 5 8" xfId="4838" xr:uid="{00000000-0005-0000-0000-0000D3120000}"/>
    <cellStyle name="Normal 10 2 10 29 5 9" xfId="4839" xr:uid="{00000000-0005-0000-0000-0000D4120000}"/>
    <cellStyle name="Normal 10 2 10 29 6" xfId="4840" xr:uid="{00000000-0005-0000-0000-0000D5120000}"/>
    <cellStyle name="Normal 10 2 10 29 7" xfId="4841" xr:uid="{00000000-0005-0000-0000-0000D6120000}"/>
    <cellStyle name="Normal 10 2 10 29 8" xfId="4842" xr:uid="{00000000-0005-0000-0000-0000D7120000}"/>
    <cellStyle name="Normal 10 2 10 29 9" xfId="4843" xr:uid="{00000000-0005-0000-0000-0000D8120000}"/>
    <cellStyle name="Normal 10 2 10 3" xfId="4844" xr:uid="{00000000-0005-0000-0000-0000D9120000}"/>
    <cellStyle name="Normal 10 2 10 3 10" xfId="4845" xr:uid="{00000000-0005-0000-0000-0000DA120000}"/>
    <cellStyle name="Normal 10 2 10 3 11" xfId="4846" xr:uid="{00000000-0005-0000-0000-0000DB120000}"/>
    <cellStyle name="Normal 10 2 10 3 12" xfId="4847" xr:uid="{00000000-0005-0000-0000-0000DC120000}"/>
    <cellStyle name="Normal 10 2 10 3 13" xfId="4848" xr:uid="{00000000-0005-0000-0000-0000DD120000}"/>
    <cellStyle name="Normal 10 2 10 3 14" xfId="4849" xr:uid="{00000000-0005-0000-0000-0000DE120000}"/>
    <cellStyle name="Normal 10 2 10 3 15" xfId="4850" xr:uid="{00000000-0005-0000-0000-0000DF120000}"/>
    <cellStyle name="Normal 10 2 10 3 2" xfId="4851" xr:uid="{00000000-0005-0000-0000-0000E0120000}"/>
    <cellStyle name="Normal 10 2 10 3 2 10" xfId="4852" xr:uid="{00000000-0005-0000-0000-0000E1120000}"/>
    <cellStyle name="Normal 10 2 10 3 2 2" xfId="4853" xr:uid="{00000000-0005-0000-0000-0000E2120000}"/>
    <cellStyle name="Normal 10 2 10 3 2 3" xfId="4854" xr:uid="{00000000-0005-0000-0000-0000E3120000}"/>
    <cellStyle name="Normal 10 2 10 3 2 4" xfId="4855" xr:uid="{00000000-0005-0000-0000-0000E4120000}"/>
    <cellStyle name="Normal 10 2 10 3 2 5" xfId="4856" xr:uid="{00000000-0005-0000-0000-0000E5120000}"/>
    <cellStyle name="Normal 10 2 10 3 2 6" xfId="4857" xr:uid="{00000000-0005-0000-0000-0000E6120000}"/>
    <cellStyle name="Normal 10 2 10 3 2 7" xfId="4858" xr:uid="{00000000-0005-0000-0000-0000E7120000}"/>
    <cellStyle name="Normal 10 2 10 3 2 8" xfId="4859" xr:uid="{00000000-0005-0000-0000-0000E8120000}"/>
    <cellStyle name="Normal 10 2 10 3 2 9" xfId="4860" xr:uid="{00000000-0005-0000-0000-0000E9120000}"/>
    <cellStyle name="Normal 10 2 10 3 3" xfId="4861" xr:uid="{00000000-0005-0000-0000-0000EA120000}"/>
    <cellStyle name="Normal 10 2 10 3 3 10" xfId="4862" xr:uid="{00000000-0005-0000-0000-0000EB120000}"/>
    <cellStyle name="Normal 10 2 10 3 3 2" xfId="4863" xr:uid="{00000000-0005-0000-0000-0000EC120000}"/>
    <cellStyle name="Normal 10 2 10 3 3 3" xfId="4864" xr:uid="{00000000-0005-0000-0000-0000ED120000}"/>
    <cellStyle name="Normal 10 2 10 3 3 4" xfId="4865" xr:uid="{00000000-0005-0000-0000-0000EE120000}"/>
    <cellStyle name="Normal 10 2 10 3 3 5" xfId="4866" xr:uid="{00000000-0005-0000-0000-0000EF120000}"/>
    <cellStyle name="Normal 10 2 10 3 3 6" xfId="4867" xr:uid="{00000000-0005-0000-0000-0000F0120000}"/>
    <cellStyle name="Normal 10 2 10 3 3 7" xfId="4868" xr:uid="{00000000-0005-0000-0000-0000F1120000}"/>
    <cellStyle name="Normal 10 2 10 3 3 8" xfId="4869" xr:uid="{00000000-0005-0000-0000-0000F2120000}"/>
    <cellStyle name="Normal 10 2 10 3 3 9" xfId="4870" xr:uid="{00000000-0005-0000-0000-0000F3120000}"/>
    <cellStyle name="Normal 10 2 10 3 4" xfId="4871" xr:uid="{00000000-0005-0000-0000-0000F4120000}"/>
    <cellStyle name="Normal 10 2 10 3 4 10" xfId="4872" xr:uid="{00000000-0005-0000-0000-0000F5120000}"/>
    <cellStyle name="Normal 10 2 10 3 4 2" xfId="4873" xr:uid="{00000000-0005-0000-0000-0000F6120000}"/>
    <cellStyle name="Normal 10 2 10 3 4 3" xfId="4874" xr:uid="{00000000-0005-0000-0000-0000F7120000}"/>
    <cellStyle name="Normal 10 2 10 3 4 4" xfId="4875" xr:uid="{00000000-0005-0000-0000-0000F8120000}"/>
    <cellStyle name="Normal 10 2 10 3 4 5" xfId="4876" xr:uid="{00000000-0005-0000-0000-0000F9120000}"/>
    <cellStyle name="Normal 10 2 10 3 4 6" xfId="4877" xr:uid="{00000000-0005-0000-0000-0000FA120000}"/>
    <cellStyle name="Normal 10 2 10 3 4 7" xfId="4878" xr:uid="{00000000-0005-0000-0000-0000FB120000}"/>
    <cellStyle name="Normal 10 2 10 3 4 8" xfId="4879" xr:uid="{00000000-0005-0000-0000-0000FC120000}"/>
    <cellStyle name="Normal 10 2 10 3 4 9" xfId="4880" xr:uid="{00000000-0005-0000-0000-0000FD120000}"/>
    <cellStyle name="Normal 10 2 10 3 5" xfId="4881" xr:uid="{00000000-0005-0000-0000-0000FE120000}"/>
    <cellStyle name="Normal 10 2 10 3 5 10" xfId="4882" xr:uid="{00000000-0005-0000-0000-0000FF120000}"/>
    <cellStyle name="Normal 10 2 10 3 5 2" xfId="4883" xr:uid="{00000000-0005-0000-0000-000000130000}"/>
    <cellStyle name="Normal 10 2 10 3 5 3" xfId="4884" xr:uid="{00000000-0005-0000-0000-000001130000}"/>
    <cellStyle name="Normal 10 2 10 3 5 4" xfId="4885" xr:uid="{00000000-0005-0000-0000-000002130000}"/>
    <cellStyle name="Normal 10 2 10 3 5 5" xfId="4886" xr:uid="{00000000-0005-0000-0000-000003130000}"/>
    <cellStyle name="Normal 10 2 10 3 5 6" xfId="4887" xr:uid="{00000000-0005-0000-0000-000004130000}"/>
    <cellStyle name="Normal 10 2 10 3 5 7" xfId="4888" xr:uid="{00000000-0005-0000-0000-000005130000}"/>
    <cellStyle name="Normal 10 2 10 3 5 8" xfId="4889" xr:uid="{00000000-0005-0000-0000-000006130000}"/>
    <cellStyle name="Normal 10 2 10 3 5 9" xfId="4890" xr:uid="{00000000-0005-0000-0000-000007130000}"/>
    <cellStyle name="Normal 10 2 10 3 6" xfId="4891" xr:uid="{00000000-0005-0000-0000-000008130000}"/>
    <cellStyle name="Normal 10 2 10 3 7" xfId="4892" xr:uid="{00000000-0005-0000-0000-000009130000}"/>
    <cellStyle name="Normal 10 2 10 3 8" xfId="4893" xr:uid="{00000000-0005-0000-0000-00000A130000}"/>
    <cellStyle name="Normal 10 2 10 3 9" xfId="4894" xr:uid="{00000000-0005-0000-0000-00000B130000}"/>
    <cellStyle name="Normal 10 2 10 30" xfId="4895" xr:uid="{00000000-0005-0000-0000-00000C130000}"/>
    <cellStyle name="Normal 10 2 10 30 10" xfId="4896" xr:uid="{00000000-0005-0000-0000-00000D130000}"/>
    <cellStyle name="Normal 10 2 10 30 11" xfId="4897" xr:uid="{00000000-0005-0000-0000-00000E130000}"/>
    <cellStyle name="Normal 10 2 10 30 12" xfId="4898" xr:uid="{00000000-0005-0000-0000-00000F130000}"/>
    <cellStyle name="Normal 10 2 10 30 13" xfId="4899" xr:uid="{00000000-0005-0000-0000-000010130000}"/>
    <cellStyle name="Normal 10 2 10 30 14" xfId="4900" xr:uid="{00000000-0005-0000-0000-000011130000}"/>
    <cellStyle name="Normal 10 2 10 30 2" xfId="4901" xr:uid="{00000000-0005-0000-0000-000012130000}"/>
    <cellStyle name="Normal 10 2 10 30 2 10" xfId="4902" xr:uid="{00000000-0005-0000-0000-000013130000}"/>
    <cellStyle name="Normal 10 2 10 30 2 2" xfId="4903" xr:uid="{00000000-0005-0000-0000-000014130000}"/>
    <cellStyle name="Normal 10 2 10 30 2 3" xfId="4904" xr:uid="{00000000-0005-0000-0000-000015130000}"/>
    <cellStyle name="Normal 10 2 10 30 2 4" xfId="4905" xr:uid="{00000000-0005-0000-0000-000016130000}"/>
    <cellStyle name="Normal 10 2 10 30 2 5" xfId="4906" xr:uid="{00000000-0005-0000-0000-000017130000}"/>
    <cellStyle name="Normal 10 2 10 30 2 6" xfId="4907" xr:uid="{00000000-0005-0000-0000-000018130000}"/>
    <cellStyle name="Normal 10 2 10 30 2 7" xfId="4908" xr:uid="{00000000-0005-0000-0000-000019130000}"/>
    <cellStyle name="Normal 10 2 10 30 2 8" xfId="4909" xr:uid="{00000000-0005-0000-0000-00001A130000}"/>
    <cellStyle name="Normal 10 2 10 30 2 9" xfId="4910" xr:uid="{00000000-0005-0000-0000-00001B130000}"/>
    <cellStyle name="Normal 10 2 10 30 3" xfId="4911" xr:uid="{00000000-0005-0000-0000-00001C130000}"/>
    <cellStyle name="Normal 10 2 10 30 3 10" xfId="4912" xr:uid="{00000000-0005-0000-0000-00001D130000}"/>
    <cellStyle name="Normal 10 2 10 30 3 2" xfId="4913" xr:uid="{00000000-0005-0000-0000-00001E130000}"/>
    <cellStyle name="Normal 10 2 10 30 3 3" xfId="4914" xr:uid="{00000000-0005-0000-0000-00001F130000}"/>
    <cellStyle name="Normal 10 2 10 30 3 4" xfId="4915" xr:uid="{00000000-0005-0000-0000-000020130000}"/>
    <cellStyle name="Normal 10 2 10 30 3 5" xfId="4916" xr:uid="{00000000-0005-0000-0000-000021130000}"/>
    <cellStyle name="Normal 10 2 10 30 3 6" xfId="4917" xr:uid="{00000000-0005-0000-0000-000022130000}"/>
    <cellStyle name="Normal 10 2 10 30 3 7" xfId="4918" xr:uid="{00000000-0005-0000-0000-000023130000}"/>
    <cellStyle name="Normal 10 2 10 30 3 8" xfId="4919" xr:uid="{00000000-0005-0000-0000-000024130000}"/>
    <cellStyle name="Normal 10 2 10 30 3 9" xfId="4920" xr:uid="{00000000-0005-0000-0000-000025130000}"/>
    <cellStyle name="Normal 10 2 10 30 4" xfId="4921" xr:uid="{00000000-0005-0000-0000-000026130000}"/>
    <cellStyle name="Normal 10 2 10 30 4 10" xfId="4922" xr:uid="{00000000-0005-0000-0000-000027130000}"/>
    <cellStyle name="Normal 10 2 10 30 4 2" xfId="4923" xr:uid="{00000000-0005-0000-0000-000028130000}"/>
    <cellStyle name="Normal 10 2 10 30 4 3" xfId="4924" xr:uid="{00000000-0005-0000-0000-000029130000}"/>
    <cellStyle name="Normal 10 2 10 30 4 4" xfId="4925" xr:uid="{00000000-0005-0000-0000-00002A130000}"/>
    <cellStyle name="Normal 10 2 10 30 4 5" xfId="4926" xr:uid="{00000000-0005-0000-0000-00002B130000}"/>
    <cellStyle name="Normal 10 2 10 30 4 6" xfId="4927" xr:uid="{00000000-0005-0000-0000-00002C130000}"/>
    <cellStyle name="Normal 10 2 10 30 4 7" xfId="4928" xr:uid="{00000000-0005-0000-0000-00002D130000}"/>
    <cellStyle name="Normal 10 2 10 30 4 8" xfId="4929" xr:uid="{00000000-0005-0000-0000-00002E130000}"/>
    <cellStyle name="Normal 10 2 10 30 4 9" xfId="4930" xr:uid="{00000000-0005-0000-0000-00002F130000}"/>
    <cellStyle name="Normal 10 2 10 30 5" xfId="4931" xr:uid="{00000000-0005-0000-0000-000030130000}"/>
    <cellStyle name="Normal 10 2 10 30 5 10" xfId="4932" xr:uid="{00000000-0005-0000-0000-000031130000}"/>
    <cellStyle name="Normal 10 2 10 30 5 2" xfId="4933" xr:uid="{00000000-0005-0000-0000-000032130000}"/>
    <cellStyle name="Normal 10 2 10 30 5 3" xfId="4934" xr:uid="{00000000-0005-0000-0000-000033130000}"/>
    <cellStyle name="Normal 10 2 10 30 5 4" xfId="4935" xr:uid="{00000000-0005-0000-0000-000034130000}"/>
    <cellStyle name="Normal 10 2 10 30 5 5" xfId="4936" xr:uid="{00000000-0005-0000-0000-000035130000}"/>
    <cellStyle name="Normal 10 2 10 30 5 6" xfId="4937" xr:uid="{00000000-0005-0000-0000-000036130000}"/>
    <cellStyle name="Normal 10 2 10 30 5 7" xfId="4938" xr:uid="{00000000-0005-0000-0000-000037130000}"/>
    <cellStyle name="Normal 10 2 10 30 5 8" xfId="4939" xr:uid="{00000000-0005-0000-0000-000038130000}"/>
    <cellStyle name="Normal 10 2 10 30 5 9" xfId="4940" xr:uid="{00000000-0005-0000-0000-000039130000}"/>
    <cellStyle name="Normal 10 2 10 30 6" xfId="4941" xr:uid="{00000000-0005-0000-0000-00003A130000}"/>
    <cellStyle name="Normal 10 2 10 30 7" xfId="4942" xr:uid="{00000000-0005-0000-0000-00003B130000}"/>
    <cellStyle name="Normal 10 2 10 30 8" xfId="4943" xr:uid="{00000000-0005-0000-0000-00003C130000}"/>
    <cellStyle name="Normal 10 2 10 30 9" xfId="4944" xr:uid="{00000000-0005-0000-0000-00003D130000}"/>
    <cellStyle name="Normal 10 2 10 31" xfId="4945" xr:uid="{00000000-0005-0000-0000-00003E130000}"/>
    <cellStyle name="Normal 10 2 10 31 10" xfId="4946" xr:uid="{00000000-0005-0000-0000-00003F130000}"/>
    <cellStyle name="Normal 10 2 10 31 11" xfId="4947" xr:uid="{00000000-0005-0000-0000-000040130000}"/>
    <cellStyle name="Normal 10 2 10 31 12" xfId="4948" xr:uid="{00000000-0005-0000-0000-000041130000}"/>
    <cellStyle name="Normal 10 2 10 31 13" xfId="4949" xr:uid="{00000000-0005-0000-0000-000042130000}"/>
    <cellStyle name="Normal 10 2 10 31 14" xfId="4950" xr:uid="{00000000-0005-0000-0000-000043130000}"/>
    <cellStyle name="Normal 10 2 10 31 2" xfId="4951" xr:uid="{00000000-0005-0000-0000-000044130000}"/>
    <cellStyle name="Normal 10 2 10 31 2 10" xfId="4952" xr:uid="{00000000-0005-0000-0000-000045130000}"/>
    <cellStyle name="Normal 10 2 10 31 2 2" xfId="4953" xr:uid="{00000000-0005-0000-0000-000046130000}"/>
    <cellStyle name="Normal 10 2 10 31 2 3" xfId="4954" xr:uid="{00000000-0005-0000-0000-000047130000}"/>
    <cellStyle name="Normal 10 2 10 31 2 4" xfId="4955" xr:uid="{00000000-0005-0000-0000-000048130000}"/>
    <cellStyle name="Normal 10 2 10 31 2 5" xfId="4956" xr:uid="{00000000-0005-0000-0000-000049130000}"/>
    <cellStyle name="Normal 10 2 10 31 2 6" xfId="4957" xr:uid="{00000000-0005-0000-0000-00004A130000}"/>
    <cellStyle name="Normal 10 2 10 31 2 7" xfId="4958" xr:uid="{00000000-0005-0000-0000-00004B130000}"/>
    <cellStyle name="Normal 10 2 10 31 2 8" xfId="4959" xr:uid="{00000000-0005-0000-0000-00004C130000}"/>
    <cellStyle name="Normal 10 2 10 31 2 9" xfId="4960" xr:uid="{00000000-0005-0000-0000-00004D130000}"/>
    <cellStyle name="Normal 10 2 10 31 3" xfId="4961" xr:uid="{00000000-0005-0000-0000-00004E130000}"/>
    <cellStyle name="Normal 10 2 10 31 3 10" xfId="4962" xr:uid="{00000000-0005-0000-0000-00004F130000}"/>
    <cellStyle name="Normal 10 2 10 31 3 2" xfId="4963" xr:uid="{00000000-0005-0000-0000-000050130000}"/>
    <cellStyle name="Normal 10 2 10 31 3 3" xfId="4964" xr:uid="{00000000-0005-0000-0000-000051130000}"/>
    <cellStyle name="Normal 10 2 10 31 3 4" xfId="4965" xr:uid="{00000000-0005-0000-0000-000052130000}"/>
    <cellStyle name="Normal 10 2 10 31 3 5" xfId="4966" xr:uid="{00000000-0005-0000-0000-000053130000}"/>
    <cellStyle name="Normal 10 2 10 31 3 6" xfId="4967" xr:uid="{00000000-0005-0000-0000-000054130000}"/>
    <cellStyle name="Normal 10 2 10 31 3 7" xfId="4968" xr:uid="{00000000-0005-0000-0000-000055130000}"/>
    <cellStyle name="Normal 10 2 10 31 3 8" xfId="4969" xr:uid="{00000000-0005-0000-0000-000056130000}"/>
    <cellStyle name="Normal 10 2 10 31 3 9" xfId="4970" xr:uid="{00000000-0005-0000-0000-000057130000}"/>
    <cellStyle name="Normal 10 2 10 31 4" xfId="4971" xr:uid="{00000000-0005-0000-0000-000058130000}"/>
    <cellStyle name="Normal 10 2 10 31 4 10" xfId="4972" xr:uid="{00000000-0005-0000-0000-000059130000}"/>
    <cellStyle name="Normal 10 2 10 31 4 2" xfId="4973" xr:uid="{00000000-0005-0000-0000-00005A130000}"/>
    <cellStyle name="Normal 10 2 10 31 4 3" xfId="4974" xr:uid="{00000000-0005-0000-0000-00005B130000}"/>
    <cellStyle name="Normal 10 2 10 31 4 4" xfId="4975" xr:uid="{00000000-0005-0000-0000-00005C130000}"/>
    <cellStyle name="Normal 10 2 10 31 4 5" xfId="4976" xr:uid="{00000000-0005-0000-0000-00005D130000}"/>
    <cellStyle name="Normal 10 2 10 31 4 6" xfId="4977" xr:uid="{00000000-0005-0000-0000-00005E130000}"/>
    <cellStyle name="Normal 10 2 10 31 4 7" xfId="4978" xr:uid="{00000000-0005-0000-0000-00005F130000}"/>
    <cellStyle name="Normal 10 2 10 31 4 8" xfId="4979" xr:uid="{00000000-0005-0000-0000-000060130000}"/>
    <cellStyle name="Normal 10 2 10 31 4 9" xfId="4980" xr:uid="{00000000-0005-0000-0000-000061130000}"/>
    <cellStyle name="Normal 10 2 10 31 5" xfId="4981" xr:uid="{00000000-0005-0000-0000-000062130000}"/>
    <cellStyle name="Normal 10 2 10 31 5 10" xfId="4982" xr:uid="{00000000-0005-0000-0000-000063130000}"/>
    <cellStyle name="Normal 10 2 10 31 5 2" xfId="4983" xr:uid="{00000000-0005-0000-0000-000064130000}"/>
    <cellStyle name="Normal 10 2 10 31 5 3" xfId="4984" xr:uid="{00000000-0005-0000-0000-000065130000}"/>
    <cellStyle name="Normal 10 2 10 31 5 4" xfId="4985" xr:uid="{00000000-0005-0000-0000-000066130000}"/>
    <cellStyle name="Normal 10 2 10 31 5 5" xfId="4986" xr:uid="{00000000-0005-0000-0000-000067130000}"/>
    <cellStyle name="Normal 10 2 10 31 5 6" xfId="4987" xr:uid="{00000000-0005-0000-0000-000068130000}"/>
    <cellStyle name="Normal 10 2 10 31 5 7" xfId="4988" xr:uid="{00000000-0005-0000-0000-000069130000}"/>
    <cellStyle name="Normal 10 2 10 31 5 8" xfId="4989" xr:uid="{00000000-0005-0000-0000-00006A130000}"/>
    <cellStyle name="Normal 10 2 10 31 5 9" xfId="4990" xr:uid="{00000000-0005-0000-0000-00006B130000}"/>
    <cellStyle name="Normal 10 2 10 31 6" xfId="4991" xr:uid="{00000000-0005-0000-0000-00006C130000}"/>
    <cellStyle name="Normal 10 2 10 31 7" xfId="4992" xr:uid="{00000000-0005-0000-0000-00006D130000}"/>
    <cellStyle name="Normal 10 2 10 31 8" xfId="4993" xr:uid="{00000000-0005-0000-0000-00006E130000}"/>
    <cellStyle name="Normal 10 2 10 31 9" xfId="4994" xr:uid="{00000000-0005-0000-0000-00006F130000}"/>
    <cellStyle name="Normal 10 2 10 32" xfId="4995" xr:uid="{00000000-0005-0000-0000-000070130000}"/>
    <cellStyle name="Normal 10 2 10 32 10" xfId="4996" xr:uid="{00000000-0005-0000-0000-000071130000}"/>
    <cellStyle name="Normal 10 2 10 32 11" xfId="4997" xr:uid="{00000000-0005-0000-0000-000072130000}"/>
    <cellStyle name="Normal 10 2 10 32 12" xfId="4998" xr:uid="{00000000-0005-0000-0000-000073130000}"/>
    <cellStyle name="Normal 10 2 10 32 13" xfId="4999" xr:uid="{00000000-0005-0000-0000-000074130000}"/>
    <cellStyle name="Normal 10 2 10 32 14" xfId="5000" xr:uid="{00000000-0005-0000-0000-000075130000}"/>
    <cellStyle name="Normal 10 2 10 32 2" xfId="5001" xr:uid="{00000000-0005-0000-0000-000076130000}"/>
    <cellStyle name="Normal 10 2 10 32 2 10" xfId="5002" xr:uid="{00000000-0005-0000-0000-000077130000}"/>
    <cellStyle name="Normal 10 2 10 32 2 2" xfId="5003" xr:uid="{00000000-0005-0000-0000-000078130000}"/>
    <cellStyle name="Normal 10 2 10 32 2 3" xfId="5004" xr:uid="{00000000-0005-0000-0000-000079130000}"/>
    <cellStyle name="Normal 10 2 10 32 2 4" xfId="5005" xr:uid="{00000000-0005-0000-0000-00007A130000}"/>
    <cellStyle name="Normal 10 2 10 32 2 5" xfId="5006" xr:uid="{00000000-0005-0000-0000-00007B130000}"/>
    <cellStyle name="Normal 10 2 10 32 2 6" xfId="5007" xr:uid="{00000000-0005-0000-0000-00007C130000}"/>
    <cellStyle name="Normal 10 2 10 32 2 7" xfId="5008" xr:uid="{00000000-0005-0000-0000-00007D130000}"/>
    <cellStyle name="Normal 10 2 10 32 2 8" xfId="5009" xr:uid="{00000000-0005-0000-0000-00007E130000}"/>
    <cellStyle name="Normal 10 2 10 32 2 9" xfId="5010" xr:uid="{00000000-0005-0000-0000-00007F130000}"/>
    <cellStyle name="Normal 10 2 10 32 3" xfId="5011" xr:uid="{00000000-0005-0000-0000-000080130000}"/>
    <cellStyle name="Normal 10 2 10 32 3 10" xfId="5012" xr:uid="{00000000-0005-0000-0000-000081130000}"/>
    <cellStyle name="Normal 10 2 10 32 3 2" xfId="5013" xr:uid="{00000000-0005-0000-0000-000082130000}"/>
    <cellStyle name="Normal 10 2 10 32 3 3" xfId="5014" xr:uid="{00000000-0005-0000-0000-000083130000}"/>
    <cellStyle name="Normal 10 2 10 32 3 4" xfId="5015" xr:uid="{00000000-0005-0000-0000-000084130000}"/>
    <cellStyle name="Normal 10 2 10 32 3 5" xfId="5016" xr:uid="{00000000-0005-0000-0000-000085130000}"/>
    <cellStyle name="Normal 10 2 10 32 3 6" xfId="5017" xr:uid="{00000000-0005-0000-0000-000086130000}"/>
    <cellStyle name="Normal 10 2 10 32 3 7" xfId="5018" xr:uid="{00000000-0005-0000-0000-000087130000}"/>
    <cellStyle name="Normal 10 2 10 32 3 8" xfId="5019" xr:uid="{00000000-0005-0000-0000-000088130000}"/>
    <cellStyle name="Normal 10 2 10 32 3 9" xfId="5020" xr:uid="{00000000-0005-0000-0000-000089130000}"/>
    <cellStyle name="Normal 10 2 10 32 4" xfId="5021" xr:uid="{00000000-0005-0000-0000-00008A130000}"/>
    <cellStyle name="Normal 10 2 10 32 4 10" xfId="5022" xr:uid="{00000000-0005-0000-0000-00008B130000}"/>
    <cellStyle name="Normal 10 2 10 32 4 2" xfId="5023" xr:uid="{00000000-0005-0000-0000-00008C130000}"/>
    <cellStyle name="Normal 10 2 10 32 4 3" xfId="5024" xr:uid="{00000000-0005-0000-0000-00008D130000}"/>
    <cellStyle name="Normal 10 2 10 32 4 4" xfId="5025" xr:uid="{00000000-0005-0000-0000-00008E130000}"/>
    <cellStyle name="Normal 10 2 10 32 4 5" xfId="5026" xr:uid="{00000000-0005-0000-0000-00008F130000}"/>
    <cellStyle name="Normal 10 2 10 32 4 6" xfId="5027" xr:uid="{00000000-0005-0000-0000-000090130000}"/>
    <cellStyle name="Normal 10 2 10 32 4 7" xfId="5028" xr:uid="{00000000-0005-0000-0000-000091130000}"/>
    <cellStyle name="Normal 10 2 10 32 4 8" xfId="5029" xr:uid="{00000000-0005-0000-0000-000092130000}"/>
    <cellStyle name="Normal 10 2 10 32 4 9" xfId="5030" xr:uid="{00000000-0005-0000-0000-000093130000}"/>
    <cellStyle name="Normal 10 2 10 32 5" xfId="5031" xr:uid="{00000000-0005-0000-0000-000094130000}"/>
    <cellStyle name="Normal 10 2 10 32 5 10" xfId="5032" xr:uid="{00000000-0005-0000-0000-000095130000}"/>
    <cellStyle name="Normal 10 2 10 32 5 2" xfId="5033" xr:uid="{00000000-0005-0000-0000-000096130000}"/>
    <cellStyle name="Normal 10 2 10 32 5 3" xfId="5034" xr:uid="{00000000-0005-0000-0000-000097130000}"/>
    <cellStyle name="Normal 10 2 10 32 5 4" xfId="5035" xr:uid="{00000000-0005-0000-0000-000098130000}"/>
    <cellStyle name="Normal 10 2 10 32 5 5" xfId="5036" xr:uid="{00000000-0005-0000-0000-000099130000}"/>
    <cellStyle name="Normal 10 2 10 32 5 6" xfId="5037" xr:uid="{00000000-0005-0000-0000-00009A130000}"/>
    <cellStyle name="Normal 10 2 10 32 5 7" xfId="5038" xr:uid="{00000000-0005-0000-0000-00009B130000}"/>
    <cellStyle name="Normal 10 2 10 32 5 8" xfId="5039" xr:uid="{00000000-0005-0000-0000-00009C130000}"/>
    <cellStyle name="Normal 10 2 10 32 5 9" xfId="5040" xr:uid="{00000000-0005-0000-0000-00009D130000}"/>
    <cellStyle name="Normal 10 2 10 32 6" xfId="5041" xr:uid="{00000000-0005-0000-0000-00009E130000}"/>
    <cellStyle name="Normal 10 2 10 32 7" xfId="5042" xr:uid="{00000000-0005-0000-0000-00009F130000}"/>
    <cellStyle name="Normal 10 2 10 32 8" xfId="5043" xr:uid="{00000000-0005-0000-0000-0000A0130000}"/>
    <cellStyle name="Normal 10 2 10 32 9" xfId="5044" xr:uid="{00000000-0005-0000-0000-0000A1130000}"/>
    <cellStyle name="Normal 10 2 10 33" xfId="5045" xr:uid="{00000000-0005-0000-0000-0000A2130000}"/>
    <cellStyle name="Normal 10 2 10 33 10" xfId="5046" xr:uid="{00000000-0005-0000-0000-0000A3130000}"/>
    <cellStyle name="Normal 10 2 10 33 11" xfId="5047" xr:uid="{00000000-0005-0000-0000-0000A4130000}"/>
    <cellStyle name="Normal 10 2 10 33 12" xfId="5048" xr:uid="{00000000-0005-0000-0000-0000A5130000}"/>
    <cellStyle name="Normal 10 2 10 33 13" xfId="5049" xr:uid="{00000000-0005-0000-0000-0000A6130000}"/>
    <cellStyle name="Normal 10 2 10 33 14" xfId="5050" xr:uid="{00000000-0005-0000-0000-0000A7130000}"/>
    <cellStyle name="Normal 10 2 10 33 2" xfId="5051" xr:uid="{00000000-0005-0000-0000-0000A8130000}"/>
    <cellStyle name="Normal 10 2 10 33 2 10" xfId="5052" xr:uid="{00000000-0005-0000-0000-0000A9130000}"/>
    <cellStyle name="Normal 10 2 10 33 2 2" xfId="5053" xr:uid="{00000000-0005-0000-0000-0000AA130000}"/>
    <cellStyle name="Normal 10 2 10 33 2 3" xfId="5054" xr:uid="{00000000-0005-0000-0000-0000AB130000}"/>
    <cellStyle name="Normal 10 2 10 33 2 4" xfId="5055" xr:uid="{00000000-0005-0000-0000-0000AC130000}"/>
    <cellStyle name="Normal 10 2 10 33 2 5" xfId="5056" xr:uid="{00000000-0005-0000-0000-0000AD130000}"/>
    <cellStyle name="Normal 10 2 10 33 2 6" xfId="5057" xr:uid="{00000000-0005-0000-0000-0000AE130000}"/>
    <cellStyle name="Normal 10 2 10 33 2 7" xfId="5058" xr:uid="{00000000-0005-0000-0000-0000AF130000}"/>
    <cellStyle name="Normal 10 2 10 33 2 8" xfId="5059" xr:uid="{00000000-0005-0000-0000-0000B0130000}"/>
    <cellStyle name="Normal 10 2 10 33 2 9" xfId="5060" xr:uid="{00000000-0005-0000-0000-0000B1130000}"/>
    <cellStyle name="Normal 10 2 10 33 3" xfId="5061" xr:uid="{00000000-0005-0000-0000-0000B2130000}"/>
    <cellStyle name="Normal 10 2 10 33 3 10" xfId="5062" xr:uid="{00000000-0005-0000-0000-0000B3130000}"/>
    <cellStyle name="Normal 10 2 10 33 3 2" xfId="5063" xr:uid="{00000000-0005-0000-0000-0000B4130000}"/>
    <cellStyle name="Normal 10 2 10 33 3 3" xfId="5064" xr:uid="{00000000-0005-0000-0000-0000B5130000}"/>
    <cellStyle name="Normal 10 2 10 33 3 4" xfId="5065" xr:uid="{00000000-0005-0000-0000-0000B6130000}"/>
    <cellStyle name="Normal 10 2 10 33 3 5" xfId="5066" xr:uid="{00000000-0005-0000-0000-0000B7130000}"/>
    <cellStyle name="Normal 10 2 10 33 3 6" xfId="5067" xr:uid="{00000000-0005-0000-0000-0000B8130000}"/>
    <cellStyle name="Normal 10 2 10 33 3 7" xfId="5068" xr:uid="{00000000-0005-0000-0000-0000B9130000}"/>
    <cellStyle name="Normal 10 2 10 33 3 8" xfId="5069" xr:uid="{00000000-0005-0000-0000-0000BA130000}"/>
    <cellStyle name="Normal 10 2 10 33 3 9" xfId="5070" xr:uid="{00000000-0005-0000-0000-0000BB130000}"/>
    <cellStyle name="Normal 10 2 10 33 4" xfId="5071" xr:uid="{00000000-0005-0000-0000-0000BC130000}"/>
    <cellStyle name="Normal 10 2 10 33 4 10" xfId="5072" xr:uid="{00000000-0005-0000-0000-0000BD130000}"/>
    <cellStyle name="Normal 10 2 10 33 4 2" xfId="5073" xr:uid="{00000000-0005-0000-0000-0000BE130000}"/>
    <cellStyle name="Normal 10 2 10 33 4 3" xfId="5074" xr:uid="{00000000-0005-0000-0000-0000BF130000}"/>
    <cellStyle name="Normal 10 2 10 33 4 4" xfId="5075" xr:uid="{00000000-0005-0000-0000-0000C0130000}"/>
    <cellStyle name="Normal 10 2 10 33 4 5" xfId="5076" xr:uid="{00000000-0005-0000-0000-0000C1130000}"/>
    <cellStyle name="Normal 10 2 10 33 4 6" xfId="5077" xr:uid="{00000000-0005-0000-0000-0000C2130000}"/>
    <cellStyle name="Normal 10 2 10 33 4 7" xfId="5078" xr:uid="{00000000-0005-0000-0000-0000C3130000}"/>
    <cellStyle name="Normal 10 2 10 33 4 8" xfId="5079" xr:uid="{00000000-0005-0000-0000-0000C4130000}"/>
    <cellStyle name="Normal 10 2 10 33 4 9" xfId="5080" xr:uid="{00000000-0005-0000-0000-0000C5130000}"/>
    <cellStyle name="Normal 10 2 10 33 5" xfId="5081" xr:uid="{00000000-0005-0000-0000-0000C6130000}"/>
    <cellStyle name="Normal 10 2 10 33 5 10" xfId="5082" xr:uid="{00000000-0005-0000-0000-0000C7130000}"/>
    <cellStyle name="Normal 10 2 10 33 5 2" xfId="5083" xr:uid="{00000000-0005-0000-0000-0000C8130000}"/>
    <cellStyle name="Normal 10 2 10 33 5 3" xfId="5084" xr:uid="{00000000-0005-0000-0000-0000C9130000}"/>
    <cellStyle name="Normal 10 2 10 33 5 4" xfId="5085" xr:uid="{00000000-0005-0000-0000-0000CA130000}"/>
    <cellStyle name="Normal 10 2 10 33 5 5" xfId="5086" xr:uid="{00000000-0005-0000-0000-0000CB130000}"/>
    <cellStyle name="Normal 10 2 10 33 5 6" xfId="5087" xr:uid="{00000000-0005-0000-0000-0000CC130000}"/>
    <cellStyle name="Normal 10 2 10 33 5 7" xfId="5088" xr:uid="{00000000-0005-0000-0000-0000CD130000}"/>
    <cellStyle name="Normal 10 2 10 33 5 8" xfId="5089" xr:uid="{00000000-0005-0000-0000-0000CE130000}"/>
    <cellStyle name="Normal 10 2 10 33 5 9" xfId="5090" xr:uid="{00000000-0005-0000-0000-0000CF130000}"/>
    <cellStyle name="Normal 10 2 10 33 6" xfId="5091" xr:uid="{00000000-0005-0000-0000-0000D0130000}"/>
    <cellStyle name="Normal 10 2 10 33 7" xfId="5092" xr:uid="{00000000-0005-0000-0000-0000D1130000}"/>
    <cellStyle name="Normal 10 2 10 33 8" xfId="5093" xr:uid="{00000000-0005-0000-0000-0000D2130000}"/>
    <cellStyle name="Normal 10 2 10 33 9" xfId="5094" xr:uid="{00000000-0005-0000-0000-0000D3130000}"/>
    <cellStyle name="Normal 10 2 10 34" xfId="5095" xr:uid="{00000000-0005-0000-0000-0000D4130000}"/>
    <cellStyle name="Normal 10 2 10 34 10" xfId="5096" xr:uid="{00000000-0005-0000-0000-0000D5130000}"/>
    <cellStyle name="Normal 10 2 10 34 11" xfId="5097" xr:uid="{00000000-0005-0000-0000-0000D6130000}"/>
    <cellStyle name="Normal 10 2 10 34 12" xfId="5098" xr:uid="{00000000-0005-0000-0000-0000D7130000}"/>
    <cellStyle name="Normal 10 2 10 34 13" xfId="5099" xr:uid="{00000000-0005-0000-0000-0000D8130000}"/>
    <cellStyle name="Normal 10 2 10 34 14" xfId="5100" xr:uid="{00000000-0005-0000-0000-0000D9130000}"/>
    <cellStyle name="Normal 10 2 10 34 2" xfId="5101" xr:uid="{00000000-0005-0000-0000-0000DA130000}"/>
    <cellStyle name="Normal 10 2 10 34 2 10" xfId="5102" xr:uid="{00000000-0005-0000-0000-0000DB130000}"/>
    <cellStyle name="Normal 10 2 10 34 2 2" xfId="5103" xr:uid="{00000000-0005-0000-0000-0000DC130000}"/>
    <cellStyle name="Normal 10 2 10 34 2 3" xfId="5104" xr:uid="{00000000-0005-0000-0000-0000DD130000}"/>
    <cellStyle name="Normal 10 2 10 34 2 4" xfId="5105" xr:uid="{00000000-0005-0000-0000-0000DE130000}"/>
    <cellStyle name="Normal 10 2 10 34 2 5" xfId="5106" xr:uid="{00000000-0005-0000-0000-0000DF130000}"/>
    <cellStyle name="Normal 10 2 10 34 2 6" xfId="5107" xr:uid="{00000000-0005-0000-0000-0000E0130000}"/>
    <cellStyle name="Normal 10 2 10 34 2 7" xfId="5108" xr:uid="{00000000-0005-0000-0000-0000E1130000}"/>
    <cellStyle name="Normal 10 2 10 34 2 8" xfId="5109" xr:uid="{00000000-0005-0000-0000-0000E2130000}"/>
    <cellStyle name="Normal 10 2 10 34 2 9" xfId="5110" xr:uid="{00000000-0005-0000-0000-0000E3130000}"/>
    <cellStyle name="Normal 10 2 10 34 3" xfId="5111" xr:uid="{00000000-0005-0000-0000-0000E4130000}"/>
    <cellStyle name="Normal 10 2 10 34 3 10" xfId="5112" xr:uid="{00000000-0005-0000-0000-0000E5130000}"/>
    <cellStyle name="Normal 10 2 10 34 3 2" xfId="5113" xr:uid="{00000000-0005-0000-0000-0000E6130000}"/>
    <cellStyle name="Normal 10 2 10 34 3 3" xfId="5114" xr:uid="{00000000-0005-0000-0000-0000E7130000}"/>
    <cellStyle name="Normal 10 2 10 34 3 4" xfId="5115" xr:uid="{00000000-0005-0000-0000-0000E8130000}"/>
    <cellStyle name="Normal 10 2 10 34 3 5" xfId="5116" xr:uid="{00000000-0005-0000-0000-0000E9130000}"/>
    <cellStyle name="Normal 10 2 10 34 3 6" xfId="5117" xr:uid="{00000000-0005-0000-0000-0000EA130000}"/>
    <cellStyle name="Normal 10 2 10 34 3 7" xfId="5118" xr:uid="{00000000-0005-0000-0000-0000EB130000}"/>
    <cellStyle name="Normal 10 2 10 34 3 8" xfId="5119" xr:uid="{00000000-0005-0000-0000-0000EC130000}"/>
    <cellStyle name="Normal 10 2 10 34 3 9" xfId="5120" xr:uid="{00000000-0005-0000-0000-0000ED130000}"/>
    <cellStyle name="Normal 10 2 10 34 4" xfId="5121" xr:uid="{00000000-0005-0000-0000-0000EE130000}"/>
    <cellStyle name="Normal 10 2 10 34 4 10" xfId="5122" xr:uid="{00000000-0005-0000-0000-0000EF130000}"/>
    <cellStyle name="Normal 10 2 10 34 4 2" xfId="5123" xr:uid="{00000000-0005-0000-0000-0000F0130000}"/>
    <cellStyle name="Normal 10 2 10 34 4 3" xfId="5124" xr:uid="{00000000-0005-0000-0000-0000F1130000}"/>
    <cellStyle name="Normal 10 2 10 34 4 4" xfId="5125" xr:uid="{00000000-0005-0000-0000-0000F2130000}"/>
    <cellStyle name="Normal 10 2 10 34 4 5" xfId="5126" xr:uid="{00000000-0005-0000-0000-0000F3130000}"/>
    <cellStyle name="Normal 10 2 10 34 4 6" xfId="5127" xr:uid="{00000000-0005-0000-0000-0000F4130000}"/>
    <cellStyle name="Normal 10 2 10 34 4 7" xfId="5128" xr:uid="{00000000-0005-0000-0000-0000F5130000}"/>
    <cellStyle name="Normal 10 2 10 34 4 8" xfId="5129" xr:uid="{00000000-0005-0000-0000-0000F6130000}"/>
    <cellStyle name="Normal 10 2 10 34 4 9" xfId="5130" xr:uid="{00000000-0005-0000-0000-0000F7130000}"/>
    <cellStyle name="Normal 10 2 10 34 5" xfId="5131" xr:uid="{00000000-0005-0000-0000-0000F8130000}"/>
    <cellStyle name="Normal 10 2 10 34 5 10" xfId="5132" xr:uid="{00000000-0005-0000-0000-0000F9130000}"/>
    <cellStyle name="Normal 10 2 10 34 5 2" xfId="5133" xr:uid="{00000000-0005-0000-0000-0000FA130000}"/>
    <cellStyle name="Normal 10 2 10 34 5 3" xfId="5134" xr:uid="{00000000-0005-0000-0000-0000FB130000}"/>
    <cellStyle name="Normal 10 2 10 34 5 4" xfId="5135" xr:uid="{00000000-0005-0000-0000-0000FC130000}"/>
    <cellStyle name="Normal 10 2 10 34 5 5" xfId="5136" xr:uid="{00000000-0005-0000-0000-0000FD130000}"/>
    <cellStyle name="Normal 10 2 10 34 5 6" xfId="5137" xr:uid="{00000000-0005-0000-0000-0000FE130000}"/>
    <cellStyle name="Normal 10 2 10 34 5 7" xfId="5138" xr:uid="{00000000-0005-0000-0000-0000FF130000}"/>
    <cellStyle name="Normal 10 2 10 34 5 8" xfId="5139" xr:uid="{00000000-0005-0000-0000-000000140000}"/>
    <cellStyle name="Normal 10 2 10 34 5 9" xfId="5140" xr:uid="{00000000-0005-0000-0000-000001140000}"/>
    <cellStyle name="Normal 10 2 10 34 6" xfId="5141" xr:uid="{00000000-0005-0000-0000-000002140000}"/>
    <cellStyle name="Normal 10 2 10 34 7" xfId="5142" xr:uid="{00000000-0005-0000-0000-000003140000}"/>
    <cellStyle name="Normal 10 2 10 34 8" xfId="5143" xr:uid="{00000000-0005-0000-0000-000004140000}"/>
    <cellStyle name="Normal 10 2 10 34 9" xfId="5144" xr:uid="{00000000-0005-0000-0000-000005140000}"/>
    <cellStyle name="Normal 10 2 10 35" xfId="5145" xr:uid="{00000000-0005-0000-0000-000006140000}"/>
    <cellStyle name="Normal 10 2 10 35 10" xfId="5146" xr:uid="{00000000-0005-0000-0000-000007140000}"/>
    <cellStyle name="Normal 10 2 10 35 2" xfId="5147" xr:uid="{00000000-0005-0000-0000-000008140000}"/>
    <cellStyle name="Normal 10 2 10 35 3" xfId="5148" xr:uid="{00000000-0005-0000-0000-000009140000}"/>
    <cellStyle name="Normal 10 2 10 35 4" xfId="5149" xr:uid="{00000000-0005-0000-0000-00000A140000}"/>
    <cellStyle name="Normal 10 2 10 35 5" xfId="5150" xr:uid="{00000000-0005-0000-0000-00000B140000}"/>
    <cellStyle name="Normal 10 2 10 35 6" xfId="5151" xr:uid="{00000000-0005-0000-0000-00000C140000}"/>
    <cellStyle name="Normal 10 2 10 35 7" xfId="5152" xr:uid="{00000000-0005-0000-0000-00000D140000}"/>
    <cellStyle name="Normal 10 2 10 35 8" xfId="5153" xr:uid="{00000000-0005-0000-0000-00000E140000}"/>
    <cellStyle name="Normal 10 2 10 35 9" xfId="5154" xr:uid="{00000000-0005-0000-0000-00000F140000}"/>
    <cellStyle name="Normal 10 2 10 36" xfId="5155" xr:uid="{00000000-0005-0000-0000-000010140000}"/>
    <cellStyle name="Normal 10 2 10 36 10" xfId="5156" xr:uid="{00000000-0005-0000-0000-000011140000}"/>
    <cellStyle name="Normal 10 2 10 36 2" xfId="5157" xr:uid="{00000000-0005-0000-0000-000012140000}"/>
    <cellStyle name="Normal 10 2 10 36 3" xfId="5158" xr:uid="{00000000-0005-0000-0000-000013140000}"/>
    <cellStyle name="Normal 10 2 10 36 4" xfId="5159" xr:uid="{00000000-0005-0000-0000-000014140000}"/>
    <cellStyle name="Normal 10 2 10 36 5" xfId="5160" xr:uid="{00000000-0005-0000-0000-000015140000}"/>
    <cellStyle name="Normal 10 2 10 36 6" xfId="5161" xr:uid="{00000000-0005-0000-0000-000016140000}"/>
    <cellStyle name="Normal 10 2 10 36 7" xfId="5162" xr:uid="{00000000-0005-0000-0000-000017140000}"/>
    <cellStyle name="Normal 10 2 10 36 8" xfId="5163" xr:uid="{00000000-0005-0000-0000-000018140000}"/>
    <cellStyle name="Normal 10 2 10 36 9" xfId="5164" xr:uid="{00000000-0005-0000-0000-000019140000}"/>
    <cellStyle name="Normal 10 2 10 37" xfId="5165" xr:uid="{00000000-0005-0000-0000-00001A140000}"/>
    <cellStyle name="Normal 10 2 10 37 10" xfId="5166" xr:uid="{00000000-0005-0000-0000-00001B140000}"/>
    <cellStyle name="Normal 10 2 10 37 2" xfId="5167" xr:uid="{00000000-0005-0000-0000-00001C140000}"/>
    <cellStyle name="Normal 10 2 10 37 3" xfId="5168" xr:uid="{00000000-0005-0000-0000-00001D140000}"/>
    <cellStyle name="Normal 10 2 10 37 4" xfId="5169" xr:uid="{00000000-0005-0000-0000-00001E140000}"/>
    <cellStyle name="Normal 10 2 10 37 5" xfId="5170" xr:uid="{00000000-0005-0000-0000-00001F140000}"/>
    <cellStyle name="Normal 10 2 10 37 6" xfId="5171" xr:uid="{00000000-0005-0000-0000-000020140000}"/>
    <cellStyle name="Normal 10 2 10 37 7" xfId="5172" xr:uid="{00000000-0005-0000-0000-000021140000}"/>
    <cellStyle name="Normal 10 2 10 37 8" xfId="5173" xr:uid="{00000000-0005-0000-0000-000022140000}"/>
    <cellStyle name="Normal 10 2 10 37 9" xfId="5174" xr:uid="{00000000-0005-0000-0000-000023140000}"/>
    <cellStyle name="Normal 10 2 10 38" xfId="5175" xr:uid="{00000000-0005-0000-0000-000024140000}"/>
    <cellStyle name="Normal 10 2 10 38 10" xfId="5176" xr:uid="{00000000-0005-0000-0000-000025140000}"/>
    <cellStyle name="Normal 10 2 10 38 2" xfId="5177" xr:uid="{00000000-0005-0000-0000-000026140000}"/>
    <cellStyle name="Normal 10 2 10 38 3" xfId="5178" xr:uid="{00000000-0005-0000-0000-000027140000}"/>
    <cellStyle name="Normal 10 2 10 38 4" xfId="5179" xr:uid="{00000000-0005-0000-0000-000028140000}"/>
    <cellStyle name="Normal 10 2 10 38 5" xfId="5180" xr:uid="{00000000-0005-0000-0000-000029140000}"/>
    <cellStyle name="Normal 10 2 10 38 6" xfId="5181" xr:uid="{00000000-0005-0000-0000-00002A140000}"/>
    <cellStyle name="Normal 10 2 10 38 7" xfId="5182" xr:uid="{00000000-0005-0000-0000-00002B140000}"/>
    <cellStyle name="Normal 10 2 10 38 8" xfId="5183" xr:uid="{00000000-0005-0000-0000-00002C140000}"/>
    <cellStyle name="Normal 10 2 10 38 9" xfId="5184" xr:uid="{00000000-0005-0000-0000-00002D140000}"/>
    <cellStyle name="Normal 10 2 10 39" xfId="5185" xr:uid="{00000000-0005-0000-0000-00002E140000}"/>
    <cellStyle name="Normal 10 2 10 4" xfId="5186" xr:uid="{00000000-0005-0000-0000-00002F140000}"/>
    <cellStyle name="Normal 10 2 10 4 10" xfId="5187" xr:uid="{00000000-0005-0000-0000-000030140000}"/>
    <cellStyle name="Normal 10 2 10 4 11" xfId="5188" xr:uid="{00000000-0005-0000-0000-000031140000}"/>
    <cellStyle name="Normal 10 2 10 4 12" xfId="5189" xr:uid="{00000000-0005-0000-0000-000032140000}"/>
    <cellStyle name="Normal 10 2 10 4 13" xfId="5190" xr:uid="{00000000-0005-0000-0000-000033140000}"/>
    <cellStyle name="Normal 10 2 10 4 14" xfId="5191" xr:uid="{00000000-0005-0000-0000-000034140000}"/>
    <cellStyle name="Normal 10 2 10 4 2" xfId="5192" xr:uid="{00000000-0005-0000-0000-000035140000}"/>
    <cellStyle name="Normal 10 2 10 4 2 10" xfId="5193" xr:uid="{00000000-0005-0000-0000-000036140000}"/>
    <cellStyle name="Normal 10 2 10 4 2 2" xfId="5194" xr:uid="{00000000-0005-0000-0000-000037140000}"/>
    <cellStyle name="Normal 10 2 10 4 2 3" xfId="5195" xr:uid="{00000000-0005-0000-0000-000038140000}"/>
    <cellStyle name="Normal 10 2 10 4 2 4" xfId="5196" xr:uid="{00000000-0005-0000-0000-000039140000}"/>
    <cellStyle name="Normal 10 2 10 4 2 5" xfId="5197" xr:uid="{00000000-0005-0000-0000-00003A140000}"/>
    <cellStyle name="Normal 10 2 10 4 2 6" xfId="5198" xr:uid="{00000000-0005-0000-0000-00003B140000}"/>
    <cellStyle name="Normal 10 2 10 4 2 7" xfId="5199" xr:uid="{00000000-0005-0000-0000-00003C140000}"/>
    <cellStyle name="Normal 10 2 10 4 2 8" xfId="5200" xr:uid="{00000000-0005-0000-0000-00003D140000}"/>
    <cellStyle name="Normal 10 2 10 4 2 9" xfId="5201" xr:uid="{00000000-0005-0000-0000-00003E140000}"/>
    <cellStyle name="Normal 10 2 10 4 3" xfId="5202" xr:uid="{00000000-0005-0000-0000-00003F140000}"/>
    <cellStyle name="Normal 10 2 10 4 3 10" xfId="5203" xr:uid="{00000000-0005-0000-0000-000040140000}"/>
    <cellStyle name="Normal 10 2 10 4 3 2" xfId="5204" xr:uid="{00000000-0005-0000-0000-000041140000}"/>
    <cellStyle name="Normal 10 2 10 4 3 3" xfId="5205" xr:uid="{00000000-0005-0000-0000-000042140000}"/>
    <cellStyle name="Normal 10 2 10 4 3 4" xfId="5206" xr:uid="{00000000-0005-0000-0000-000043140000}"/>
    <cellStyle name="Normal 10 2 10 4 3 5" xfId="5207" xr:uid="{00000000-0005-0000-0000-000044140000}"/>
    <cellStyle name="Normal 10 2 10 4 3 6" xfId="5208" xr:uid="{00000000-0005-0000-0000-000045140000}"/>
    <cellStyle name="Normal 10 2 10 4 3 7" xfId="5209" xr:uid="{00000000-0005-0000-0000-000046140000}"/>
    <cellStyle name="Normal 10 2 10 4 3 8" xfId="5210" xr:uid="{00000000-0005-0000-0000-000047140000}"/>
    <cellStyle name="Normal 10 2 10 4 3 9" xfId="5211" xr:uid="{00000000-0005-0000-0000-000048140000}"/>
    <cellStyle name="Normal 10 2 10 4 4" xfId="5212" xr:uid="{00000000-0005-0000-0000-000049140000}"/>
    <cellStyle name="Normal 10 2 10 4 4 10" xfId="5213" xr:uid="{00000000-0005-0000-0000-00004A140000}"/>
    <cellStyle name="Normal 10 2 10 4 4 2" xfId="5214" xr:uid="{00000000-0005-0000-0000-00004B140000}"/>
    <cellStyle name="Normal 10 2 10 4 4 3" xfId="5215" xr:uid="{00000000-0005-0000-0000-00004C140000}"/>
    <cellStyle name="Normal 10 2 10 4 4 4" xfId="5216" xr:uid="{00000000-0005-0000-0000-00004D140000}"/>
    <cellStyle name="Normal 10 2 10 4 4 5" xfId="5217" xr:uid="{00000000-0005-0000-0000-00004E140000}"/>
    <cellStyle name="Normal 10 2 10 4 4 6" xfId="5218" xr:uid="{00000000-0005-0000-0000-00004F140000}"/>
    <cellStyle name="Normal 10 2 10 4 4 7" xfId="5219" xr:uid="{00000000-0005-0000-0000-000050140000}"/>
    <cellStyle name="Normal 10 2 10 4 4 8" xfId="5220" xr:uid="{00000000-0005-0000-0000-000051140000}"/>
    <cellStyle name="Normal 10 2 10 4 4 9" xfId="5221" xr:uid="{00000000-0005-0000-0000-000052140000}"/>
    <cellStyle name="Normal 10 2 10 4 5" xfId="5222" xr:uid="{00000000-0005-0000-0000-000053140000}"/>
    <cellStyle name="Normal 10 2 10 4 5 10" xfId="5223" xr:uid="{00000000-0005-0000-0000-000054140000}"/>
    <cellStyle name="Normal 10 2 10 4 5 2" xfId="5224" xr:uid="{00000000-0005-0000-0000-000055140000}"/>
    <cellStyle name="Normal 10 2 10 4 5 3" xfId="5225" xr:uid="{00000000-0005-0000-0000-000056140000}"/>
    <cellStyle name="Normal 10 2 10 4 5 4" xfId="5226" xr:uid="{00000000-0005-0000-0000-000057140000}"/>
    <cellStyle name="Normal 10 2 10 4 5 5" xfId="5227" xr:uid="{00000000-0005-0000-0000-000058140000}"/>
    <cellStyle name="Normal 10 2 10 4 5 6" xfId="5228" xr:uid="{00000000-0005-0000-0000-000059140000}"/>
    <cellStyle name="Normal 10 2 10 4 5 7" xfId="5229" xr:uid="{00000000-0005-0000-0000-00005A140000}"/>
    <cellStyle name="Normal 10 2 10 4 5 8" xfId="5230" xr:uid="{00000000-0005-0000-0000-00005B140000}"/>
    <cellStyle name="Normal 10 2 10 4 5 9" xfId="5231" xr:uid="{00000000-0005-0000-0000-00005C140000}"/>
    <cellStyle name="Normal 10 2 10 4 6" xfId="5232" xr:uid="{00000000-0005-0000-0000-00005D140000}"/>
    <cellStyle name="Normal 10 2 10 4 7" xfId="5233" xr:uid="{00000000-0005-0000-0000-00005E140000}"/>
    <cellStyle name="Normal 10 2 10 4 8" xfId="5234" xr:uid="{00000000-0005-0000-0000-00005F140000}"/>
    <cellStyle name="Normal 10 2 10 4 9" xfId="5235" xr:uid="{00000000-0005-0000-0000-000060140000}"/>
    <cellStyle name="Normal 10 2 10 40" xfId="5236" xr:uid="{00000000-0005-0000-0000-000061140000}"/>
    <cellStyle name="Normal 10 2 10 41" xfId="5237" xr:uid="{00000000-0005-0000-0000-000062140000}"/>
    <cellStyle name="Normal 10 2 10 42" xfId="5238" xr:uid="{00000000-0005-0000-0000-000063140000}"/>
    <cellStyle name="Normal 10 2 10 43" xfId="5239" xr:uid="{00000000-0005-0000-0000-000064140000}"/>
    <cellStyle name="Normal 10 2 10 44" xfId="5240" xr:uid="{00000000-0005-0000-0000-000065140000}"/>
    <cellStyle name="Normal 10 2 10 45" xfId="5241" xr:uid="{00000000-0005-0000-0000-000066140000}"/>
    <cellStyle name="Normal 10 2 10 46" xfId="5242" xr:uid="{00000000-0005-0000-0000-000067140000}"/>
    <cellStyle name="Normal 10 2 10 47" xfId="5243" xr:uid="{00000000-0005-0000-0000-000068140000}"/>
    <cellStyle name="Normal 10 2 10 48" xfId="5244" xr:uid="{00000000-0005-0000-0000-000069140000}"/>
    <cellStyle name="Normal 10 2 10 49" xfId="5245" xr:uid="{00000000-0005-0000-0000-00006A140000}"/>
    <cellStyle name="Normal 10 2 10 5" xfId="5246" xr:uid="{00000000-0005-0000-0000-00006B140000}"/>
    <cellStyle name="Normal 10 2 10 5 10" xfId="5247" xr:uid="{00000000-0005-0000-0000-00006C140000}"/>
    <cellStyle name="Normal 10 2 10 5 11" xfId="5248" xr:uid="{00000000-0005-0000-0000-00006D140000}"/>
    <cellStyle name="Normal 10 2 10 5 12" xfId="5249" xr:uid="{00000000-0005-0000-0000-00006E140000}"/>
    <cellStyle name="Normal 10 2 10 5 13" xfId="5250" xr:uid="{00000000-0005-0000-0000-00006F140000}"/>
    <cellStyle name="Normal 10 2 10 5 14" xfId="5251" xr:uid="{00000000-0005-0000-0000-000070140000}"/>
    <cellStyle name="Normal 10 2 10 5 2" xfId="5252" xr:uid="{00000000-0005-0000-0000-000071140000}"/>
    <cellStyle name="Normal 10 2 10 5 2 10" xfId="5253" xr:uid="{00000000-0005-0000-0000-000072140000}"/>
    <cellStyle name="Normal 10 2 10 5 2 2" xfId="5254" xr:uid="{00000000-0005-0000-0000-000073140000}"/>
    <cellStyle name="Normal 10 2 10 5 2 3" xfId="5255" xr:uid="{00000000-0005-0000-0000-000074140000}"/>
    <cellStyle name="Normal 10 2 10 5 2 4" xfId="5256" xr:uid="{00000000-0005-0000-0000-000075140000}"/>
    <cellStyle name="Normal 10 2 10 5 2 5" xfId="5257" xr:uid="{00000000-0005-0000-0000-000076140000}"/>
    <cellStyle name="Normal 10 2 10 5 2 6" xfId="5258" xr:uid="{00000000-0005-0000-0000-000077140000}"/>
    <cellStyle name="Normal 10 2 10 5 2 7" xfId="5259" xr:uid="{00000000-0005-0000-0000-000078140000}"/>
    <cellStyle name="Normal 10 2 10 5 2 8" xfId="5260" xr:uid="{00000000-0005-0000-0000-000079140000}"/>
    <cellStyle name="Normal 10 2 10 5 2 9" xfId="5261" xr:uid="{00000000-0005-0000-0000-00007A140000}"/>
    <cellStyle name="Normal 10 2 10 5 3" xfId="5262" xr:uid="{00000000-0005-0000-0000-00007B140000}"/>
    <cellStyle name="Normal 10 2 10 5 3 10" xfId="5263" xr:uid="{00000000-0005-0000-0000-00007C140000}"/>
    <cellStyle name="Normal 10 2 10 5 3 2" xfId="5264" xr:uid="{00000000-0005-0000-0000-00007D140000}"/>
    <cellStyle name="Normal 10 2 10 5 3 3" xfId="5265" xr:uid="{00000000-0005-0000-0000-00007E140000}"/>
    <cellStyle name="Normal 10 2 10 5 3 4" xfId="5266" xr:uid="{00000000-0005-0000-0000-00007F140000}"/>
    <cellStyle name="Normal 10 2 10 5 3 5" xfId="5267" xr:uid="{00000000-0005-0000-0000-000080140000}"/>
    <cellStyle name="Normal 10 2 10 5 3 6" xfId="5268" xr:uid="{00000000-0005-0000-0000-000081140000}"/>
    <cellStyle name="Normal 10 2 10 5 3 7" xfId="5269" xr:uid="{00000000-0005-0000-0000-000082140000}"/>
    <cellStyle name="Normal 10 2 10 5 3 8" xfId="5270" xr:uid="{00000000-0005-0000-0000-000083140000}"/>
    <cellStyle name="Normal 10 2 10 5 3 9" xfId="5271" xr:uid="{00000000-0005-0000-0000-000084140000}"/>
    <cellStyle name="Normal 10 2 10 5 4" xfId="5272" xr:uid="{00000000-0005-0000-0000-000085140000}"/>
    <cellStyle name="Normal 10 2 10 5 4 10" xfId="5273" xr:uid="{00000000-0005-0000-0000-000086140000}"/>
    <cellStyle name="Normal 10 2 10 5 4 2" xfId="5274" xr:uid="{00000000-0005-0000-0000-000087140000}"/>
    <cellStyle name="Normal 10 2 10 5 4 3" xfId="5275" xr:uid="{00000000-0005-0000-0000-000088140000}"/>
    <cellStyle name="Normal 10 2 10 5 4 4" xfId="5276" xr:uid="{00000000-0005-0000-0000-000089140000}"/>
    <cellStyle name="Normal 10 2 10 5 4 5" xfId="5277" xr:uid="{00000000-0005-0000-0000-00008A140000}"/>
    <cellStyle name="Normal 10 2 10 5 4 6" xfId="5278" xr:uid="{00000000-0005-0000-0000-00008B140000}"/>
    <cellStyle name="Normal 10 2 10 5 4 7" xfId="5279" xr:uid="{00000000-0005-0000-0000-00008C140000}"/>
    <cellStyle name="Normal 10 2 10 5 4 8" xfId="5280" xr:uid="{00000000-0005-0000-0000-00008D140000}"/>
    <cellStyle name="Normal 10 2 10 5 4 9" xfId="5281" xr:uid="{00000000-0005-0000-0000-00008E140000}"/>
    <cellStyle name="Normal 10 2 10 5 5" xfId="5282" xr:uid="{00000000-0005-0000-0000-00008F140000}"/>
    <cellStyle name="Normal 10 2 10 5 5 10" xfId="5283" xr:uid="{00000000-0005-0000-0000-000090140000}"/>
    <cellStyle name="Normal 10 2 10 5 5 2" xfId="5284" xr:uid="{00000000-0005-0000-0000-000091140000}"/>
    <cellStyle name="Normal 10 2 10 5 5 3" xfId="5285" xr:uid="{00000000-0005-0000-0000-000092140000}"/>
    <cellStyle name="Normal 10 2 10 5 5 4" xfId="5286" xr:uid="{00000000-0005-0000-0000-000093140000}"/>
    <cellStyle name="Normal 10 2 10 5 5 5" xfId="5287" xr:uid="{00000000-0005-0000-0000-000094140000}"/>
    <cellStyle name="Normal 10 2 10 5 5 6" xfId="5288" xr:uid="{00000000-0005-0000-0000-000095140000}"/>
    <cellStyle name="Normal 10 2 10 5 5 7" xfId="5289" xr:uid="{00000000-0005-0000-0000-000096140000}"/>
    <cellStyle name="Normal 10 2 10 5 5 8" xfId="5290" xr:uid="{00000000-0005-0000-0000-000097140000}"/>
    <cellStyle name="Normal 10 2 10 5 5 9" xfId="5291" xr:uid="{00000000-0005-0000-0000-000098140000}"/>
    <cellStyle name="Normal 10 2 10 5 6" xfId="5292" xr:uid="{00000000-0005-0000-0000-000099140000}"/>
    <cellStyle name="Normal 10 2 10 5 7" xfId="5293" xr:uid="{00000000-0005-0000-0000-00009A140000}"/>
    <cellStyle name="Normal 10 2 10 5 8" xfId="5294" xr:uid="{00000000-0005-0000-0000-00009B140000}"/>
    <cellStyle name="Normal 10 2 10 5 9" xfId="5295" xr:uid="{00000000-0005-0000-0000-00009C140000}"/>
    <cellStyle name="Normal 10 2 10 50" xfId="7" xr:uid="{00000000-0005-0000-0000-00009D140000}"/>
    <cellStyle name="Normal 10 2 10 6" xfId="5296" xr:uid="{00000000-0005-0000-0000-00009E140000}"/>
    <cellStyle name="Normal 10 2 10 6 10" xfId="5297" xr:uid="{00000000-0005-0000-0000-00009F140000}"/>
    <cellStyle name="Normal 10 2 10 6 11" xfId="5298" xr:uid="{00000000-0005-0000-0000-0000A0140000}"/>
    <cellStyle name="Normal 10 2 10 6 12" xfId="5299" xr:uid="{00000000-0005-0000-0000-0000A1140000}"/>
    <cellStyle name="Normal 10 2 10 6 13" xfId="5300" xr:uid="{00000000-0005-0000-0000-0000A2140000}"/>
    <cellStyle name="Normal 10 2 10 6 14" xfId="5301" xr:uid="{00000000-0005-0000-0000-0000A3140000}"/>
    <cellStyle name="Normal 10 2 10 6 2" xfId="5302" xr:uid="{00000000-0005-0000-0000-0000A4140000}"/>
    <cellStyle name="Normal 10 2 10 6 2 10" xfId="5303" xr:uid="{00000000-0005-0000-0000-0000A5140000}"/>
    <cellStyle name="Normal 10 2 10 6 2 2" xfId="5304" xr:uid="{00000000-0005-0000-0000-0000A6140000}"/>
    <cellStyle name="Normal 10 2 10 6 2 3" xfId="5305" xr:uid="{00000000-0005-0000-0000-0000A7140000}"/>
    <cellStyle name="Normal 10 2 10 6 2 4" xfId="5306" xr:uid="{00000000-0005-0000-0000-0000A8140000}"/>
    <cellStyle name="Normal 10 2 10 6 2 5" xfId="5307" xr:uid="{00000000-0005-0000-0000-0000A9140000}"/>
    <cellStyle name="Normal 10 2 10 6 2 6" xfId="5308" xr:uid="{00000000-0005-0000-0000-0000AA140000}"/>
    <cellStyle name="Normal 10 2 10 6 2 7" xfId="5309" xr:uid="{00000000-0005-0000-0000-0000AB140000}"/>
    <cellStyle name="Normal 10 2 10 6 2 8" xfId="5310" xr:uid="{00000000-0005-0000-0000-0000AC140000}"/>
    <cellStyle name="Normal 10 2 10 6 2 9" xfId="5311" xr:uid="{00000000-0005-0000-0000-0000AD140000}"/>
    <cellStyle name="Normal 10 2 10 6 3" xfId="5312" xr:uid="{00000000-0005-0000-0000-0000AE140000}"/>
    <cellStyle name="Normal 10 2 10 6 3 10" xfId="5313" xr:uid="{00000000-0005-0000-0000-0000AF140000}"/>
    <cellStyle name="Normal 10 2 10 6 3 2" xfId="5314" xr:uid="{00000000-0005-0000-0000-0000B0140000}"/>
    <cellStyle name="Normal 10 2 10 6 3 3" xfId="5315" xr:uid="{00000000-0005-0000-0000-0000B1140000}"/>
    <cellStyle name="Normal 10 2 10 6 3 4" xfId="5316" xr:uid="{00000000-0005-0000-0000-0000B2140000}"/>
    <cellStyle name="Normal 10 2 10 6 3 5" xfId="5317" xr:uid="{00000000-0005-0000-0000-0000B3140000}"/>
    <cellStyle name="Normal 10 2 10 6 3 6" xfId="5318" xr:uid="{00000000-0005-0000-0000-0000B4140000}"/>
    <cellStyle name="Normal 10 2 10 6 3 7" xfId="5319" xr:uid="{00000000-0005-0000-0000-0000B5140000}"/>
    <cellStyle name="Normal 10 2 10 6 3 8" xfId="5320" xr:uid="{00000000-0005-0000-0000-0000B6140000}"/>
    <cellStyle name="Normal 10 2 10 6 3 9" xfId="5321" xr:uid="{00000000-0005-0000-0000-0000B7140000}"/>
    <cellStyle name="Normal 10 2 10 6 4" xfId="5322" xr:uid="{00000000-0005-0000-0000-0000B8140000}"/>
    <cellStyle name="Normal 10 2 10 6 4 10" xfId="5323" xr:uid="{00000000-0005-0000-0000-0000B9140000}"/>
    <cellStyle name="Normal 10 2 10 6 4 2" xfId="5324" xr:uid="{00000000-0005-0000-0000-0000BA140000}"/>
    <cellStyle name="Normal 10 2 10 6 4 3" xfId="5325" xr:uid="{00000000-0005-0000-0000-0000BB140000}"/>
    <cellStyle name="Normal 10 2 10 6 4 4" xfId="5326" xr:uid="{00000000-0005-0000-0000-0000BC140000}"/>
    <cellStyle name="Normal 10 2 10 6 4 5" xfId="5327" xr:uid="{00000000-0005-0000-0000-0000BD140000}"/>
    <cellStyle name="Normal 10 2 10 6 4 6" xfId="5328" xr:uid="{00000000-0005-0000-0000-0000BE140000}"/>
    <cellStyle name="Normal 10 2 10 6 4 7" xfId="5329" xr:uid="{00000000-0005-0000-0000-0000BF140000}"/>
    <cellStyle name="Normal 10 2 10 6 4 8" xfId="5330" xr:uid="{00000000-0005-0000-0000-0000C0140000}"/>
    <cellStyle name="Normal 10 2 10 6 4 9" xfId="5331" xr:uid="{00000000-0005-0000-0000-0000C1140000}"/>
    <cellStyle name="Normal 10 2 10 6 5" xfId="5332" xr:uid="{00000000-0005-0000-0000-0000C2140000}"/>
    <cellStyle name="Normal 10 2 10 6 5 10" xfId="5333" xr:uid="{00000000-0005-0000-0000-0000C3140000}"/>
    <cellStyle name="Normal 10 2 10 6 5 2" xfId="5334" xr:uid="{00000000-0005-0000-0000-0000C4140000}"/>
    <cellStyle name="Normal 10 2 10 6 5 3" xfId="5335" xr:uid="{00000000-0005-0000-0000-0000C5140000}"/>
    <cellStyle name="Normal 10 2 10 6 5 4" xfId="5336" xr:uid="{00000000-0005-0000-0000-0000C6140000}"/>
    <cellStyle name="Normal 10 2 10 6 5 5" xfId="5337" xr:uid="{00000000-0005-0000-0000-0000C7140000}"/>
    <cellStyle name="Normal 10 2 10 6 5 6" xfId="5338" xr:uid="{00000000-0005-0000-0000-0000C8140000}"/>
    <cellStyle name="Normal 10 2 10 6 5 7" xfId="5339" xr:uid="{00000000-0005-0000-0000-0000C9140000}"/>
    <cellStyle name="Normal 10 2 10 6 5 8" xfId="5340" xr:uid="{00000000-0005-0000-0000-0000CA140000}"/>
    <cellStyle name="Normal 10 2 10 6 5 9" xfId="5341" xr:uid="{00000000-0005-0000-0000-0000CB140000}"/>
    <cellStyle name="Normal 10 2 10 6 6" xfId="5342" xr:uid="{00000000-0005-0000-0000-0000CC140000}"/>
    <cellStyle name="Normal 10 2 10 6 7" xfId="5343" xr:uid="{00000000-0005-0000-0000-0000CD140000}"/>
    <cellStyle name="Normal 10 2 10 6 8" xfId="5344" xr:uid="{00000000-0005-0000-0000-0000CE140000}"/>
    <cellStyle name="Normal 10 2 10 6 9" xfId="5345" xr:uid="{00000000-0005-0000-0000-0000CF140000}"/>
    <cellStyle name="Normal 10 2 10 7" xfId="5346" xr:uid="{00000000-0005-0000-0000-0000D0140000}"/>
    <cellStyle name="Normal 10 2 10 7 10" xfId="5347" xr:uid="{00000000-0005-0000-0000-0000D1140000}"/>
    <cellStyle name="Normal 10 2 10 7 11" xfId="5348" xr:uid="{00000000-0005-0000-0000-0000D2140000}"/>
    <cellStyle name="Normal 10 2 10 7 12" xfId="5349" xr:uid="{00000000-0005-0000-0000-0000D3140000}"/>
    <cellStyle name="Normal 10 2 10 7 13" xfId="5350" xr:uid="{00000000-0005-0000-0000-0000D4140000}"/>
    <cellStyle name="Normal 10 2 10 7 14" xfId="5351" xr:uid="{00000000-0005-0000-0000-0000D5140000}"/>
    <cellStyle name="Normal 10 2 10 7 2" xfId="5352" xr:uid="{00000000-0005-0000-0000-0000D6140000}"/>
    <cellStyle name="Normal 10 2 10 7 2 10" xfId="5353" xr:uid="{00000000-0005-0000-0000-0000D7140000}"/>
    <cellStyle name="Normal 10 2 10 7 2 2" xfId="5354" xr:uid="{00000000-0005-0000-0000-0000D8140000}"/>
    <cellStyle name="Normal 10 2 10 7 2 3" xfId="5355" xr:uid="{00000000-0005-0000-0000-0000D9140000}"/>
    <cellStyle name="Normal 10 2 10 7 2 4" xfId="5356" xr:uid="{00000000-0005-0000-0000-0000DA140000}"/>
    <cellStyle name="Normal 10 2 10 7 2 5" xfId="5357" xr:uid="{00000000-0005-0000-0000-0000DB140000}"/>
    <cellStyle name="Normal 10 2 10 7 2 6" xfId="5358" xr:uid="{00000000-0005-0000-0000-0000DC140000}"/>
    <cellStyle name="Normal 10 2 10 7 2 7" xfId="5359" xr:uid="{00000000-0005-0000-0000-0000DD140000}"/>
    <cellStyle name="Normal 10 2 10 7 2 8" xfId="5360" xr:uid="{00000000-0005-0000-0000-0000DE140000}"/>
    <cellStyle name="Normal 10 2 10 7 2 9" xfId="5361" xr:uid="{00000000-0005-0000-0000-0000DF140000}"/>
    <cellStyle name="Normal 10 2 10 7 3" xfId="5362" xr:uid="{00000000-0005-0000-0000-0000E0140000}"/>
    <cellStyle name="Normal 10 2 10 7 3 10" xfId="5363" xr:uid="{00000000-0005-0000-0000-0000E1140000}"/>
    <cellStyle name="Normal 10 2 10 7 3 2" xfId="5364" xr:uid="{00000000-0005-0000-0000-0000E2140000}"/>
    <cellStyle name="Normal 10 2 10 7 3 3" xfId="5365" xr:uid="{00000000-0005-0000-0000-0000E3140000}"/>
    <cellStyle name="Normal 10 2 10 7 3 4" xfId="5366" xr:uid="{00000000-0005-0000-0000-0000E4140000}"/>
    <cellStyle name="Normal 10 2 10 7 3 5" xfId="5367" xr:uid="{00000000-0005-0000-0000-0000E5140000}"/>
    <cellStyle name="Normal 10 2 10 7 3 6" xfId="5368" xr:uid="{00000000-0005-0000-0000-0000E6140000}"/>
    <cellStyle name="Normal 10 2 10 7 3 7" xfId="5369" xr:uid="{00000000-0005-0000-0000-0000E7140000}"/>
    <cellStyle name="Normal 10 2 10 7 3 8" xfId="5370" xr:uid="{00000000-0005-0000-0000-0000E8140000}"/>
    <cellStyle name="Normal 10 2 10 7 3 9" xfId="5371" xr:uid="{00000000-0005-0000-0000-0000E9140000}"/>
    <cellStyle name="Normal 10 2 10 7 4" xfId="5372" xr:uid="{00000000-0005-0000-0000-0000EA140000}"/>
    <cellStyle name="Normal 10 2 10 7 4 10" xfId="5373" xr:uid="{00000000-0005-0000-0000-0000EB140000}"/>
    <cellStyle name="Normal 10 2 10 7 4 2" xfId="5374" xr:uid="{00000000-0005-0000-0000-0000EC140000}"/>
    <cellStyle name="Normal 10 2 10 7 4 3" xfId="5375" xr:uid="{00000000-0005-0000-0000-0000ED140000}"/>
    <cellStyle name="Normal 10 2 10 7 4 4" xfId="5376" xr:uid="{00000000-0005-0000-0000-0000EE140000}"/>
    <cellStyle name="Normal 10 2 10 7 4 5" xfId="5377" xr:uid="{00000000-0005-0000-0000-0000EF140000}"/>
    <cellStyle name="Normal 10 2 10 7 4 6" xfId="5378" xr:uid="{00000000-0005-0000-0000-0000F0140000}"/>
    <cellStyle name="Normal 10 2 10 7 4 7" xfId="5379" xr:uid="{00000000-0005-0000-0000-0000F1140000}"/>
    <cellStyle name="Normal 10 2 10 7 4 8" xfId="5380" xr:uid="{00000000-0005-0000-0000-0000F2140000}"/>
    <cellStyle name="Normal 10 2 10 7 4 9" xfId="5381" xr:uid="{00000000-0005-0000-0000-0000F3140000}"/>
    <cellStyle name="Normal 10 2 10 7 5" xfId="5382" xr:uid="{00000000-0005-0000-0000-0000F4140000}"/>
    <cellStyle name="Normal 10 2 10 7 5 10" xfId="5383" xr:uid="{00000000-0005-0000-0000-0000F5140000}"/>
    <cellStyle name="Normal 10 2 10 7 5 2" xfId="5384" xr:uid="{00000000-0005-0000-0000-0000F6140000}"/>
    <cellStyle name="Normal 10 2 10 7 5 3" xfId="5385" xr:uid="{00000000-0005-0000-0000-0000F7140000}"/>
    <cellStyle name="Normal 10 2 10 7 5 4" xfId="5386" xr:uid="{00000000-0005-0000-0000-0000F8140000}"/>
    <cellStyle name="Normal 10 2 10 7 5 5" xfId="5387" xr:uid="{00000000-0005-0000-0000-0000F9140000}"/>
    <cellStyle name="Normal 10 2 10 7 5 6" xfId="5388" xr:uid="{00000000-0005-0000-0000-0000FA140000}"/>
    <cellStyle name="Normal 10 2 10 7 5 7" xfId="5389" xr:uid="{00000000-0005-0000-0000-0000FB140000}"/>
    <cellStyle name="Normal 10 2 10 7 5 8" xfId="5390" xr:uid="{00000000-0005-0000-0000-0000FC140000}"/>
    <cellStyle name="Normal 10 2 10 7 5 9" xfId="5391" xr:uid="{00000000-0005-0000-0000-0000FD140000}"/>
    <cellStyle name="Normal 10 2 10 7 6" xfId="5392" xr:uid="{00000000-0005-0000-0000-0000FE140000}"/>
    <cellStyle name="Normal 10 2 10 7 7" xfId="5393" xr:uid="{00000000-0005-0000-0000-0000FF140000}"/>
    <cellStyle name="Normal 10 2 10 7 8" xfId="5394" xr:uid="{00000000-0005-0000-0000-000000150000}"/>
    <cellStyle name="Normal 10 2 10 7 9" xfId="5395" xr:uid="{00000000-0005-0000-0000-000001150000}"/>
    <cellStyle name="Normal 10 2 10 8" xfId="5396" xr:uid="{00000000-0005-0000-0000-000002150000}"/>
    <cellStyle name="Normal 10 2 10 8 10" xfId="5397" xr:uid="{00000000-0005-0000-0000-000003150000}"/>
    <cellStyle name="Normal 10 2 10 8 11" xfId="5398" xr:uid="{00000000-0005-0000-0000-000004150000}"/>
    <cellStyle name="Normal 10 2 10 8 12" xfId="5399" xr:uid="{00000000-0005-0000-0000-000005150000}"/>
    <cellStyle name="Normal 10 2 10 8 13" xfId="5400" xr:uid="{00000000-0005-0000-0000-000006150000}"/>
    <cellStyle name="Normal 10 2 10 8 14" xfId="5401" xr:uid="{00000000-0005-0000-0000-000007150000}"/>
    <cellStyle name="Normal 10 2 10 8 2" xfId="5402" xr:uid="{00000000-0005-0000-0000-000008150000}"/>
    <cellStyle name="Normal 10 2 10 8 2 10" xfId="5403" xr:uid="{00000000-0005-0000-0000-000009150000}"/>
    <cellStyle name="Normal 10 2 10 8 2 2" xfId="5404" xr:uid="{00000000-0005-0000-0000-00000A150000}"/>
    <cellStyle name="Normal 10 2 10 8 2 3" xfId="5405" xr:uid="{00000000-0005-0000-0000-00000B150000}"/>
    <cellStyle name="Normal 10 2 10 8 2 4" xfId="5406" xr:uid="{00000000-0005-0000-0000-00000C150000}"/>
    <cellStyle name="Normal 10 2 10 8 2 5" xfId="5407" xr:uid="{00000000-0005-0000-0000-00000D150000}"/>
    <cellStyle name="Normal 10 2 10 8 2 6" xfId="5408" xr:uid="{00000000-0005-0000-0000-00000E150000}"/>
    <cellStyle name="Normal 10 2 10 8 2 7" xfId="5409" xr:uid="{00000000-0005-0000-0000-00000F150000}"/>
    <cellStyle name="Normal 10 2 10 8 2 8" xfId="5410" xr:uid="{00000000-0005-0000-0000-000010150000}"/>
    <cellStyle name="Normal 10 2 10 8 2 9" xfId="5411" xr:uid="{00000000-0005-0000-0000-000011150000}"/>
    <cellStyle name="Normal 10 2 10 8 3" xfId="5412" xr:uid="{00000000-0005-0000-0000-000012150000}"/>
    <cellStyle name="Normal 10 2 10 8 3 10" xfId="5413" xr:uid="{00000000-0005-0000-0000-000013150000}"/>
    <cellStyle name="Normal 10 2 10 8 3 2" xfId="5414" xr:uid="{00000000-0005-0000-0000-000014150000}"/>
    <cellStyle name="Normal 10 2 10 8 3 3" xfId="5415" xr:uid="{00000000-0005-0000-0000-000015150000}"/>
    <cellStyle name="Normal 10 2 10 8 3 4" xfId="5416" xr:uid="{00000000-0005-0000-0000-000016150000}"/>
    <cellStyle name="Normal 10 2 10 8 3 5" xfId="5417" xr:uid="{00000000-0005-0000-0000-000017150000}"/>
    <cellStyle name="Normal 10 2 10 8 3 6" xfId="5418" xr:uid="{00000000-0005-0000-0000-000018150000}"/>
    <cellStyle name="Normal 10 2 10 8 3 7" xfId="5419" xr:uid="{00000000-0005-0000-0000-000019150000}"/>
    <cellStyle name="Normal 10 2 10 8 3 8" xfId="5420" xr:uid="{00000000-0005-0000-0000-00001A150000}"/>
    <cellStyle name="Normal 10 2 10 8 3 9" xfId="5421" xr:uid="{00000000-0005-0000-0000-00001B150000}"/>
    <cellStyle name="Normal 10 2 10 8 4" xfId="5422" xr:uid="{00000000-0005-0000-0000-00001C150000}"/>
    <cellStyle name="Normal 10 2 10 8 4 10" xfId="5423" xr:uid="{00000000-0005-0000-0000-00001D150000}"/>
    <cellStyle name="Normal 10 2 10 8 4 2" xfId="5424" xr:uid="{00000000-0005-0000-0000-00001E150000}"/>
    <cellStyle name="Normal 10 2 10 8 4 3" xfId="5425" xr:uid="{00000000-0005-0000-0000-00001F150000}"/>
    <cellStyle name="Normal 10 2 10 8 4 4" xfId="5426" xr:uid="{00000000-0005-0000-0000-000020150000}"/>
    <cellStyle name="Normal 10 2 10 8 4 5" xfId="5427" xr:uid="{00000000-0005-0000-0000-000021150000}"/>
    <cellStyle name="Normal 10 2 10 8 4 6" xfId="5428" xr:uid="{00000000-0005-0000-0000-000022150000}"/>
    <cellStyle name="Normal 10 2 10 8 4 7" xfId="5429" xr:uid="{00000000-0005-0000-0000-000023150000}"/>
    <cellStyle name="Normal 10 2 10 8 4 8" xfId="5430" xr:uid="{00000000-0005-0000-0000-000024150000}"/>
    <cellStyle name="Normal 10 2 10 8 4 9" xfId="5431" xr:uid="{00000000-0005-0000-0000-000025150000}"/>
    <cellStyle name="Normal 10 2 10 8 5" xfId="5432" xr:uid="{00000000-0005-0000-0000-000026150000}"/>
    <cellStyle name="Normal 10 2 10 8 5 10" xfId="5433" xr:uid="{00000000-0005-0000-0000-000027150000}"/>
    <cellStyle name="Normal 10 2 10 8 5 2" xfId="5434" xr:uid="{00000000-0005-0000-0000-000028150000}"/>
    <cellStyle name="Normal 10 2 10 8 5 3" xfId="5435" xr:uid="{00000000-0005-0000-0000-000029150000}"/>
    <cellStyle name="Normal 10 2 10 8 5 4" xfId="5436" xr:uid="{00000000-0005-0000-0000-00002A150000}"/>
    <cellStyle name="Normal 10 2 10 8 5 5" xfId="5437" xr:uid="{00000000-0005-0000-0000-00002B150000}"/>
    <cellStyle name="Normal 10 2 10 8 5 6" xfId="5438" xr:uid="{00000000-0005-0000-0000-00002C150000}"/>
    <cellStyle name="Normal 10 2 10 8 5 7" xfId="5439" xr:uid="{00000000-0005-0000-0000-00002D150000}"/>
    <cellStyle name="Normal 10 2 10 8 5 8" xfId="5440" xr:uid="{00000000-0005-0000-0000-00002E150000}"/>
    <cellStyle name="Normal 10 2 10 8 5 9" xfId="5441" xr:uid="{00000000-0005-0000-0000-00002F150000}"/>
    <cellStyle name="Normal 10 2 10 8 6" xfId="5442" xr:uid="{00000000-0005-0000-0000-000030150000}"/>
    <cellStyle name="Normal 10 2 10 8 7" xfId="5443" xr:uid="{00000000-0005-0000-0000-000031150000}"/>
    <cellStyle name="Normal 10 2 10 8 8" xfId="5444" xr:uid="{00000000-0005-0000-0000-000032150000}"/>
    <cellStyle name="Normal 10 2 10 8 9" xfId="5445" xr:uid="{00000000-0005-0000-0000-000033150000}"/>
    <cellStyle name="Normal 10 2 10 9" xfId="5446" xr:uid="{00000000-0005-0000-0000-000034150000}"/>
    <cellStyle name="Normal 10 2 10 9 10" xfId="5447" xr:uid="{00000000-0005-0000-0000-000035150000}"/>
    <cellStyle name="Normal 10 2 10 9 11" xfId="5448" xr:uid="{00000000-0005-0000-0000-000036150000}"/>
    <cellStyle name="Normal 10 2 10 9 12" xfId="5449" xr:uid="{00000000-0005-0000-0000-000037150000}"/>
    <cellStyle name="Normal 10 2 10 9 13" xfId="5450" xr:uid="{00000000-0005-0000-0000-000038150000}"/>
    <cellStyle name="Normal 10 2 10 9 14" xfId="5451" xr:uid="{00000000-0005-0000-0000-000039150000}"/>
    <cellStyle name="Normal 10 2 10 9 2" xfId="5452" xr:uid="{00000000-0005-0000-0000-00003A150000}"/>
    <cellStyle name="Normal 10 2 10 9 2 10" xfId="5453" xr:uid="{00000000-0005-0000-0000-00003B150000}"/>
    <cellStyle name="Normal 10 2 10 9 2 2" xfId="5454" xr:uid="{00000000-0005-0000-0000-00003C150000}"/>
    <cellStyle name="Normal 10 2 10 9 2 3" xfId="5455" xr:uid="{00000000-0005-0000-0000-00003D150000}"/>
    <cellStyle name="Normal 10 2 10 9 2 4" xfId="5456" xr:uid="{00000000-0005-0000-0000-00003E150000}"/>
    <cellStyle name="Normal 10 2 10 9 2 5" xfId="5457" xr:uid="{00000000-0005-0000-0000-00003F150000}"/>
    <cellStyle name="Normal 10 2 10 9 2 6" xfId="5458" xr:uid="{00000000-0005-0000-0000-000040150000}"/>
    <cellStyle name="Normal 10 2 10 9 2 7" xfId="5459" xr:uid="{00000000-0005-0000-0000-000041150000}"/>
    <cellStyle name="Normal 10 2 10 9 2 8" xfId="5460" xr:uid="{00000000-0005-0000-0000-000042150000}"/>
    <cellStyle name="Normal 10 2 10 9 2 9" xfId="5461" xr:uid="{00000000-0005-0000-0000-000043150000}"/>
    <cellStyle name="Normal 10 2 10 9 3" xfId="5462" xr:uid="{00000000-0005-0000-0000-000044150000}"/>
    <cellStyle name="Normal 10 2 10 9 3 10" xfId="5463" xr:uid="{00000000-0005-0000-0000-000045150000}"/>
    <cellStyle name="Normal 10 2 10 9 3 2" xfId="5464" xr:uid="{00000000-0005-0000-0000-000046150000}"/>
    <cellStyle name="Normal 10 2 10 9 3 3" xfId="5465" xr:uid="{00000000-0005-0000-0000-000047150000}"/>
    <cellStyle name="Normal 10 2 10 9 3 4" xfId="5466" xr:uid="{00000000-0005-0000-0000-000048150000}"/>
    <cellStyle name="Normal 10 2 10 9 3 5" xfId="5467" xr:uid="{00000000-0005-0000-0000-000049150000}"/>
    <cellStyle name="Normal 10 2 10 9 3 6" xfId="5468" xr:uid="{00000000-0005-0000-0000-00004A150000}"/>
    <cellStyle name="Normal 10 2 10 9 3 7" xfId="5469" xr:uid="{00000000-0005-0000-0000-00004B150000}"/>
    <cellStyle name="Normal 10 2 10 9 3 8" xfId="5470" xr:uid="{00000000-0005-0000-0000-00004C150000}"/>
    <cellStyle name="Normal 10 2 10 9 3 9" xfId="5471" xr:uid="{00000000-0005-0000-0000-00004D150000}"/>
    <cellStyle name="Normal 10 2 10 9 4" xfId="5472" xr:uid="{00000000-0005-0000-0000-00004E150000}"/>
    <cellStyle name="Normal 10 2 10 9 4 10" xfId="5473" xr:uid="{00000000-0005-0000-0000-00004F150000}"/>
    <cellStyle name="Normal 10 2 10 9 4 2" xfId="5474" xr:uid="{00000000-0005-0000-0000-000050150000}"/>
    <cellStyle name="Normal 10 2 10 9 4 3" xfId="5475" xr:uid="{00000000-0005-0000-0000-000051150000}"/>
    <cellStyle name="Normal 10 2 10 9 4 4" xfId="5476" xr:uid="{00000000-0005-0000-0000-000052150000}"/>
    <cellStyle name="Normal 10 2 10 9 4 5" xfId="5477" xr:uid="{00000000-0005-0000-0000-000053150000}"/>
    <cellStyle name="Normal 10 2 10 9 4 6" xfId="5478" xr:uid="{00000000-0005-0000-0000-000054150000}"/>
    <cellStyle name="Normal 10 2 10 9 4 7" xfId="5479" xr:uid="{00000000-0005-0000-0000-000055150000}"/>
    <cellStyle name="Normal 10 2 10 9 4 8" xfId="5480" xr:uid="{00000000-0005-0000-0000-000056150000}"/>
    <cellStyle name="Normal 10 2 10 9 4 9" xfId="5481" xr:uid="{00000000-0005-0000-0000-000057150000}"/>
    <cellStyle name="Normal 10 2 10 9 5" xfId="5482" xr:uid="{00000000-0005-0000-0000-000058150000}"/>
    <cellStyle name="Normal 10 2 10 9 5 10" xfId="5483" xr:uid="{00000000-0005-0000-0000-000059150000}"/>
    <cellStyle name="Normal 10 2 10 9 5 2" xfId="5484" xr:uid="{00000000-0005-0000-0000-00005A150000}"/>
    <cellStyle name="Normal 10 2 10 9 5 3" xfId="5485" xr:uid="{00000000-0005-0000-0000-00005B150000}"/>
    <cellStyle name="Normal 10 2 10 9 5 4" xfId="5486" xr:uid="{00000000-0005-0000-0000-00005C150000}"/>
    <cellStyle name="Normal 10 2 10 9 5 5" xfId="5487" xr:uid="{00000000-0005-0000-0000-00005D150000}"/>
    <cellStyle name="Normal 10 2 10 9 5 6" xfId="5488" xr:uid="{00000000-0005-0000-0000-00005E150000}"/>
    <cellStyle name="Normal 10 2 10 9 5 7" xfId="5489" xr:uid="{00000000-0005-0000-0000-00005F150000}"/>
    <cellStyle name="Normal 10 2 10 9 5 8" xfId="5490" xr:uid="{00000000-0005-0000-0000-000060150000}"/>
    <cellStyle name="Normal 10 2 10 9 5 9" xfId="5491" xr:uid="{00000000-0005-0000-0000-000061150000}"/>
    <cellStyle name="Normal 10 2 10 9 6" xfId="5492" xr:uid="{00000000-0005-0000-0000-000062150000}"/>
    <cellStyle name="Normal 10 2 10 9 7" xfId="5493" xr:uid="{00000000-0005-0000-0000-000063150000}"/>
    <cellStyle name="Normal 10 2 10 9 8" xfId="5494" xr:uid="{00000000-0005-0000-0000-000064150000}"/>
    <cellStyle name="Normal 10 2 10 9 9" xfId="5495" xr:uid="{00000000-0005-0000-0000-000065150000}"/>
    <cellStyle name="Normal 10 2 11" xfId="5496" xr:uid="{00000000-0005-0000-0000-000066150000}"/>
    <cellStyle name="Normal 10 2 12" xfId="5497" xr:uid="{00000000-0005-0000-0000-000067150000}"/>
    <cellStyle name="Normal 10 2 13" xfId="5498" xr:uid="{00000000-0005-0000-0000-000068150000}"/>
    <cellStyle name="Normal 10 2 14" xfId="5499" xr:uid="{00000000-0005-0000-0000-000069150000}"/>
    <cellStyle name="Normal 10 2 15" xfId="5500" xr:uid="{00000000-0005-0000-0000-00006A150000}"/>
    <cellStyle name="Normal 10 2 16" xfId="5501" xr:uid="{00000000-0005-0000-0000-00006B150000}"/>
    <cellStyle name="Normal 10 2 17" xfId="5502" xr:uid="{00000000-0005-0000-0000-00006C150000}"/>
    <cellStyle name="Normal 10 2 18" xfId="5503" xr:uid="{00000000-0005-0000-0000-00006D150000}"/>
    <cellStyle name="Normal 10 2 19" xfId="5504" xr:uid="{00000000-0005-0000-0000-00006E150000}"/>
    <cellStyle name="Normal 10 2 2" xfId="5505" xr:uid="{00000000-0005-0000-0000-00006F150000}"/>
    <cellStyle name="Normal 10 2 2 2" xfId="5506" xr:uid="{00000000-0005-0000-0000-000070150000}"/>
    <cellStyle name="Normal 10 2 2 2 2" xfId="5507" xr:uid="{00000000-0005-0000-0000-000071150000}"/>
    <cellStyle name="Normal 10 2 20" xfId="5508" xr:uid="{00000000-0005-0000-0000-000072150000}"/>
    <cellStyle name="Normal 10 2 21" xfId="5509" xr:uid="{00000000-0005-0000-0000-000073150000}"/>
    <cellStyle name="Normal 10 2 22" xfId="5510" xr:uid="{00000000-0005-0000-0000-000074150000}"/>
    <cellStyle name="Normal 10 2 23" xfId="5511" xr:uid="{00000000-0005-0000-0000-000075150000}"/>
    <cellStyle name="Normal 10 2 24" xfId="5512" xr:uid="{00000000-0005-0000-0000-000076150000}"/>
    <cellStyle name="Normal 10 2 25" xfId="5513" xr:uid="{00000000-0005-0000-0000-000077150000}"/>
    <cellStyle name="Normal 10 2 26" xfId="5514" xr:uid="{00000000-0005-0000-0000-000078150000}"/>
    <cellStyle name="Normal 10 2 27" xfId="5515" xr:uid="{00000000-0005-0000-0000-000079150000}"/>
    <cellStyle name="Normal 10 2 28" xfId="5516" xr:uid="{00000000-0005-0000-0000-00007A150000}"/>
    <cellStyle name="Normal 10 2 29" xfId="5517" xr:uid="{00000000-0005-0000-0000-00007B150000}"/>
    <cellStyle name="Normal 10 2 3" xfId="5518" xr:uid="{00000000-0005-0000-0000-00007C150000}"/>
    <cellStyle name="Normal 10 2 30" xfId="5519" xr:uid="{00000000-0005-0000-0000-00007D150000}"/>
    <cellStyle name="Normal 10 2 31" xfId="5520" xr:uid="{00000000-0005-0000-0000-00007E150000}"/>
    <cellStyle name="Normal 10 2 32" xfId="5521" xr:uid="{00000000-0005-0000-0000-00007F150000}"/>
    <cellStyle name="Normal 10 2 33" xfId="5522" xr:uid="{00000000-0005-0000-0000-000080150000}"/>
    <cellStyle name="Normal 10 2 34" xfId="5523" xr:uid="{00000000-0005-0000-0000-000081150000}"/>
    <cellStyle name="Normal 10 2 35" xfId="5524" xr:uid="{00000000-0005-0000-0000-000082150000}"/>
    <cellStyle name="Normal 10 2 36" xfId="5525" xr:uid="{00000000-0005-0000-0000-000083150000}"/>
    <cellStyle name="Normal 10 2 37" xfId="5526" xr:uid="{00000000-0005-0000-0000-000084150000}"/>
    <cellStyle name="Normal 10 2 38" xfId="5527" xr:uid="{00000000-0005-0000-0000-000085150000}"/>
    <cellStyle name="Normal 10 2 39" xfId="5528" xr:uid="{00000000-0005-0000-0000-000086150000}"/>
    <cellStyle name="Normal 10 2 4" xfId="5529" xr:uid="{00000000-0005-0000-0000-000087150000}"/>
    <cellStyle name="Normal 10 2 40" xfId="5530" xr:uid="{00000000-0005-0000-0000-000088150000}"/>
    <cellStyle name="Normal 10 2 41" xfId="5531" xr:uid="{00000000-0005-0000-0000-000089150000}"/>
    <cellStyle name="Normal 10 2 42" xfId="5532" xr:uid="{00000000-0005-0000-0000-00008A150000}"/>
    <cellStyle name="Normal 10 2 43" xfId="5533" xr:uid="{00000000-0005-0000-0000-00008B150000}"/>
    <cellStyle name="Normal 10 2 44" xfId="5534" xr:uid="{00000000-0005-0000-0000-00008C150000}"/>
    <cellStyle name="Normal 10 2 45" xfId="5535" xr:uid="{00000000-0005-0000-0000-00008D150000}"/>
    <cellStyle name="Normal 10 2 46" xfId="5536" xr:uid="{00000000-0005-0000-0000-00008E150000}"/>
    <cellStyle name="Normal 10 2 47" xfId="5537" xr:uid="{00000000-0005-0000-0000-00008F150000}"/>
    <cellStyle name="Normal 10 2 48" xfId="5538" xr:uid="{00000000-0005-0000-0000-000090150000}"/>
    <cellStyle name="Normal 10 2 49" xfId="5539" xr:uid="{00000000-0005-0000-0000-000091150000}"/>
    <cellStyle name="Normal 10 2 5" xfId="5540" xr:uid="{00000000-0005-0000-0000-000092150000}"/>
    <cellStyle name="Normal 10 2 50" xfId="5541" xr:uid="{00000000-0005-0000-0000-000093150000}"/>
    <cellStyle name="Normal 10 2 51" xfId="5542" xr:uid="{00000000-0005-0000-0000-000094150000}"/>
    <cellStyle name="Normal 10 2 52" xfId="5543" xr:uid="{00000000-0005-0000-0000-000095150000}"/>
    <cellStyle name="Normal 10 2 53" xfId="5544" xr:uid="{00000000-0005-0000-0000-000096150000}"/>
    <cellStyle name="Normal 10 2 54" xfId="5545" xr:uid="{00000000-0005-0000-0000-000097150000}"/>
    <cellStyle name="Normal 10 2 55" xfId="5546" xr:uid="{00000000-0005-0000-0000-000098150000}"/>
    <cellStyle name="Normal 10 2 56" xfId="5547" xr:uid="{00000000-0005-0000-0000-000099150000}"/>
    <cellStyle name="Normal 10 2 57" xfId="5548" xr:uid="{00000000-0005-0000-0000-00009A150000}"/>
    <cellStyle name="Normal 10 2 58" xfId="5549" xr:uid="{00000000-0005-0000-0000-00009B150000}"/>
    <cellStyle name="Normal 10 2 59" xfId="5550" xr:uid="{00000000-0005-0000-0000-00009C150000}"/>
    <cellStyle name="Normal 10 2 6" xfId="5551" xr:uid="{00000000-0005-0000-0000-00009D150000}"/>
    <cellStyle name="Normal 10 2 60" xfId="5552" xr:uid="{00000000-0005-0000-0000-00009E150000}"/>
    <cellStyle name="Normal 10 2 61" xfId="5553" xr:uid="{00000000-0005-0000-0000-00009F150000}"/>
    <cellStyle name="Normal 10 2 62" xfId="5554" xr:uid="{00000000-0005-0000-0000-0000A0150000}"/>
    <cellStyle name="Normal 10 2 63" xfId="5555" xr:uid="{00000000-0005-0000-0000-0000A1150000}"/>
    <cellStyle name="Normal 10 2 64" xfId="5556" xr:uid="{00000000-0005-0000-0000-0000A2150000}"/>
    <cellStyle name="Normal 10 2 65" xfId="5557" xr:uid="{00000000-0005-0000-0000-0000A3150000}"/>
    <cellStyle name="Normal 10 2 66" xfId="5558" xr:uid="{00000000-0005-0000-0000-0000A4150000}"/>
    <cellStyle name="Normal 10 2 67" xfId="5559" xr:uid="{00000000-0005-0000-0000-0000A5150000}"/>
    <cellStyle name="Normal 10 2 68" xfId="5560" xr:uid="{00000000-0005-0000-0000-0000A6150000}"/>
    <cellStyle name="Normal 10 2 69" xfId="5561" xr:uid="{00000000-0005-0000-0000-0000A7150000}"/>
    <cellStyle name="Normal 10 2 7" xfId="5562" xr:uid="{00000000-0005-0000-0000-0000A8150000}"/>
    <cellStyle name="Normal 10 2 70" xfId="5563" xr:uid="{00000000-0005-0000-0000-0000A9150000}"/>
    <cellStyle name="Normal 10 2 71" xfId="5564" xr:uid="{00000000-0005-0000-0000-0000AA150000}"/>
    <cellStyle name="Normal 10 2 72" xfId="5565" xr:uid="{00000000-0005-0000-0000-0000AB150000}"/>
    <cellStyle name="Normal 10 2 73" xfId="5566" xr:uid="{00000000-0005-0000-0000-0000AC150000}"/>
    <cellStyle name="Normal 10 2 74" xfId="5567" xr:uid="{00000000-0005-0000-0000-0000AD150000}"/>
    <cellStyle name="Normal 10 2 75" xfId="5568" xr:uid="{00000000-0005-0000-0000-0000AE150000}"/>
    <cellStyle name="Normal 10 2 76" xfId="5569" xr:uid="{00000000-0005-0000-0000-0000AF150000}"/>
    <cellStyle name="Normal 10 2 77" xfId="5570" xr:uid="{00000000-0005-0000-0000-0000B0150000}"/>
    <cellStyle name="Normal 10 2 78" xfId="5571" xr:uid="{00000000-0005-0000-0000-0000B1150000}"/>
    <cellStyle name="Normal 10 2 79" xfId="5572" xr:uid="{00000000-0005-0000-0000-0000B2150000}"/>
    <cellStyle name="Normal 10 2 8" xfId="5573" xr:uid="{00000000-0005-0000-0000-0000B3150000}"/>
    <cellStyle name="Normal 10 2 9" xfId="5574" xr:uid="{00000000-0005-0000-0000-0000B4150000}"/>
    <cellStyle name="Normal 10 2_Enlaces" xfId="5575" xr:uid="{00000000-0005-0000-0000-0000B5150000}"/>
    <cellStyle name="Normal 10 20" xfId="5576" xr:uid="{00000000-0005-0000-0000-0000B6150000}"/>
    <cellStyle name="Normal 10 21" xfId="5577" xr:uid="{00000000-0005-0000-0000-0000B7150000}"/>
    <cellStyle name="Normal 10 22" xfId="5578" xr:uid="{00000000-0005-0000-0000-0000B8150000}"/>
    <cellStyle name="Normal 10 23" xfId="5579" xr:uid="{00000000-0005-0000-0000-0000B9150000}"/>
    <cellStyle name="Normal 10 24" xfId="5580" xr:uid="{00000000-0005-0000-0000-0000BA150000}"/>
    <cellStyle name="Normal 10 25" xfId="5581" xr:uid="{00000000-0005-0000-0000-0000BB150000}"/>
    <cellStyle name="Normal 10 26" xfId="5582" xr:uid="{00000000-0005-0000-0000-0000BC150000}"/>
    <cellStyle name="Normal 10 27" xfId="5583" xr:uid="{00000000-0005-0000-0000-0000BD150000}"/>
    <cellStyle name="Normal 10 28" xfId="5584" xr:uid="{00000000-0005-0000-0000-0000BE150000}"/>
    <cellStyle name="Normal 10 29" xfId="5585" xr:uid="{00000000-0005-0000-0000-0000BF150000}"/>
    <cellStyle name="Normal 10 3" xfId="5586" xr:uid="{00000000-0005-0000-0000-0000C0150000}"/>
    <cellStyle name="Normal 10 3 2" xfId="5587" xr:uid="{00000000-0005-0000-0000-0000C1150000}"/>
    <cellStyle name="Normal 10 3 3" xfId="5588" xr:uid="{00000000-0005-0000-0000-0000C2150000}"/>
    <cellStyle name="Normal 10 3 4" xfId="5589" xr:uid="{00000000-0005-0000-0000-0000C3150000}"/>
    <cellStyle name="Normal 10 3 4 2" xfId="5590" xr:uid="{00000000-0005-0000-0000-0000C4150000}"/>
    <cellStyle name="Normal 10 3 4 2 2" xfId="5591" xr:uid="{00000000-0005-0000-0000-0000C5150000}"/>
    <cellStyle name="Normal 10 3 4 3" xfId="5592" xr:uid="{00000000-0005-0000-0000-0000C6150000}"/>
    <cellStyle name="Normal 10 3 5" xfId="5593" xr:uid="{00000000-0005-0000-0000-0000C7150000}"/>
    <cellStyle name="Normal 10 3 6" xfId="5594" xr:uid="{00000000-0005-0000-0000-0000C8150000}"/>
    <cellStyle name="Normal 10 3 7" xfId="5595" xr:uid="{00000000-0005-0000-0000-0000C9150000}"/>
    <cellStyle name="Normal 10 3 7 2" xfId="5596" xr:uid="{00000000-0005-0000-0000-0000CA150000}"/>
    <cellStyle name="Normal 10 3 8" xfId="5597" xr:uid="{00000000-0005-0000-0000-0000CB150000}"/>
    <cellStyle name="Normal 10 3 9" xfId="5598" xr:uid="{00000000-0005-0000-0000-0000CC150000}"/>
    <cellStyle name="Normal 10 3_Implem" xfId="5599" xr:uid="{00000000-0005-0000-0000-0000CD150000}"/>
    <cellStyle name="Normal 10 30" xfId="5600" xr:uid="{00000000-0005-0000-0000-0000CE150000}"/>
    <cellStyle name="Normal 10 31" xfId="5601" xr:uid="{00000000-0005-0000-0000-0000CF150000}"/>
    <cellStyle name="Normal 10 4" xfId="5602" xr:uid="{00000000-0005-0000-0000-0000D0150000}"/>
    <cellStyle name="Normal 10 5" xfId="5603" xr:uid="{00000000-0005-0000-0000-0000D1150000}"/>
    <cellStyle name="Normal 10 6" xfId="5604" xr:uid="{00000000-0005-0000-0000-0000D2150000}"/>
    <cellStyle name="Normal 10 7" xfId="5605" xr:uid="{00000000-0005-0000-0000-0000D3150000}"/>
    <cellStyle name="Normal 10 8" xfId="5606" xr:uid="{00000000-0005-0000-0000-0000D4150000}"/>
    <cellStyle name="Normal 10 9" xfId="5607" xr:uid="{00000000-0005-0000-0000-0000D5150000}"/>
    <cellStyle name="Normal 100" xfId="5608" xr:uid="{00000000-0005-0000-0000-0000D6150000}"/>
    <cellStyle name="Normal 100 2" xfId="5609" xr:uid="{00000000-0005-0000-0000-0000D7150000}"/>
    <cellStyle name="Normal 100 3" xfId="5610" xr:uid="{00000000-0005-0000-0000-0000D8150000}"/>
    <cellStyle name="Normal 101" xfId="5611" xr:uid="{00000000-0005-0000-0000-0000D9150000}"/>
    <cellStyle name="Normal 101 2" xfId="5612" xr:uid="{00000000-0005-0000-0000-0000DA150000}"/>
    <cellStyle name="Normal 101 3" xfId="5613" xr:uid="{00000000-0005-0000-0000-0000DB150000}"/>
    <cellStyle name="Normal 102" xfId="5614" xr:uid="{00000000-0005-0000-0000-0000DC150000}"/>
    <cellStyle name="Normal 102 2" xfId="5615" xr:uid="{00000000-0005-0000-0000-0000DD150000}"/>
    <cellStyle name="Normal 102 3" xfId="5616" xr:uid="{00000000-0005-0000-0000-0000DE150000}"/>
    <cellStyle name="Normal 103" xfId="5617" xr:uid="{00000000-0005-0000-0000-0000DF150000}"/>
    <cellStyle name="Normal 103 2" xfId="5618" xr:uid="{00000000-0005-0000-0000-0000E0150000}"/>
    <cellStyle name="Normal 104" xfId="5619" xr:uid="{00000000-0005-0000-0000-0000E1150000}"/>
    <cellStyle name="Normal 104 2" xfId="5620" xr:uid="{00000000-0005-0000-0000-0000E2150000}"/>
    <cellStyle name="Normal 105" xfId="5621" xr:uid="{00000000-0005-0000-0000-0000E3150000}"/>
    <cellStyle name="Normal 105 2" xfId="5622" xr:uid="{00000000-0005-0000-0000-0000E4150000}"/>
    <cellStyle name="Normal 106" xfId="5623" xr:uid="{00000000-0005-0000-0000-0000E5150000}"/>
    <cellStyle name="Normal 106 2" xfId="5624" xr:uid="{00000000-0005-0000-0000-0000E6150000}"/>
    <cellStyle name="Normal 107" xfId="5625" xr:uid="{00000000-0005-0000-0000-0000E7150000}"/>
    <cellStyle name="Normal 107 2" xfId="5626" xr:uid="{00000000-0005-0000-0000-0000E8150000}"/>
    <cellStyle name="Normal 108" xfId="5627" xr:uid="{00000000-0005-0000-0000-0000E9150000}"/>
    <cellStyle name="Normal 108 2" xfId="5628" xr:uid="{00000000-0005-0000-0000-0000EA150000}"/>
    <cellStyle name="Normal 109" xfId="5629" xr:uid="{00000000-0005-0000-0000-0000EB150000}"/>
    <cellStyle name="Normal 109 2" xfId="5630" xr:uid="{00000000-0005-0000-0000-0000EC150000}"/>
    <cellStyle name="Normal 11" xfId="5631" xr:uid="{00000000-0005-0000-0000-0000ED150000}"/>
    <cellStyle name="Normal 11 10" xfId="5632" xr:uid="{00000000-0005-0000-0000-0000EE150000}"/>
    <cellStyle name="Normal 11 11" xfId="5633" xr:uid="{00000000-0005-0000-0000-0000EF150000}"/>
    <cellStyle name="Normal 11 12" xfId="5634" xr:uid="{00000000-0005-0000-0000-0000F0150000}"/>
    <cellStyle name="Normal 11 13" xfId="5635" xr:uid="{00000000-0005-0000-0000-0000F1150000}"/>
    <cellStyle name="Normal 11 14" xfId="5636" xr:uid="{00000000-0005-0000-0000-0000F2150000}"/>
    <cellStyle name="Normal 11 15" xfId="5637" xr:uid="{00000000-0005-0000-0000-0000F3150000}"/>
    <cellStyle name="Normal 11 16" xfId="5638" xr:uid="{00000000-0005-0000-0000-0000F4150000}"/>
    <cellStyle name="Normal 11 17" xfId="5639" xr:uid="{00000000-0005-0000-0000-0000F5150000}"/>
    <cellStyle name="Normal 11 18" xfId="5640" xr:uid="{00000000-0005-0000-0000-0000F6150000}"/>
    <cellStyle name="Normal 11 19" xfId="5641" xr:uid="{00000000-0005-0000-0000-0000F7150000}"/>
    <cellStyle name="Normal 11 2" xfId="5642" xr:uid="{00000000-0005-0000-0000-0000F8150000}"/>
    <cellStyle name="Normal 11 2 2" xfId="5643" xr:uid="{00000000-0005-0000-0000-0000F9150000}"/>
    <cellStyle name="Normal 11 2 3" xfId="5644" xr:uid="{00000000-0005-0000-0000-0000FA150000}"/>
    <cellStyle name="Normal 11 20" xfId="5645" xr:uid="{00000000-0005-0000-0000-0000FB150000}"/>
    <cellStyle name="Normal 11 21" xfId="5646" xr:uid="{00000000-0005-0000-0000-0000FC150000}"/>
    <cellStyle name="Normal 11 22" xfId="5647" xr:uid="{00000000-0005-0000-0000-0000FD150000}"/>
    <cellStyle name="Normal 11 23" xfId="5648" xr:uid="{00000000-0005-0000-0000-0000FE150000}"/>
    <cellStyle name="Normal 11 24" xfId="5649" xr:uid="{00000000-0005-0000-0000-0000FF150000}"/>
    <cellStyle name="Normal 11 25" xfId="5650" xr:uid="{00000000-0005-0000-0000-000000160000}"/>
    <cellStyle name="Normal 11 3" xfId="5651" xr:uid="{00000000-0005-0000-0000-000001160000}"/>
    <cellStyle name="Normal 11 3 2" xfId="5652" xr:uid="{00000000-0005-0000-0000-000002160000}"/>
    <cellStyle name="Normal 11 3 3" xfId="5653" xr:uid="{00000000-0005-0000-0000-000003160000}"/>
    <cellStyle name="Normal 11 4" xfId="5654" xr:uid="{00000000-0005-0000-0000-000004160000}"/>
    <cellStyle name="Normal 11 5" xfId="5655" xr:uid="{00000000-0005-0000-0000-000005160000}"/>
    <cellStyle name="Normal 11 6" xfId="5656" xr:uid="{00000000-0005-0000-0000-000006160000}"/>
    <cellStyle name="Normal 11 7" xfId="5657" xr:uid="{00000000-0005-0000-0000-000007160000}"/>
    <cellStyle name="Normal 11 8" xfId="5658" xr:uid="{00000000-0005-0000-0000-000008160000}"/>
    <cellStyle name="Normal 11 9" xfId="5659" xr:uid="{00000000-0005-0000-0000-000009160000}"/>
    <cellStyle name="Normal 110" xfId="5660" xr:uid="{00000000-0005-0000-0000-00000A160000}"/>
    <cellStyle name="Normal 110 2" xfId="5661" xr:uid="{00000000-0005-0000-0000-00000B160000}"/>
    <cellStyle name="Normal 111" xfId="5662" xr:uid="{00000000-0005-0000-0000-00000C160000}"/>
    <cellStyle name="Normal 111 2" xfId="5663" xr:uid="{00000000-0005-0000-0000-00000D160000}"/>
    <cellStyle name="Normal 112" xfId="5664" xr:uid="{00000000-0005-0000-0000-00000E160000}"/>
    <cellStyle name="Normal 112 2" xfId="5665" xr:uid="{00000000-0005-0000-0000-00000F160000}"/>
    <cellStyle name="Normal 113" xfId="5666" xr:uid="{00000000-0005-0000-0000-000010160000}"/>
    <cellStyle name="Normal 113 2" xfId="5667" xr:uid="{00000000-0005-0000-0000-000011160000}"/>
    <cellStyle name="Normal 114" xfId="5668" xr:uid="{00000000-0005-0000-0000-000012160000}"/>
    <cellStyle name="Normal 114 2" xfId="5669" xr:uid="{00000000-0005-0000-0000-000013160000}"/>
    <cellStyle name="Normal 115" xfId="5670" xr:uid="{00000000-0005-0000-0000-000014160000}"/>
    <cellStyle name="Normal 115 2" xfId="5671" xr:uid="{00000000-0005-0000-0000-000015160000}"/>
    <cellStyle name="Normal 116" xfId="5672" xr:uid="{00000000-0005-0000-0000-000016160000}"/>
    <cellStyle name="Normal 116 2" xfId="5673" xr:uid="{00000000-0005-0000-0000-000017160000}"/>
    <cellStyle name="Normal 117" xfId="5674" xr:uid="{00000000-0005-0000-0000-000018160000}"/>
    <cellStyle name="Normal 117 2" xfId="5675" xr:uid="{00000000-0005-0000-0000-000019160000}"/>
    <cellStyle name="Normal 118" xfId="5676" xr:uid="{00000000-0005-0000-0000-00001A160000}"/>
    <cellStyle name="Normal 118 2" xfId="5677" xr:uid="{00000000-0005-0000-0000-00001B160000}"/>
    <cellStyle name="Normal 119" xfId="5678" xr:uid="{00000000-0005-0000-0000-00001C160000}"/>
    <cellStyle name="Normal 119 2" xfId="5679" xr:uid="{00000000-0005-0000-0000-00001D160000}"/>
    <cellStyle name="Normal 12" xfId="5680" xr:uid="{00000000-0005-0000-0000-00001E160000}"/>
    <cellStyle name="Normal 12 10" xfId="5681" xr:uid="{00000000-0005-0000-0000-00001F160000}"/>
    <cellStyle name="Normal 12 11" xfId="5682" xr:uid="{00000000-0005-0000-0000-000020160000}"/>
    <cellStyle name="Normal 12 12" xfId="5683" xr:uid="{00000000-0005-0000-0000-000021160000}"/>
    <cellStyle name="Normal 12 13" xfId="5684" xr:uid="{00000000-0005-0000-0000-000022160000}"/>
    <cellStyle name="Normal 12 14" xfId="5685" xr:uid="{00000000-0005-0000-0000-000023160000}"/>
    <cellStyle name="Normal 12 15" xfId="5686" xr:uid="{00000000-0005-0000-0000-000024160000}"/>
    <cellStyle name="Normal 12 16" xfId="5687" xr:uid="{00000000-0005-0000-0000-000025160000}"/>
    <cellStyle name="Normal 12 17" xfId="5688" xr:uid="{00000000-0005-0000-0000-000026160000}"/>
    <cellStyle name="Normal 12 18" xfId="5689" xr:uid="{00000000-0005-0000-0000-000027160000}"/>
    <cellStyle name="Normal 12 19" xfId="5690" xr:uid="{00000000-0005-0000-0000-000028160000}"/>
    <cellStyle name="Normal 12 2" xfId="5691" xr:uid="{00000000-0005-0000-0000-000029160000}"/>
    <cellStyle name="Normal 12 2 2" xfId="5692" xr:uid="{00000000-0005-0000-0000-00002A160000}"/>
    <cellStyle name="Normal 12 2 3" xfId="5693" xr:uid="{00000000-0005-0000-0000-00002B160000}"/>
    <cellStyle name="Normal 12 20" xfId="5694" xr:uid="{00000000-0005-0000-0000-00002C160000}"/>
    <cellStyle name="Normal 12 21" xfId="5695" xr:uid="{00000000-0005-0000-0000-00002D160000}"/>
    <cellStyle name="Normal 12 22" xfId="5696" xr:uid="{00000000-0005-0000-0000-00002E160000}"/>
    <cellStyle name="Normal 12 23" xfId="5697" xr:uid="{00000000-0005-0000-0000-00002F160000}"/>
    <cellStyle name="Normal 12 24" xfId="5698" xr:uid="{00000000-0005-0000-0000-000030160000}"/>
    <cellStyle name="Normal 12 25" xfId="5699" xr:uid="{00000000-0005-0000-0000-000031160000}"/>
    <cellStyle name="Normal 12 3" xfId="5700" xr:uid="{00000000-0005-0000-0000-000032160000}"/>
    <cellStyle name="Normal 12 3 2" xfId="5701" xr:uid="{00000000-0005-0000-0000-000033160000}"/>
    <cellStyle name="Normal 12 3 3" xfId="5702" xr:uid="{00000000-0005-0000-0000-000034160000}"/>
    <cellStyle name="Normal 12 4" xfId="5703" xr:uid="{00000000-0005-0000-0000-000035160000}"/>
    <cellStyle name="Normal 12 5" xfId="5704" xr:uid="{00000000-0005-0000-0000-000036160000}"/>
    <cellStyle name="Normal 12 6" xfId="5705" xr:uid="{00000000-0005-0000-0000-000037160000}"/>
    <cellStyle name="Normal 12 7" xfId="5706" xr:uid="{00000000-0005-0000-0000-000038160000}"/>
    <cellStyle name="Normal 12 8" xfId="5707" xr:uid="{00000000-0005-0000-0000-000039160000}"/>
    <cellStyle name="Normal 12 9" xfId="5708" xr:uid="{00000000-0005-0000-0000-00003A160000}"/>
    <cellStyle name="Normal 120" xfId="5709" xr:uid="{00000000-0005-0000-0000-00003B160000}"/>
    <cellStyle name="Normal 120 2" xfId="5710" xr:uid="{00000000-0005-0000-0000-00003C160000}"/>
    <cellStyle name="Normal 121" xfId="5711" xr:uid="{00000000-0005-0000-0000-00003D160000}"/>
    <cellStyle name="Normal 121 2" xfId="5712" xr:uid="{00000000-0005-0000-0000-00003E160000}"/>
    <cellStyle name="Normal 122" xfId="5713" xr:uid="{00000000-0005-0000-0000-00003F160000}"/>
    <cellStyle name="Normal 122 2" xfId="5714" xr:uid="{00000000-0005-0000-0000-000040160000}"/>
    <cellStyle name="Normal 123" xfId="5715" xr:uid="{00000000-0005-0000-0000-000041160000}"/>
    <cellStyle name="Normal 123 2" xfId="5716" xr:uid="{00000000-0005-0000-0000-000042160000}"/>
    <cellStyle name="Normal 124" xfId="5717" xr:uid="{00000000-0005-0000-0000-000043160000}"/>
    <cellStyle name="Normal 124 2" xfId="5718" xr:uid="{00000000-0005-0000-0000-000044160000}"/>
    <cellStyle name="Normal 125" xfId="5719" xr:uid="{00000000-0005-0000-0000-000045160000}"/>
    <cellStyle name="Normal 125 2" xfId="5720" xr:uid="{00000000-0005-0000-0000-000046160000}"/>
    <cellStyle name="Normal 126" xfId="5721" xr:uid="{00000000-0005-0000-0000-000047160000}"/>
    <cellStyle name="Normal 126 2" xfId="5722" xr:uid="{00000000-0005-0000-0000-000048160000}"/>
    <cellStyle name="Normal 127" xfId="5723" xr:uid="{00000000-0005-0000-0000-000049160000}"/>
    <cellStyle name="Normal 127 2" xfId="5724" xr:uid="{00000000-0005-0000-0000-00004A160000}"/>
    <cellStyle name="Normal 128" xfId="5725" xr:uid="{00000000-0005-0000-0000-00004B160000}"/>
    <cellStyle name="Normal 128 2" xfId="5726" xr:uid="{00000000-0005-0000-0000-00004C160000}"/>
    <cellStyle name="Normal 129" xfId="5727" xr:uid="{00000000-0005-0000-0000-00004D160000}"/>
    <cellStyle name="Normal 129 2" xfId="5728" xr:uid="{00000000-0005-0000-0000-00004E160000}"/>
    <cellStyle name="Normal 13" xfId="5729" xr:uid="{00000000-0005-0000-0000-00004F160000}"/>
    <cellStyle name="Normal 13 10" xfId="5730" xr:uid="{00000000-0005-0000-0000-000050160000}"/>
    <cellStyle name="Normal 13 11" xfId="5731" xr:uid="{00000000-0005-0000-0000-000051160000}"/>
    <cellStyle name="Normal 13 12" xfId="5732" xr:uid="{00000000-0005-0000-0000-000052160000}"/>
    <cellStyle name="Normal 13 13" xfId="5733" xr:uid="{00000000-0005-0000-0000-000053160000}"/>
    <cellStyle name="Normal 13 14" xfId="5734" xr:uid="{00000000-0005-0000-0000-000054160000}"/>
    <cellStyle name="Normal 13 15" xfId="5735" xr:uid="{00000000-0005-0000-0000-000055160000}"/>
    <cellStyle name="Normal 13 16" xfId="5736" xr:uid="{00000000-0005-0000-0000-000056160000}"/>
    <cellStyle name="Normal 13 17" xfId="5737" xr:uid="{00000000-0005-0000-0000-000057160000}"/>
    <cellStyle name="Normal 13 18" xfId="5738" xr:uid="{00000000-0005-0000-0000-000058160000}"/>
    <cellStyle name="Normal 13 19" xfId="5739" xr:uid="{00000000-0005-0000-0000-000059160000}"/>
    <cellStyle name="Normal 13 2" xfId="5740" xr:uid="{00000000-0005-0000-0000-00005A160000}"/>
    <cellStyle name="Normal 13 2 2" xfId="5741" xr:uid="{00000000-0005-0000-0000-00005B160000}"/>
    <cellStyle name="Normal 13 2 3" xfId="5742" xr:uid="{00000000-0005-0000-0000-00005C160000}"/>
    <cellStyle name="Normal 13 20" xfId="5743" xr:uid="{00000000-0005-0000-0000-00005D160000}"/>
    <cellStyle name="Normal 13 21" xfId="5744" xr:uid="{00000000-0005-0000-0000-00005E160000}"/>
    <cellStyle name="Normal 13 22" xfId="5745" xr:uid="{00000000-0005-0000-0000-00005F160000}"/>
    <cellStyle name="Normal 13 23" xfId="5746" xr:uid="{00000000-0005-0000-0000-000060160000}"/>
    <cellStyle name="Normal 13 24" xfId="5747" xr:uid="{00000000-0005-0000-0000-000061160000}"/>
    <cellStyle name="Normal 13 25" xfId="5748" xr:uid="{00000000-0005-0000-0000-000062160000}"/>
    <cellStyle name="Normal 13 26" xfId="5749" xr:uid="{00000000-0005-0000-0000-000063160000}"/>
    <cellStyle name="Normal 13 3" xfId="5750" xr:uid="{00000000-0005-0000-0000-000064160000}"/>
    <cellStyle name="Normal 13 3 2" xfId="5751" xr:uid="{00000000-0005-0000-0000-000065160000}"/>
    <cellStyle name="Normal 13 3 3" xfId="5752" xr:uid="{00000000-0005-0000-0000-000066160000}"/>
    <cellStyle name="Normal 13 4" xfId="5753" xr:uid="{00000000-0005-0000-0000-000067160000}"/>
    <cellStyle name="Normal 13 5" xfId="5754" xr:uid="{00000000-0005-0000-0000-000068160000}"/>
    <cellStyle name="Normal 13 6" xfId="5755" xr:uid="{00000000-0005-0000-0000-000069160000}"/>
    <cellStyle name="Normal 13 7" xfId="5756" xr:uid="{00000000-0005-0000-0000-00006A160000}"/>
    <cellStyle name="Normal 13 8" xfId="5757" xr:uid="{00000000-0005-0000-0000-00006B160000}"/>
    <cellStyle name="Normal 13 9" xfId="5758" xr:uid="{00000000-0005-0000-0000-00006C160000}"/>
    <cellStyle name="Normal 130" xfId="5759" xr:uid="{00000000-0005-0000-0000-00006D160000}"/>
    <cellStyle name="Normal 130 2" xfId="5760" xr:uid="{00000000-0005-0000-0000-00006E160000}"/>
    <cellStyle name="Normal 131" xfId="5761" xr:uid="{00000000-0005-0000-0000-00006F160000}"/>
    <cellStyle name="Normal 131 2" xfId="5762" xr:uid="{00000000-0005-0000-0000-000070160000}"/>
    <cellStyle name="Normal 132" xfId="5763" xr:uid="{00000000-0005-0000-0000-000071160000}"/>
    <cellStyle name="Normal 132 2" xfId="5764" xr:uid="{00000000-0005-0000-0000-000072160000}"/>
    <cellStyle name="Normal 133" xfId="5765" xr:uid="{00000000-0005-0000-0000-000073160000}"/>
    <cellStyle name="Normal 133 2" xfId="5766" xr:uid="{00000000-0005-0000-0000-000074160000}"/>
    <cellStyle name="Normal 134" xfId="5767" xr:uid="{00000000-0005-0000-0000-000075160000}"/>
    <cellStyle name="Normal 134 2" xfId="5768" xr:uid="{00000000-0005-0000-0000-000076160000}"/>
    <cellStyle name="Normal 135" xfId="5769" xr:uid="{00000000-0005-0000-0000-000077160000}"/>
    <cellStyle name="Normal 135 2" xfId="5770" xr:uid="{00000000-0005-0000-0000-000078160000}"/>
    <cellStyle name="Normal 136" xfId="5771" xr:uid="{00000000-0005-0000-0000-000079160000}"/>
    <cellStyle name="Normal 136 2" xfId="5772" xr:uid="{00000000-0005-0000-0000-00007A160000}"/>
    <cellStyle name="Normal 137" xfId="5773" xr:uid="{00000000-0005-0000-0000-00007B160000}"/>
    <cellStyle name="Normal 137 2" xfId="5774" xr:uid="{00000000-0005-0000-0000-00007C160000}"/>
    <cellStyle name="Normal 138" xfId="5775" xr:uid="{00000000-0005-0000-0000-00007D160000}"/>
    <cellStyle name="Normal 138 2" xfId="5776" xr:uid="{00000000-0005-0000-0000-00007E160000}"/>
    <cellStyle name="Normal 139" xfId="5777" xr:uid="{00000000-0005-0000-0000-00007F160000}"/>
    <cellStyle name="Normal 139 2" xfId="5778" xr:uid="{00000000-0005-0000-0000-000080160000}"/>
    <cellStyle name="Normal 14" xfId="5779" xr:uid="{00000000-0005-0000-0000-000081160000}"/>
    <cellStyle name="Normal 14 2" xfId="5780" xr:uid="{00000000-0005-0000-0000-000082160000}"/>
    <cellStyle name="Normal 14 3" xfId="5781" xr:uid="{00000000-0005-0000-0000-000083160000}"/>
    <cellStyle name="Normal 14 3 2" xfId="5782" xr:uid="{00000000-0005-0000-0000-000084160000}"/>
    <cellStyle name="Normal 14 4" xfId="5783" xr:uid="{00000000-0005-0000-0000-000085160000}"/>
    <cellStyle name="Normal 14 5" xfId="5784" xr:uid="{00000000-0005-0000-0000-000086160000}"/>
    <cellStyle name="Normal 140" xfId="5785" xr:uid="{00000000-0005-0000-0000-000087160000}"/>
    <cellStyle name="Normal 140 2" xfId="5786" xr:uid="{00000000-0005-0000-0000-000088160000}"/>
    <cellStyle name="Normal 141" xfId="5787" xr:uid="{00000000-0005-0000-0000-000089160000}"/>
    <cellStyle name="Normal 141 2" xfId="5788" xr:uid="{00000000-0005-0000-0000-00008A160000}"/>
    <cellStyle name="Normal 142" xfId="5789" xr:uid="{00000000-0005-0000-0000-00008B160000}"/>
    <cellStyle name="Normal 142 2" xfId="5790" xr:uid="{00000000-0005-0000-0000-00008C160000}"/>
    <cellStyle name="Normal 143" xfId="5791" xr:uid="{00000000-0005-0000-0000-00008D160000}"/>
    <cellStyle name="Normal 143 2" xfId="5792" xr:uid="{00000000-0005-0000-0000-00008E160000}"/>
    <cellStyle name="Normal 144" xfId="5793" xr:uid="{00000000-0005-0000-0000-00008F160000}"/>
    <cellStyle name="Normal 144 2" xfId="5794" xr:uid="{00000000-0005-0000-0000-000090160000}"/>
    <cellStyle name="Normal 145" xfId="5795" xr:uid="{00000000-0005-0000-0000-000091160000}"/>
    <cellStyle name="Normal 145 2" xfId="5796" xr:uid="{00000000-0005-0000-0000-000092160000}"/>
    <cellStyle name="Normal 146" xfId="5797" xr:uid="{00000000-0005-0000-0000-000093160000}"/>
    <cellStyle name="Normal 146 2" xfId="5798" xr:uid="{00000000-0005-0000-0000-000094160000}"/>
    <cellStyle name="Normal 147" xfId="5799" xr:uid="{00000000-0005-0000-0000-000095160000}"/>
    <cellStyle name="Normal 147 2" xfId="5800" xr:uid="{00000000-0005-0000-0000-000096160000}"/>
    <cellStyle name="Normal 148" xfId="5801" xr:uid="{00000000-0005-0000-0000-000097160000}"/>
    <cellStyle name="Normal 148 2" xfId="5802" xr:uid="{00000000-0005-0000-0000-000098160000}"/>
    <cellStyle name="Normal 149" xfId="5803" xr:uid="{00000000-0005-0000-0000-000099160000}"/>
    <cellStyle name="Normal 149 2" xfId="5804" xr:uid="{00000000-0005-0000-0000-00009A160000}"/>
    <cellStyle name="Normal 15" xfId="8" xr:uid="{00000000-0005-0000-0000-00009B160000}"/>
    <cellStyle name="Normal 15 10" xfId="5805" xr:uid="{00000000-0005-0000-0000-00009C160000}"/>
    <cellStyle name="Normal 15 11" xfId="5806" xr:uid="{00000000-0005-0000-0000-00009D160000}"/>
    <cellStyle name="Normal 15 12" xfId="5807" xr:uid="{00000000-0005-0000-0000-00009E160000}"/>
    <cellStyle name="Normal 15 13" xfId="5808" xr:uid="{00000000-0005-0000-0000-00009F160000}"/>
    <cellStyle name="Normal 15 14" xfId="5809" xr:uid="{00000000-0005-0000-0000-0000A0160000}"/>
    <cellStyle name="Normal 15 15" xfId="5810" xr:uid="{00000000-0005-0000-0000-0000A1160000}"/>
    <cellStyle name="Normal 15 16" xfId="5811" xr:uid="{00000000-0005-0000-0000-0000A2160000}"/>
    <cellStyle name="Normal 15 17" xfId="5812" xr:uid="{00000000-0005-0000-0000-0000A3160000}"/>
    <cellStyle name="Normal 15 18" xfId="5813" xr:uid="{00000000-0005-0000-0000-0000A4160000}"/>
    <cellStyle name="Normal 15 19" xfId="5814" xr:uid="{00000000-0005-0000-0000-0000A5160000}"/>
    <cellStyle name="Normal 15 2" xfId="5815" xr:uid="{00000000-0005-0000-0000-0000A6160000}"/>
    <cellStyle name="Normal 15 2 2" xfId="5816" xr:uid="{00000000-0005-0000-0000-0000A7160000}"/>
    <cellStyle name="Normal 15 2 3" xfId="5817" xr:uid="{00000000-0005-0000-0000-0000A8160000}"/>
    <cellStyle name="Normal 15 20" xfId="5818" xr:uid="{00000000-0005-0000-0000-0000A9160000}"/>
    <cellStyle name="Normal 15 21" xfId="5819" xr:uid="{00000000-0005-0000-0000-0000AA160000}"/>
    <cellStyle name="Normal 15 22" xfId="5820" xr:uid="{00000000-0005-0000-0000-0000AB160000}"/>
    <cellStyle name="Normal 15 23" xfId="5821" xr:uid="{00000000-0005-0000-0000-0000AC160000}"/>
    <cellStyle name="Normal 15 24" xfId="5822" xr:uid="{00000000-0005-0000-0000-0000AD160000}"/>
    <cellStyle name="Normal 15 25" xfId="5823" xr:uid="{00000000-0005-0000-0000-0000AE160000}"/>
    <cellStyle name="Normal 15 3" xfId="5824" xr:uid="{00000000-0005-0000-0000-0000AF160000}"/>
    <cellStyle name="Normal 15 3 2" xfId="5825" xr:uid="{00000000-0005-0000-0000-0000B0160000}"/>
    <cellStyle name="Normal 15 3 3" xfId="5826" xr:uid="{00000000-0005-0000-0000-0000B1160000}"/>
    <cellStyle name="Normal 15 4" xfId="5827" xr:uid="{00000000-0005-0000-0000-0000B2160000}"/>
    <cellStyle name="Normal 15 5" xfId="5828" xr:uid="{00000000-0005-0000-0000-0000B3160000}"/>
    <cellStyle name="Normal 15 6" xfId="5829" xr:uid="{00000000-0005-0000-0000-0000B4160000}"/>
    <cellStyle name="Normal 15 7" xfId="5830" xr:uid="{00000000-0005-0000-0000-0000B5160000}"/>
    <cellStyle name="Normal 15 8" xfId="5831" xr:uid="{00000000-0005-0000-0000-0000B6160000}"/>
    <cellStyle name="Normal 15 9" xfId="5832" xr:uid="{00000000-0005-0000-0000-0000B7160000}"/>
    <cellStyle name="Normal 150" xfId="5833" xr:uid="{00000000-0005-0000-0000-0000B8160000}"/>
    <cellStyle name="Normal 150 2" xfId="5834" xr:uid="{00000000-0005-0000-0000-0000B9160000}"/>
    <cellStyle name="Normal 151" xfId="5835" xr:uid="{00000000-0005-0000-0000-0000BA160000}"/>
    <cellStyle name="Normal 151 2" xfId="5836" xr:uid="{00000000-0005-0000-0000-0000BB160000}"/>
    <cellStyle name="Normal 152" xfId="5837" xr:uid="{00000000-0005-0000-0000-0000BC160000}"/>
    <cellStyle name="Normal 152 2" xfId="5838" xr:uid="{00000000-0005-0000-0000-0000BD160000}"/>
    <cellStyle name="Normal 153" xfId="5839" xr:uid="{00000000-0005-0000-0000-0000BE160000}"/>
    <cellStyle name="Normal 153 2" xfId="5840" xr:uid="{00000000-0005-0000-0000-0000BF160000}"/>
    <cellStyle name="Normal 154" xfId="5841" xr:uid="{00000000-0005-0000-0000-0000C0160000}"/>
    <cellStyle name="Normal 154 2" xfId="5842" xr:uid="{00000000-0005-0000-0000-0000C1160000}"/>
    <cellStyle name="Normal 155" xfId="5843" xr:uid="{00000000-0005-0000-0000-0000C2160000}"/>
    <cellStyle name="Normal 155 2" xfId="5844" xr:uid="{00000000-0005-0000-0000-0000C3160000}"/>
    <cellStyle name="Normal 156" xfId="5845" xr:uid="{00000000-0005-0000-0000-0000C4160000}"/>
    <cellStyle name="Normal 156 2" xfId="5846" xr:uid="{00000000-0005-0000-0000-0000C5160000}"/>
    <cellStyle name="Normal 157" xfId="5847" xr:uid="{00000000-0005-0000-0000-0000C6160000}"/>
    <cellStyle name="Normal 157 2" xfId="5848" xr:uid="{00000000-0005-0000-0000-0000C7160000}"/>
    <cellStyle name="Normal 158" xfId="5849" xr:uid="{00000000-0005-0000-0000-0000C8160000}"/>
    <cellStyle name="Normal 158 2" xfId="5850" xr:uid="{00000000-0005-0000-0000-0000C9160000}"/>
    <cellStyle name="Normal 159" xfId="5851" xr:uid="{00000000-0005-0000-0000-0000CA160000}"/>
    <cellStyle name="Normal 159 2" xfId="5852" xr:uid="{00000000-0005-0000-0000-0000CB160000}"/>
    <cellStyle name="Normal 16" xfId="5853" xr:uid="{00000000-0005-0000-0000-0000CC160000}"/>
    <cellStyle name="Normal 16 10" xfId="5854" xr:uid="{00000000-0005-0000-0000-0000CD160000}"/>
    <cellStyle name="Normal 16 11" xfId="5855" xr:uid="{00000000-0005-0000-0000-0000CE160000}"/>
    <cellStyle name="Normal 16 12" xfId="5856" xr:uid="{00000000-0005-0000-0000-0000CF160000}"/>
    <cellStyle name="Normal 16 13" xfId="5857" xr:uid="{00000000-0005-0000-0000-0000D0160000}"/>
    <cellStyle name="Normal 16 14" xfId="5858" xr:uid="{00000000-0005-0000-0000-0000D1160000}"/>
    <cellStyle name="Normal 16 15" xfId="5859" xr:uid="{00000000-0005-0000-0000-0000D2160000}"/>
    <cellStyle name="Normal 16 16" xfId="5860" xr:uid="{00000000-0005-0000-0000-0000D3160000}"/>
    <cellStyle name="Normal 16 17" xfId="5861" xr:uid="{00000000-0005-0000-0000-0000D4160000}"/>
    <cellStyle name="Normal 16 18" xfId="5862" xr:uid="{00000000-0005-0000-0000-0000D5160000}"/>
    <cellStyle name="Normal 16 19" xfId="5863" xr:uid="{00000000-0005-0000-0000-0000D6160000}"/>
    <cellStyle name="Normal 16 2" xfId="5864" xr:uid="{00000000-0005-0000-0000-0000D7160000}"/>
    <cellStyle name="Normal 16 2 2" xfId="5865" xr:uid="{00000000-0005-0000-0000-0000D8160000}"/>
    <cellStyle name="Normal 16 2 3" xfId="5866" xr:uid="{00000000-0005-0000-0000-0000D9160000}"/>
    <cellStyle name="Normal 16 20" xfId="5867" xr:uid="{00000000-0005-0000-0000-0000DA160000}"/>
    <cellStyle name="Normal 16 21" xfId="5868" xr:uid="{00000000-0005-0000-0000-0000DB160000}"/>
    <cellStyle name="Normal 16 22" xfId="5869" xr:uid="{00000000-0005-0000-0000-0000DC160000}"/>
    <cellStyle name="Normal 16 23" xfId="5870" xr:uid="{00000000-0005-0000-0000-0000DD160000}"/>
    <cellStyle name="Normal 16 24" xfId="5871" xr:uid="{00000000-0005-0000-0000-0000DE160000}"/>
    <cellStyle name="Normal 16 25" xfId="5872" xr:uid="{00000000-0005-0000-0000-0000DF160000}"/>
    <cellStyle name="Normal 16 26" xfId="5873" xr:uid="{00000000-0005-0000-0000-0000E0160000}"/>
    <cellStyle name="Normal 16 3" xfId="5874" xr:uid="{00000000-0005-0000-0000-0000E1160000}"/>
    <cellStyle name="Normal 16 3 2" xfId="5875" xr:uid="{00000000-0005-0000-0000-0000E2160000}"/>
    <cellStyle name="Normal 16 3 3" xfId="5876" xr:uid="{00000000-0005-0000-0000-0000E3160000}"/>
    <cellStyle name="Normal 16 4" xfId="5877" xr:uid="{00000000-0005-0000-0000-0000E4160000}"/>
    <cellStyle name="Normal 16 5" xfId="5878" xr:uid="{00000000-0005-0000-0000-0000E5160000}"/>
    <cellStyle name="Normal 16 6" xfId="5879" xr:uid="{00000000-0005-0000-0000-0000E6160000}"/>
    <cellStyle name="Normal 16 7" xfId="5880" xr:uid="{00000000-0005-0000-0000-0000E7160000}"/>
    <cellStyle name="Normal 16 8" xfId="5881" xr:uid="{00000000-0005-0000-0000-0000E8160000}"/>
    <cellStyle name="Normal 16 9" xfId="5882" xr:uid="{00000000-0005-0000-0000-0000E9160000}"/>
    <cellStyle name="Normal 160" xfId="5883" xr:uid="{00000000-0005-0000-0000-0000EA160000}"/>
    <cellStyle name="Normal 160 2" xfId="5884" xr:uid="{00000000-0005-0000-0000-0000EB160000}"/>
    <cellStyle name="Normal 161" xfId="5885" xr:uid="{00000000-0005-0000-0000-0000EC160000}"/>
    <cellStyle name="Normal 161 2" xfId="5886" xr:uid="{00000000-0005-0000-0000-0000ED160000}"/>
    <cellStyle name="Normal 162" xfId="5887" xr:uid="{00000000-0005-0000-0000-0000EE160000}"/>
    <cellStyle name="Normal 162 2" xfId="5888" xr:uid="{00000000-0005-0000-0000-0000EF160000}"/>
    <cellStyle name="Normal 163" xfId="5889" xr:uid="{00000000-0005-0000-0000-0000F0160000}"/>
    <cellStyle name="Normal 163 2" xfId="5890" xr:uid="{00000000-0005-0000-0000-0000F1160000}"/>
    <cellStyle name="Normal 164" xfId="5891" xr:uid="{00000000-0005-0000-0000-0000F2160000}"/>
    <cellStyle name="Normal 164 2" xfId="5892" xr:uid="{00000000-0005-0000-0000-0000F3160000}"/>
    <cellStyle name="Normal 165" xfId="5893" xr:uid="{00000000-0005-0000-0000-0000F4160000}"/>
    <cellStyle name="Normal 165 2" xfId="5894" xr:uid="{00000000-0005-0000-0000-0000F5160000}"/>
    <cellStyle name="Normal 166" xfId="5895" xr:uid="{00000000-0005-0000-0000-0000F6160000}"/>
    <cellStyle name="Normal 166 2" xfId="5896" xr:uid="{00000000-0005-0000-0000-0000F7160000}"/>
    <cellStyle name="Normal 167" xfId="5897" xr:uid="{00000000-0005-0000-0000-0000F8160000}"/>
    <cellStyle name="Normal 167 2" xfId="5898" xr:uid="{00000000-0005-0000-0000-0000F9160000}"/>
    <cellStyle name="Normal 168" xfId="5899" xr:uid="{00000000-0005-0000-0000-0000FA160000}"/>
    <cellStyle name="Normal 168 2" xfId="5900" xr:uid="{00000000-0005-0000-0000-0000FB160000}"/>
    <cellStyle name="Normal 169" xfId="5901" xr:uid="{00000000-0005-0000-0000-0000FC160000}"/>
    <cellStyle name="Normal 169 2" xfId="5902" xr:uid="{00000000-0005-0000-0000-0000FD160000}"/>
    <cellStyle name="Normal 17" xfId="9" xr:uid="{00000000-0005-0000-0000-0000FE160000}"/>
    <cellStyle name="Normal 17 10" xfId="5903" xr:uid="{00000000-0005-0000-0000-0000FF160000}"/>
    <cellStyle name="Normal 17 11" xfId="5904" xr:uid="{00000000-0005-0000-0000-000000170000}"/>
    <cellStyle name="Normal 17 12" xfId="5905" xr:uid="{00000000-0005-0000-0000-000001170000}"/>
    <cellStyle name="Normal 17 13" xfId="5906" xr:uid="{00000000-0005-0000-0000-000002170000}"/>
    <cellStyle name="Normal 17 14" xfId="5907" xr:uid="{00000000-0005-0000-0000-000003170000}"/>
    <cellStyle name="Normal 17 15" xfId="5908" xr:uid="{00000000-0005-0000-0000-000004170000}"/>
    <cellStyle name="Normal 17 16" xfId="5909" xr:uid="{00000000-0005-0000-0000-000005170000}"/>
    <cellStyle name="Normal 17 17" xfId="5910" xr:uid="{00000000-0005-0000-0000-000006170000}"/>
    <cellStyle name="Normal 17 18" xfId="5911" xr:uid="{00000000-0005-0000-0000-000007170000}"/>
    <cellStyle name="Normal 17 19" xfId="5912" xr:uid="{00000000-0005-0000-0000-000008170000}"/>
    <cellStyle name="Normal 17 2" xfId="5913" xr:uid="{00000000-0005-0000-0000-000009170000}"/>
    <cellStyle name="Normal 17 2 2" xfId="5914" xr:uid="{00000000-0005-0000-0000-00000A170000}"/>
    <cellStyle name="Normal 17 2 3" xfId="5915" xr:uid="{00000000-0005-0000-0000-00000B170000}"/>
    <cellStyle name="Normal 17 20" xfId="5916" xr:uid="{00000000-0005-0000-0000-00000C170000}"/>
    <cellStyle name="Normal 17 21" xfId="5917" xr:uid="{00000000-0005-0000-0000-00000D170000}"/>
    <cellStyle name="Normal 17 22" xfId="5918" xr:uid="{00000000-0005-0000-0000-00000E170000}"/>
    <cellStyle name="Normal 17 23" xfId="5919" xr:uid="{00000000-0005-0000-0000-00000F170000}"/>
    <cellStyle name="Normal 17 24" xfId="5920" xr:uid="{00000000-0005-0000-0000-000010170000}"/>
    <cellStyle name="Normal 17 25" xfId="5921" xr:uid="{00000000-0005-0000-0000-000011170000}"/>
    <cellStyle name="Normal 17 26" xfId="5922" xr:uid="{00000000-0005-0000-0000-000012170000}"/>
    <cellStyle name="Normal 17 27" xfId="5923" xr:uid="{00000000-0005-0000-0000-000013170000}"/>
    <cellStyle name="Normal 17 28" xfId="5924" xr:uid="{00000000-0005-0000-0000-000014170000}"/>
    <cellStyle name="Normal 17 29" xfId="5925" xr:uid="{00000000-0005-0000-0000-000015170000}"/>
    <cellStyle name="Normal 17 3" xfId="5926" xr:uid="{00000000-0005-0000-0000-000016170000}"/>
    <cellStyle name="Normal 17 3 2" xfId="5927" xr:uid="{00000000-0005-0000-0000-000017170000}"/>
    <cellStyle name="Normal 17 3 3" xfId="5928" xr:uid="{00000000-0005-0000-0000-000018170000}"/>
    <cellStyle name="Normal 17 3 4" xfId="5929" xr:uid="{00000000-0005-0000-0000-000019170000}"/>
    <cellStyle name="Normal 17 3 5" xfId="5930" xr:uid="{00000000-0005-0000-0000-00001A170000}"/>
    <cellStyle name="Normal 17 4" xfId="5931" xr:uid="{00000000-0005-0000-0000-00001B170000}"/>
    <cellStyle name="Normal 17 5" xfId="5932" xr:uid="{00000000-0005-0000-0000-00001C170000}"/>
    <cellStyle name="Normal 17 6" xfId="5933" xr:uid="{00000000-0005-0000-0000-00001D170000}"/>
    <cellStyle name="Normal 17 7" xfId="5934" xr:uid="{00000000-0005-0000-0000-00001E170000}"/>
    <cellStyle name="Normal 17 8" xfId="5935" xr:uid="{00000000-0005-0000-0000-00001F170000}"/>
    <cellStyle name="Normal 17 9" xfId="5936" xr:uid="{00000000-0005-0000-0000-000020170000}"/>
    <cellStyle name="Normal 170" xfId="5937" xr:uid="{00000000-0005-0000-0000-000021170000}"/>
    <cellStyle name="Normal 171" xfId="5938" xr:uid="{00000000-0005-0000-0000-000022170000}"/>
    <cellStyle name="Normal 172" xfId="39122" xr:uid="{00000000-0005-0000-0000-000023170000}"/>
    <cellStyle name="Normal 177" xfId="39124" xr:uid="{548F9E7F-B752-4F38-9869-2F1E0A89E6AD}"/>
    <cellStyle name="Normal 18" xfId="5939" xr:uid="{00000000-0005-0000-0000-000024170000}"/>
    <cellStyle name="Normal 18 10" xfId="5940" xr:uid="{00000000-0005-0000-0000-000025170000}"/>
    <cellStyle name="Normal 18 11" xfId="5941" xr:uid="{00000000-0005-0000-0000-000026170000}"/>
    <cellStyle name="Normal 18 12" xfId="5942" xr:uid="{00000000-0005-0000-0000-000027170000}"/>
    <cellStyle name="Normal 18 13" xfId="5943" xr:uid="{00000000-0005-0000-0000-000028170000}"/>
    <cellStyle name="Normal 18 14" xfId="5944" xr:uid="{00000000-0005-0000-0000-000029170000}"/>
    <cellStyle name="Normal 18 15" xfId="5945" xr:uid="{00000000-0005-0000-0000-00002A170000}"/>
    <cellStyle name="Normal 18 16" xfId="5946" xr:uid="{00000000-0005-0000-0000-00002B170000}"/>
    <cellStyle name="Normal 18 17" xfId="5947" xr:uid="{00000000-0005-0000-0000-00002C170000}"/>
    <cellStyle name="Normal 18 18" xfId="5948" xr:uid="{00000000-0005-0000-0000-00002D170000}"/>
    <cellStyle name="Normal 18 19" xfId="5949" xr:uid="{00000000-0005-0000-0000-00002E170000}"/>
    <cellStyle name="Normal 18 2" xfId="5950" xr:uid="{00000000-0005-0000-0000-00002F170000}"/>
    <cellStyle name="Normal 18 2 2" xfId="5951" xr:uid="{00000000-0005-0000-0000-000030170000}"/>
    <cellStyle name="Normal 18 2 3" xfId="5952" xr:uid="{00000000-0005-0000-0000-000031170000}"/>
    <cellStyle name="Normal 18 20" xfId="5953" xr:uid="{00000000-0005-0000-0000-000032170000}"/>
    <cellStyle name="Normal 18 21" xfId="5954" xr:uid="{00000000-0005-0000-0000-000033170000}"/>
    <cellStyle name="Normal 18 22" xfId="5955" xr:uid="{00000000-0005-0000-0000-000034170000}"/>
    <cellStyle name="Normal 18 23" xfId="5956" xr:uid="{00000000-0005-0000-0000-000035170000}"/>
    <cellStyle name="Normal 18 24" xfId="5957" xr:uid="{00000000-0005-0000-0000-000036170000}"/>
    <cellStyle name="Normal 18 25" xfId="5958" xr:uid="{00000000-0005-0000-0000-000037170000}"/>
    <cellStyle name="Normal 18 3" xfId="5959" xr:uid="{00000000-0005-0000-0000-000038170000}"/>
    <cellStyle name="Normal 18 3 2" xfId="5960" xr:uid="{00000000-0005-0000-0000-000039170000}"/>
    <cellStyle name="Normal 18 3 3" xfId="5961" xr:uid="{00000000-0005-0000-0000-00003A170000}"/>
    <cellStyle name="Normal 18 3 4" xfId="5962" xr:uid="{00000000-0005-0000-0000-00003B170000}"/>
    <cellStyle name="Normal 18 3 5" xfId="5963" xr:uid="{00000000-0005-0000-0000-00003C170000}"/>
    <cellStyle name="Normal 18 4" xfId="5964" xr:uid="{00000000-0005-0000-0000-00003D170000}"/>
    <cellStyle name="Normal 18 5" xfId="5965" xr:uid="{00000000-0005-0000-0000-00003E170000}"/>
    <cellStyle name="Normal 18 6" xfId="5966" xr:uid="{00000000-0005-0000-0000-00003F170000}"/>
    <cellStyle name="Normal 18 7" xfId="5967" xr:uid="{00000000-0005-0000-0000-000040170000}"/>
    <cellStyle name="Normal 18 8" xfId="5968" xr:uid="{00000000-0005-0000-0000-000041170000}"/>
    <cellStyle name="Normal 18 9" xfId="5969" xr:uid="{00000000-0005-0000-0000-000042170000}"/>
    <cellStyle name="Normal 19" xfId="5970" xr:uid="{00000000-0005-0000-0000-000043170000}"/>
    <cellStyle name="Normal 19 10" xfId="5971" xr:uid="{00000000-0005-0000-0000-000044170000}"/>
    <cellStyle name="Normal 19 11" xfId="5972" xr:uid="{00000000-0005-0000-0000-000045170000}"/>
    <cellStyle name="Normal 19 12" xfId="5973" xr:uid="{00000000-0005-0000-0000-000046170000}"/>
    <cellStyle name="Normal 19 13" xfId="5974" xr:uid="{00000000-0005-0000-0000-000047170000}"/>
    <cellStyle name="Normal 19 14" xfId="5975" xr:uid="{00000000-0005-0000-0000-000048170000}"/>
    <cellStyle name="Normal 19 15" xfId="5976" xr:uid="{00000000-0005-0000-0000-000049170000}"/>
    <cellStyle name="Normal 19 16" xfId="5977" xr:uid="{00000000-0005-0000-0000-00004A170000}"/>
    <cellStyle name="Normal 19 17" xfId="5978" xr:uid="{00000000-0005-0000-0000-00004B170000}"/>
    <cellStyle name="Normal 19 18" xfId="5979" xr:uid="{00000000-0005-0000-0000-00004C170000}"/>
    <cellStyle name="Normal 19 19" xfId="5980" xr:uid="{00000000-0005-0000-0000-00004D170000}"/>
    <cellStyle name="Normal 19 2" xfId="5981" xr:uid="{00000000-0005-0000-0000-00004E170000}"/>
    <cellStyle name="Normal 19 2 2" xfId="5982" xr:uid="{00000000-0005-0000-0000-00004F170000}"/>
    <cellStyle name="Normal 19 2 3" xfId="5983" xr:uid="{00000000-0005-0000-0000-000050170000}"/>
    <cellStyle name="Normal 19 20" xfId="5984" xr:uid="{00000000-0005-0000-0000-000051170000}"/>
    <cellStyle name="Normal 19 21" xfId="5985" xr:uid="{00000000-0005-0000-0000-000052170000}"/>
    <cellStyle name="Normal 19 22" xfId="5986" xr:uid="{00000000-0005-0000-0000-000053170000}"/>
    <cellStyle name="Normal 19 23" xfId="5987" xr:uid="{00000000-0005-0000-0000-000054170000}"/>
    <cellStyle name="Normal 19 24" xfId="5988" xr:uid="{00000000-0005-0000-0000-000055170000}"/>
    <cellStyle name="Normal 19 25" xfId="5989" xr:uid="{00000000-0005-0000-0000-000056170000}"/>
    <cellStyle name="Normal 19 3" xfId="5990" xr:uid="{00000000-0005-0000-0000-000057170000}"/>
    <cellStyle name="Normal 19 3 2" xfId="5991" xr:uid="{00000000-0005-0000-0000-000058170000}"/>
    <cellStyle name="Normal 19 3 3" xfId="5992" xr:uid="{00000000-0005-0000-0000-000059170000}"/>
    <cellStyle name="Normal 19 3 4" xfId="5993" xr:uid="{00000000-0005-0000-0000-00005A170000}"/>
    <cellStyle name="Normal 19 3 5" xfId="5994" xr:uid="{00000000-0005-0000-0000-00005B170000}"/>
    <cellStyle name="Normal 19 4" xfId="5995" xr:uid="{00000000-0005-0000-0000-00005C170000}"/>
    <cellStyle name="Normal 19 5" xfId="5996" xr:uid="{00000000-0005-0000-0000-00005D170000}"/>
    <cellStyle name="Normal 19 6" xfId="5997" xr:uid="{00000000-0005-0000-0000-00005E170000}"/>
    <cellStyle name="Normal 19 7" xfId="5998" xr:uid="{00000000-0005-0000-0000-00005F170000}"/>
    <cellStyle name="Normal 19 8" xfId="5999" xr:uid="{00000000-0005-0000-0000-000060170000}"/>
    <cellStyle name="Normal 19 9" xfId="6000" xr:uid="{00000000-0005-0000-0000-000061170000}"/>
    <cellStyle name="Normal 2" xfId="10" xr:uid="{00000000-0005-0000-0000-000062170000}"/>
    <cellStyle name="Normal 2 10" xfId="11" xr:uid="{00000000-0005-0000-0000-000063170000}"/>
    <cellStyle name="Normal 2 10 10" xfId="6001" xr:uid="{00000000-0005-0000-0000-000064170000}"/>
    <cellStyle name="Normal 2 10 2" xfId="6002" xr:uid="{00000000-0005-0000-0000-000065170000}"/>
    <cellStyle name="Normal 2 10 3" xfId="6003" xr:uid="{00000000-0005-0000-0000-000066170000}"/>
    <cellStyle name="Normal 2 10 4" xfId="6004" xr:uid="{00000000-0005-0000-0000-000067170000}"/>
    <cellStyle name="Normal 2 10_Enlaces" xfId="6005" xr:uid="{00000000-0005-0000-0000-000068170000}"/>
    <cellStyle name="Normal 2 100" xfId="6006" xr:uid="{00000000-0005-0000-0000-000069170000}"/>
    <cellStyle name="Normal 2 100 2" xfId="6007" xr:uid="{00000000-0005-0000-0000-00006A170000}"/>
    <cellStyle name="Normal 2 101" xfId="6008" xr:uid="{00000000-0005-0000-0000-00006B170000}"/>
    <cellStyle name="Normal 2 101 2" xfId="6009" xr:uid="{00000000-0005-0000-0000-00006C170000}"/>
    <cellStyle name="Normal 2 102" xfId="6010" xr:uid="{00000000-0005-0000-0000-00006D170000}"/>
    <cellStyle name="Normal 2 102 2" xfId="6011" xr:uid="{00000000-0005-0000-0000-00006E170000}"/>
    <cellStyle name="Normal 2 103" xfId="6012" xr:uid="{00000000-0005-0000-0000-00006F170000}"/>
    <cellStyle name="Normal 2 103 2" xfId="6013" xr:uid="{00000000-0005-0000-0000-000070170000}"/>
    <cellStyle name="Normal 2 104" xfId="6014" xr:uid="{00000000-0005-0000-0000-000071170000}"/>
    <cellStyle name="Normal 2 104 2" xfId="6015" xr:uid="{00000000-0005-0000-0000-000072170000}"/>
    <cellStyle name="Normal 2 105" xfId="6016" xr:uid="{00000000-0005-0000-0000-000073170000}"/>
    <cellStyle name="Normal 2 106" xfId="6017" xr:uid="{00000000-0005-0000-0000-000074170000}"/>
    <cellStyle name="Normal 2 107" xfId="6018" xr:uid="{00000000-0005-0000-0000-000075170000}"/>
    <cellStyle name="Normal 2 108" xfId="6019" xr:uid="{00000000-0005-0000-0000-000076170000}"/>
    <cellStyle name="Normal 2 109" xfId="6020" xr:uid="{00000000-0005-0000-0000-000077170000}"/>
    <cellStyle name="Normal 2 11" xfId="6021" xr:uid="{00000000-0005-0000-0000-000078170000}"/>
    <cellStyle name="Normal 2 11 2" xfId="6022" xr:uid="{00000000-0005-0000-0000-000079170000}"/>
    <cellStyle name="Normal 2 11 3" xfId="6023" xr:uid="{00000000-0005-0000-0000-00007A170000}"/>
    <cellStyle name="Normal 2 11 4" xfId="6024" xr:uid="{00000000-0005-0000-0000-00007B170000}"/>
    <cellStyle name="Normal 2 11 5" xfId="6025" xr:uid="{00000000-0005-0000-0000-00007C170000}"/>
    <cellStyle name="Normal 2 110" xfId="6026" xr:uid="{00000000-0005-0000-0000-00007D170000}"/>
    <cellStyle name="Normal 2 111" xfId="6027" xr:uid="{00000000-0005-0000-0000-00007E170000}"/>
    <cellStyle name="Normal 2 112" xfId="6028" xr:uid="{00000000-0005-0000-0000-00007F170000}"/>
    <cellStyle name="Normal 2 113" xfId="6029" xr:uid="{00000000-0005-0000-0000-000080170000}"/>
    <cellStyle name="Normal 2 114" xfId="6030" xr:uid="{00000000-0005-0000-0000-000081170000}"/>
    <cellStyle name="Normal 2 115" xfId="6031" xr:uid="{00000000-0005-0000-0000-000082170000}"/>
    <cellStyle name="Normal 2 116" xfId="6032" xr:uid="{00000000-0005-0000-0000-000083170000}"/>
    <cellStyle name="Normal 2 117" xfId="6033" xr:uid="{00000000-0005-0000-0000-000084170000}"/>
    <cellStyle name="Normal 2 118" xfId="6034" xr:uid="{00000000-0005-0000-0000-000085170000}"/>
    <cellStyle name="Normal 2 119" xfId="6035" xr:uid="{00000000-0005-0000-0000-000086170000}"/>
    <cellStyle name="Normal 2 12" xfId="6036" xr:uid="{00000000-0005-0000-0000-000087170000}"/>
    <cellStyle name="Normal 2 12 2" xfId="6037" xr:uid="{00000000-0005-0000-0000-000088170000}"/>
    <cellStyle name="Normal 2 12 3" xfId="6038" xr:uid="{00000000-0005-0000-0000-000089170000}"/>
    <cellStyle name="Normal 2 12 4" xfId="6039" xr:uid="{00000000-0005-0000-0000-00008A170000}"/>
    <cellStyle name="Normal 2 12 5" xfId="6040" xr:uid="{00000000-0005-0000-0000-00008B170000}"/>
    <cellStyle name="Normal 2 12 6" xfId="6041" xr:uid="{00000000-0005-0000-0000-00008C170000}"/>
    <cellStyle name="Normal 2 120" xfId="6042" xr:uid="{00000000-0005-0000-0000-00008D170000}"/>
    <cellStyle name="Normal 2 121" xfId="6043" xr:uid="{00000000-0005-0000-0000-00008E170000}"/>
    <cellStyle name="Normal 2 122" xfId="6044" xr:uid="{00000000-0005-0000-0000-00008F170000}"/>
    <cellStyle name="Normal 2 123" xfId="6045" xr:uid="{00000000-0005-0000-0000-000090170000}"/>
    <cellStyle name="Normal 2 124" xfId="6046" xr:uid="{00000000-0005-0000-0000-000091170000}"/>
    <cellStyle name="Normal 2 125" xfId="6047" xr:uid="{00000000-0005-0000-0000-000092170000}"/>
    <cellStyle name="Normal 2 126" xfId="6048" xr:uid="{00000000-0005-0000-0000-000093170000}"/>
    <cellStyle name="Normal 2 127" xfId="6049" xr:uid="{00000000-0005-0000-0000-000094170000}"/>
    <cellStyle name="Normal 2 128" xfId="6050" xr:uid="{00000000-0005-0000-0000-000095170000}"/>
    <cellStyle name="Normal 2 129" xfId="6051" xr:uid="{00000000-0005-0000-0000-000096170000}"/>
    <cellStyle name="Normal 2 13" xfId="6052" xr:uid="{00000000-0005-0000-0000-000097170000}"/>
    <cellStyle name="Normal 2 13 2" xfId="6053" xr:uid="{00000000-0005-0000-0000-000098170000}"/>
    <cellStyle name="Normal 2 13 3" xfId="6054" xr:uid="{00000000-0005-0000-0000-000099170000}"/>
    <cellStyle name="Normal 2 13 4" xfId="6055" xr:uid="{00000000-0005-0000-0000-00009A170000}"/>
    <cellStyle name="Normal 2 13 5" xfId="6056" xr:uid="{00000000-0005-0000-0000-00009B170000}"/>
    <cellStyle name="Normal 2 13 6" xfId="6057" xr:uid="{00000000-0005-0000-0000-00009C170000}"/>
    <cellStyle name="Normal 2 130" xfId="6058" xr:uid="{00000000-0005-0000-0000-00009D170000}"/>
    <cellStyle name="Normal 2 131" xfId="6059" xr:uid="{00000000-0005-0000-0000-00009E170000}"/>
    <cellStyle name="Normal 2 132" xfId="6060" xr:uid="{00000000-0005-0000-0000-00009F170000}"/>
    <cellStyle name="Normal 2 133" xfId="6061" xr:uid="{00000000-0005-0000-0000-0000A0170000}"/>
    <cellStyle name="Normal 2 134" xfId="6062" xr:uid="{00000000-0005-0000-0000-0000A1170000}"/>
    <cellStyle name="Normal 2 135" xfId="6063" xr:uid="{00000000-0005-0000-0000-0000A2170000}"/>
    <cellStyle name="Normal 2 136" xfId="6064" xr:uid="{00000000-0005-0000-0000-0000A3170000}"/>
    <cellStyle name="Normal 2 137" xfId="6065" xr:uid="{00000000-0005-0000-0000-0000A4170000}"/>
    <cellStyle name="Normal 2 138" xfId="6066" xr:uid="{00000000-0005-0000-0000-0000A5170000}"/>
    <cellStyle name="Normal 2 139" xfId="6067" xr:uid="{00000000-0005-0000-0000-0000A6170000}"/>
    <cellStyle name="Normal 2 14" xfId="6068" xr:uid="{00000000-0005-0000-0000-0000A7170000}"/>
    <cellStyle name="Normal 2 14 2" xfId="6069" xr:uid="{00000000-0005-0000-0000-0000A8170000}"/>
    <cellStyle name="Normal 2 14 3" xfId="6070" xr:uid="{00000000-0005-0000-0000-0000A9170000}"/>
    <cellStyle name="Normal 2 14 4" xfId="6071" xr:uid="{00000000-0005-0000-0000-0000AA170000}"/>
    <cellStyle name="Normal 2 14 5" xfId="6072" xr:uid="{00000000-0005-0000-0000-0000AB170000}"/>
    <cellStyle name="Normal 2 140" xfId="6073" xr:uid="{00000000-0005-0000-0000-0000AC170000}"/>
    <cellStyle name="Normal 2 141" xfId="6074" xr:uid="{00000000-0005-0000-0000-0000AD170000}"/>
    <cellStyle name="Normal 2 142" xfId="6075" xr:uid="{00000000-0005-0000-0000-0000AE170000}"/>
    <cellStyle name="Normal 2 143" xfId="6076" xr:uid="{00000000-0005-0000-0000-0000AF170000}"/>
    <cellStyle name="Normal 2 144" xfId="6077" xr:uid="{00000000-0005-0000-0000-0000B0170000}"/>
    <cellStyle name="Normal 2 145" xfId="6078" xr:uid="{00000000-0005-0000-0000-0000B1170000}"/>
    <cellStyle name="Normal 2 146" xfId="6079" xr:uid="{00000000-0005-0000-0000-0000B2170000}"/>
    <cellStyle name="Normal 2 147" xfId="6080" xr:uid="{00000000-0005-0000-0000-0000B3170000}"/>
    <cellStyle name="Normal 2 148" xfId="6081" xr:uid="{00000000-0005-0000-0000-0000B4170000}"/>
    <cellStyle name="Normal 2 149" xfId="6082" xr:uid="{00000000-0005-0000-0000-0000B5170000}"/>
    <cellStyle name="Normal 2 15" xfId="6083" xr:uid="{00000000-0005-0000-0000-0000B6170000}"/>
    <cellStyle name="Normal 2 15 2" xfId="6084" xr:uid="{00000000-0005-0000-0000-0000B7170000}"/>
    <cellStyle name="Normal 2 15 3" xfId="6085" xr:uid="{00000000-0005-0000-0000-0000B8170000}"/>
    <cellStyle name="Normal 2 15 4" xfId="6086" xr:uid="{00000000-0005-0000-0000-0000B9170000}"/>
    <cellStyle name="Normal 2 15 5" xfId="6087" xr:uid="{00000000-0005-0000-0000-0000BA170000}"/>
    <cellStyle name="Normal 2 15 6" xfId="6088" xr:uid="{00000000-0005-0000-0000-0000BB170000}"/>
    <cellStyle name="Normal 2 150" xfId="6089" xr:uid="{00000000-0005-0000-0000-0000BC170000}"/>
    <cellStyle name="Normal 2 151" xfId="6090" xr:uid="{00000000-0005-0000-0000-0000BD170000}"/>
    <cellStyle name="Normal 2 152" xfId="6091" xr:uid="{00000000-0005-0000-0000-0000BE170000}"/>
    <cellStyle name="Normal 2 153" xfId="6092" xr:uid="{00000000-0005-0000-0000-0000BF170000}"/>
    <cellStyle name="Normal 2 154" xfId="6093" xr:uid="{00000000-0005-0000-0000-0000C0170000}"/>
    <cellStyle name="Normal 2 155" xfId="6094" xr:uid="{00000000-0005-0000-0000-0000C1170000}"/>
    <cellStyle name="Normal 2 156" xfId="6095" xr:uid="{00000000-0005-0000-0000-0000C2170000}"/>
    <cellStyle name="Normal 2 157" xfId="6096" xr:uid="{00000000-0005-0000-0000-0000C3170000}"/>
    <cellStyle name="Normal 2 158" xfId="6097" xr:uid="{00000000-0005-0000-0000-0000C4170000}"/>
    <cellStyle name="Normal 2 159" xfId="6098" xr:uid="{00000000-0005-0000-0000-0000C5170000}"/>
    <cellStyle name="Normal 2 16" xfId="6099" xr:uid="{00000000-0005-0000-0000-0000C6170000}"/>
    <cellStyle name="Normal 2 16 2" xfId="6100" xr:uid="{00000000-0005-0000-0000-0000C7170000}"/>
    <cellStyle name="Normal 2 16 3" xfId="6101" xr:uid="{00000000-0005-0000-0000-0000C8170000}"/>
    <cellStyle name="Normal 2 16 4" xfId="6102" xr:uid="{00000000-0005-0000-0000-0000C9170000}"/>
    <cellStyle name="Normal 2 16 5" xfId="6103" xr:uid="{00000000-0005-0000-0000-0000CA170000}"/>
    <cellStyle name="Normal 2 160" xfId="6104" xr:uid="{00000000-0005-0000-0000-0000CB170000}"/>
    <cellStyle name="Normal 2 161" xfId="6105" xr:uid="{00000000-0005-0000-0000-0000CC170000}"/>
    <cellStyle name="Normal 2 162" xfId="6106" xr:uid="{00000000-0005-0000-0000-0000CD170000}"/>
    <cellStyle name="Normal 2 163" xfId="6107" xr:uid="{00000000-0005-0000-0000-0000CE170000}"/>
    <cellStyle name="Normal 2 164" xfId="6108" xr:uid="{00000000-0005-0000-0000-0000CF170000}"/>
    <cellStyle name="Normal 2 165" xfId="6109" xr:uid="{00000000-0005-0000-0000-0000D0170000}"/>
    <cellStyle name="Normal 2 166" xfId="6110" xr:uid="{00000000-0005-0000-0000-0000D1170000}"/>
    <cellStyle name="Normal 2 167" xfId="6111" xr:uid="{00000000-0005-0000-0000-0000D2170000}"/>
    <cellStyle name="Normal 2 168" xfId="6112" xr:uid="{00000000-0005-0000-0000-0000D3170000}"/>
    <cellStyle name="Normal 2 169" xfId="6113" xr:uid="{00000000-0005-0000-0000-0000D4170000}"/>
    <cellStyle name="Normal 2 17" xfId="6114" xr:uid="{00000000-0005-0000-0000-0000D5170000}"/>
    <cellStyle name="Normal 2 17 2" xfId="6115" xr:uid="{00000000-0005-0000-0000-0000D6170000}"/>
    <cellStyle name="Normal 2 17 3" xfId="6116" xr:uid="{00000000-0005-0000-0000-0000D7170000}"/>
    <cellStyle name="Normal 2 17 4" xfId="6117" xr:uid="{00000000-0005-0000-0000-0000D8170000}"/>
    <cellStyle name="Normal 2 17 5" xfId="6118" xr:uid="{00000000-0005-0000-0000-0000D9170000}"/>
    <cellStyle name="Normal 2 170" xfId="6119" xr:uid="{00000000-0005-0000-0000-0000DA170000}"/>
    <cellStyle name="Normal 2 171" xfId="6120" xr:uid="{00000000-0005-0000-0000-0000DB170000}"/>
    <cellStyle name="Normal 2 172" xfId="6121" xr:uid="{00000000-0005-0000-0000-0000DC170000}"/>
    <cellStyle name="Normal 2 173" xfId="6122" xr:uid="{00000000-0005-0000-0000-0000DD170000}"/>
    <cellStyle name="Normal 2 174" xfId="6123" xr:uid="{00000000-0005-0000-0000-0000DE170000}"/>
    <cellStyle name="Normal 2 175" xfId="6124" xr:uid="{00000000-0005-0000-0000-0000DF170000}"/>
    <cellStyle name="Normal 2 176" xfId="6125" xr:uid="{00000000-0005-0000-0000-0000E0170000}"/>
    <cellStyle name="Normal 2 177" xfId="6126" xr:uid="{00000000-0005-0000-0000-0000E1170000}"/>
    <cellStyle name="Normal 2 178" xfId="6127" xr:uid="{00000000-0005-0000-0000-0000E2170000}"/>
    <cellStyle name="Normal 2 179" xfId="6128" xr:uid="{00000000-0005-0000-0000-0000E3170000}"/>
    <cellStyle name="Normal 2 18" xfId="6129" xr:uid="{00000000-0005-0000-0000-0000E4170000}"/>
    <cellStyle name="Normal 2 18 2" xfId="6130" xr:uid="{00000000-0005-0000-0000-0000E5170000}"/>
    <cellStyle name="Normal 2 18 3" xfId="6131" xr:uid="{00000000-0005-0000-0000-0000E6170000}"/>
    <cellStyle name="Normal 2 18 4" xfId="6132" xr:uid="{00000000-0005-0000-0000-0000E7170000}"/>
    <cellStyle name="Normal 2 18 5" xfId="6133" xr:uid="{00000000-0005-0000-0000-0000E8170000}"/>
    <cellStyle name="Normal 2 19" xfId="6134" xr:uid="{00000000-0005-0000-0000-0000E9170000}"/>
    <cellStyle name="Normal 2 19 2" xfId="6135" xr:uid="{00000000-0005-0000-0000-0000EA170000}"/>
    <cellStyle name="Normal 2 19 3" xfId="6136" xr:uid="{00000000-0005-0000-0000-0000EB170000}"/>
    <cellStyle name="Normal 2 19 4" xfId="6137" xr:uid="{00000000-0005-0000-0000-0000EC170000}"/>
    <cellStyle name="Normal 2 19 5" xfId="6138" xr:uid="{00000000-0005-0000-0000-0000ED170000}"/>
    <cellStyle name="Normal 2 2" xfId="12" xr:uid="{00000000-0005-0000-0000-0000EE170000}"/>
    <cellStyle name="Normal 2 2 10" xfId="6139" xr:uid="{00000000-0005-0000-0000-0000EF170000}"/>
    <cellStyle name="Normal 2 2 10 10" xfId="6140" xr:uid="{00000000-0005-0000-0000-0000F0170000}"/>
    <cellStyle name="Normal 2 2 10 10 10" xfId="6141" xr:uid="{00000000-0005-0000-0000-0000F1170000}"/>
    <cellStyle name="Normal 2 2 10 10 11" xfId="6142" xr:uid="{00000000-0005-0000-0000-0000F2170000}"/>
    <cellStyle name="Normal 2 2 10 10 12" xfId="6143" xr:uid="{00000000-0005-0000-0000-0000F3170000}"/>
    <cellStyle name="Normal 2 2 10 10 13" xfId="6144" xr:uid="{00000000-0005-0000-0000-0000F4170000}"/>
    <cellStyle name="Normal 2 2 10 10 14" xfId="6145" xr:uid="{00000000-0005-0000-0000-0000F5170000}"/>
    <cellStyle name="Normal 2 2 10 10 2" xfId="6146" xr:uid="{00000000-0005-0000-0000-0000F6170000}"/>
    <cellStyle name="Normal 2 2 10 10 2 10" xfId="6147" xr:uid="{00000000-0005-0000-0000-0000F7170000}"/>
    <cellStyle name="Normal 2 2 10 10 2 2" xfId="6148" xr:uid="{00000000-0005-0000-0000-0000F8170000}"/>
    <cellStyle name="Normal 2 2 10 10 2 3" xfId="6149" xr:uid="{00000000-0005-0000-0000-0000F9170000}"/>
    <cellStyle name="Normal 2 2 10 10 2 4" xfId="6150" xr:uid="{00000000-0005-0000-0000-0000FA170000}"/>
    <cellStyle name="Normal 2 2 10 10 2 5" xfId="6151" xr:uid="{00000000-0005-0000-0000-0000FB170000}"/>
    <cellStyle name="Normal 2 2 10 10 2 6" xfId="6152" xr:uid="{00000000-0005-0000-0000-0000FC170000}"/>
    <cellStyle name="Normal 2 2 10 10 2 7" xfId="6153" xr:uid="{00000000-0005-0000-0000-0000FD170000}"/>
    <cellStyle name="Normal 2 2 10 10 2 8" xfId="6154" xr:uid="{00000000-0005-0000-0000-0000FE170000}"/>
    <cellStyle name="Normal 2 2 10 10 2 9" xfId="6155" xr:uid="{00000000-0005-0000-0000-0000FF170000}"/>
    <cellStyle name="Normal 2 2 10 10 3" xfId="6156" xr:uid="{00000000-0005-0000-0000-000000180000}"/>
    <cellStyle name="Normal 2 2 10 10 3 10" xfId="6157" xr:uid="{00000000-0005-0000-0000-000001180000}"/>
    <cellStyle name="Normal 2 2 10 10 3 2" xfId="6158" xr:uid="{00000000-0005-0000-0000-000002180000}"/>
    <cellStyle name="Normal 2 2 10 10 3 3" xfId="6159" xr:uid="{00000000-0005-0000-0000-000003180000}"/>
    <cellStyle name="Normal 2 2 10 10 3 4" xfId="6160" xr:uid="{00000000-0005-0000-0000-000004180000}"/>
    <cellStyle name="Normal 2 2 10 10 3 5" xfId="6161" xr:uid="{00000000-0005-0000-0000-000005180000}"/>
    <cellStyle name="Normal 2 2 10 10 3 6" xfId="6162" xr:uid="{00000000-0005-0000-0000-000006180000}"/>
    <cellStyle name="Normal 2 2 10 10 3 7" xfId="6163" xr:uid="{00000000-0005-0000-0000-000007180000}"/>
    <cellStyle name="Normal 2 2 10 10 3 8" xfId="6164" xr:uid="{00000000-0005-0000-0000-000008180000}"/>
    <cellStyle name="Normal 2 2 10 10 3 9" xfId="6165" xr:uid="{00000000-0005-0000-0000-000009180000}"/>
    <cellStyle name="Normal 2 2 10 10 4" xfId="6166" xr:uid="{00000000-0005-0000-0000-00000A180000}"/>
    <cellStyle name="Normal 2 2 10 10 4 10" xfId="6167" xr:uid="{00000000-0005-0000-0000-00000B180000}"/>
    <cellStyle name="Normal 2 2 10 10 4 2" xfId="6168" xr:uid="{00000000-0005-0000-0000-00000C180000}"/>
    <cellStyle name="Normal 2 2 10 10 4 3" xfId="6169" xr:uid="{00000000-0005-0000-0000-00000D180000}"/>
    <cellStyle name="Normal 2 2 10 10 4 4" xfId="6170" xr:uid="{00000000-0005-0000-0000-00000E180000}"/>
    <cellStyle name="Normal 2 2 10 10 4 5" xfId="6171" xr:uid="{00000000-0005-0000-0000-00000F180000}"/>
    <cellStyle name="Normal 2 2 10 10 4 6" xfId="6172" xr:uid="{00000000-0005-0000-0000-000010180000}"/>
    <cellStyle name="Normal 2 2 10 10 4 7" xfId="6173" xr:uid="{00000000-0005-0000-0000-000011180000}"/>
    <cellStyle name="Normal 2 2 10 10 4 8" xfId="6174" xr:uid="{00000000-0005-0000-0000-000012180000}"/>
    <cellStyle name="Normal 2 2 10 10 4 9" xfId="6175" xr:uid="{00000000-0005-0000-0000-000013180000}"/>
    <cellStyle name="Normal 2 2 10 10 5" xfId="6176" xr:uid="{00000000-0005-0000-0000-000014180000}"/>
    <cellStyle name="Normal 2 2 10 10 5 10" xfId="6177" xr:uid="{00000000-0005-0000-0000-000015180000}"/>
    <cellStyle name="Normal 2 2 10 10 5 2" xfId="6178" xr:uid="{00000000-0005-0000-0000-000016180000}"/>
    <cellStyle name="Normal 2 2 10 10 5 3" xfId="6179" xr:uid="{00000000-0005-0000-0000-000017180000}"/>
    <cellStyle name="Normal 2 2 10 10 5 4" xfId="6180" xr:uid="{00000000-0005-0000-0000-000018180000}"/>
    <cellStyle name="Normal 2 2 10 10 5 5" xfId="6181" xr:uid="{00000000-0005-0000-0000-000019180000}"/>
    <cellStyle name="Normal 2 2 10 10 5 6" xfId="6182" xr:uid="{00000000-0005-0000-0000-00001A180000}"/>
    <cellStyle name="Normal 2 2 10 10 5 7" xfId="6183" xr:uid="{00000000-0005-0000-0000-00001B180000}"/>
    <cellStyle name="Normal 2 2 10 10 5 8" xfId="6184" xr:uid="{00000000-0005-0000-0000-00001C180000}"/>
    <cellStyle name="Normal 2 2 10 10 5 9" xfId="6185" xr:uid="{00000000-0005-0000-0000-00001D180000}"/>
    <cellStyle name="Normal 2 2 10 10 6" xfId="6186" xr:uid="{00000000-0005-0000-0000-00001E180000}"/>
    <cellStyle name="Normal 2 2 10 10 7" xfId="6187" xr:uid="{00000000-0005-0000-0000-00001F180000}"/>
    <cellStyle name="Normal 2 2 10 10 8" xfId="6188" xr:uid="{00000000-0005-0000-0000-000020180000}"/>
    <cellStyle name="Normal 2 2 10 10 9" xfId="6189" xr:uid="{00000000-0005-0000-0000-000021180000}"/>
    <cellStyle name="Normal 2 2 10 11" xfId="6190" xr:uid="{00000000-0005-0000-0000-000022180000}"/>
    <cellStyle name="Normal 2 2 10 11 10" xfId="6191" xr:uid="{00000000-0005-0000-0000-000023180000}"/>
    <cellStyle name="Normal 2 2 10 11 11" xfId="6192" xr:uid="{00000000-0005-0000-0000-000024180000}"/>
    <cellStyle name="Normal 2 2 10 11 12" xfId="6193" xr:uid="{00000000-0005-0000-0000-000025180000}"/>
    <cellStyle name="Normal 2 2 10 11 13" xfId="6194" xr:uid="{00000000-0005-0000-0000-000026180000}"/>
    <cellStyle name="Normal 2 2 10 11 14" xfId="6195" xr:uid="{00000000-0005-0000-0000-000027180000}"/>
    <cellStyle name="Normal 2 2 10 11 2" xfId="6196" xr:uid="{00000000-0005-0000-0000-000028180000}"/>
    <cellStyle name="Normal 2 2 10 11 2 10" xfId="6197" xr:uid="{00000000-0005-0000-0000-000029180000}"/>
    <cellStyle name="Normal 2 2 10 11 2 2" xfId="6198" xr:uid="{00000000-0005-0000-0000-00002A180000}"/>
    <cellStyle name="Normal 2 2 10 11 2 3" xfId="6199" xr:uid="{00000000-0005-0000-0000-00002B180000}"/>
    <cellStyle name="Normal 2 2 10 11 2 4" xfId="6200" xr:uid="{00000000-0005-0000-0000-00002C180000}"/>
    <cellStyle name="Normal 2 2 10 11 2 5" xfId="6201" xr:uid="{00000000-0005-0000-0000-00002D180000}"/>
    <cellStyle name="Normal 2 2 10 11 2 6" xfId="6202" xr:uid="{00000000-0005-0000-0000-00002E180000}"/>
    <cellStyle name="Normal 2 2 10 11 2 7" xfId="6203" xr:uid="{00000000-0005-0000-0000-00002F180000}"/>
    <cellStyle name="Normal 2 2 10 11 2 8" xfId="6204" xr:uid="{00000000-0005-0000-0000-000030180000}"/>
    <cellStyle name="Normal 2 2 10 11 2 9" xfId="6205" xr:uid="{00000000-0005-0000-0000-000031180000}"/>
    <cellStyle name="Normal 2 2 10 11 3" xfId="6206" xr:uid="{00000000-0005-0000-0000-000032180000}"/>
    <cellStyle name="Normal 2 2 10 11 3 10" xfId="6207" xr:uid="{00000000-0005-0000-0000-000033180000}"/>
    <cellStyle name="Normal 2 2 10 11 3 2" xfId="6208" xr:uid="{00000000-0005-0000-0000-000034180000}"/>
    <cellStyle name="Normal 2 2 10 11 3 3" xfId="6209" xr:uid="{00000000-0005-0000-0000-000035180000}"/>
    <cellStyle name="Normal 2 2 10 11 3 4" xfId="6210" xr:uid="{00000000-0005-0000-0000-000036180000}"/>
    <cellStyle name="Normal 2 2 10 11 3 5" xfId="6211" xr:uid="{00000000-0005-0000-0000-000037180000}"/>
    <cellStyle name="Normal 2 2 10 11 3 6" xfId="6212" xr:uid="{00000000-0005-0000-0000-000038180000}"/>
    <cellStyle name="Normal 2 2 10 11 3 7" xfId="6213" xr:uid="{00000000-0005-0000-0000-000039180000}"/>
    <cellStyle name="Normal 2 2 10 11 3 8" xfId="6214" xr:uid="{00000000-0005-0000-0000-00003A180000}"/>
    <cellStyle name="Normal 2 2 10 11 3 9" xfId="6215" xr:uid="{00000000-0005-0000-0000-00003B180000}"/>
    <cellStyle name="Normal 2 2 10 11 4" xfId="6216" xr:uid="{00000000-0005-0000-0000-00003C180000}"/>
    <cellStyle name="Normal 2 2 10 11 4 10" xfId="6217" xr:uid="{00000000-0005-0000-0000-00003D180000}"/>
    <cellStyle name="Normal 2 2 10 11 4 2" xfId="6218" xr:uid="{00000000-0005-0000-0000-00003E180000}"/>
    <cellStyle name="Normal 2 2 10 11 4 3" xfId="6219" xr:uid="{00000000-0005-0000-0000-00003F180000}"/>
    <cellStyle name="Normal 2 2 10 11 4 4" xfId="6220" xr:uid="{00000000-0005-0000-0000-000040180000}"/>
    <cellStyle name="Normal 2 2 10 11 4 5" xfId="6221" xr:uid="{00000000-0005-0000-0000-000041180000}"/>
    <cellStyle name="Normal 2 2 10 11 4 6" xfId="6222" xr:uid="{00000000-0005-0000-0000-000042180000}"/>
    <cellStyle name="Normal 2 2 10 11 4 7" xfId="6223" xr:uid="{00000000-0005-0000-0000-000043180000}"/>
    <cellStyle name="Normal 2 2 10 11 4 8" xfId="6224" xr:uid="{00000000-0005-0000-0000-000044180000}"/>
    <cellStyle name="Normal 2 2 10 11 4 9" xfId="6225" xr:uid="{00000000-0005-0000-0000-000045180000}"/>
    <cellStyle name="Normal 2 2 10 11 5" xfId="6226" xr:uid="{00000000-0005-0000-0000-000046180000}"/>
    <cellStyle name="Normal 2 2 10 11 5 10" xfId="6227" xr:uid="{00000000-0005-0000-0000-000047180000}"/>
    <cellStyle name="Normal 2 2 10 11 5 2" xfId="6228" xr:uid="{00000000-0005-0000-0000-000048180000}"/>
    <cellStyle name="Normal 2 2 10 11 5 3" xfId="6229" xr:uid="{00000000-0005-0000-0000-000049180000}"/>
    <cellStyle name="Normal 2 2 10 11 5 4" xfId="6230" xr:uid="{00000000-0005-0000-0000-00004A180000}"/>
    <cellStyle name="Normal 2 2 10 11 5 5" xfId="6231" xr:uid="{00000000-0005-0000-0000-00004B180000}"/>
    <cellStyle name="Normal 2 2 10 11 5 6" xfId="6232" xr:uid="{00000000-0005-0000-0000-00004C180000}"/>
    <cellStyle name="Normal 2 2 10 11 5 7" xfId="6233" xr:uid="{00000000-0005-0000-0000-00004D180000}"/>
    <cellStyle name="Normal 2 2 10 11 5 8" xfId="6234" xr:uid="{00000000-0005-0000-0000-00004E180000}"/>
    <cellStyle name="Normal 2 2 10 11 5 9" xfId="6235" xr:uid="{00000000-0005-0000-0000-00004F180000}"/>
    <cellStyle name="Normal 2 2 10 11 6" xfId="6236" xr:uid="{00000000-0005-0000-0000-000050180000}"/>
    <cellStyle name="Normal 2 2 10 11 7" xfId="6237" xr:uid="{00000000-0005-0000-0000-000051180000}"/>
    <cellStyle name="Normal 2 2 10 11 8" xfId="6238" xr:uid="{00000000-0005-0000-0000-000052180000}"/>
    <cellStyle name="Normal 2 2 10 11 9" xfId="6239" xr:uid="{00000000-0005-0000-0000-000053180000}"/>
    <cellStyle name="Normal 2 2 10 12" xfId="6240" xr:uid="{00000000-0005-0000-0000-000054180000}"/>
    <cellStyle name="Normal 2 2 10 12 10" xfId="6241" xr:uid="{00000000-0005-0000-0000-000055180000}"/>
    <cellStyle name="Normal 2 2 10 12 11" xfId="6242" xr:uid="{00000000-0005-0000-0000-000056180000}"/>
    <cellStyle name="Normal 2 2 10 12 12" xfId="6243" xr:uid="{00000000-0005-0000-0000-000057180000}"/>
    <cellStyle name="Normal 2 2 10 12 13" xfId="6244" xr:uid="{00000000-0005-0000-0000-000058180000}"/>
    <cellStyle name="Normal 2 2 10 12 14" xfId="6245" xr:uid="{00000000-0005-0000-0000-000059180000}"/>
    <cellStyle name="Normal 2 2 10 12 2" xfId="6246" xr:uid="{00000000-0005-0000-0000-00005A180000}"/>
    <cellStyle name="Normal 2 2 10 12 2 10" xfId="6247" xr:uid="{00000000-0005-0000-0000-00005B180000}"/>
    <cellStyle name="Normal 2 2 10 12 2 2" xfId="6248" xr:uid="{00000000-0005-0000-0000-00005C180000}"/>
    <cellStyle name="Normal 2 2 10 12 2 3" xfId="6249" xr:uid="{00000000-0005-0000-0000-00005D180000}"/>
    <cellStyle name="Normal 2 2 10 12 2 4" xfId="6250" xr:uid="{00000000-0005-0000-0000-00005E180000}"/>
    <cellStyle name="Normal 2 2 10 12 2 5" xfId="6251" xr:uid="{00000000-0005-0000-0000-00005F180000}"/>
    <cellStyle name="Normal 2 2 10 12 2 6" xfId="6252" xr:uid="{00000000-0005-0000-0000-000060180000}"/>
    <cellStyle name="Normal 2 2 10 12 2 7" xfId="6253" xr:uid="{00000000-0005-0000-0000-000061180000}"/>
    <cellStyle name="Normal 2 2 10 12 2 8" xfId="6254" xr:uid="{00000000-0005-0000-0000-000062180000}"/>
    <cellStyle name="Normal 2 2 10 12 2 9" xfId="6255" xr:uid="{00000000-0005-0000-0000-000063180000}"/>
    <cellStyle name="Normal 2 2 10 12 3" xfId="6256" xr:uid="{00000000-0005-0000-0000-000064180000}"/>
    <cellStyle name="Normal 2 2 10 12 3 10" xfId="6257" xr:uid="{00000000-0005-0000-0000-000065180000}"/>
    <cellStyle name="Normal 2 2 10 12 3 2" xfId="6258" xr:uid="{00000000-0005-0000-0000-000066180000}"/>
    <cellStyle name="Normal 2 2 10 12 3 3" xfId="6259" xr:uid="{00000000-0005-0000-0000-000067180000}"/>
    <cellStyle name="Normal 2 2 10 12 3 4" xfId="6260" xr:uid="{00000000-0005-0000-0000-000068180000}"/>
    <cellStyle name="Normal 2 2 10 12 3 5" xfId="6261" xr:uid="{00000000-0005-0000-0000-000069180000}"/>
    <cellStyle name="Normal 2 2 10 12 3 6" xfId="6262" xr:uid="{00000000-0005-0000-0000-00006A180000}"/>
    <cellStyle name="Normal 2 2 10 12 3 7" xfId="6263" xr:uid="{00000000-0005-0000-0000-00006B180000}"/>
    <cellStyle name="Normal 2 2 10 12 3 8" xfId="6264" xr:uid="{00000000-0005-0000-0000-00006C180000}"/>
    <cellStyle name="Normal 2 2 10 12 3 9" xfId="6265" xr:uid="{00000000-0005-0000-0000-00006D180000}"/>
    <cellStyle name="Normal 2 2 10 12 4" xfId="6266" xr:uid="{00000000-0005-0000-0000-00006E180000}"/>
    <cellStyle name="Normal 2 2 10 12 4 10" xfId="6267" xr:uid="{00000000-0005-0000-0000-00006F180000}"/>
    <cellStyle name="Normal 2 2 10 12 4 2" xfId="6268" xr:uid="{00000000-0005-0000-0000-000070180000}"/>
    <cellStyle name="Normal 2 2 10 12 4 3" xfId="6269" xr:uid="{00000000-0005-0000-0000-000071180000}"/>
    <cellStyle name="Normal 2 2 10 12 4 4" xfId="6270" xr:uid="{00000000-0005-0000-0000-000072180000}"/>
    <cellStyle name="Normal 2 2 10 12 4 5" xfId="6271" xr:uid="{00000000-0005-0000-0000-000073180000}"/>
    <cellStyle name="Normal 2 2 10 12 4 6" xfId="6272" xr:uid="{00000000-0005-0000-0000-000074180000}"/>
    <cellStyle name="Normal 2 2 10 12 4 7" xfId="6273" xr:uid="{00000000-0005-0000-0000-000075180000}"/>
    <cellStyle name="Normal 2 2 10 12 4 8" xfId="6274" xr:uid="{00000000-0005-0000-0000-000076180000}"/>
    <cellStyle name="Normal 2 2 10 12 4 9" xfId="6275" xr:uid="{00000000-0005-0000-0000-000077180000}"/>
    <cellStyle name="Normal 2 2 10 12 5" xfId="6276" xr:uid="{00000000-0005-0000-0000-000078180000}"/>
    <cellStyle name="Normal 2 2 10 12 5 10" xfId="6277" xr:uid="{00000000-0005-0000-0000-000079180000}"/>
    <cellStyle name="Normal 2 2 10 12 5 2" xfId="6278" xr:uid="{00000000-0005-0000-0000-00007A180000}"/>
    <cellStyle name="Normal 2 2 10 12 5 3" xfId="6279" xr:uid="{00000000-0005-0000-0000-00007B180000}"/>
    <cellStyle name="Normal 2 2 10 12 5 4" xfId="6280" xr:uid="{00000000-0005-0000-0000-00007C180000}"/>
    <cellStyle name="Normal 2 2 10 12 5 5" xfId="6281" xr:uid="{00000000-0005-0000-0000-00007D180000}"/>
    <cellStyle name="Normal 2 2 10 12 5 6" xfId="6282" xr:uid="{00000000-0005-0000-0000-00007E180000}"/>
    <cellStyle name="Normal 2 2 10 12 5 7" xfId="6283" xr:uid="{00000000-0005-0000-0000-00007F180000}"/>
    <cellStyle name="Normal 2 2 10 12 5 8" xfId="6284" xr:uid="{00000000-0005-0000-0000-000080180000}"/>
    <cellStyle name="Normal 2 2 10 12 5 9" xfId="6285" xr:uid="{00000000-0005-0000-0000-000081180000}"/>
    <cellStyle name="Normal 2 2 10 12 6" xfId="6286" xr:uid="{00000000-0005-0000-0000-000082180000}"/>
    <cellStyle name="Normal 2 2 10 12 7" xfId="6287" xr:uid="{00000000-0005-0000-0000-000083180000}"/>
    <cellStyle name="Normal 2 2 10 12 8" xfId="6288" xr:uid="{00000000-0005-0000-0000-000084180000}"/>
    <cellStyle name="Normal 2 2 10 12 9" xfId="6289" xr:uid="{00000000-0005-0000-0000-000085180000}"/>
    <cellStyle name="Normal 2 2 10 13" xfId="6290" xr:uid="{00000000-0005-0000-0000-000086180000}"/>
    <cellStyle name="Normal 2 2 10 13 10" xfId="6291" xr:uid="{00000000-0005-0000-0000-000087180000}"/>
    <cellStyle name="Normal 2 2 10 13 11" xfId="6292" xr:uid="{00000000-0005-0000-0000-000088180000}"/>
    <cellStyle name="Normal 2 2 10 13 12" xfId="6293" xr:uid="{00000000-0005-0000-0000-000089180000}"/>
    <cellStyle name="Normal 2 2 10 13 13" xfId="6294" xr:uid="{00000000-0005-0000-0000-00008A180000}"/>
    <cellStyle name="Normal 2 2 10 13 14" xfId="6295" xr:uid="{00000000-0005-0000-0000-00008B180000}"/>
    <cellStyle name="Normal 2 2 10 13 2" xfId="6296" xr:uid="{00000000-0005-0000-0000-00008C180000}"/>
    <cellStyle name="Normal 2 2 10 13 2 10" xfId="6297" xr:uid="{00000000-0005-0000-0000-00008D180000}"/>
    <cellStyle name="Normal 2 2 10 13 2 2" xfId="6298" xr:uid="{00000000-0005-0000-0000-00008E180000}"/>
    <cellStyle name="Normal 2 2 10 13 2 3" xfId="6299" xr:uid="{00000000-0005-0000-0000-00008F180000}"/>
    <cellStyle name="Normal 2 2 10 13 2 4" xfId="6300" xr:uid="{00000000-0005-0000-0000-000090180000}"/>
    <cellStyle name="Normal 2 2 10 13 2 5" xfId="6301" xr:uid="{00000000-0005-0000-0000-000091180000}"/>
    <cellStyle name="Normal 2 2 10 13 2 6" xfId="6302" xr:uid="{00000000-0005-0000-0000-000092180000}"/>
    <cellStyle name="Normal 2 2 10 13 2 7" xfId="6303" xr:uid="{00000000-0005-0000-0000-000093180000}"/>
    <cellStyle name="Normal 2 2 10 13 2 8" xfId="6304" xr:uid="{00000000-0005-0000-0000-000094180000}"/>
    <cellStyle name="Normal 2 2 10 13 2 9" xfId="6305" xr:uid="{00000000-0005-0000-0000-000095180000}"/>
    <cellStyle name="Normal 2 2 10 13 3" xfId="6306" xr:uid="{00000000-0005-0000-0000-000096180000}"/>
    <cellStyle name="Normal 2 2 10 13 3 10" xfId="6307" xr:uid="{00000000-0005-0000-0000-000097180000}"/>
    <cellStyle name="Normal 2 2 10 13 3 2" xfId="6308" xr:uid="{00000000-0005-0000-0000-000098180000}"/>
    <cellStyle name="Normal 2 2 10 13 3 3" xfId="6309" xr:uid="{00000000-0005-0000-0000-000099180000}"/>
    <cellStyle name="Normal 2 2 10 13 3 4" xfId="6310" xr:uid="{00000000-0005-0000-0000-00009A180000}"/>
    <cellStyle name="Normal 2 2 10 13 3 5" xfId="6311" xr:uid="{00000000-0005-0000-0000-00009B180000}"/>
    <cellStyle name="Normal 2 2 10 13 3 6" xfId="6312" xr:uid="{00000000-0005-0000-0000-00009C180000}"/>
    <cellStyle name="Normal 2 2 10 13 3 7" xfId="6313" xr:uid="{00000000-0005-0000-0000-00009D180000}"/>
    <cellStyle name="Normal 2 2 10 13 3 8" xfId="6314" xr:uid="{00000000-0005-0000-0000-00009E180000}"/>
    <cellStyle name="Normal 2 2 10 13 3 9" xfId="6315" xr:uid="{00000000-0005-0000-0000-00009F180000}"/>
    <cellStyle name="Normal 2 2 10 13 4" xfId="6316" xr:uid="{00000000-0005-0000-0000-0000A0180000}"/>
    <cellStyle name="Normal 2 2 10 13 4 10" xfId="6317" xr:uid="{00000000-0005-0000-0000-0000A1180000}"/>
    <cellStyle name="Normal 2 2 10 13 4 2" xfId="6318" xr:uid="{00000000-0005-0000-0000-0000A2180000}"/>
    <cellStyle name="Normal 2 2 10 13 4 3" xfId="6319" xr:uid="{00000000-0005-0000-0000-0000A3180000}"/>
    <cellStyle name="Normal 2 2 10 13 4 4" xfId="6320" xr:uid="{00000000-0005-0000-0000-0000A4180000}"/>
    <cellStyle name="Normal 2 2 10 13 4 5" xfId="6321" xr:uid="{00000000-0005-0000-0000-0000A5180000}"/>
    <cellStyle name="Normal 2 2 10 13 4 6" xfId="6322" xr:uid="{00000000-0005-0000-0000-0000A6180000}"/>
    <cellStyle name="Normal 2 2 10 13 4 7" xfId="6323" xr:uid="{00000000-0005-0000-0000-0000A7180000}"/>
    <cellStyle name="Normal 2 2 10 13 4 8" xfId="6324" xr:uid="{00000000-0005-0000-0000-0000A8180000}"/>
    <cellStyle name="Normal 2 2 10 13 4 9" xfId="6325" xr:uid="{00000000-0005-0000-0000-0000A9180000}"/>
    <cellStyle name="Normal 2 2 10 13 5" xfId="6326" xr:uid="{00000000-0005-0000-0000-0000AA180000}"/>
    <cellStyle name="Normal 2 2 10 13 5 10" xfId="6327" xr:uid="{00000000-0005-0000-0000-0000AB180000}"/>
    <cellStyle name="Normal 2 2 10 13 5 2" xfId="6328" xr:uid="{00000000-0005-0000-0000-0000AC180000}"/>
    <cellStyle name="Normal 2 2 10 13 5 3" xfId="6329" xr:uid="{00000000-0005-0000-0000-0000AD180000}"/>
    <cellStyle name="Normal 2 2 10 13 5 4" xfId="6330" xr:uid="{00000000-0005-0000-0000-0000AE180000}"/>
    <cellStyle name="Normal 2 2 10 13 5 5" xfId="6331" xr:uid="{00000000-0005-0000-0000-0000AF180000}"/>
    <cellStyle name="Normal 2 2 10 13 5 6" xfId="6332" xr:uid="{00000000-0005-0000-0000-0000B0180000}"/>
    <cellStyle name="Normal 2 2 10 13 5 7" xfId="6333" xr:uid="{00000000-0005-0000-0000-0000B1180000}"/>
    <cellStyle name="Normal 2 2 10 13 5 8" xfId="6334" xr:uid="{00000000-0005-0000-0000-0000B2180000}"/>
    <cellStyle name="Normal 2 2 10 13 5 9" xfId="6335" xr:uid="{00000000-0005-0000-0000-0000B3180000}"/>
    <cellStyle name="Normal 2 2 10 13 6" xfId="6336" xr:uid="{00000000-0005-0000-0000-0000B4180000}"/>
    <cellStyle name="Normal 2 2 10 13 7" xfId="6337" xr:uid="{00000000-0005-0000-0000-0000B5180000}"/>
    <cellStyle name="Normal 2 2 10 13 8" xfId="6338" xr:uid="{00000000-0005-0000-0000-0000B6180000}"/>
    <cellStyle name="Normal 2 2 10 13 9" xfId="6339" xr:uid="{00000000-0005-0000-0000-0000B7180000}"/>
    <cellStyle name="Normal 2 2 10 14" xfId="6340" xr:uid="{00000000-0005-0000-0000-0000B8180000}"/>
    <cellStyle name="Normal 2 2 10 14 10" xfId="6341" xr:uid="{00000000-0005-0000-0000-0000B9180000}"/>
    <cellStyle name="Normal 2 2 10 14 11" xfId="6342" xr:uid="{00000000-0005-0000-0000-0000BA180000}"/>
    <cellStyle name="Normal 2 2 10 14 12" xfId="6343" xr:uid="{00000000-0005-0000-0000-0000BB180000}"/>
    <cellStyle name="Normal 2 2 10 14 13" xfId="6344" xr:uid="{00000000-0005-0000-0000-0000BC180000}"/>
    <cellStyle name="Normal 2 2 10 14 14" xfId="6345" xr:uid="{00000000-0005-0000-0000-0000BD180000}"/>
    <cellStyle name="Normal 2 2 10 14 2" xfId="6346" xr:uid="{00000000-0005-0000-0000-0000BE180000}"/>
    <cellStyle name="Normal 2 2 10 14 2 10" xfId="6347" xr:uid="{00000000-0005-0000-0000-0000BF180000}"/>
    <cellStyle name="Normal 2 2 10 14 2 2" xfId="6348" xr:uid="{00000000-0005-0000-0000-0000C0180000}"/>
    <cellStyle name="Normal 2 2 10 14 2 3" xfId="6349" xr:uid="{00000000-0005-0000-0000-0000C1180000}"/>
    <cellStyle name="Normal 2 2 10 14 2 4" xfId="6350" xr:uid="{00000000-0005-0000-0000-0000C2180000}"/>
    <cellStyle name="Normal 2 2 10 14 2 5" xfId="6351" xr:uid="{00000000-0005-0000-0000-0000C3180000}"/>
    <cellStyle name="Normal 2 2 10 14 2 6" xfId="6352" xr:uid="{00000000-0005-0000-0000-0000C4180000}"/>
    <cellStyle name="Normal 2 2 10 14 2 7" xfId="6353" xr:uid="{00000000-0005-0000-0000-0000C5180000}"/>
    <cellStyle name="Normal 2 2 10 14 2 8" xfId="6354" xr:uid="{00000000-0005-0000-0000-0000C6180000}"/>
    <cellStyle name="Normal 2 2 10 14 2 9" xfId="6355" xr:uid="{00000000-0005-0000-0000-0000C7180000}"/>
    <cellStyle name="Normal 2 2 10 14 3" xfId="6356" xr:uid="{00000000-0005-0000-0000-0000C8180000}"/>
    <cellStyle name="Normal 2 2 10 14 3 10" xfId="6357" xr:uid="{00000000-0005-0000-0000-0000C9180000}"/>
    <cellStyle name="Normal 2 2 10 14 3 2" xfId="6358" xr:uid="{00000000-0005-0000-0000-0000CA180000}"/>
    <cellStyle name="Normal 2 2 10 14 3 3" xfId="6359" xr:uid="{00000000-0005-0000-0000-0000CB180000}"/>
    <cellStyle name="Normal 2 2 10 14 3 4" xfId="6360" xr:uid="{00000000-0005-0000-0000-0000CC180000}"/>
    <cellStyle name="Normal 2 2 10 14 3 5" xfId="6361" xr:uid="{00000000-0005-0000-0000-0000CD180000}"/>
    <cellStyle name="Normal 2 2 10 14 3 6" xfId="6362" xr:uid="{00000000-0005-0000-0000-0000CE180000}"/>
    <cellStyle name="Normal 2 2 10 14 3 7" xfId="6363" xr:uid="{00000000-0005-0000-0000-0000CF180000}"/>
    <cellStyle name="Normal 2 2 10 14 3 8" xfId="6364" xr:uid="{00000000-0005-0000-0000-0000D0180000}"/>
    <cellStyle name="Normal 2 2 10 14 3 9" xfId="6365" xr:uid="{00000000-0005-0000-0000-0000D1180000}"/>
    <cellStyle name="Normal 2 2 10 14 4" xfId="6366" xr:uid="{00000000-0005-0000-0000-0000D2180000}"/>
    <cellStyle name="Normal 2 2 10 14 4 10" xfId="6367" xr:uid="{00000000-0005-0000-0000-0000D3180000}"/>
    <cellStyle name="Normal 2 2 10 14 4 2" xfId="6368" xr:uid="{00000000-0005-0000-0000-0000D4180000}"/>
    <cellStyle name="Normal 2 2 10 14 4 3" xfId="6369" xr:uid="{00000000-0005-0000-0000-0000D5180000}"/>
    <cellStyle name="Normal 2 2 10 14 4 4" xfId="6370" xr:uid="{00000000-0005-0000-0000-0000D6180000}"/>
    <cellStyle name="Normal 2 2 10 14 4 5" xfId="6371" xr:uid="{00000000-0005-0000-0000-0000D7180000}"/>
    <cellStyle name="Normal 2 2 10 14 4 6" xfId="6372" xr:uid="{00000000-0005-0000-0000-0000D8180000}"/>
    <cellStyle name="Normal 2 2 10 14 4 7" xfId="6373" xr:uid="{00000000-0005-0000-0000-0000D9180000}"/>
    <cellStyle name="Normal 2 2 10 14 4 8" xfId="6374" xr:uid="{00000000-0005-0000-0000-0000DA180000}"/>
    <cellStyle name="Normal 2 2 10 14 4 9" xfId="6375" xr:uid="{00000000-0005-0000-0000-0000DB180000}"/>
    <cellStyle name="Normal 2 2 10 14 5" xfId="6376" xr:uid="{00000000-0005-0000-0000-0000DC180000}"/>
    <cellStyle name="Normal 2 2 10 14 5 10" xfId="6377" xr:uid="{00000000-0005-0000-0000-0000DD180000}"/>
    <cellStyle name="Normal 2 2 10 14 5 2" xfId="6378" xr:uid="{00000000-0005-0000-0000-0000DE180000}"/>
    <cellStyle name="Normal 2 2 10 14 5 3" xfId="6379" xr:uid="{00000000-0005-0000-0000-0000DF180000}"/>
    <cellStyle name="Normal 2 2 10 14 5 4" xfId="6380" xr:uid="{00000000-0005-0000-0000-0000E0180000}"/>
    <cellStyle name="Normal 2 2 10 14 5 5" xfId="6381" xr:uid="{00000000-0005-0000-0000-0000E1180000}"/>
    <cellStyle name="Normal 2 2 10 14 5 6" xfId="6382" xr:uid="{00000000-0005-0000-0000-0000E2180000}"/>
    <cellStyle name="Normal 2 2 10 14 5 7" xfId="6383" xr:uid="{00000000-0005-0000-0000-0000E3180000}"/>
    <cellStyle name="Normal 2 2 10 14 5 8" xfId="6384" xr:uid="{00000000-0005-0000-0000-0000E4180000}"/>
    <cellStyle name="Normal 2 2 10 14 5 9" xfId="6385" xr:uid="{00000000-0005-0000-0000-0000E5180000}"/>
    <cellStyle name="Normal 2 2 10 14 6" xfId="6386" xr:uid="{00000000-0005-0000-0000-0000E6180000}"/>
    <cellStyle name="Normal 2 2 10 14 7" xfId="6387" xr:uid="{00000000-0005-0000-0000-0000E7180000}"/>
    <cellStyle name="Normal 2 2 10 14 8" xfId="6388" xr:uid="{00000000-0005-0000-0000-0000E8180000}"/>
    <cellStyle name="Normal 2 2 10 14 9" xfId="6389" xr:uid="{00000000-0005-0000-0000-0000E9180000}"/>
    <cellStyle name="Normal 2 2 10 15" xfId="6390" xr:uid="{00000000-0005-0000-0000-0000EA180000}"/>
    <cellStyle name="Normal 2 2 10 15 10" xfId="6391" xr:uid="{00000000-0005-0000-0000-0000EB180000}"/>
    <cellStyle name="Normal 2 2 10 15 11" xfId="6392" xr:uid="{00000000-0005-0000-0000-0000EC180000}"/>
    <cellStyle name="Normal 2 2 10 15 12" xfId="6393" xr:uid="{00000000-0005-0000-0000-0000ED180000}"/>
    <cellStyle name="Normal 2 2 10 15 13" xfId="6394" xr:uid="{00000000-0005-0000-0000-0000EE180000}"/>
    <cellStyle name="Normal 2 2 10 15 14" xfId="6395" xr:uid="{00000000-0005-0000-0000-0000EF180000}"/>
    <cellStyle name="Normal 2 2 10 15 2" xfId="6396" xr:uid="{00000000-0005-0000-0000-0000F0180000}"/>
    <cellStyle name="Normal 2 2 10 15 2 10" xfId="6397" xr:uid="{00000000-0005-0000-0000-0000F1180000}"/>
    <cellStyle name="Normal 2 2 10 15 2 2" xfId="6398" xr:uid="{00000000-0005-0000-0000-0000F2180000}"/>
    <cellStyle name="Normal 2 2 10 15 2 3" xfId="6399" xr:uid="{00000000-0005-0000-0000-0000F3180000}"/>
    <cellStyle name="Normal 2 2 10 15 2 4" xfId="6400" xr:uid="{00000000-0005-0000-0000-0000F4180000}"/>
    <cellStyle name="Normal 2 2 10 15 2 5" xfId="6401" xr:uid="{00000000-0005-0000-0000-0000F5180000}"/>
    <cellStyle name="Normal 2 2 10 15 2 6" xfId="6402" xr:uid="{00000000-0005-0000-0000-0000F6180000}"/>
    <cellStyle name="Normal 2 2 10 15 2 7" xfId="6403" xr:uid="{00000000-0005-0000-0000-0000F7180000}"/>
    <cellStyle name="Normal 2 2 10 15 2 8" xfId="6404" xr:uid="{00000000-0005-0000-0000-0000F8180000}"/>
    <cellStyle name="Normal 2 2 10 15 2 9" xfId="6405" xr:uid="{00000000-0005-0000-0000-0000F9180000}"/>
    <cellStyle name="Normal 2 2 10 15 3" xfId="6406" xr:uid="{00000000-0005-0000-0000-0000FA180000}"/>
    <cellStyle name="Normal 2 2 10 15 3 10" xfId="6407" xr:uid="{00000000-0005-0000-0000-0000FB180000}"/>
    <cellStyle name="Normal 2 2 10 15 3 2" xfId="6408" xr:uid="{00000000-0005-0000-0000-0000FC180000}"/>
    <cellStyle name="Normal 2 2 10 15 3 3" xfId="6409" xr:uid="{00000000-0005-0000-0000-0000FD180000}"/>
    <cellStyle name="Normal 2 2 10 15 3 4" xfId="6410" xr:uid="{00000000-0005-0000-0000-0000FE180000}"/>
    <cellStyle name="Normal 2 2 10 15 3 5" xfId="6411" xr:uid="{00000000-0005-0000-0000-0000FF180000}"/>
    <cellStyle name="Normal 2 2 10 15 3 6" xfId="6412" xr:uid="{00000000-0005-0000-0000-000000190000}"/>
    <cellStyle name="Normal 2 2 10 15 3 7" xfId="6413" xr:uid="{00000000-0005-0000-0000-000001190000}"/>
    <cellStyle name="Normal 2 2 10 15 3 8" xfId="6414" xr:uid="{00000000-0005-0000-0000-000002190000}"/>
    <cellStyle name="Normal 2 2 10 15 3 9" xfId="6415" xr:uid="{00000000-0005-0000-0000-000003190000}"/>
    <cellStyle name="Normal 2 2 10 15 4" xfId="6416" xr:uid="{00000000-0005-0000-0000-000004190000}"/>
    <cellStyle name="Normal 2 2 10 15 4 10" xfId="6417" xr:uid="{00000000-0005-0000-0000-000005190000}"/>
    <cellStyle name="Normal 2 2 10 15 4 2" xfId="6418" xr:uid="{00000000-0005-0000-0000-000006190000}"/>
    <cellStyle name="Normal 2 2 10 15 4 3" xfId="6419" xr:uid="{00000000-0005-0000-0000-000007190000}"/>
    <cellStyle name="Normal 2 2 10 15 4 4" xfId="6420" xr:uid="{00000000-0005-0000-0000-000008190000}"/>
    <cellStyle name="Normal 2 2 10 15 4 5" xfId="6421" xr:uid="{00000000-0005-0000-0000-000009190000}"/>
    <cellStyle name="Normal 2 2 10 15 4 6" xfId="6422" xr:uid="{00000000-0005-0000-0000-00000A190000}"/>
    <cellStyle name="Normal 2 2 10 15 4 7" xfId="6423" xr:uid="{00000000-0005-0000-0000-00000B190000}"/>
    <cellStyle name="Normal 2 2 10 15 4 8" xfId="6424" xr:uid="{00000000-0005-0000-0000-00000C190000}"/>
    <cellStyle name="Normal 2 2 10 15 4 9" xfId="6425" xr:uid="{00000000-0005-0000-0000-00000D190000}"/>
    <cellStyle name="Normal 2 2 10 15 5" xfId="6426" xr:uid="{00000000-0005-0000-0000-00000E190000}"/>
    <cellStyle name="Normal 2 2 10 15 5 10" xfId="6427" xr:uid="{00000000-0005-0000-0000-00000F190000}"/>
    <cellStyle name="Normal 2 2 10 15 5 2" xfId="6428" xr:uid="{00000000-0005-0000-0000-000010190000}"/>
    <cellStyle name="Normal 2 2 10 15 5 3" xfId="6429" xr:uid="{00000000-0005-0000-0000-000011190000}"/>
    <cellStyle name="Normal 2 2 10 15 5 4" xfId="6430" xr:uid="{00000000-0005-0000-0000-000012190000}"/>
    <cellStyle name="Normal 2 2 10 15 5 5" xfId="6431" xr:uid="{00000000-0005-0000-0000-000013190000}"/>
    <cellStyle name="Normal 2 2 10 15 5 6" xfId="6432" xr:uid="{00000000-0005-0000-0000-000014190000}"/>
    <cellStyle name="Normal 2 2 10 15 5 7" xfId="6433" xr:uid="{00000000-0005-0000-0000-000015190000}"/>
    <cellStyle name="Normal 2 2 10 15 5 8" xfId="6434" xr:uid="{00000000-0005-0000-0000-000016190000}"/>
    <cellStyle name="Normal 2 2 10 15 5 9" xfId="6435" xr:uid="{00000000-0005-0000-0000-000017190000}"/>
    <cellStyle name="Normal 2 2 10 15 6" xfId="6436" xr:uid="{00000000-0005-0000-0000-000018190000}"/>
    <cellStyle name="Normal 2 2 10 15 7" xfId="6437" xr:uid="{00000000-0005-0000-0000-000019190000}"/>
    <cellStyle name="Normal 2 2 10 15 8" xfId="6438" xr:uid="{00000000-0005-0000-0000-00001A190000}"/>
    <cellStyle name="Normal 2 2 10 15 9" xfId="6439" xr:uid="{00000000-0005-0000-0000-00001B190000}"/>
    <cellStyle name="Normal 2 2 10 16" xfId="6440" xr:uid="{00000000-0005-0000-0000-00001C190000}"/>
    <cellStyle name="Normal 2 2 10 16 10" xfId="6441" xr:uid="{00000000-0005-0000-0000-00001D190000}"/>
    <cellStyle name="Normal 2 2 10 16 11" xfId="6442" xr:uid="{00000000-0005-0000-0000-00001E190000}"/>
    <cellStyle name="Normal 2 2 10 16 12" xfId="6443" xr:uid="{00000000-0005-0000-0000-00001F190000}"/>
    <cellStyle name="Normal 2 2 10 16 13" xfId="6444" xr:uid="{00000000-0005-0000-0000-000020190000}"/>
    <cellStyle name="Normal 2 2 10 16 14" xfId="6445" xr:uid="{00000000-0005-0000-0000-000021190000}"/>
    <cellStyle name="Normal 2 2 10 16 2" xfId="6446" xr:uid="{00000000-0005-0000-0000-000022190000}"/>
    <cellStyle name="Normal 2 2 10 16 2 10" xfId="6447" xr:uid="{00000000-0005-0000-0000-000023190000}"/>
    <cellStyle name="Normal 2 2 10 16 2 2" xfId="6448" xr:uid="{00000000-0005-0000-0000-000024190000}"/>
    <cellStyle name="Normal 2 2 10 16 2 3" xfId="6449" xr:uid="{00000000-0005-0000-0000-000025190000}"/>
    <cellStyle name="Normal 2 2 10 16 2 4" xfId="6450" xr:uid="{00000000-0005-0000-0000-000026190000}"/>
    <cellStyle name="Normal 2 2 10 16 2 5" xfId="6451" xr:uid="{00000000-0005-0000-0000-000027190000}"/>
    <cellStyle name="Normal 2 2 10 16 2 6" xfId="6452" xr:uid="{00000000-0005-0000-0000-000028190000}"/>
    <cellStyle name="Normal 2 2 10 16 2 7" xfId="6453" xr:uid="{00000000-0005-0000-0000-000029190000}"/>
    <cellStyle name="Normal 2 2 10 16 2 8" xfId="6454" xr:uid="{00000000-0005-0000-0000-00002A190000}"/>
    <cellStyle name="Normal 2 2 10 16 2 9" xfId="6455" xr:uid="{00000000-0005-0000-0000-00002B190000}"/>
    <cellStyle name="Normal 2 2 10 16 3" xfId="6456" xr:uid="{00000000-0005-0000-0000-00002C190000}"/>
    <cellStyle name="Normal 2 2 10 16 3 10" xfId="6457" xr:uid="{00000000-0005-0000-0000-00002D190000}"/>
    <cellStyle name="Normal 2 2 10 16 3 2" xfId="6458" xr:uid="{00000000-0005-0000-0000-00002E190000}"/>
    <cellStyle name="Normal 2 2 10 16 3 3" xfId="6459" xr:uid="{00000000-0005-0000-0000-00002F190000}"/>
    <cellStyle name="Normal 2 2 10 16 3 4" xfId="6460" xr:uid="{00000000-0005-0000-0000-000030190000}"/>
    <cellStyle name="Normal 2 2 10 16 3 5" xfId="6461" xr:uid="{00000000-0005-0000-0000-000031190000}"/>
    <cellStyle name="Normal 2 2 10 16 3 6" xfId="6462" xr:uid="{00000000-0005-0000-0000-000032190000}"/>
    <cellStyle name="Normal 2 2 10 16 3 7" xfId="6463" xr:uid="{00000000-0005-0000-0000-000033190000}"/>
    <cellStyle name="Normal 2 2 10 16 3 8" xfId="6464" xr:uid="{00000000-0005-0000-0000-000034190000}"/>
    <cellStyle name="Normal 2 2 10 16 3 9" xfId="6465" xr:uid="{00000000-0005-0000-0000-000035190000}"/>
    <cellStyle name="Normal 2 2 10 16 4" xfId="6466" xr:uid="{00000000-0005-0000-0000-000036190000}"/>
    <cellStyle name="Normal 2 2 10 16 4 10" xfId="6467" xr:uid="{00000000-0005-0000-0000-000037190000}"/>
    <cellStyle name="Normal 2 2 10 16 4 2" xfId="6468" xr:uid="{00000000-0005-0000-0000-000038190000}"/>
    <cellStyle name="Normal 2 2 10 16 4 3" xfId="6469" xr:uid="{00000000-0005-0000-0000-000039190000}"/>
    <cellStyle name="Normal 2 2 10 16 4 4" xfId="6470" xr:uid="{00000000-0005-0000-0000-00003A190000}"/>
    <cellStyle name="Normal 2 2 10 16 4 5" xfId="6471" xr:uid="{00000000-0005-0000-0000-00003B190000}"/>
    <cellStyle name="Normal 2 2 10 16 4 6" xfId="6472" xr:uid="{00000000-0005-0000-0000-00003C190000}"/>
    <cellStyle name="Normal 2 2 10 16 4 7" xfId="6473" xr:uid="{00000000-0005-0000-0000-00003D190000}"/>
    <cellStyle name="Normal 2 2 10 16 4 8" xfId="6474" xr:uid="{00000000-0005-0000-0000-00003E190000}"/>
    <cellStyle name="Normal 2 2 10 16 4 9" xfId="6475" xr:uid="{00000000-0005-0000-0000-00003F190000}"/>
    <cellStyle name="Normal 2 2 10 16 5" xfId="6476" xr:uid="{00000000-0005-0000-0000-000040190000}"/>
    <cellStyle name="Normal 2 2 10 16 5 10" xfId="6477" xr:uid="{00000000-0005-0000-0000-000041190000}"/>
    <cellStyle name="Normal 2 2 10 16 5 2" xfId="6478" xr:uid="{00000000-0005-0000-0000-000042190000}"/>
    <cellStyle name="Normal 2 2 10 16 5 3" xfId="6479" xr:uid="{00000000-0005-0000-0000-000043190000}"/>
    <cellStyle name="Normal 2 2 10 16 5 4" xfId="6480" xr:uid="{00000000-0005-0000-0000-000044190000}"/>
    <cellStyle name="Normal 2 2 10 16 5 5" xfId="6481" xr:uid="{00000000-0005-0000-0000-000045190000}"/>
    <cellStyle name="Normal 2 2 10 16 5 6" xfId="6482" xr:uid="{00000000-0005-0000-0000-000046190000}"/>
    <cellStyle name="Normal 2 2 10 16 5 7" xfId="6483" xr:uid="{00000000-0005-0000-0000-000047190000}"/>
    <cellStyle name="Normal 2 2 10 16 5 8" xfId="6484" xr:uid="{00000000-0005-0000-0000-000048190000}"/>
    <cellStyle name="Normal 2 2 10 16 5 9" xfId="6485" xr:uid="{00000000-0005-0000-0000-000049190000}"/>
    <cellStyle name="Normal 2 2 10 16 6" xfId="6486" xr:uid="{00000000-0005-0000-0000-00004A190000}"/>
    <cellStyle name="Normal 2 2 10 16 7" xfId="6487" xr:uid="{00000000-0005-0000-0000-00004B190000}"/>
    <cellStyle name="Normal 2 2 10 16 8" xfId="6488" xr:uid="{00000000-0005-0000-0000-00004C190000}"/>
    <cellStyle name="Normal 2 2 10 16 9" xfId="6489" xr:uid="{00000000-0005-0000-0000-00004D190000}"/>
    <cellStyle name="Normal 2 2 10 17" xfId="6490" xr:uid="{00000000-0005-0000-0000-00004E190000}"/>
    <cellStyle name="Normal 2 2 10 17 10" xfId="6491" xr:uid="{00000000-0005-0000-0000-00004F190000}"/>
    <cellStyle name="Normal 2 2 10 17 11" xfId="6492" xr:uid="{00000000-0005-0000-0000-000050190000}"/>
    <cellStyle name="Normal 2 2 10 17 12" xfId="6493" xr:uid="{00000000-0005-0000-0000-000051190000}"/>
    <cellStyle name="Normal 2 2 10 17 13" xfId="6494" xr:uid="{00000000-0005-0000-0000-000052190000}"/>
    <cellStyle name="Normal 2 2 10 17 14" xfId="6495" xr:uid="{00000000-0005-0000-0000-000053190000}"/>
    <cellStyle name="Normal 2 2 10 17 2" xfId="6496" xr:uid="{00000000-0005-0000-0000-000054190000}"/>
    <cellStyle name="Normal 2 2 10 17 2 10" xfId="6497" xr:uid="{00000000-0005-0000-0000-000055190000}"/>
    <cellStyle name="Normal 2 2 10 17 2 2" xfId="6498" xr:uid="{00000000-0005-0000-0000-000056190000}"/>
    <cellStyle name="Normal 2 2 10 17 2 3" xfId="6499" xr:uid="{00000000-0005-0000-0000-000057190000}"/>
    <cellStyle name="Normal 2 2 10 17 2 4" xfId="6500" xr:uid="{00000000-0005-0000-0000-000058190000}"/>
    <cellStyle name="Normal 2 2 10 17 2 5" xfId="6501" xr:uid="{00000000-0005-0000-0000-000059190000}"/>
    <cellStyle name="Normal 2 2 10 17 2 6" xfId="6502" xr:uid="{00000000-0005-0000-0000-00005A190000}"/>
    <cellStyle name="Normal 2 2 10 17 2 7" xfId="6503" xr:uid="{00000000-0005-0000-0000-00005B190000}"/>
    <cellStyle name="Normal 2 2 10 17 2 8" xfId="6504" xr:uid="{00000000-0005-0000-0000-00005C190000}"/>
    <cellStyle name="Normal 2 2 10 17 2 9" xfId="6505" xr:uid="{00000000-0005-0000-0000-00005D190000}"/>
    <cellStyle name="Normal 2 2 10 17 3" xfId="6506" xr:uid="{00000000-0005-0000-0000-00005E190000}"/>
    <cellStyle name="Normal 2 2 10 17 3 10" xfId="6507" xr:uid="{00000000-0005-0000-0000-00005F190000}"/>
    <cellStyle name="Normal 2 2 10 17 3 2" xfId="6508" xr:uid="{00000000-0005-0000-0000-000060190000}"/>
    <cellStyle name="Normal 2 2 10 17 3 3" xfId="6509" xr:uid="{00000000-0005-0000-0000-000061190000}"/>
    <cellStyle name="Normal 2 2 10 17 3 4" xfId="6510" xr:uid="{00000000-0005-0000-0000-000062190000}"/>
    <cellStyle name="Normal 2 2 10 17 3 5" xfId="6511" xr:uid="{00000000-0005-0000-0000-000063190000}"/>
    <cellStyle name="Normal 2 2 10 17 3 6" xfId="6512" xr:uid="{00000000-0005-0000-0000-000064190000}"/>
    <cellStyle name="Normal 2 2 10 17 3 7" xfId="6513" xr:uid="{00000000-0005-0000-0000-000065190000}"/>
    <cellStyle name="Normal 2 2 10 17 3 8" xfId="6514" xr:uid="{00000000-0005-0000-0000-000066190000}"/>
    <cellStyle name="Normal 2 2 10 17 3 9" xfId="6515" xr:uid="{00000000-0005-0000-0000-000067190000}"/>
    <cellStyle name="Normal 2 2 10 17 4" xfId="6516" xr:uid="{00000000-0005-0000-0000-000068190000}"/>
    <cellStyle name="Normal 2 2 10 17 4 10" xfId="6517" xr:uid="{00000000-0005-0000-0000-000069190000}"/>
    <cellStyle name="Normal 2 2 10 17 4 2" xfId="6518" xr:uid="{00000000-0005-0000-0000-00006A190000}"/>
    <cellStyle name="Normal 2 2 10 17 4 3" xfId="6519" xr:uid="{00000000-0005-0000-0000-00006B190000}"/>
    <cellStyle name="Normal 2 2 10 17 4 4" xfId="6520" xr:uid="{00000000-0005-0000-0000-00006C190000}"/>
    <cellStyle name="Normal 2 2 10 17 4 5" xfId="6521" xr:uid="{00000000-0005-0000-0000-00006D190000}"/>
    <cellStyle name="Normal 2 2 10 17 4 6" xfId="6522" xr:uid="{00000000-0005-0000-0000-00006E190000}"/>
    <cellStyle name="Normal 2 2 10 17 4 7" xfId="6523" xr:uid="{00000000-0005-0000-0000-00006F190000}"/>
    <cellStyle name="Normal 2 2 10 17 4 8" xfId="6524" xr:uid="{00000000-0005-0000-0000-000070190000}"/>
    <cellStyle name="Normal 2 2 10 17 4 9" xfId="6525" xr:uid="{00000000-0005-0000-0000-000071190000}"/>
    <cellStyle name="Normal 2 2 10 17 5" xfId="6526" xr:uid="{00000000-0005-0000-0000-000072190000}"/>
    <cellStyle name="Normal 2 2 10 17 5 10" xfId="6527" xr:uid="{00000000-0005-0000-0000-000073190000}"/>
    <cellStyle name="Normal 2 2 10 17 5 2" xfId="6528" xr:uid="{00000000-0005-0000-0000-000074190000}"/>
    <cellStyle name="Normal 2 2 10 17 5 3" xfId="6529" xr:uid="{00000000-0005-0000-0000-000075190000}"/>
    <cellStyle name="Normal 2 2 10 17 5 4" xfId="6530" xr:uid="{00000000-0005-0000-0000-000076190000}"/>
    <cellStyle name="Normal 2 2 10 17 5 5" xfId="6531" xr:uid="{00000000-0005-0000-0000-000077190000}"/>
    <cellStyle name="Normal 2 2 10 17 5 6" xfId="6532" xr:uid="{00000000-0005-0000-0000-000078190000}"/>
    <cellStyle name="Normal 2 2 10 17 5 7" xfId="6533" xr:uid="{00000000-0005-0000-0000-000079190000}"/>
    <cellStyle name="Normal 2 2 10 17 5 8" xfId="6534" xr:uid="{00000000-0005-0000-0000-00007A190000}"/>
    <cellStyle name="Normal 2 2 10 17 5 9" xfId="6535" xr:uid="{00000000-0005-0000-0000-00007B190000}"/>
    <cellStyle name="Normal 2 2 10 17 6" xfId="6536" xr:uid="{00000000-0005-0000-0000-00007C190000}"/>
    <cellStyle name="Normal 2 2 10 17 7" xfId="6537" xr:uid="{00000000-0005-0000-0000-00007D190000}"/>
    <cellStyle name="Normal 2 2 10 17 8" xfId="6538" xr:uid="{00000000-0005-0000-0000-00007E190000}"/>
    <cellStyle name="Normal 2 2 10 17 9" xfId="6539" xr:uid="{00000000-0005-0000-0000-00007F190000}"/>
    <cellStyle name="Normal 2 2 10 18" xfId="6540" xr:uid="{00000000-0005-0000-0000-000080190000}"/>
    <cellStyle name="Normal 2 2 10 18 10" xfId="6541" xr:uid="{00000000-0005-0000-0000-000081190000}"/>
    <cellStyle name="Normal 2 2 10 18 11" xfId="6542" xr:uid="{00000000-0005-0000-0000-000082190000}"/>
    <cellStyle name="Normal 2 2 10 18 12" xfId="6543" xr:uid="{00000000-0005-0000-0000-000083190000}"/>
    <cellStyle name="Normal 2 2 10 18 13" xfId="6544" xr:uid="{00000000-0005-0000-0000-000084190000}"/>
    <cellStyle name="Normal 2 2 10 18 14" xfId="6545" xr:uid="{00000000-0005-0000-0000-000085190000}"/>
    <cellStyle name="Normal 2 2 10 18 2" xfId="6546" xr:uid="{00000000-0005-0000-0000-000086190000}"/>
    <cellStyle name="Normal 2 2 10 18 2 10" xfId="6547" xr:uid="{00000000-0005-0000-0000-000087190000}"/>
    <cellStyle name="Normal 2 2 10 18 2 2" xfId="6548" xr:uid="{00000000-0005-0000-0000-000088190000}"/>
    <cellStyle name="Normal 2 2 10 18 2 3" xfId="6549" xr:uid="{00000000-0005-0000-0000-000089190000}"/>
    <cellStyle name="Normal 2 2 10 18 2 4" xfId="6550" xr:uid="{00000000-0005-0000-0000-00008A190000}"/>
    <cellStyle name="Normal 2 2 10 18 2 5" xfId="6551" xr:uid="{00000000-0005-0000-0000-00008B190000}"/>
    <cellStyle name="Normal 2 2 10 18 2 6" xfId="6552" xr:uid="{00000000-0005-0000-0000-00008C190000}"/>
    <cellStyle name="Normal 2 2 10 18 2 7" xfId="6553" xr:uid="{00000000-0005-0000-0000-00008D190000}"/>
    <cellStyle name="Normal 2 2 10 18 2 8" xfId="6554" xr:uid="{00000000-0005-0000-0000-00008E190000}"/>
    <cellStyle name="Normal 2 2 10 18 2 9" xfId="6555" xr:uid="{00000000-0005-0000-0000-00008F190000}"/>
    <cellStyle name="Normal 2 2 10 18 3" xfId="6556" xr:uid="{00000000-0005-0000-0000-000090190000}"/>
    <cellStyle name="Normal 2 2 10 18 3 10" xfId="6557" xr:uid="{00000000-0005-0000-0000-000091190000}"/>
    <cellStyle name="Normal 2 2 10 18 3 2" xfId="6558" xr:uid="{00000000-0005-0000-0000-000092190000}"/>
    <cellStyle name="Normal 2 2 10 18 3 3" xfId="6559" xr:uid="{00000000-0005-0000-0000-000093190000}"/>
    <cellStyle name="Normal 2 2 10 18 3 4" xfId="6560" xr:uid="{00000000-0005-0000-0000-000094190000}"/>
    <cellStyle name="Normal 2 2 10 18 3 5" xfId="6561" xr:uid="{00000000-0005-0000-0000-000095190000}"/>
    <cellStyle name="Normal 2 2 10 18 3 6" xfId="6562" xr:uid="{00000000-0005-0000-0000-000096190000}"/>
    <cellStyle name="Normal 2 2 10 18 3 7" xfId="6563" xr:uid="{00000000-0005-0000-0000-000097190000}"/>
    <cellStyle name="Normal 2 2 10 18 3 8" xfId="6564" xr:uid="{00000000-0005-0000-0000-000098190000}"/>
    <cellStyle name="Normal 2 2 10 18 3 9" xfId="6565" xr:uid="{00000000-0005-0000-0000-000099190000}"/>
    <cellStyle name="Normal 2 2 10 18 4" xfId="6566" xr:uid="{00000000-0005-0000-0000-00009A190000}"/>
    <cellStyle name="Normal 2 2 10 18 4 10" xfId="6567" xr:uid="{00000000-0005-0000-0000-00009B190000}"/>
    <cellStyle name="Normal 2 2 10 18 4 2" xfId="6568" xr:uid="{00000000-0005-0000-0000-00009C190000}"/>
    <cellStyle name="Normal 2 2 10 18 4 3" xfId="6569" xr:uid="{00000000-0005-0000-0000-00009D190000}"/>
    <cellStyle name="Normal 2 2 10 18 4 4" xfId="6570" xr:uid="{00000000-0005-0000-0000-00009E190000}"/>
    <cellStyle name="Normal 2 2 10 18 4 5" xfId="6571" xr:uid="{00000000-0005-0000-0000-00009F190000}"/>
    <cellStyle name="Normal 2 2 10 18 4 6" xfId="6572" xr:uid="{00000000-0005-0000-0000-0000A0190000}"/>
    <cellStyle name="Normal 2 2 10 18 4 7" xfId="6573" xr:uid="{00000000-0005-0000-0000-0000A1190000}"/>
    <cellStyle name="Normal 2 2 10 18 4 8" xfId="6574" xr:uid="{00000000-0005-0000-0000-0000A2190000}"/>
    <cellStyle name="Normal 2 2 10 18 4 9" xfId="6575" xr:uid="{00000000-0005-0000-0000-0000A3190000}"/>
    <cellStyle name="Normal 2 2 10 18 5" xfId="6576" xr:uid="{00000000-0005-0000-0000-0000A4190000}"/>
    <cellStyle name="Normal 2 2 10 18 5 10" xfId="6577" xr:uid="{00000000-0005-0000-0000-0000A5190000}"/>
    <cellStyle name="Normal 2 2 10 18 5 2" xfId="6578" xr:uid="{00000000-0005-0000-0000-0000A6190000}"/>
    <cellStyle name="Normal 2 2 10 18 5 3" xfId="6579" xr:uid="{00000000-0005-0000-0000-0000A7190000}"/>
    <cellStyle name="Normal 2 2 10 18 5 4" xfId="6580" xr:uid="{00000000-0005-0000-0000-0000A8190000}"/>
    <cellStyle name="Normal 2 2 10 18 5 5" xfId="6581" xr:uid="{00000000-0005-0000-0000-0000A9190000}"/>
    <cellStyle name="Normal 2 2 10 18 5 6" xfId="6582" xr:uid="{00000000-0005-0000-0000-0000AA190000}"/>
    <cellStyle name="Normal 2 2 10 18 5 7" xfId="6583" xr:uid="{00000000-0005-0000-0000-0000AB190000}"/>
    <cellStyle name="Normal 2 2 10 18 5 8" xfId="6584" xr:uid="{00000000-0005-0000-0000-0000AC190000}"/>
    <cellStyle name="Normal 2 2 10 18 5 9" xfId="6585" xr:uid="{00000000-0005-0000-0000-0000AD190000}"/>
    <cellStyle name="Normal 2 2 10 18 6" xfId="6586" xr:uid="{00000000-0005-0000-0000-0000AE190000}"/>
    <cellStyle name="Normal 2 2 10 18 7" xfId="6587" xr:uid="{00000000-0005-0000-0000-0000AF190000}"/>
    <cellStyle name="Normal 2 2 10 18 8" xfId="6588" xr:uid="{00000000-0005-0000-0000-0000B0190000}"/>
    <cellStyle name="Normal 2 2 10 18 9" xfId="6589" xr:uid="{00000000-0005-0000-0000-0000B1190000}"/>
    <cellStyle name="Normal 2 2 10 19" xfId="6590" xr:uid="{00000000-0005-0000-0000-0000B2190000}"/>
    <cellStyle name="Normal 2 2 10 19 10" xfId="6591" xr:uid="{00000000-0005-0000-0000-0000B3190000}"/>
    <cellStyle name="Normal 2 2 10 19 11" xfId="6592" xr:uid="{00000000-0005-0000-0000-0000B4190000}"/>
    <cellStyle name="Normal 2 2 10 19 12" xfId="6593" xr:uid="{00000000-0005-0000-0000-0000B5190000}"/>
    <cellStyle name="Normal 2 2 10 19 13" xfId="6594" xr:uid="{00000000-0005-0000-0000-0000B6190000}"/>
    <cellStyle name="Normal 2 2 10 19 14" xfId="6595" xr:uid="{00000000-0005-0000-0000-0000B7190000}"/>
    <cellStyle name="Normal 2 2 10 19 2" xfId="6596" xr:uid="{00000000-0005-0000-0000-0000B8190000}"/>
    <cellStyle name="Normal 2 2 10 19 2 10" xfId="6597" xr:uid="{00000000-0005-0000-0000-0000B9190000}"/>
    <cellStyle name="Normal 2 2 10 19 2 2" xfId="6598" xr:uid="{00000000-0005-0000-0000-0000BA190000}"/>
    <cellStyle name="Normal 2 2 10 19 2 3" xfId="6599" xr:uid="{00000000-0005-0000-0000-0000BB190000}"/>
    <cellStyle name="Normal 2 2 10 19 2 4" xfId="6600" xr:uid="{00000000-0005-0000-0000-0000BC190000}"/>
    <cellStyle name="Normal 2 2 10 19 2 5" xfId="6601" xr:uid="{00000000-0005-0000-0000-0000BD190000}"/>
    <cellStyle name="Normal 2 2 10 19 2 6" xfId="6602" xr:uid="{00000000-0005-0000-0000-0000BE190000}"/>
    <cellStyle name="Normal 2 2 10 19 2 7" xfId="6603" xr:uid="{00000000-0005-0000-0000-0000BF190000}"/>
    <cellStyle name="Normal 2 2 10 19 2 8" xfId="6604" xr:uid="{00000000-0005-0000-0000-0000C0190000}"/>
    <cellStyle name="Normal 2 2 10 19 2 9" xfId="6605" xr:uid="{00000000-0005-0000-0000-0000C1190000}"/>
    <cellStyle name="Normal 2 2 10 19 3" xfId="6606" xr:uid="{00000000-0005-0000-0000-0000C2190000}"/>
    <cellStyle name="Normal 2 2 10 19 3 10" xfId="6607" xr:uid="{00000000-0005-0000-0000-0000C3190000}"/>
    <cellStyle name="Normal 2 2 10 19 3 2" xfId="6608" xr:uid="{00000000-0005-0000-0000-0000C4190000}"/>
    <cellStyle name="Normal 2 2 10 19 3 3" xfId="6609" xr:uid="{00000000-0005-0000-0000-0000C5190000}"/>
    <cellStyle name="Normal 2 2 10 19 3 4" xfId="6610" xr:uid="{00000000-0005-0000-0000-0000C6190000}"/>
    <cellStyle name="Normal 2 2 10 19 3 5" xfId="6611" xr:uid="{00000000-0005-0000-0000-0000C7190000}"/>
    <cellStyle name="Normal 2 2 10 19 3 6" xfId="6612" xr:uid="{00000000-0005-0000-0000-0000C8190000}"/>
    <cellStyle name="Normal 2 2 10 19 3 7" xfId="6613" xr:uid="{00000000-0005-0000-0000-0000C9190000}"/>
    <cellStyle name="Normal 2 2 10 19 3 8" xfId="6614" xr:uid="{00000000-0005-0000-0000-0000CA190000}"/>
    <cellStyle name="Normal 2 2 10 19 3 9" xfId="6615" xr:uid="{00000000-0005-0000-0000-0000CB190000}"/>
    <cellStyle name="Normal 2 2 10 19 4" xfId="6616" xr:uid="{00000000-0005-0000-0000-0000CC190000}"/>
    <cellStyle name="Normal 2 2 10 19 4 10" xfId="6617" xr:uid="{00000000-0005-0000-0000-0000CD190000}"/>
    <cellStyle name="Normal 2 2 10 19 4 2" xfId="6618" xr:uid="{00000000-0005-0000-0000-0000CE190000}"/>
    <cellStyle name="Normal 2 2 10 19 4 3" xfId="6619" xr:uid="{00000000-0005-0000-0000-0000CF190000}"/>
    <cellStyle name="Normal 2 2 10 19 4 4" xfId="6620" xr:uid="{00000000-0005-0000-0000-0000D0190000}"/>
    <cellStyle name="Normal 2 2 10 19 4 5" xfId="6621" xr:uid="{00000000-0005-0000-0000-0000D1190000}"/>
    <cellStyle name="Normal 2 2 10 19 4 6" xfId="6622" xr:uid="{00000000-0005-0000-0000-0000D2190000}"/>
    <cellStyle name="Normal 2 2 10 19 4 7" xfId="6623" xr:uid="{00000000-0005-0000-0000-0000D3190000}"/>
    <cellStyle name="Normal 2 2 10 19 4 8" xfId="6624" xr:uid="{00000000-0005-0000-0000-0000D4190000}"/>
    <cellStyle name="Normal 2 2 10 19 4 9" xfId="6625" xr:uid="{00000000-0005-0000-0000-0000D5190000}"/>
    <cellStyle name="Normal 2 2 10 19 5" xfId="6626" xr:uid="{00000000-0005-0000-0000-0000D6190000}"/>
    <cellStyle name="Normal 2 2 10 19 5 10" xfId="6627" xr:uid="{00000000-0005-0000-0000-0000D7190000}"/>
    <cellStyle name="Normal 2 2 10 19 5 2" xfId="6628" xr:uid="{00000000-0005-0000-0000-0000D8190000}"/>
    <cellStyle name="Normal 2 2 10 19 5 3" xfId="6629" xr:uid="{00000000-0005-0000-0000-0000D9190000}"/>
    <cellStyle name="Normal 2 2 10 19 5 4" xfId="6630" xr:uid="{00000000-0005-0000-0000-0000DA190000}"/>
    <cellStyle name="Normal 2 2 10 19 5 5" xfId="6631" xr:uid="{00000000-0005-0000-0000-0000DB190000}"/>
    <cellStyle name="Normal 2 2 10 19 5 6" xfId="6632" xr:uid="{00000000-0005-0000-0000-0000DC190000}"/>
    <cellStyle name="Normal 2 2 10 19 5 7" xfId="6633" xr:uid="{00000000-0005-0000-0000-0000DD190000}"/>
    <cellStyle name="Normal 2 2 10 19 5 8" xfId="6634" xr:uid="{00000000-0005-0000-0000-0000DE190000}"/>
    <cellStyle name="Normal 2 2 10 19 5 9" xfId="6635" xr:uid="{00000000-0005-0000-0000-0000DF190000}"/>
    <cellStyle name="Normal 2 2 10 19 6" xfId="6636" xr:uid="{00000000-0005-0000-0000-0000E0190000}"/>
    <cellStyle name="Normal 2 2 10 19 7" xfId="6637" xr:uid="{00000000-0005-0000-0000-0000E1190000}"/>
    <cellStyle name="Normal 2 2 10 19 8" xfId="6638" xr:uid="{00000000-0005-0000-0000-0000E2190000}"/>
    <cellStyle name="Normal 2 2 10 19 9" xfId="6639" xr:uid="{00000000-0005-0000-0000-0000E3190000}"/>
    <cellStyle name="Normal 2 2 10 2" xfId="6640" xr:uid="{00000000-0005-0000-0000-0000E4190000}"/>
    <cellStyle name="Normal 2 2 10 2 10" xfId="6641" xr:uid="{00000000-0005-0000-0000-0000E5190000}"/>
    <cellStyle name="Normal 2 2 10 2 10 10" xfId="6642" xr:uid="{00000000-0005-0000-0000-0000E6190000}"/>
    <cellStyle name="Normal 2 2 10 2 10 11" xfId="6643" xr:uid="{00000000-0005-0000-0000-0000E7190000}"/>
    <cellStyle name="Normal 2 2 10 2 10 12" xfId="6644" xr:uid="{00000000-0005-0000-0000-0000E8190000}"/>
    <cellStyle name="Normal 2 2 10 2 10 13" xfId="6645" xr:uid="{00000000-0005-0000-0000-0000E9190000}"/>
    <cellStyle name="Normal 2 2 10 2 10 14" xfId="6646" xr:uid="{00000000-0005-0000-0000-0000EA190000}"/>
    <cellStyle name="Normal 2 2 10 2 10 2" xfId="6647" xr:uid="{00000000-0005-0000-0000-0000EB190000}"/>
    <cellStyle name="Normal 2 2 10 2 10 2 10" xfId="6648" xr:uid="{00000000-0005-0000-0000-0000EC190000}"/>
    <cellStyle name="Normal 2 2 10 2 10 2 2" xfId="6649" xr:uid="{00000000-0005-0000-0000-0000ED190000}"/>
    <cellStyle name="Normal 2 2 10 2 10 2 3" xfId="6650" xr:uid="{00000000-0005-0000-0000-0000EE190000}"/>
    <cellStyle name="Normal 2 2 10 2 10 2 4" xfId="6651" xr:uid="{00000000-0005-0000-0000-0000EF190000}"/>
    <cellStyle name="Normal 2 2 10 2 10 2 5" xfId="6652" xr:uid="{00000000-0005-0000-0000-0000F0190000}"/>
    <cellStyle name="Normal 2 2 10 2 10 2 6" xfId="6653" xr:uid="{00000000-0005-0000-0000-0000F1190000}"/>
    <cellStyle name="Normal 2 2 10 2 10 2 7" xfId="6654" xr:uid="{00000000-0005-0000-0000-0000F2190000}"/>
    <cellStyle name="Normal 2 2 10 2 10 2 8" xfId="6655" xr:uid="{00000000-0005-0000-0000-0000F3190000}"/>
    <cellStyle name="Normal 2 2 10 2 10 2 9" xfId="6656" xr:uid="{00000000-0005-0000-0000-0000F4190000}"/>
    <cellStyle name="Normal 2 2 10 2 10 3" xfId="6657" xr:uid="{00000000-0005-0000-0000-0000F5190000}"/>
    <cellStyle name="Normal 2 2 10 2 10 3 10" xfId="6658" xr:uid="{00000000-0005-0000-0000-0000F6190000}"/>
    <cellStyle name="Normal 2 2 10 2 10 3 2" xfId="6659" xr:uid="{00000000-0005-0000-0000-0000F7190000}"/>
    <cellStyle name="Normal 2 2 10 2 10 3 3" xfId="6660" xr:uid="{00000000-0005-0000-0000-0000F8190000}"/>
    <cellStyle name="Normal 2 2 10 2 10 3 4" xfId="6661" xr:uid="{00000000-0005-0000-0000-0000F9190000}"/>
    <cellStyle name="Normal 2 2 10 2 10 3 5" xfId="6662" xr:uid="{00000000-0005-0000-0000-0000FA190000}"/>
    <cellStyle name="Normal 2 2 10 2 10 3 6" xfId="6663" xr:uid="{00000000-0005-0000-0000-0000FB190000}"/>
    <cellStyle name="Normal 2 2 10 2 10 3 7" xfId="6664" xr:uid="{00000000-0005-0000-0000-0000FC190000}"/>
    <cellStyle name="Normal 2 2 10 2 10 3 8" xfId="6665" xr:uid="{00000000-0005-0000-0000-0000FD190000}"/>
    <cellStyle name="Normal 2 2 10 2 10 3 9" xfId="6666" xr:uid="{00000000-0005-0000-0000-0000FE190000}"/>
    <cellStyle name="Normal 2 2 10 2 10 4" xfId="6667" xr:uid="{00000000-0005-0000-0000-0000FF190000}"/>
    <cellStyle name="Normal 2 2 10 2 10 4 10" xfId="6668" xr:uid="{00000000-0005-0000-0000-0000001A0000}"/>
    <cellStyle name="Normal 2 2 10 2 10 4 2" xfId="6669" xr:uid="{00000000-0005-0000-0000-0000011A0000}"/>
    <cellStyle name="Normal 2 2 10 2 10 4 3" xfId="6670" xr:uid="{00000000-0005-0000-0000-0000021A0000}"/>
    <cellStyle name="Normal 2 2 10 2 10 4 4" xfId="6671" xr:uid="{00000000-0005-0000-0000-0000031A0000}"/>
    <cellStyle name="Normal 2 2 10 2 10 4 5" xfId="6672" xr:uid="{00000000-0005-0000-0000-0000041A0000}"/>
    <cellStyle name="Normal 2 2 10 2 10 4 6" xfId="6673" xr:uid="{00000000-0005-0000-0000-0000051A0000}"/>
    <cellStyle name="Normal 2 2 10 2 10 4 7" xfId="6674" xr:uid="{00000000-0005-0000-0000-0000061A0000}"/>
    <cellStyle name="Normal 2 2 10 2 10 4 8" xfId="6675" xr:uid="{00000000-0005-0000-0000-0000071A0000}"/>
    <cellStyle name="Normal 2 2 10 2 10 4 9" xfId="6676" xr:uid="{00000000-0005-0000-0000-0000081A0000}"/>
    <cellStyle name="Normal 2 2 10 2 10 5" xfId="6677" xr:uid="{00000000-0005-0000-0000-0000091A0000}"/>
    <cellStyle name="Normal 2 2 10 2 10 5 10" xfId="6678" xr:uid="{00000000-0005-0000-0000-00000A1A0000}"/>
    <cellStyle name="Normal 2 2 10 2 10 5 2" xfId="6679" xr:uid="{00000000-0005-0000-0000-00000B1A0000}"/>
    <cellStyle name="Normal 2 2 10 2 10 5 3" xfId="6680" xr:uid="{00000000-0005-0000-0000-00000C1A0000}"/>
    <cellStyle name="Normal 2 2 10 2 10 5 4" xfId="6681" xr:uid="{00000000-0005-0000-0000-00000D1A0000}"/>
    <cellStyle name="Normal 2 2 10 2 10 5 5" xfId="6682" xr:uid="{00000000-0005-0000-0000-00000E1A0000}"/>
    <cellStyle name="Normal 2 2 10 2 10 5 6" xfId="6683" xr:uid="{00000000-0005-0000-0000-00000F1A0000}"/>
    <cellStyle name="Normal 2 2 10 2 10 5 7" xfId="6684" xr:uid="{00000000-0005-0000-0000-0000101A0000}"/>
    <cellStyle name="Normal 2 2 10 2 10 5 8" xfId="6685" xr:uid="{00000000-0005-0000-0000-0000111A0000}"/>
    <cellStyle name="Normal 2 2 10 2 10 5 9" xfId="6686" xr:uid="{00000000-0005-0000-0000-0000121A0000}"/>
    <cellStyle name="Normal 2 2 10 2 10 6" xfId="6687" xr:uid="{00000000-0005-0000-0000-0000131A0000}"/>
    <cellStyle name="Normal 2 2 10 2 10 7" xfId="6688" xr:uid="{00000000-0005-0000-0000-0000141A0000}"/>
    <cellStyle name="Normal 2 2 10 2 10 8" xfId="6689" xr:uid="{00000000-0005-0000-0000-0000151A0000}"/>
    <cellStyle name="Normal 2 2 10 2 10 9" xfId="6690" xr:uid="{00000000-0005-0000-0000-0000161A0000}"/>
    <cellStyle name="Normal 2 2 10 2 11" xfId="6691" xr:uid="{00000000-0005-0000-0000-0000171A0000}"/>
    <cellStyle name="Normal 2 2 10 2 11 10" xfId="6692" xr:uid="{00000000-0005-0000-0000-0000181A0000}"/>
    <cellStyle name="Normal 2 2 10 2 11 11" xfId="6693" xr:uid="{00000000-0005-0000-0000-0000191A0000}"/>
    <cellStyle name="Normal 2 2 10 2 11 12" xfId="6694" xr:uid="{00000000-0005-0000-0000-00001A1A0000}"/>
    <cellStyle name="Normal 2 2 10 2 11 13" xfId="6695" xr:uid="{00000000-0005-0000-0000-00001B1A0000}"/>
    <cellStyle name="Normal 2 2 10 2 11 14" xfId="6696" xr:uid="{00000000-0005-0000-0000-00001C1A0000}"/>
    <cellStyle name="Normal 2 2 10 2 11 2" xfId="6697" xr:uid="{00000000-0005-0000-0000-00001D1A0000}"/>
    <cellStyle name="Normal 2 2 10 2 11 2 10" xfId="6698" xr:uid="{00000000-0005-0000-0000-00001E1A0000}"/>
    <cellStyle name="Normal 2 2 10 2 11 2 2" xfId="6699" xr:uid="{00000000-0005-0000-0000-00001F1A0000}"/>
    <cellStyle name="Normal 2 2 10 2 11 2 3" xfId="6700" xr:uid="{00000000-0005-0000-0000-0000201A0000}"/>
    <cellStyle name="Normal 2 2 10 2 11 2 4" xfId="6701" xr:uid="{00000000-0005-0000-0000-0000211A0000}"/>
    <cellStyle name="Normal 2 2 10 2 11 2 5" xfId="6702" xr:uid="{00000000-0005-0000-0000-0000221A0000}"/>
    <cellStyle name="Normal 2 2 10 2 11 2 6" xfId="6703" xr:uid="{00000000-0005-0000-0000-0000231A0000}"/>
    <cellStyle name="Normal 2 2 10 2 11 2 7" xfId="6704" xr:uid="{00000000-0005-0000-0000-0000241A0000}"/>
    <cellStyle name="Normal 2 2 10 2 11 2 8" xfId="6705" xr:uid="{00000000-0005-0000-0000-0000251A0000}"/>
    <cellStyle name="Normal 2 2 10 2 11 2 9" xfId="6706" xr:uid="{00000000-0005-0000-0000-0000261A0000}"/>
    <cellStyle name="Normal 2 2 10 2 11 3" xfId="6707" xr:uid="{00000000-0005-0000-0000-0000271A0000}"/>
    <cellStyle name="Normal 2 2 10 2 11 3 10" xfId="6708" xr:uid="{00000000-0005-0000-0000-0000281A0000}"/>
    <cellStyle name="Normal 2 2 10 2 11 3 2" xfId="6709" xr:uid="{00000000-0005-0000-0000-0000291A0000}"/>
    <cellStyle name="Normal 2 2 10 2 11 3 3" xfId="6710" xr:uid="{00000000-0005-0000-0000-00002A1A0000}"/>
    <cellStyle name="Normal 2 2 10 2 11 3 4" xfId="6711" xr:uid="{00000000-0005-0000-0000-00002B1A0000}"/>
    <cellStyle name="Normal 2 2 10 2 11 3 5" xfId="6712" xr:uid="{00000000-0005-0000-0000-00002C1A0000}"/>
    <cellStyle name="Normal 2 2 10 2 11 3 6" xfId="6713" xr:uid="{00000000-0005-0000-0000-00002D1A0000}"/>
    <cellStyle name="Normal 2 2 10 2 11 3 7" xfId="6714" xr:uid="{00000000-0005-0000-0000-00002E1A0000}"/>
    <cellStyle name="Normal 2 2 10 2 11 3 8" xfId="6715" xr:uid="{00000000-0005-0000-0000-00002F1A0000}"/>
    <cellStyle name="Normal 2 2 10 2 11 3 9" xfId="6716" xr:uid="{00000000-0005-0000-0000-0000301A0000}"/>
    <cellStyle name="Normal 2 2 10 2 11 4" xfId="6717" xr:uid="{00000000-0005-0000-0000-0000311A0000}"/>
    <cellStyle name="Normal 2 2 10 2 11 4 10" xfId="6718" xr:uid="{00000000-0005-0000-0000-0000321A0000}"/>
    <cellStyle name="Normal 2 2 10 2 11 4 2" xfId="6719" xr:uid="{00000000-0005-0000-0000-0000331A0000}"/>
    <cellStyle name="Normal 2 2 10 2 11 4 3" xfId="6720" xr:uid="{00000000-0005-0000-0000-0000341A0000}"/>
    <cellStyle name="Normal 2 2 10 2 11 4 4" xfId="6721" xr:uid="{00000000-0005-0000-0000-0000351A0000}"/>
    <cellStyle name="Normal 2 2 10 2 11 4 5" xfId="6722" xr:uid="{00000000-0005-0000-0000-0000361A0000}"/>
    <cellStyle name="Normal 2 2 10 2 11 4 6" xfId="6723" xr:uid="{00000000-0005-0000-0000-0000371A0000}"/>
    <cellStyle name="Normal 2 2 10 2 11 4 7" xfId="6724" xr:uid="{00000000-0005-0000-0000-0000381A0000}"/>
    <cellStyle name="Normal 2 2 10 2 11 4 8" xfId="6725" xr:uid="{00000000-0005-0000-0000-0000391A0000}"/>
    <cellStyle name="Normal 2 2 10 2 11 4 9" xfId="6726" xr:uid="{00000000-0005-0000-0000-00003A1A0000}"/>
    <cellStyle name="Normal 2 2 10 2 11 5" xfId="6727" xr:uid="{00000000-0005-0000-0000-00003B1A0000}"/>
    <cellStyle name="Normal 2 2 10 2 11 5 10" xfId="6728" xr:uid="{00000000-0005-0000-0000-00003C1A0000}"/>
    <cellStyle name="Normal 2 2 10 2 11 5 2" xfId="6729" xr:uid="{00000000-0005-0000-0000-00003D1A0000}"/>
    <cellStyle name="Normal 2 2 10 2 11 5 3" xfId="6730" xr:uid="{00000000-0005-0000-0000-00003E1A0000}"/>
    <cellStyle name="Normal 2 2 10 2 11 5 4" xfId="6731" xr:uid="{00000000-0005-0000-0000-00003F1A0000}"/>
    <cellStyle name="Normal 2 2 10 2 11 5 5" xfId="6732" xr:uid="{00000000-0005-0000-0000-0000401A0000}"/>
    <cellStyle name="Normal 2 2 10 2 11 5 6" xfId="6733" xr:uid="{00000000-0005-0000-0000-0000411A0000}"/>
    <cellStyle name="Normal 2 2 10 2 11 5 7" xfId="6734" xr:uid="{00000000-0005-0000-0000-0000421A0000}"/>
    <cellStyle name="Normal 2 2 10 2 11 5 8" xfId="6735" xr:uid="{00000000-0005-0000-0000-0000431A0000}"/>
    <cellStyle name="Normal 2 2 10 2 11 5 9" xfId="6736" xr:uid="{00000000-0005-0000-0000-0000441A0000}"/>
    <cellStyle name="Normal 2 2 10 2 11 6" xfId="6737" xr:uid="{00000000-0005-0000-0000-0000451A0000}"/>
    <cellStyle name="Normal 2 2 10 2 11 7" xfId="6738" xr:uid="{00000000-0005-0000-0000-0000461A0000}"/>
    <cellStyle name="Normal 2 2 10 2 11 8" xfId="6739" xr:uid="{00000000-0005-0000-0000-0000471A0000}"/>
    <cellStyle name="Normal 2 2 10 2 11 9" xfId="6740" xr:uid="{00000000-0005-0000-0000-0000481A0000}"/>
    <cellStyle name="Normal 2 2 10 2 12" xfId="6741" xr:uid="{00000000-0005-0000-0000-0000491A0000}"/>
    <cellStyle name="Normal 2 2 10 2 12 10" xfId="6742" xr:uid="{00000000-0005-0000-0000-00004A1A0000}"/>
    <cellStyle name="Normal 2 2 10 2 12 11" xfId="6743" xr:uid="{00000000-0005-0000-0000-00004B1A0000}"/>
    <cellStyle name="Normal 2 2 10 2 12 12" xfId="6744" xr:uid="{00000000-0005-0000-0000-00004C1A0000}"/>
    <cellStyle name="Normal 2 2 10 2 12 13" xfId="6745" xr:uid="{00000000-0005-0000-0000-00004D1A0000}"/>
    <cellStyle name="Normal 2 2 10 2 12 14" xfId="6746" xr:uid="{00000000-0005-0000-0000-00004E1A0000}"/>
    <cellStyle name="Normal 2 2 10 2 12 2" xfId="6747" xr:uid="{00000000-0005-0000-0000-00004F1A0000}"/>
    <cellStyle name="Normal 2 2 10 2 12 2 10" xfId="6748" xr:uid="{00000000-0005-0000-0000-0000501A0000}"/>
    <cellStyle name="Normal 2 2 10 2 12 2 2" xfId="6749" xr:uid="{00000000-0005-0000-0000-0000511A0000}"/>
    <cellStyle name="Normal 2 2 10 2 12 2 3" xfId="6750" xr:uid="{00000000-0005-0000-0000-0000521A0000}"/>
    <cellStyle name="Normal 2 2 10 2 12 2 4" xfId="6751" xr:uid="{00000000-0005-0000-0000-0000531A0000}"/>
    <cellStyle name="Normal 2 2 10 2 12 2 5" xfId="6752" xr:uid="{00000000-0005-0000-0000-0000541A0000}"/>
    <cellStyle name="Normal 2 2 10 2 12 2 6" xfId="6753" xr:uid="{00000000-0005-0000-0000-0000551A0000}"/>
    <cellStyle name="Normal 2 2 10 2 12 2 7" xfId="6754" xr:uid="{00000000-0005-0000-0000-0000561A0000}"/>
    <cellStyle name="Normal 2 2 10 2 12 2 8" xfId="6755" xr:uid="{00000000-0005-0000-0000-0000571A0000}"/>
    <cellStyle name="Normal 2 2 10 2 12 2 9" xfId="6756" xr:uid="{00000000-0005-0000-0000-0000581A0000}"/>
    <cellStyle name="Normal 2 2 10 2 12 3" xfId="6757" xr:uid="{00000000-0005-0000-0000-0000591A0000}"/>
    <cellStyle name="Normal 2 2 10 2 12 3 10" xfId="6758" xr:uid="{00000000-0005-0000-0000-00005A1A0000}"/>
    <cellStyle name="Normal 2 2 10 2 12 3 2" xfId="6759" xr:uid="{00000000-0005-0000-0000-00005B1A0000}"/>
    <cellStyle name="Normal 2 2 10 2 12 3 3" xfId="6760" xr:uid="{00000000-0005-0000-0000-00005C1A0000}"/>
    <cellStyle name="Normal 2 2 10 2 12 3 4" xfId="6761" xr:uid="{00000000-0005-0000-0000-00005D1A0000}"/>
    <cellStyle name="Normal 2 2 10 2 12 3 5" xfId="6762" xr:uid="{00000000-0005-0000-0000-00005E1A0000}"/>
    <cellStyle name="Normal 2 2 10 2 12 3 6" xfId="6763" xr:uid="{00000000-0005-0000-0000-00005F1A0000}"/>
    <cellStyle name="Normal 2 2 10 2 12 3 7" xfId="6764" xr:uid="{00000000-0005-0000-0000-0000601A0000}"/>
    <cellStyle name="Normal 2 2 10 2 12 3 8" xfId="6765" xr:uid="{00000000-0005-0000-0000-0000611A0000}"/>
    <cellStyle name="Normal 2 2 10 2 12 3 9" xfId="6766" xr:uid="{00000000-0005-0000-0000-0000621A0000}"/>
    <cellStyle name="Normal 2 2 10 2 12 4" xfId="6767" xr:uid="{00000000-0005-0000-0000-0000631A0000}"/>
    <cellStyle name="Normal 2 2 10 2 12 4 10" xfId="6768" xr:uid="{00000000-0005-0000-0000-0000641A0000}"/>
    <cellStyle name="Normal 2 2 10 2 12 4 2" xfId="6769" xr:uid="{00000000-0005-0000-0000-0000651A0000}"/>
    <cellStyle name="Normal 2 2 10 2 12 4 3" xfId="6770" xr:uid="{00000000-0005-0000-0000-0000661A0000}"/>
    <cellStyle name="Normal 2 2 10 2 12 4 4" xfId="6771" xr:uid="{00000000-0005-0000-0000-0000671A0000}"/>
    <cellStyle name="Normal 2 2 10 2 12 4 5" xfId="6772" xr:uid="{00000000-0005-0000-0000-0000681A0000}"/>
    <cellStyle name="Normal 2 2 10 2 12 4 6" xfId="6773" xr:uid="{00000000-0005-0000-0000-0000691A0000}"/>
    <cellStyle name="Normal 2 2 10 2 12 4 7" xfId="6774" xr:uid="{00000000-0005-0000-0000-00006A1A0000}"/>
    <cellStyle name="Normal 2 2 10 2 12 4 8" xfId="6775" xr:uid="{00000000-0005-0000-0000-00006B1A0000}"/>
    <cellStyle name="Normal 2 2 10 2 12 4 9" xfId="6776" xr:uid="{00000000-0005-0000-0000-00006C1A0000}"/>
    <cellStyle name="Normal 2 2 10 2 12 5" xfId="6777" xr:uid="{00000000-0005-0000-0000-00006D1A0000}"/>
    <cellStyle name="Normal 2 2 10 2 12 5 10" xfId="6778" xr:uid="{00000000-0005-0000-0000-00006E1A0000}"/>
    <cellStyle name="Normal 2 2 10 2 12 5 2" xfId="6779" xr:uid="{00000000-0005-0000-0000-00006F1A0000}"/>
    <cellStyle name="Normal 2 2 10 2 12 5 3" xfId="6780" xr:uid="{00000000-0005-0000-0000-0000701A0000}"/>
    <cellStyle name="Normal 2 2 10 2 12 5 4" xfId="6781" xr:uid="{00000000-0005-0000-0000-0000711A0000}"/>
    <cellStyle name="Normal 2 2 10 2 12 5 5" xfId="6782" xr:uid="{00000000-0005-0000-0000-0000721A0000}"/>
    <cellStyle name="Normal 2 2 10 2 12 5 6" xfId="6783" xr:uid="{00000000-0005-0000-0000-0000731A0000}"/>
    <cellStyle name="Normal 2 2 10 2 12 5 7" xfId="6784" xr:uid="{00000000-0005-0000-0000-0000741A0000}"/>
    <cellStyle name="Normal 2 2 10 2 12 5 8" xfId="6785" xr:uid="{00000000-0005-0000-0000-0000751A0000}"/>
    <cellStyle name="Normal 2 2 10 2 12 5 9" xfId="6786" xr:uid="{00000000-0005-0000-0000-0000761A0000}"/>
    <cellStyle name="Normal 2 2 10 2 12 6" xfId="6787" xr:uid="{00000000-0005-0000-0000-0000771A0000}"/>
    <cellStyle name="Normal 2 2 10 2 12 7" xfId="6788" xr:uid="{00000000-0005-0000-0000-0000781A0000}"/>
    <cellStyle name="Normal 2 2 10 2 12 8" xfId="6789" xr:uid="{00000000-0005-0000-0000-0000791A0000}"/>
    <cellStyle name="Normal 2 2 10 2 12 9" xfId="6790" xr:uid="{00000000-0005-0000-0000-00007A1A0000}"/>
    <cellStyle name="Normal 2 2 10 2 13" xfId="6791" xr:uid="{00000000-0005-0000-0000-00007B1A0000}"/>
    <cellStyle name="Normal 2 2 10 2 13 10" xfId="6792" xr:uid="{00000000-0005-0000-0000-00007C1A0000}"/>
    <cellStyle name="Normal 2 2 10 2 13 11" xfId="6793" xr:uid="{00000000-0005-0000-0000-00007D1A0000}"/>
    <cellStyle name="Normal 2 2 10 2 13 12" xfId="6794" xr:uid="{00000000-0005-0000-0000-00007E1A0000}"/>
    <cellStyle name="Normal 2 2 10 2 13 13" xfId="6795" xr:uid="{00000000-0005-0000-0000-00007F1A0000}"/>
    <cellStyle name="Normal 2 2 10 2 13 14" xfId="6796" xr:uid="{00000000-0005-0000-0000-0000801A0000}"/>
    <cellStyle name="Normal 2 2 10 2 13 2" xfId="6797" xr:uid="{00000000-0005-0000-0000-0000811A0000}"/>
    <cellStyle name="Normal 2 2 10 2 13 2 10" xfId="6798" xr:uid="{00000000-0005-0000-0000-0000821A0000}"/>
    <cellStyle name="Normal 2 2 10 2 13 2 2" xfId="6799" xr:uid="{00000000-0005-0000-0000-0000831A0000}"/>
    <cellStyle name="Normal 2 2 10 2 13 2 3" xfId="6800" xr:uid="{00000000-0005-0000-0000-0000841A0000}"/>
    <cellStyle name="Normal 2 2 10 2 13 2 4" xfId="6801" xr:uid="{00000000-0005-0000-0000-0000851A0000}"/>
    <cellStyle name="Normal 2 2 10 2 13 2 5" xfId="6802" xr:uid="{00000000-0005-0000-0000-0000861A0000}"/>
    <cellStyle name="Normal 2 2 10 2 13 2 6" xfId="6803" xr:uid="{00000000-0005-0000-0000-0000871A0000}"/>
    <cellStyle name="Normal 2 2 10 2 13 2 7" xfId="6804" xr:uid="{00000000-0005-0000-0000-0000881A0000}"/>
    <cellStyle name="Normal 2 2 10 2 13 2 8" xfId="6805" xr:uid="{00000000-0005-0000-0000-0000891A0000}"/>
    <cellStyle name="Normal 2 2 10 2 13 2 9" xfId="6806" xr:uid="{00000000-0005-0000-0000-00008A1A0000}"/>
    <cellStyle name="Normal 2 2 10 2 13 3" xfId="6807" xr:uid="{00000000-0005-0000-0000-00008B1A0000}"/>
    <cellStyle name="Normal 2 2 10 2 13 3 10" xfId="6808" xr:uid="{00000000-0005-0000-0000-00008C1A0000}"/>
    <cellStyle name="Normal 2 2 10 2 13 3 2" xfId="6809" xr:uid="{00000000-0005-0000-0000-00008D1A0000}"/>
    <cellStyle name="Normal 2 2 10 2 13 3 3" xfId="6810" xr:uid="{00000000-0005-0000-0000-00008E1A0000}"/>
    <cellStyle name="Normal 2 2 10 2 13 3 4" xfId="6811" xr:uid="{00000000-0005-0000-0000-00008F1A0000}"/>
    <cellStyle name="Normal 2 2 10 2 13 3 5" xfId="6812" xr:uid="{00000000-0005-0000-0000-0000901A0000}"/>
    <cellStyle name="Normal 2 2 10 2 13 3 6" xfId="6813" xr:uid="{00000000-0005-0000-0000-0000911A0000}"/>
    <cellStyle name="Normal 2 2 10 2 13 3 7" xfId="6814" xr:uid="{00000000-0005-0000-0000-0000921A0000}"/>
    <cellStyle name="Normal 2 2 10 2 13 3 8" xfId="6815" xr:uid="{00000000-0005-0000-0000-0000931A0000}"/>
    <cellStyle name="Normal 2 2 10 2 13 3 9" xfId="6816" xr:uid="{00000000-0005-0000-0000-0000941A0000}"/>
    <cellStyle name="Normal 2 2 10 2 13 4" xfId="6817" xr:uid="{00000000-0005-0000-0000-0000951A0000}"/>
    <cellStyle name="Normal 2 2 10 2 13 4 10" xfId="6818" xr:uid="{00000000-0005-0000-0000-0000961A0000}"/>
    <cellStyle name="Normal 2 2 10 2 13 4 2" xfId="6819" xr:uid="{00000000-0005-0000-0000-0000971A0000}"/>
    <cellStyle name="Normal 2 2 10 2 13 4 3" xfId="6820" xr:uid="{00000000-0005-0000-0000-0000981A0000}"/>
    <cellStyle name="Normal 2 2 10 2 13 4 4" xfId="6821" xr:uid="{00000000-0005-0000-0000-0000991A0000}"/>
    <cellStyle name="Normal 2 2 10 2 13 4 5" xfId="6822" xr:uid="{00000000-0005-0000-0000-00009A1A0000}"/>
    <cellStyle name="Normal 2 2 10 2 13 4 6" xfId="6823" xr:uid="{00000000-0005-0000-0000-00009B1A0000}"/>
    <cellStyle name="Normal 2 2 10 2 13 4 7" xfId="6824" xr:uid="{00000000-0005-0000-0000-00009C1A0000}"/>
    <cellStyle name="Normal 2 2 10 2 13 4 8" xfId="6825" xr:uid="{00000000-0005-0000-0000-00009D1A0000}"/>
    <cellStyle name="Normal 2 2 10 2 13 4 9" xfId="6826" xr:uid="{00000000-0005-0000-0000-00009E1A0000}"/>
    <cellStyle name="Normal 2 2 10 2 13 5" xfId="6827" xr:uid="{00000000-0005-0000-0000-00009F1A0000}"/>
    <cellStyle name="Normal 2 2 10 2 13 5 10" xfId="6828" xr:uid="{00000000-0005-0000-0000-0000A01A0000}"/>
    <cellStyle name="Normal 2 2 10 2 13 5 2" xfId="6829" xr:uid="{00000000-0005-0000-0000-0000A11A0000}"/>
    <cellStyle name="Normal 2 2 10 2 13 5 3" xfId="6830" xr:uid="{00000000-0005-0000-0000-0000A21A0000}"/>
    <cellStyle name="Normal 2 2 10 2 13 5 4" xfId="6831" xr:uid="{00000000-0005-0000-0000-0000A31A0000}"/>
    <cellStyle name="Normal 2 2 10 2 13 5 5" xfId="6832" xr:uid="{00000000-0005-0000-0000-0000A41A0000}"/>
    <cellStyle name="Normal 2 2 10 2 13 5 6" xfId="6833" xr:uid="{00000000-0005-0000-0000-0000A51A0000}"/>
    <cellStyle name="Normal 2 2 10 2 13 5 7" xfId="6834" xr:uid="{00000000-0005-0000-0000-0000A61A0000}"/>
    <cellStyle name="Normal 2 2 10 2 13 5 8" xfId="6835" xr:uid="{00000000-0005-0000-0000-0000A71A0000}"/>
    <cellStyle name="Normal 2 2 10 2 13 5 9" xfId="6836" xr:uid="{00000000-0005-0000-0000-0000A81A0000}"/>
    <cellStyle name="Normal 2 2 10 2 13 6" xfId="6837" xr:uid="{00000000-0005-0000-0000-0000A91A0000}"/>
    <cellStyle name="Normal 2 2 10 2 13 7" xfId="6838" xr:uid="{00000000-0005-0000-0000-0000AA1A0000}"/>
    <cellStyle name="Normal 2 2 10 2 13 8" xfId="6839" xr:uid="{00000000-0005-0000-0000-0000AB1A0000}"/>
    <cellStyle name="Normal 2 2 10 2 13 9" xfId="6840" xr:uid="{00000000-0005-0000-0000-0000AC1A0000}"/>
    <cellStyle name="Normal 2 2 10 2 14" xfId="6841" xr:uid="{00000000-0005-0000-0000-0000AD1A0000}"/>
    <cellStyle name="Normal 2 2 10 2 14 10" xfId="6842" xr:uid="{00000000-0005-0000-0000-0000AE1A0000}"/>
    <cellStyle name="Normal 2 2 10 2 14 11" xfId="6843" xr:uid="{00000000-0005-0000-0000-0000AF1A0000}"/>
    <cellStyle name="Normal 2 2 10 2 14 12" xfId="6844" xr:uid="{00000000-0005-0000-0000-0000B01A0000}"/>
    <cellStyle name="Normal 2 2 10 2 14 13" xfId="6845" xr:uid="{00000000-0005-0000-0000-0000B11A0000}"/>
    <cellStyle name="Normal 2 2 10 2 14 14" xfId="6846" xr:uid="{00000000-0005-0000-0000-0000B21A0000}"/>
    <cellStyle name="Normal 2 2 10 2 14 2" xfId="6847" xr:uid="{00000000-0005-0000-0000-0000B31A0000}"/>
    <cellStyle name="Normal 2 2 10 2 14 2 10" xfId="6848" xr:uid="{00000000-0005-0000-0000-0000B41A0000}"/>
    <cellStyle name="Normal 2 2 10 2 14 2 2" xfId="6849" xr:uid="{00000000-0005-0000-0000-0000B51A0000}"/>
    <cellStyle name="Normal 2 2 10 2 14 2 3" xfId="6850" xr:uid="{00000000-0005-0000-0000-0000B61A0000}"/>
    <cellStyle name="Normal 2 2 10 2 14 2 4" xfId="6851" xr:uid="{00000000-0005-0000-0000-0000B71A0000}"/>
    <cellStyle name="Normal 2 2 10 2 14 2 5" xfId="6852" xr:uid="{00000000-0005-0000-0000-0000B81A0000}"/>
    <cellStyle name="Normal 2 2 10 2 14 2 6" xfId="6853" xr:uid="{00000000-0005-0000-0000-0000B91A0000}"/>
    <cellStyle name="Normal 2 2 10 2 14 2 7" xfId="6854" xr:uid="{00000000-0005-0000-0000-0000BA1A0000}"/>
    <cellStyle name="Normal 2 2 10 2 14 2 8" xfId="6855" xr:uid="{00000000-0005-0000-0000-0000BB1A0000}"/>
    <cellStyle name="Normal 2 2 10 2 14 2 9" xfId="6856" xr:uid="{00000000-0005-0000-0000-0000BC1A0000}"/>
    <cellStyle name="Normal 2 2 10 2 14 3" xfId="6857" xr:uid="{00000000-0005-0000-0000-0000BD1A0000}"/>
    <cellStyle name="Normal 2 2 10 2 14 3 10" xfId="6858" xr:uid="{00000000-0005-0000-0000-0000BE1A0000}"/>
    <cellStyle name="Normal 2 2 10 2 14 3 2" xfId="6859" xr:uid="{00000000-0005-0000-0000-0000BF1A0000}"/>
    <cellStyle name="Normal 2 2 10 2 14 3 3" xfId="6860" xr:uid="{00000000-0005-0000-0000-0000C01A0000}"/>
    <cellStyle name="Normal 2 2 10 2 14 3 4" xfId="6861" xr:uid="{00000000-0005-0000-0000-0000C11A0000}"/>
    <cellStyle name="Normal 2 2 10 2 14 3 5" xfId="6862" xr:uid="{00000000-0005-0000-0000-0000C21A0000}"/>
    <cellStyle name="Normal 2 2 10 2 14 3 6" xfId="6863" xr:uid="{00000000-0005-0000-0000-0000C31A0000}"/>
    <cellStyle name="Normal 2 2 10 2 14 3 7" xfId="6864" xr:uid="{00000000-0005-0000-0000-0000C41A0000}"/>
    <cellStyle name="Normal 2 2 10 2 14 3 8" xfId="6865" xr:uid="{00000000-0005-0000-0000-0000C51A0000}"/>
    <cellStyle name="Normal 2 2 10 2 14 3 9" xfId="6866" xr:uid="{00000000-0005-0000-0000-0000C61A0000}"/>
    <cellStyle name="Normal 2 2 10 2 14 4" xfId="6867" xr:uid="{00000000-0005-0000-0000-0000C71A0000}"/>
    <cellStyle name="Normal 2 2 10 2 14 4 10" xfId="6868" xr:uid="{00000000-0005-0000-0000-0000C81A0000}"/>
    <cellStyle name="Normal 2 2 10 2 14 4 2" xfId="6869" xr:uid="{00000000-0005-0000-0000-0000C91A0000}"/>
    <cellStyle name="Normal 2 2 10 2 14 4 3" xfId="6870" xr:uid="{00000000-0005-0000-0000-0000CA1A0000}"/>
    <cellStyle name="Normal 2 2 10 2 14 4 4" xfId="6871" xr:uid="{00000000-0005-0000-0000-0000CB1A0000}"/>
    <cellStyle name="Normal 2 2 10 2 14 4 5" xfId="6872" xr:uid="{00000000-0005-0000-0000-0000CC1A0000}"/>
    <cellStyle name="Normal 2 2 10 2 14 4 6" xfId="6873" xr:uid="{00000000-0005-0000-0000-0000CD1A0000}"/>
    <cellStyle name="Normal 2 2 10 2 14 4 7" xfId="6874" xr:uid="{00000000-0005-0000-0000-0000CE1A0000}"/>
    <cellStyle name="Normal 2 2 10 2 14 4 8" xfId="6875" xr:uid="{00000000-0005-0000-0000-0000CF1A0000}"/>
    <cellStyle name="Normal 2 2 10 2 14 4 9" xfId="6876" xr:uid="{00000000-0005-0000-0000-0000D01A0000}"/>
    <cellStyle name="Normal 2 2 10 2 14 5" xfId="6877" xr:uid="{00000000-0005-0000-0000-0000D11A0000}"/>
    <cellStyle name="Normal 2 2 10 2 14 5 10" xfId="6878" xr:uid="{00000000-0005-0000-0000-0000D21A0000}"/>
    <cellStyle name="Normal 2 2 10 2 14 5 2" xfId="6879" xr:uid="{00000000-0005-0000-0000-0000D31A0000}"/>
    <cellStyle name="Normal 2 2 10 2 14 5 3" xfId="6880" xr:uid="{00000000-0005-0000-0000-0000D41A0000}"/>
    <cellStyle name="Normal 2 2 10 2 14 5 4" xfId="6881" xr:uid="{00000000-0005-0000-0000-0000D51A0000}"/>
    <cellStyle name="Normal 2 2 10 2 14 5 5" xfId="6882" xr:uid="{00000000-0005-0000-0000-0000D61A0000}"/>
    <cellStyle name="Normal 2 2 10 2 14 5 6" xfId="6883" xr:uid="{00000000-0005-0000-0000-0000D71A0000}"/>
    <cellStyle name="Normal 2 2 10 2 14 5 7" xfId="6884" xr:uid="{00000000-0005-0000-0000-0000D81A0000}"/>
    <cellStyle name="Normal 2 2 10 2 14 5 8" xfId="6885" xr:uid="{00000000-0005-0000-0000-0000D91A0000}"/>
    <cellStyle name="Normal 2 2 10 2 14 5 9" xfId="6886" xr:uid="{00000000-0005-0000-0000-0000DA1A0000}"/>
    <cellStyle name="Normal 2 2 10 2 14 6" xfId="6887" xr:uid="{00000000-0005-0000-0000-0000DB1A0000}"/>
    <cellStyle name="Normal 2 2 10 2 14 7" xfId="6888" xr:uid="{00000000-0005-0000-0000-0000DC1A0000}"/>
    <cellStyle name="Normal 2 2 10 2 14 8" xfId="6889" xr:uid="{00000000-0005-0000-0000-0000DD1A0000}"/>
    <cellStyle name="Normal 2 2 10 2 14 9" xfId="6890" xr:uid="{00000000-0005-0000-0000-0000DE1A0000}"/>
    <cellStyle name="Normal 2 2 10 2 15" xfId="6891" xr:uid="{00000000-0005-0000-0000-0000DF1A0000}"/>
    <cellStyle name="Normal 2 2 10 2 15 10" xfId="6892" xr:uid="{00000000-0005-0000-0000-0000E01A0000}"/>
    <cellStyle name="Normal 2 2 10 2 15 11" xfId="6893" xr:uid="{00000000-0005-0000-0000-0000E11A0000}"/>
    <cellStyle name="Normal 2 2 10 2 15 12" xfId="6894" xr:uid="{00000000-0005-0000-0000-0000E21A0000}"/>
    <cellStyle name="Normal 2 2 10 2 15 13" xfId="6895" xr:uid="{00000000-0005-0000-0000-0000E31A0000}"/>
    <cellStyle name="Normal 2 2 10 2 15 14" xfId="6896" xr:uid="{00000000-0005-0000-0000-0000E41A0000}"/>
    <cellStyle name="Normal 2 2 10 2 15 2" xfId="6897" xr:uid="{00000000-0005-0000-0000-0000E51A0000}"/>
    <cellStyle name="Normal 2 2 10 2 15 2 10" xfId="6898" xr:uid="{00000000-0005-0000-0000-0000E61A0000}"/>
    <cellStyle name="Normal 2 2 10 2 15 2 2" xfId="6899" xr:uid="{00000000-0005-0000-0000-0000E71A0000}"/>
    <cellStyle name="Normal 2 2 10 2 15 2 3" xfId="6900" xr:uid="{00000000-0005-0000-0000-0000E81A0000}"/>
    <cellStyle name="Normal 2 2 10 2 15 2 4" xfId="6901" xr:uid="{00000000-0005-0000-0000-0000E91A0000}"/>
    <cellStyle name="Normal 2 2 10 2 15 2 5" xfId="6902" xr:uid="{00000000-0005-0000-0000-0000EA1A0000}"/>
    <cellStyle name="Normal 2 2 10 2 15 2 6" xfId="6903" xr:uid="{00000000-0005-0000-0000-0000EB1A0000}"/>
    <cellStyle name="Normal 2 2 10 2 15 2 7" xfId="6904" xr:uid="{00000000-0005-0000-0000-0000EC1A0000}"/>
    <cellStyle name="Normal 2 2 10 2 15 2 8" xfId="6905" xr:uid="{00000000-0005-0000-0000-0000ED1A0000}"/>
    <cellStyle name="Normal 2 2 10 2 15 2 9" xfId="6906" xr:uid="{00000000-0005-0000-0000-0000EE1A0000}"/>
    <cellStyle name="Normal 2 2 10 2 15 3" xfId="6907" xr:uid="{00000000-0005-0000-0000-0000EF1A0000}"/>
    <cellStyle name="Normal 2 2 10 2 15 3 10" xfId="6908" xr:uid="{00000000-0005-0000-0000-0000F01A0000}"/>
    <cellStyle name="Normal 2 2 10 2 15 3 2" xfId="6909" xr:uid="{00000000-0005-0000-0000-0000F11A0000}"/>
    <cellStyle name="Normal 2 2 10 2 15 3 3" xfId="6910" xr:uid="{00000000-0005-0000-0000-0000F21A0000}"/>
    <cellStyle name="Normal 2 2 10 2 15 3 4" xfId="6911" xr:uid="{00000000-0005-0000-0000-0000F31A0000}"/>
    <cellStyle name="Normal 2 2 10 2 15 3 5" xfId="6912" xr:uid="{00000000-0005-0000-0000-0000F41A0000}"/>
    <cellStyle name="Normal 2 2 10 2 15 3 6" xfId="6913" xr:uid="{00000000-0005-0000-0000-0000F51A0000}"/>
    <cellStyle name="Normal 2 2 10 2 15 3 7" xfId="6914" xr:uid="{00000000-0005-0000-0000-0000F61A0000}"/>
    <cellStyle name="Normal 2 2 10 2 15 3 8" xfId="6915" xr:uid="{00000000-0005-0000-0000-0000F71A0000}"/>
    <cellStyle name="Normal 2 2 10 2 15 3 9" xfId="6916" xr:uid="{00000000-0005-0000-0000-0000F81A0000}"/>
    <cellStyle name="Normal 2 2 10 2 15 4" xfId="6917" xr:uid="{00000000-0005-0000-0000-0000F91A0000}"/>
    <cellStyle name="Normal 2 2 10 2 15 4 10" xfId="6918" xr:uid="{00000000-0005-0000-0000-0000FA1A0000}"/>
    <cellStyle name="Normal 2 2 10 2 15 4 2" xfId="6919" xr:uid="{00000000-0005-0000-0000-0000FB1A0000}"/>
    <cellStyle name="Normal 2 2 10 2 15 4 3" xfId="6920" xr:uid="{00000000-0005-0000-0000-0000FC1A0000}"/>
    <cellStyle name="Normal 2 2 10 2 15 4 4" xfId="6921" xr:uid="{00000000-0005-0000-0000-0000FD1A0000}"/>
    <cellStyle name="Normal 2 2 10 2 15 4 5" xfId="6922" xr:uid="{00000000-0005-0000-0000-0000FE1A0000}"/>
    <cellStyle name="Normal 2 2 10 2 15 4 6" xfId="6923" xr:uid="{00000000-0005-0000-0000-0000FF1A0000}"/>
    <cellStyle name="Normal 2 2 10 2 15 4 7" xfId="6924" xr:uid="{00000000-0005-0000-0000-0000001B0000}"/>
    <cellStyle name="Normal 2 2 10 2 15 4 8" xfId="6925" xr:uid="{00000000-0005-0000-0000-0000011B0000}"/>
    <cellStyle name="Normal 2 2 10 2 15 4 9" xfId="6926" xr:uid="{00000000-0005-0000-0000-0000021B0000}"/>
    <cellStyle name="Normal 2 2 10 2 15 5" xfId="6927" xr:uid="{00000000-0005-0000-0000-0000031B0000}"/>
    <cellStyle name="Normal 2 2 10 2 15 5 10" xfId="6928" xr:uid="{00000000-0005-0000-0000-0000041B0000}"/>
    <cellStyle name="Normal 2 2 10 2 15 5 2" xfId="6929" xr:uid="{00000000-0005-0000-0000-0000051B0000}"/>
    <cellStyle name="Normal 2 2 10 2 15 5 3" xfId="6930" xr:uid="{00000000-0005-0000-0000-0000061B0000}"/>
    <cellStyle name="Normal 2 2 10 2 15 5 4" xfId="6931" xr:uid="{00000000-0005-0000-0000-0000071B0000}"/>
    <cellStyle name="Normal 2 2 10 2 15 5 5" xfId="6932" xr:uid="{00000000-0005-0000-0000-0000081B0000}"/>
    <cellStyle name="Normal 2 2 10 2 15 5 6" xfId="6933" xr:uid="{00000000-0005-0000-0000-0000091B0000}"/>
    <cellStyle name="Normal 2 2 10 2 15 5 7" xfId="6934" xr:uid="{00000000-0005-0000-0000-00000A1B0000}"/>
    <cellStyle name="Normal 2 2 10 2 15 5 8" xfId="6935" xr:uid="{00000000-0005-0000-0000-00000B1B0000}"/>
    <cellStyle name="Normal 2 2 10 2 15 5 9" xfId="6936" xr:uid="{00000000-0005-0000-0000-00000C1B0000}"/>
    <cellStyle name="Normal 2 2 10 2 15 6" xfId="6937" xr:uid="{00000000-0005-0000-0000-00000D1B0000}"/>
    <cellStyle name="Normal 2 2 10 2 15 7" xfId="6938" xr:uid="{00000000-0005-0000-0000-00000E1B0000}"/>
    <cellStyle name="Normal 2 2 10 2 15 8" xfId="6939" xr:uid="{00000000-0005-0000-0000-00000F1B0000}"/>
    <cellStyle name="Normal 2 2 10 2 15 9" xfId="6940" xr:uid="{00000000-0005-0000-0000-0000101B0000}"/>
    <cellStyle name="Normal 2 2 10 2 16" xfId="6941" xr:uid="{00000000-0005-0000-0000-0000111B0000}"/>
    <cellStyle name="Normal 2 2 10 2 16 10" xfId="6942" xr:uid="{00000000-0005-0000-0000-0000121B0000}"/>
    <cellStyle name="Normal 2 2 10 2 16 11" xfId="6943" xr:uid="{00000000-0005-0000-0000-0000131B0000}"/>
    <cellStyle name="Normal 2 2 10 2 16 12" xfId="6944" xr:uid="{00000000-0005-0000-0000-0000141B0000}"/>
    <cellStyle name="Normal 2 2 10 2 16 13" xfId="6945" xr:uid="{00000000-0005-0000-0000-0000151B0000}"/>
    <cellStyle name="Normal 2 2 10 2 16 14" xfId="6946" xr:uid="{00000000-0005-0000-0000-0000161B0000}"/>
    <cellStyle name="Normal 2 2 10 2 16 2" xfId="6947" xr:uid="{00000000-0005-0000-0000-0000171B0000}"/>
    <cellStyle name="Normal 2 2 10 2 16 2 10" xfId="6948" xr:uid="{00000000-0005-0000-0000-0000181B0000}"/>
    <cellStyle name="Normal 2 2 10 2 16 2 2" xfId="6949" xr:uid="{00000000-0005-0000-0000-0000191B0000}"/>
    <cellStyle name="Normal 2 2 10 2 16 2 3" xfId="6950" xr:uid="{00000000-0005-0000-0000-00001A1B0000}"/>
    <cellStyle name="Normal 2 2 10 2 16 2 4" xfId="6951" xr:uid="{00000000-0005-0000-0000-00001B1B0000}"/>
    <cellStyle name="Normal 2 2 10 2 16 2 5" xfId="6952" xr:uid="{00000000-0005-0000-0000-00001C1B0000}"/>
    <cellStyle name="Normal 2 2 10 2 16 2 6" xfId="6953" xr:uid="{00000000-0005-0000-0000-00001D1B0000}"/>
    <cellStyle name="Normal 2 2 10 2 16 2 7" xfId="6954" xr:uid="{00000000-0005-0000-0000-00001E1B0000}"/>
    <cellStyle name="Normal 2 2 10 2 16 2 8" xfId="6955" xr:uid="{00000000-0005-0000-0000-00001F1B0000}"/>
    <cellStyle name="Normal 2 2 10 2 16 2 9" xfId="6956" xr:uid="{00000000-0005-0000-0000-0000201B0000}"/>
    <cellStyle name="Normal 2 2 10 2 16 3" xfId="6957" xr:uid="{00000000-0005-0000-0000-0000211B0000}"/>
    <cellStyle name="Normal 2 2 10 2 16 3 10" xfId="6958" xr:uid="{00000000-0005-0000-0000-0000221B0000}"/>
    <cellStyle name="Normal 2 2 10 2 16 3 2" xfId="6959" xr:uid="{00000000-0005-0000-0000-0000231B0000}"/>
    <cellStyle name="Normal 2 2 10 2 16 3 3" xfId="6960" xr:uid="{00000000-0005-0000-0000-0000241B0000}"/>
    <cellStyle name="Normal 2 2 10 2 16 3 4" xfId="6961" xr:uid="{00000000-0005-0000-0000-0000251B0000}"/>
    <cellStyle name="Normal 2 2 10 2 16 3 5" xfId="6962" xr:uid="{00000000-0005-0000-0000-0000261B0000}"/>
    <cellStyle name="Normal 2 2 10 2 16 3 6" xfId="6963" xr:uid="{00000000-0005-0000-0000-0000271B0000}"/>
    <cellStyle name="Normal 2 2 10 2 16 3 7" xfId="6964" xr:uid="{00000000-0005-0000-0000-0000281B0000}"/>
    <cellStyle name="Normal 2 2 10 2 16 3 8" xfId="6965" xr:uid="{00000000-0005-0000-0000-0000291B0000}"/>
    <cellStyle name="Normal 2 2 10 2 16 3 9" xfId="6966" xr:uid="{00000000-0005-0000-0000-00002A1B0000}"/>
    <cellStyle name="Normal 2 2 10 2 16 4" xfId="6967" xr:uid="{00000000-0005-0000-0000-00002B1B0000}"/>
    <cellStyle name="Normal 2 2 10 2 16 4 10" xfId="6968" xr:uid="{00000000-0005-0000-0000-00002C1B0000}"/>
    <cellStyle name="Normal 2 2 10 2 16 4 2" xfId="6969" xr:uid="{00000000-0005-0000-0000-00002D1B0000}"/>
    <cellStyle name="Normal 2 2 10 2 16 4 3" xfId="6970" xr:uid="{00000000-0005-0000-0000-00002E1B0000}"/>
    <cellStyle name="Normal 2 2 10 2 16 4 4" xfId="6971" xr:uid="{00000000-0005-0000-0000-00002F1B0000}"/>
    <cellStyle name="Normal 2 2 10 2 16 4 5" xfId="6972" xr:uid="{00000000-0005-0000-0000-0000301B0000}"/>
    <cellStyle name="Normal 2 2 10 2 16 4 6" xfId="6973" xr:uid="{00000000-0005-0000-0000-0000311B0000}"/>
    <cellStyle name="Normal 2 2 10 2 16 4 7" xfId="6974" xr:uid="{00000000-0005-0000-0000-0000321B0000}"/>
    <cellStyle name="Normal 2 2 10 2 16 4 8" xfId="6975" xr:uid="{00000000-0005-0000-0000-0000331B0000}"/>
    <cellStyle name="Normal 2 2 10 2 16 4 9" xfId="6976" xr:uid="{00000000-0005-0000-0000-0000341B0000}"/>
    <cellStyle name="Normal 2 2 10 2 16 5" xfId="6977" xr:uid="{00000000-0005-0000-0000-0000351B0000}"/>
    <cellStyle name="Normal 2 2 10 2 16 5 10" xfId="6978" xr:uid="{00000000-0005-0000-0000-0000361B0000}"/>
    <cellStyle name="Normal 2 2 10 2 16 5 2" xfId="6979" xr:uid="{00000000-0005-0000-0000-0000371B0000}"/>
    <cellStyle name="Normal 2 2 10 2 16 5 3" xfId="6980" xr:uid="{00000000-0005-0000-0000-0000381B0000}"/>
    <cellStyle name="Normal 2 2 10 2 16 5 4" xfId="6981" xr:uid="{00000000-0005-0000-0000-0000391B0000}"/>
    <cellStyle name="Normal 2 2 10 2 16 5 5" xfId="6982" xr:uid="{00000000-0005-0000-0000-00003A1B0000}"/>
    <cellStyle name="Normal 2 2 10 2 16 5 6" xfId="6983" xr:uid="{00000000-0005-0000-0000-00003B1B0000}"/>
    <cellStyle name="Normal 2 2 10 2 16 5 7" xfId="6984" xr:uid="{00000000-0005-0000-0000-00003C1B0000}"/>
    <cellStyle name="Normal 2 2 10 2 16 5 8" xfId="6985" xr:uid="{00000000-0005-0000-0000-00003D1B0000}"/>
    <cellStyle name="Normal 2 2 10 2 16 5 9" xfId="6986" xr:uid="{00000000-0005-0000-0000-00003E1B0000}"/>
    <cellStyle name="Normal 2 2 10 2 16 6" xfId="6987" xr:uid="{00000000-0005-0000-0000-00003F1B0000}"/>
    <cellStyle name="Normal 2 2 10 2 16 7" xfId="6988" xr:uid="{00000000-0005-0000-0000-0000401B0000}"/>
    <cellStyle name="Normal 2 2 10 2 16 8" xfId="6989" xr:uid="{00000000-0005-0000-0000-0000411B0000}"/>
    <cellStyle name="Normal 2 2 10 2 16 9" xfId="6990" xr:uid="{00000000-0005-0000-0000-0000421B0000}"/>
    <cellStyle name="Normal 2 2 10 2 17" xfId="6991" xr:uid="{00000000-0005-0000-0000-0000431B0000}"/>
    <cellStyle name="Normal 2 2 10 2 17 10" xfId="6992" xr:uid="{00000000-0005-0000-0000-0000441B0000}"/>
    <cellStyle name="Normal 2 2 10 2 17 11" xfId="6993" xr:uid="{00000000-0005-0000-0000-0000451B0000}"/>
    <cellStyle name="Normal 2 2 10 2 17 12" xfId="6994" xr:uid="{00000000-0005-0000-0000-0000461B0000}"/>
    <cellStyle name="Normal 2 2 10 2 17 13" xfId="6995" xr:uid="{00000000-0005-0000-0000-0000471B0000}"/>
    <cellStyle name="Normal 2 2 10 2 17 14" xfId="6996" xr:uid="{00000000-0005-0000-0000-0000481B0000}"/>
    <cellStyle name="Normal 2 2 10 2 17 2" xfId="6997" xr:uid="{00000000-0005-0000-0000-0000491B0000}"/>
    <cellStyle name="Normal 2 2 10 2 17 2 10" xfId="6998" xr:uid="{00000000-0005-0000-0000-00004A1B0000}"/>
    <cellStyle name="Normal 2 2 10 2 17 2 2" xfId="6999" xr:uid="{00000000-0005-0000-0000-00004B1B0000}"/>
    <cellStyle name="Normal 2 2 10 2 17 2 3" xfId="7000" xr:uid="{00000000-0005-0000-0000-00004C1B0000}"/>
    <cellStyle name="Normal 2 2 10 2 17 2 4" xfId="7001" xr:uid="{00000000-0005-0000-0000-00004D1B0000}"/>
    <cellStyle name="Normal 2 2 10 2 17 2 5" xfId="7002" xr:uid="{00000000-0005-0000-0000-00004E1B0000}"/>
    <cellStyle name="Normal 2 2 10 2 17 2 6" xfId="7003" xr:uid="{00000000-0005-0000-0000-00004F1B0000}"/>
    <cellStyle name="Normal 2 2 10 2 17 2 7" xfId="7004" xr:uid="{00000000-0005-0000-0000-0000501B0000}"/>
    <cellStyle name="Normal 2 2 10 2 17 2 8" xfId="7005" xr:uid="{00000000-0005-0000-0000-0000511B0000}"/>
    <cellStyle name="Normal 2 2 10 2 17 2 9" xfId="7006" xr:uid="{00000000-0005-0000-0000-0000521B0000}"/>
    <cellStyle name="Normal 2 2 10 2 17 3" xfId="7007" xr:uid="{00000000-0005-0000-0000-0000531B0000}"/>
    <cellStyle name="Normal 2 2 10 2 17 3 10" xfId="7008" xr:uid="{00000000-0005-0000-0000-0000541B0000}"/>
    <cellStyle name="Normal 2 2 10 2 17 3 2" xfId="7009" xr:uid="{00000000-0005-0000-0000-0000551B0000}"/>
    <cellStyle name="Normal 2 2 10 2 17 3 3" xfId="7010" xr:uid="{00000000-0005-0000-0000-0000561B0000}"/>
    <cellStyle name="Normal 2 2 10 2 17 3 4" xfId="7011" xr:uid="{00000000-0005-0000-0000-0000571B0000}"/>
    <cellStyle name="Normal 2 2 10 2 17 3 5" xfId="7012" xr:uid="{00000000-0005-0000-0000-0000581B0000}"/>
    <cellStyle name="Normal 2 2 10 2 17 3 6" xfId="7013" xr:uid="{00000000-0005-0000-0000-0000591B0000}"/>
    <cellStyle name="Normal 2 2 10 2 17 3 7" xfId="7014" xr:uid="{00000000-0005-0000-0000-00005A1B0000}"/>
    <cellStyle name="Normal 2 2 10 2 17 3 8" xfId="7015" xr:uid="{00000000-0005-0000-0000-00005B1B0000}"/>
    <cellStyle name="Normal 2 2 10 2 17 3 9" xfId="7016" xr:uid="{00000000-0005-0000-0000-00005C1B0000}"/>
    <cellStyle name="Normal 2 2 10 2 17 4" xfId="7017" xr:uid="{00000000-0005-0000-0000-00005D1B0000}"/>
    <cellStyle name="Normal 2 2 10 2 17 4 10" xfId="7018" xr:uid="{00000000-0005-0000-0000-00005E1B0000}"/>
    <cellStyle name="Normal 2 2 10 2 17 4 2" xfId="7019" xr:uid="{00000000-0005-0000-0000-00005F1B0000}"/>
    <cellStyle name="Normal 2 2 10 2 17 4 3" xfId="7020" xr:uid="{00000000-0005-0000-0000-0000601B0000}"/>
    <cellStyle name="Normal 2 2 10 2 17 4 4" xfId="7021" xr:uid="{00000000-0005-0000-0000-0000611B0000}"/>
    <cellStyle name="Normal 2 2 10 2 17 4 5" xfId="7022" xr:uid="{00000000-0005-0000-0000-0000621B0000}"/>
    <cellStyle name="Normal 2 2 10 2 17 4 6" xfId="7023" xr:uid="{00000000-0005-0000-0000-0000631B0000}"/>
    <cellStyle name="Normal 2 2 10 2 17 4 7" xfId="7024" xr:uid="{00000000-0005-0000-0000-0000641B0000}"/>
    <cellStyle name="Normal 2 2 10 2 17 4 8" xfId="7025" xr:uid="{00000000-0005-0000-0000-0000651B0000}"/>
    <cellStyle name="Normal 2 2 10 2 17 4 9" xfId="7026" xr:uid="{00000000-0005-0000-0000-0000661B0000}"/>
    <cellStyle name="Normal 2 2 10 2 17 5" xfId="7027" xr:uid="{00000000-0005-0000-0000-0000671B0000}"/>
    <cellStyle name="Normal 2 2 10 2 17 5 10" xfId="7028" xr:uid="{00000000-0005-0000-0000-0000681B0000}"/>
    <cellStyle name="Normal 2 2 10 2 17 5 2" xfId="7029" xr:uid="{00000000-0005-0000-0000-0000691B0000}"/>
    <cellStyle name="Normal 2 2 10 2 17 5 3" xfId="7030" xr:uid="{00000000-0005-0000-0000-00006A1B0000}"/>
    <cellStyle name="Normal 2 2 10 2 17 5 4" xfId="7031" xr:uid="{00000000-0005-0000-0000-00006B1B0000}"/>
    <cellStyle name="Normal 2 2 10 2 17 5 5" xfId="7032" xr:uid="{00000000-0005-0000-0000-00006C1B0000}"/>
    <cellStyle name="Normal 2 2 10 2 17 5 6" xfId="7033" xr:uid="{00000000-0005-0000-0000-00006D1B0000}"/>
    <cellStyle name="Normal 2 2 10 2 17 5 7" xfId="7034" xr:uid="{00000000-0005-0000-0000-00006E1B0000}"/>
    <cellStyle name="Normal 2 2 10 2 17 5 8" xfId="7035" xr:uid="{00000000-0005-0000-0000-00006F1B0000}"/>
    <cellStyle name="Normal 2 2 10 2 17 5 9" xfId="7036" xr:uid="{00000000-0005-0000-0000-0000701B0000}"/>
    <cellStyle name="Normal 2 2 10 2 17 6" xfId="7037" xr:uid="{00000000-0005-0000-0000-0000711B0000}"/>
    <cellStyle name="Normal 2 2 10 2 17 7" xfId="7038" xr:uid="{00000000-0005-0000-0000-0000721B0000}"/>
    <cellStyle name="Normal 2 2 10 2 17 8" xfId="7039" xr:uid="{00000000-0005-0000-0000-0000731B0000}"/>
    <cellStyle name="Normal 2 2 10 2 17 9" xfId="7040" xr:uid="{00000000-0005-0000-0000-0000741B0000}"/>
    <cellStyle name="Normal 2 2 10 2 18" xfId="7041" xr:uid="{00000000-0005-0000-0000-0000751B0000}"/>
    <cellStyle name="Normal 2 2 10 2 18 10" xfId="7042" xr:uid="{00000000-0005-0000-0000-0000761B0000}"/>
    <cellStyle name="Normal 2 2 10 2 18 11" xfId="7043" xr:uid="{00000000-0005-0000-0000-0000771B0000}"/>
    <cellStyle name="Normal 2 2 10 2 18 12" xfId="7044" xr:uid="{00000000-0005-0000-0000-0000781B0000}"/>
    <cellStyle name="Normal 2 2 10 2 18 13" xfId="7045" xr:uid="{00000000-0005-0000-0000-0000791B0000}"/>
    <cellStyle name="Normal 2 2 10 2 18 14" xfId="7046" xr:uid="{00000000-0005-0000-0000-00007A1B0000}"/>
    <cellStyle name="Normal 2 2 10 2 18 2" xfId="7047" xr:uid="{00000000-0005-0000-0000-00007B1B0000}"/>
    <cellStyle name="Normal 2 2 10 2 18 2 10" xfId="7048" xr:uid="{00000000-0005-0000-0000-00007C1B0000}"/>
    <cellStyle name="Normal 2 2 10 2 18 2 2" xfId="7049" xr:uid="{00000000-0005-0000-0000-00007D1B0000}"/>
    <cellStyle name="Normal 2 2 10 2 18 2 3" xfId="7050" xr:uid="{00000000-0005-0000-0000-00007E1B0000}"/>
    <cellStyle name="Normal 2 2 10 2 18 2 4" xfId="7051" xr:uid="{00000000-0005-0000-0000-00007F1B0000}"/>
    <cellStyle name="Normal 2 2 10 2 18 2 5" xfId="7052" xr:uid="{00000000-0005-0000-0000-0000801B0000}"/>
    <cellStyle name="Normal 2 2 10 2 18 2 6" xfId="7053" xr:uid="{00000000-0005-0000-0000-0000811B0000}"/>
    <cellStyle name="Normal 2 2 10 2 18 2 7" xfId="7054" xr:uid="{00000000-0005-0000-0000-0000821B0000}"/>
    <cellStyle name="Normal 2 2 10 2 18 2 8" xfId="7055" xr:uid="{00000000-0005-0000-0000-0000831B0000}"/>
    <cellStyle name="Normal 2 2 10 2 18 2 9" xfId="7056" xr:uid="{00000000-0005-0000-0000-0000841B0000}"/>
    <cellStyle name="Normal 2 2 10 2 18 3" xfId="7057" xr:uid="{00000000-0005-0000-0000-0000851B0000}"/>
    <cellStyle name="Normal 2 2 10 2 18 3 10" xfId="7058" xr:uid="{00000000-0005-0000-0000-0000861B0000}"/>
    <cellStyle name="Normal 2 2 10 2 18 3 2" xfId="7059" xr:uid="{00000000-0005-0000-0000-0000871B0000}"/>
    <cellStyle name="Normal 2 2 10 2 18 3 3" xfId="7060" xr:uid="{00000000-0005-0000-0000-0000881B0000}"/>
    <cellStyle name="Normal 2 2 10 2 18 3 4" xfId="7061" xr:uid="{00000000-0005-0000-0000-0000891B0000}"/>
    <cellStyle name="Normal 2 2 10 2 18 3 5" xfId="7062" xr:uid="{00000000-0005-0000-0000-00008A1B0000}"/>
    <cellStyle name="Normal 2 2 10 2 18 3 6" xfId="7063" xr:uid="{00000000-0005-0000-0000-00008B1B0000}"/>
    <cellStyle name="Normal 2 2 10 2 18 3 7" xfId="7064" xr:uid="{00000000-0005-0000-0000-00008C1B0000}"/>
    <cellStyle name="Normal 2 2 10 2 18 3 8" xfId="7065" xr:uid="{00000000-0005-0000-0000-00008D1B0000}"/>
    <cellStyle name="Normal 2 2 10 2 18 3 9" xfId="7066" xr:uid="{00000000-0005-0000-0000-00008E1B0000}"/>
    <cellStyle name="Normal 2 2 10 2 18 4" xfId="7067" xr:uid="{00000000-0005-0000-0000-00008F1B0000}"/>
    <cellStyle name="Normal 2 2 10 2 18 4 10" xfId="7068" xr:uid="{00000000-0005-0000-0000-0000901B0000}"/>
    <cellStyle name="Normal 2 2 10 2 18 4 2" xfId="7069" xr:uid="{00000000-0005-0000-0000-0000911B0000}"/>
    <cellStyle name="Normal 2 2 10 2 18 4 3" xfId="7070" xr:uid="{00000000-0005-0000-0000-0000921B0000}"/>
    <cellStyle name="Normal 2 2 10 2 18 4 4" xfId="7071" xr:uid="{00000000-0005-0000-0000-0000931B0000}"/>
    <cellStyle name="Normal 2 2 10 2 18 4 5" xfId="7072" xr:uid="{00000000-0005-0000-0000-0000941B0000}"/>
    <cellStyle name="Normal 2 2 10 2 18 4 6" xfId="7073" xr:uid="{00000000-0005-0000-0000-0000951B0000}"/>
    <cellStyle name="Normal 2 2 10 2 18 4 7" xfId="7074" xr:uid="{00000000-0005-0000-0000-0000961B0000}"/>
    <cellStyle name="Normal 2 2 10 2 18 4 8" xfId="7075" xr:uid="{00000000-0005-0000-0000-0000971B0000}"/>
    <cellStyle name="Normal 2 2 10 2 18 4 9" xfId="7076" xr:uid="{00000000-0005-0000-0000-0000981B0000}"/>
    <cellStyle name="Normal 2 2 10 2 18 5" xfId="7077" xr:uid="{00000000-0005-0000-0000-0000991B0000}"/>
    <cellStyle name="Normal 2 2 10 2 18 5 10" xfId="7078" xr:uid="{00000000-0005-0000-0000-00009A1B0000}"/>
    <cellStyle name="Normal 2 2 10 2 18 5 2" xfId="7079" xr:uid="{00000000-0005-0000-0000-00009B1B0000}"/>
    <cellStyle name="Normal 2 2 10 2 18 5 3" xfId="7080" xr:uid="{00000000-0005-0000-0000-00009C1B0000}"/>
    <cellStyle name="Normal 2 2 10 2 18 5 4" xfId="7081" xr:uid="{00000000-0005-0000-0000-00009D1B0000}"/>
    <cellStyle name="Normal 2 2 10 2 18 5 5" xfId="7082" xr:uid="{00000000-0005-0000-0000-00009E1B0000}"/>
    <cellStyle name="Normal 2 2 10 2 18 5 6" xfId="7083" xr:uid="{00000000-0005-0000-0000-00009F1B0000}"/>
    <cellStyle name="Normal 2 2 10 2 18 5 7" xfId="7084" xr:uid="{00000000-0005-0000-0000-0000A01B0000}"/>
    <cellStyle name="Normal 2 2 10 2 18 5 8" xfId="7085" xr:uid="{00000000-0005-0000-0000-0000A11B0000}"/>
    <cellStyle name="Normal 2 2 10 2 18 5 9" xfId="7086" xr:uid="{00000000-0005-0000-0000-0000A21B0000}"/>
    <cellStyle name="Normal 2 2 10 2 18 6" xfId="7087" xr:uid="{00000000-0005-0000-0000-0000A31B0000}"/>
    <cellStyle name="Normal 2 2 10 2 18 7" xfId="7088" xr:uid="{00000000-0005-0000-0000-0000A41B0000}"/>
    <cellStyle name="Normal 2 2 10 2 18 8" xfId="7089" xr:uid="{00000000-0005-0000-0000-0000A51B0000}"/>
    <cellStyle name="Normal 2 2 10 2 18 9" xfId="7090" xr:uid="{00000000-0005-0000-0000-0000A61B0000}"/>
    <cellStyle name="Normal 2 2 10 2 19" xfId="7091" xr:uid="{00000000-0005-0000-0000-0000A71B0000}"/>
    <cellStyle name="Normal 2 2 10 2 19 10" xfId="7092" xr:uid="{00000000-0005-0000-0000-0000A81B0000}"/>
    <cellStyle name="Normal 2 2 10 2 19 11" xfId="7093" xr:uid="{00000000-0005-0000-0000-0000A91B0000}"/>
    <cellStyle name="Normal 2 2 10 2 19 12" xfId="7094" xr:uid="{00000000-0005-0000-0000-0000AA1B0000}"/>
    <cellStyle name="Normal 2 2 10 2 19 13" xfId="7095" xr:uid="{00000000-0005-0000-0000-0000AB1B0000}"/>
    <cellStyle name="Normal 2 2 10 2 19 14" xfId="7096" xr:uid="{00000000-0005-0000-0000-0000AC1B0000}"/>
    <cellStyle name="Normal 2 2 10 2 19 2" xfId="7097" xr:uid="{00000000-0005-0000-0000-0000AD1B0000}"/>
    <cellStyle name="Normal 2 2 10 2 19 2 10" xfId="7098" xr:uid="{00000000-0005-0000-0000-0000AE1B0000}"/>
    <cellStyle name="Normal 2 2 10 2 19 2 2" xfId="7099" xr:uid="{00000000-0005-0000-0000-0000AF1B0000}"/>
    <cellStyle name="Normal 2 2 10 2 19 2 3" xfId="7100" xr:uid="{00000000-0005-0000-0000-0000B01B0000}"/>
    <cellStyle name="Normal 2 2 10 2 19 2 4" xfId="7101" xr:uid="{00000000-0005-0000-0000-0000B11B0000}"/>
    <cellStyle name="Normal 2 2 10 2 19 2 5" xfId="7102" xr:uid="{00000000-0005-0000-0000-0000B21B0000}"/>
    <cellStyle name="Normal 2 2 10 2 19 2 6" xfId="7103" xr:uid="{00000000-0005-0000-0000-0000B31B0000}"/>
    <cellStyle name="Normal 2 2 10 2 19 2 7" xfId="7104" xr:uid="{00000000-0005-0000-0000-0000B41B0000}"/>
    <cellStyle name="Normal 2 2 10 2 19 2 8" xfId="7105" xr:uid="{00000000-0005-0000-0000-0000B51B0000}"/>
    <cellStyle name="Normal 2 2 10 2 19 2 9" xfId="7106" xr:uid="{00000000-0005-0000-0000-0000B61B0000}"/>
    <cellStyle name="Normal 2 2 10 2 19 3" xfId="7107" xr:uid="{00000000-0005-0000-0000-0000B71B0000}"/>
    <cellStyle name="Normal 2 2 10 2 19 3 10" xfId="7108" xr:uid="{00000000-0005-0000-0000-0000B81B0000}"/>
    <cellStyle name="Normal 2 2 10 2 19 3 2" xfId="7109" xr:uid="{00000000-0005-0000-0000-0000B91B0000}"/>
    <cellStyle name="Normal 2 2 10 2 19 3 3" xfId="7110" xr:uid="{00000000-0005-0000-0000-0000BA1B0000}"/>
    <cellStyle name="Normal 2 2 10 2 19 3 4" xfId="7111" xr:uid="{00000000-0005-0000-0000-0000BB1B0000}"/>
    <cellStyle name="Normal 2 2 10 2 19 3 5" xfId="7112" xr:uid="{00000000-0005-0000-0000-0000BC1B0000}"/>
    <cellStyle name="Normal 2 2 10 2 19 3 6" xfId="7113" xr:uid="{00000000-0005-0000-0000-0000BD1B0000}"/>
    <cellStyle name="Normal 2 2 10 2 19 3 7" xfId="7114" xr:uid="{00000000-0005-0000-0000-0000BE1B0000}"/>
    <cellStyle name="Normal 2 2 10 2 19 3 8" xfId="7115" xr:uid="{00000000-0005-0000-0000-0000BF1B0000}"/>
    <cellStyle name="Normal 2 2 10 2 19 3 9" xfId="7116" xr:uid="{00000000-0005-0000-0000-0000C01B0000}"/>
    <cellStyle name="Normal 2 2 10 2 19 4" xfId="7117" xr:uid="{00000000-0005-0000-0000-0000C11B0000}"/>
    <cellStyle name="Normal 2 2 10 2 19 4 10" xfId="7118" xr:uid="{00000000-0005-0000-0000-0000C21B0000}"/>
    <cellStyle name="Normal 2 2 10 2 19 4 2" xfId="7119" xr:uid="{00000000-0005-0000-0000-0000C31B0000}"/>
    <cellStyle name="Normal 2 2 10 2 19 4 3" xfId="7120" xr:uid="{00000000-0005-0000-0000-0000C41B0000}"/>
    <cellStyle name="Normal 2 2 10 2 19 4 4" xfId="7121" xr:uid="{00000000-0005-0000-0000-0000C51B0000}"/>
    <cellStyle name="Normal 2 2 10 2 19 4 5" xfId="7122" xr:uid="{00000000-0005-0000-0000-0000C61B0000}"/>
    <cellStyle name="Normal 2 2 10 2 19 4 6" xfId="7123" xr:uid="{00000000-0005-0000-0000-0000C71B0000}"/>
    <cellStyle name="Normal 2 2 10 2 19 4 7" xfId="7124" xr:uid="{00000000-0005-0000-0000-0000C81B0000}"/>
    <cellStyle name="Normal 2 2 10 2 19 4 8" xfId="7125" xr:uid="{00000000-0005-0000-0000-0000C91B0000}"/>
    <cellStyle name="Normal 2 2 10 2 19 4 9" xfId="7126" xr:uid="{00000000-0005-0000-0000-0000CA1B0000}"/>
    <cellStyle name="Normal 2 2 10 2 19 5" xfId="7127" xr:uid="{00000000-0005-0000-0000-0000CB1B0000}"/>
    <cellStyle name="Normal 2 2 10 2 19 5 10" xfId="7128" xr:uid="{00000000-0005-0000-0000-0000CC1B0000}"/>
    <cellStyle name="Normal 2 2 10 2 19 5 2" xfId="7129" xr:uid="{00000000-0005-0000-0000-0000CD1B0000}"/>
    <cellStyle name="Normal 2 2 10 2 19 5 3" xfId="7130" xr:uid="{00000000-0005-0000-0000-0000CE1B0000}"/>
    <cellStyle name="Normal 2 2 10 2 19 5 4" xfId="7131" xr:uid="{00000000-0005-0000-0000-0000CF1B0000}"/>
    <cellStyle name="Normal 2 2 10 2 19 5 5" xfId="7132" xr:uid="{00000000-0005-0000-0000-0000D01B0000}"/>
    <cellStyle name="Normal 2 2 10 2 19 5 6" xfId="7133" xr:uid="{00000000-0005-0000-0000-0000D11B0000}"/>
    <cellStyle name="Normal 2 2 10 2 19 5 7" xfId="7134" xr:uid="{00000000-0005-0000-0000-0000D21B0000}"/>
    <cellStyle name="Normal 2 2 10 2 19 5 8" xfId="7135" xr:uid="{00000000-0005-0000-0000-0000D31B0000}"/>
    <cellStyle name="Normal 2 2 10 2 19 5 9" xfId="7136" xr:uid="{00000000-0005-0000-0000-0000D41B0000}"/>
    <cellStyle name="Normal 2 2 10 2 19 6" xfId="7137" xr:uid="{00000000-0005-0000-0000-0000D51B0000}"/>
    <cellStyle name="Normal 2 2 10 2 19 7" xfId="7138" xr:uid="{00000000-0005-0000-0000-0000D61B0000}"/>
    <cellStyle name="Normal 2 2 10 2 19 8" xfId="7139" xr:uid="{00000000-0005-0000-0000-0000D71B0000}"/>
    <cellStyle name="Normal 2 2 10 2 19 9" xfId="7140" xr:uid="{00000000-0005-0000-0000-0000D81B0000}"/>
    <cellStyle name="Normal 2 2 10 2 2" xfId="7141" xr:uid="{00000000-0005-0000-0000-0000D91B0000}"/>
    <cellStyle name="Normal 2 2 10 2 2 10" xfId="7142" xr:uid="{00000000-0005-0000-0000-0000DA1B0000}"/>
    <cellStyle name="Normal 2 2 10 2 2 11" xfId="7143" xr:uid="{00000000-0005-0000-0000-0000DB1B0000}"/>
    <cellStyle name="Normal 2 2 10 2 2 12" xfId="7144" xr:uid="{00000000-0005-0000-0000-0000DC1B0000}"/>
    <cellStyle name="Normal 2 2 10 2 2 13" xfId="7145" xr:uid="{00000000-0005-0000-0000-0000DD1B0000}"/>
    <cellStyle name="Normal 2 2 10 2 2 14" xfId="7146" xr:uid="{00000000-0005-0000-0000-0000DE1B0000}"/>
    <cellStyle name="Normal 2 2 10 2 2 2" xfId="7147" xr:uid="{00000000-0005-0000-0000-0000DF1B0000}"/>
    <cellStyle name="Normal 2 2 10 2 2 2 10" xfId="7148" xr:uid="{00000000-0005-0000-0000-0000E01B0000}"/>
    <cellStyle name="Normal 2 2 10 2 2 2 2" xfId="7149" xr:uid="{00000000-0005-0000-0000-0000E11B0000}"/>
    <cellStyle name="Normal 2 2 10 2 2 2 3" xfId="7150" xr:uid="{00000000-0005-0000-0000-0000E21B0000}"/>
    <cellStyle name="Normal 2 2 10 2 2 2 4" xfId="7151" xr:uid="{00000000-0005-0000-0000-0000E31B0000}"/>
    <cellStyle name="Normal 2 2 10 2 2 2 5" xfId="7152" xr:uid="{00000000-0005-0000-0000-0000E41B0000}"/>
    <cellStyle name="Normal 2 2 10 2 2 2 6" xfId="7153" xr:uid="{00000000-0005-0000-0000-0000E51B0000}"/>
    <cellStyle name="Normal 2 2 10 2 2 2 7" xfId="7154" xr:uid="{00000000-0005-0000-0000-0000E61B0000}"/>
    <cellStyle name="Normal 2 2 10 2 2 2 8" xfId="7155" xr:uid="{00000000-0005-0000-0000-0000E71B0000}"/>
    <cellStyle name="Normal 2 2 10 2 2 2 9" xfId="7156" xr:uid="{00000000-0005-0000-0000-0000E81B0000}"/>
    <cellStyle name="Normal 2 2 10 2 2 3" xfId="7157" xr:uid="{00000000-0005-0000-0000-0000E91B0000}"/>
    <cellStyle name="Normal 2 2 10 2 2 3 10" xfId="7158" xr:uid="{00000000-0005-0000-0000-0000EA1B0000}"/>
    <cellStyle name="Normal 2 2 10 2 2 3 2" xfId="7159" xr:uid="{00000000-0005-0000-0000-0000EB1B0000}"/>
    <cellStyle name="Normal 2 2 10 2 2 3 3" xfId="7160" xr:uid="{00000000-0005-0000-0000-0000EC1B0000}"/>
    <cellStyle name="Normal 2 2 10 2 2 3 4" xfId="7161" xr:uid="{00000000-0005-0000-0000-0000ED1B0000}"/>
    <cellStyle name="Normal 2 2 10 2 2 3 5" xfId="7162" xr:uid="{00000000-0005-0000-0000-0000EE1B0000}"/>
    <cellStyle name="Normal 2 2 10 2 2 3 6" xfId="7163" xr:uid="{00000000-0005-0000-0000-0000EF1B0000}"/>
    <cellStyle name="Normal 2 2 10 2 2 3 7" xfId="7164" xr:uid="{00000000-0005-0000-0000-0000F01B0000}"/>
    <cellStyle name="Normal 2 2 10 2 2 3 8" xfId="7165" xr:uid="{00000000-0005-0000-0000-0000F11B0000}"/>
    <cellStyle name="Normal 2 2 10 2 2 3 9" xfId="7166" xr:uid="{00000000-0005-0000-0000-0000F21B0000}"/>
    <cellStyle name="Normal 2 2 10 2 2 4" xfId="7167" xr:uid="{00000000-0005-0000-0000-0000F31B0000}"/>
    <cellStyle name="Normal 2 2 10 2 2 4 10" xfId="7168" xr:uid="{00000000-0005-0000-0000-0000F41B0000}"/>
    <cellStyle name="Normal 2 2 10 2 2 4 2" xfId="7169" xr:uid="{00000000-0005-0000-0000-0000F51B0000}"/>
    <cellStyle name="Normal 2 2 10 2 2 4 3" xfId="7170" xr:uid="{00000000-0005-0000-0000-0000F61B0000}"/>
    <cellStyle name="Normal 2 2 10 2 2 4 4" xfId="7171" xr:uid="{00000000-0005-0000-0000-0000F71B0000}"/>
    <cellStyle name="Normal 2 2 10 2 2 4 5" xfId="7172" xr:uid="{00000000-0005-0000-0000-0000F81B0000}"/>
    <cellStyle name="Normal 2 2 10 2 2 4 6" xfId="7173" xr:uid="{00000000-0005-0000-0000-0000F91B0000}"/>
    <cellStyle name="Normal 2 2 10 2 2 4 7" xfId="7174" xr:uid="{00000000-0005-0000-0000-0000FA1B0000}"/>
    <cellStyle name="Normal 2 2 10 2 2 4 8" xfId="7175" xr:uid="{00000000-0005-0000-0000-0000FB1B0000}"/>
    <cellStyle name="Normal 2 2 10 2 2 4 9" xfId="7176" xr:uid="{00000000-0005-0000-0000-0000FC1B0000}"/>
    <cellStyle name="Normal 2 2 10 2 2 5" xfId="7177" xr:uid="{00000000-0005-0000-0000-0000FD1B0000}"/>
    <cellStyle name="Normal 2 2 10 2 2 5 10" xfId="7178" xr:uid="{00000000-0005-0000-0000-0000FE1B0000}"/>
    <cellStyle name="Normal 2 2 10 2 2 5 2" xfId="7179" xr:uid="{00000000-0005-0000-0000-0000FF1B0000}"/>
    <cellStyle name="Normal 2 2 10 2 2 5 3" xfId="7180" xr:uid="{00000000-0005-0000-0000-0000001C0000}"/>
    <cellStyle name="Normal 2 2 10 2 2 5 4" xfId="7181" xr:uid="{00000000-0005-0000-0000-0000011C0000}"/>
    <cellStyle name="Normal 2 2 10 2 2 5 5" xfId="7182" xr:uid="{00000000-0005-0000-0000-0000021C0000}"/>
    <cellStyle name="Normal 2 2 10 2 2 5 6" xfId="7183" xr:uid="{00000000-0005-0000-0000-0000031C0000}"/>
    <cellStyle name="Normal 2 2 10 2 2 5 7" xfId="7184" xr:uid="{00000000-0005-0000-0000-0000041C0000}"/>
    <cellStyle name="Normal 2 2 10 2 2 5 8" xfId="7185" xr:uid="{00000000-0005-0000-0000-0000051C0000}"/>
    <cellStyle name="Normal 2 2 10 2 2 5 9" xfId="7186" xr:uid="{00000000-0005-0000-0000-0000061C0000}"/>
    <cellStyle name="Normal 2 2 10 2 2 6" xfId="7187" xr:uid="{00000000-0005-0000-0000-0000071C0000}"/>
    <cellStyle name="Normal 2 2 10 2 2 7" xfId="7188" xr:uid="{00000000-0005-0000-0000-0000081C0000}"/>
    <cellStyle name="Normal 2 2 10 2 2 8" xfId="7189" xr:uid="{00000000-0005-0000-0000-0000091C0000}"/>
    <cellStyle name="Normal 2 2 10 2 2 9" xfId="7190" xr:uid="{00000000-0005-0000-0000-00000A1C0000}"/>
    <cellStyle name="Normal 2 2 10 2 20" xfId="7191" xr:uid="{00000000-0005-0000-0000-00000B1C0000}"/>
    <cellStyle name="Normal 2 2 10 2 20 10" xfId="7192" xr:uid="{00000000-0005-0000-0000-00000C1C0000}"/>
    <cellStyle name="Normal 2 2 10 2 20 11" xfId="7193" xr:uid="{00000000-0005-0000-0000-00000D1C0000}"/>
    <cellStyle name="Normal 2 2 10 2 20 12" xfId="7194" xr:uid="{00000000-0005-0000-0000-00000E1C0000}"/>
    <cellStyle name="Normal 2 2 10 2 20 13" xfId="7195" xr:uid="{00000000-0005-0000-0000-00000F1C0000}"/>
    <cellStyle name="Normal 2 2 10 2 20 14" xfId="7196" xr:uid="{00000000-0005-0000-0000-0000101C0000}"/>
    <cellStyle name="Normal 2 2 10 2 20 2" xfId="7197" xr:uid="{00000000-0005-0000-0000-0000111C0000}"/>
    <cellStyle name="Normal 2 2 10 2 20 2 10" xfId="7198" xr:uid="{00000000-0005-0000-0000-0000121C0000}"/>
    <cellStyle name="Normal 2 2 10 2 20 2 2" xfId="7199" xr:uid="{00000000-0005-0000-0000-0000131C0000}"/>
    <cellStyle name="Normal 2 2 10 2 20 2 3" xfId="7200" xr:uid="{00000000-0005-0000-0000-0000141C0000}"/>
    <cellStyle name="Normal 2 2 10 2 20 2 4" xfId="7201" xr:uid="{00000000-0005-0000-0000-0000151C0000}"/>
    <cellStyle name="Normal 2 2 10 2 20 2 5" xfId="7202" xr:uid="{00000000-0005-0000-0000-0000161C0000}"/>
    <cellStyle name="Normal 2 2 10 2 20 2 6" xfId="7203" xr:uid="{00000000-0005-0000-0000-0000171C0000}"/>
    <cellStyle name="Normal 2 2 10 2 20 2 7" xfId="7204" xr:uid="{00000000-0005-0000-0000-0000181C0000}"/>
    <cellStyle name="Normal 2 2 10 2 20 2 8" xfId="7205" xr:uid="{00000000-0005-0000-0000-0000191C0000}"/>
    <cellStyle name="Normal 2 2 10 2 20 2 9" xfId="7206" xr:uid="{00000000-0005-0000-0000-00001A1C0000}"/>
    <cellStyle name="Normal 2 2 10 2 20 3" xfId="7207" xr:uid="{00000000-0005-0000-0000-00001B1C0000}"/>
    <cellStyle name="Normal 2 2 10 2 20 3 10" xfId="7208" xr:uid="{00000000-0005-0000-0000-00001C1C0000}"/>
    <cellStyle name="Normal 2 2 10 2 20 3 2" xfId="7209" xr:uid="{00000000-0005-0000-0000-00001D1C0000}"/>
    <cellStyle name="Normal 2 2 10 2 20 3 3" xfId="7210" xr:uid="{00000000-0005-0000-0000-00001E1C0000}"/>
    <cellStyle name="Normal 2 2 10 2 20 3 4" xfId="7211" xr:uid="{00000000-0005-0000-0000-00001F1C0000}"/>
    <cellStyle name="Normal 2 2 10 2 20 3 5" xfId="7212" xr:uid="{00000000-0005-0000-0000-0000201C0000}"/>
    <cellStyle name="Normal 2 2 10 2 20 3 6" xfId="7213" xr:uid="{00000000-0005-0000-0000-0000211C0000}"/>
    <cellStyle name="Normal 2 2 10 2 20 3 7" xfId="7214" xr:uid="{00000000-0005-0000-0000-0000221C0000}"/>
    <cellStyle name="Normal 2 2 10 2 20 3 8" xfId="7215" xr:uid="{00000000-0005-0000-0000-0000231C0000}"/>
    <cellStyle name="Normal 2 2 10 2 20 3 9" xfId="7216" xr:uid="{00000000-0005-0000-0000-0000241C0000}"/>
    <cellStyle name="Normal 2 2 10 2 20 4" xfId="7217" xr:uid="{00000000-0005-0000-0000-0000251C0000}"/>
    <cellStyle name="Normal 2 2 10 2 20 4 10" xfId="7218" xr:uid="{00000000-0005-0000-0000-0000261C0000}"/>
    <cellStyle name="Normal 2 2 10 2 20 4 2" xfId="7219" xr:uid="{00000000-0005-0000-0000-0000271C0000}"/>
    <cellStyle name="Normal 2 2 10 2 20 4 3" xfId="7220" xr:uid="{00000000-0005-0000-0000-0000281C0000}"/>
    <cellStyle name="Normal 2 2 10 2 20 4 4" xfId="7221" xr:uid="{00000000-0005-0000-0000-0000291C0000}"/>
    <cellStyle name="Normal 2 2 10 2 20 4 5" xfId="7222" xr:uid="{00000000-0005-0000-0000-00002A1C0000}"/>
    <cellStyle name="Normal 2 2 10 2 20 4 6" xfId="7223" xr:uid="{00000000-0005-0000-0000-00002B1C0000}"/>
    <cellStyle name="Normal 2 2 10 2 20 4 7" xfId="7224" xr:uid="{00000000-0005-0000-0000-00002C1C0000}"/>
    <cellStyle name="Normal 2 2 10 2 20 4 8" xfId="7225" xr:uid="{00000000-0005-0000-0000-00002D1C0000}"/>
    <cellStyle name="Normal 2 2 10 2 20 4 9" xfId="7226" xr:uid="{00000000-0005-0000-0000-00002E1C0000}"/>
    <cellStyle name="Normal 2 2 10 2 20 5" xfId="7227" xr:uid="{00000000-0005-0000-0000-00002F1C0000}"/>
    <cellStyle name="Normal 2 2 10 2 20 5 10" xfId="7228" xr:uid="{00000000-0005-0000-0000-0000301C0000}"/>
    <cellStyle name="Normal 2 2 10 2 20 5 2" xfId="7229" xr:uid="{00000000-0005-0000-0000-0000311C0000}"/>
    <cellStyle name="Normal 2 2 10 2 20 5 3" xfId="7230" xr:uid="{00000000-0005-0000-0000-0000321C0000}"/>
    <cellStyle name="Normal 2 2 10 2 20 5 4" xfId="7231" xr:uid="{00000000-0005-0000-0000-0000331C0000}"/>
    <cellStyle name="Normal 2 2 10 2 20 5 5" xfId="7232" xr:uid="{00000000-0005-0000-0000-0000341C0000}"/>
    <cellStyle name="Normal 2 2 10 2 20 5 6" xfId="7233" xr:uid="{00000000-0005-0000-0000-0000351C0000}"/>
    <cellStyle name="Normal 2 2 10 2 20 5 7" xfId="7234" xr:uid="{00000000-0005-0000-0000-0000361C0000}"/>
    <cellStyle name="Normal 2 2 10 2 20 5 8" xfId="7235" xr:uid="{00000000-0005-0000-0000-0000371C0000}"/>
    <cellStyle name="Normal 2 2 10 2 20 5 9" xfId="7236" xr:uid="{00000000-0005-0000-0000-0000381C0000}"/>
    <cellStyle name="Normal 2 2 10 2 20 6" xfId="7237" xr:uid="{00000000-0005-0000-0000-0000391C0000}"/>
    <cellStyle name="Normal 2 2 10 2 20 7" xfId="7238" xr:uid="{00000000-0005-0000-0000-00003A1C0000}"/>
    <cellStyle name="Normal 2 2 10 2 20 8" xfId="7239" xr:uid="{00000000-0005-0000-0000-00003B1C0000}"/>
    <cellStyle name="Normal 2 2 10 2 20 9" xfId="7240" xr:uid="{00000000-0005-0000-0000-00003C1C0000}"/>
    <cellStyle name="Normal 2 2 10 2 21" xfId="7241" xr:uid="{00000000-0005-0000-0000-00003D1C0000}"/>
    <cellStyle name="Normal 2 2 10 2 21 10" xfId="7242" xr:uid="{00000000-0005-0000-0000-00003E1C0000}"/>
    <cellStyle name="Normal 2 2 10 2 21 11" xfId="7243" xr:uid="{00000000-0005-0000-0000-00003F1C0000}"/>
    <cellStyle name="Normal 2 2 10 2 21 12" xfId="7244" xr:uid="{00000000-0005-0000-0000-0000401C0000}"/>
    <cellStyle name="Normal 2 2 10 2 21 13" xfId="7245" xr:uid="{00000000-0005-0000-0000-0000411C0000}"/>
    <cellStyle name="Normal 2 2 10 2 21 14" xfId="7246" xr:uid="{00000000-0005-0000-0000-0000421C0000}"/>
    <cellStyle name="Normal 2 2 10 2 21 2" xfId="7247" xr:uid="{00000000-0005-0000-0000-0000431C0000}"/>
    <cellStyle name="Normal 2 2 10 2 21 2 10" xfId="7248" xr:uid="{00000000-0005-0000-0000-0000441C0000}"/>
    <cellStyle name="Normal 2 2 10 2 21 2 2" xfId="7249" xr:uid="{00000000-0005-0000-0000-0000451C0000}"/>
    <cellStyle name="Normal 2 2 10 2 21 2 3" xfId="7250" xr:uid="{00000000-0005-0000-0000-0000461C0000}"/>
    <cellStyle name="Normal 2 2 10 2 21 2 4" xfId="7251" xr:uid="{00000000-0005-0000-0000-0000471C0000}"/>
    <cellStyle name="Normal 2 2 10 2 21 2 5" xfId="7252" xr:uid="{00000000-0005-0000-0000-0000481C0000}"/>
    <cellStyle name="Normal 2 2 10 2 21 2 6" xfId="7253" xr:uid="{00000000-0005-0000-0000-0000491C0000}"/>
    <cellStyle name="Normal 2 2 10 2 21 2 7" xfId="7254" xr:uid="{00000000-0005-0000-0000-00004A1C0000}"/>
    <cellStyle name="Normal 2 2 10 2 21 2 8" xfId="7255" xr:uid="{00000000-0005-0000-0000-00004B1C0000}"/>
    <cellStyle name="Normal 2 2 10 2 21 2 9" xfId="7256" xr:uid="{00000000-0005-0000-0000-00004C1C0000}"/>
    <cellStyle name="Normal 2 2 10 2 21 3" xfId="7257" xr:uid="{00000000-0005-0000-0000-00004D1C0000}"/>
    <cellStyle name="Normal 2 2 10 2 21 3 10" xfId="7258" xr:uid="{00000000-0005-0000-0000-00004E1C0000}"/>
    <cellStyle name="Normal 2 2 10 2 21 3 2" xfId="7259" xr:uid="{00000000-0005-0000-0000-00004F1C0000}"/>
    <cellStyle name="Normal 2 2 10 2 21 3 3" xfId="7260" xr:uid="{00000000-0005-0000-0000-0000501C0000}"/>
    <cellStyle name="Normal 2 2 10 2 21 3 4" xfId="7261" xr:uid="{00000000-0005-0000-0000-0000511C0000}"/>
    <cellStyle name="Normal 2 2 10 2 21 3 5" xfId="7262" xr:uid="{00000000-0005-0000-0000-0000521C0000}"/>
    <cellStyle name="Normal 2 2 10 2 21 3 6" xfId="7263" xr:uid="{00000000-0005-0000-0000-0000531C0000}"/>
    <cellStyle name="Normal 2 2 10 2 21 3 7" xfId="7264" xr:uid="{00000000-0005-0000-0000-0000541C0000}"/>
    <cellStyle name="Normal 2 2 10 2 21 3 8" xfId="7265" xr:uid="{00000000-0005-0000-0000-0000551C0000}"/>
    <cellStyle name="Normal 2 2 10 2 21 3 9" xfId="7266" xr:uid="{00000000-0005-0000-0000-0000561C0000}"/>
    <cellStyle name="Normal 2 2 10 2 21 4" xfId="7267" xr:uid="{00000000-0005-0000-0000-0000571C0000}"/>
    <cellStyle name="Normal 2 2 10 2 21 4 10" xfId="7268" xr:uid="{00000000-0005-0000-0000-0000581C0000}"/>
    <cellStyle name="Normal 2 2 10 2 21 4 2" xfId="7269" xr:uid="{00000000-0005-0000-0000-0000591C0000}"/>
    <cellStyle name="Normal 2 2 10 2 21 4 3" xfId="7270" xr:uid="{00000000-0005-0000-0000-00005A1C0000}"/>
    <cellStyle name="Normal 2 2 10 2 21 4 4" xfId="7271" xr:uid="{00000000-0005-0000-0000-00005B1C0000}"/>
    <cellStyle name="Normal 2 2 10 2 21 4 5" xfId="7272" xr:uid="{00000000-0005-0000-0000-00005C1C0000}"/>
    <cellStyle name="Normal 2 2 10 2 21 4 6" xfId="7273" xr:uid="{00000000-0005-0000-0000-00005D1C0000}"/>
    <cellStyle name="Normal 2 2 10 2 21 4 7" xfId="7274" xr:uid="{00000000-0005-0000-0000-00005E1C0000}"/>
    <cellStyle name="Normal 2 2 10 2 21 4 8" xfId="7275" xr:uid="{00000000-0005-0000-0000-00005F1C0000}"/>
    <cellStyle name="Normal 2 2 10 2 21 4 9" xfId="7276" xr:uid="{00000000-0005-0000-0000-0000601C0000}"/>
    <cellStyle name="Normal 2 2 10 2 21 5" xfId="7277" xr:uid="{00000000-0005-0000-0000-0000611C0000}"/>
    <cellStyle name="Normal 2 2 10 2 21 5 10" xfId="7278" xr:uid="{00000000-0005-0000-0000-0000621C0000}"/>
    <cellStyle name="Normal 2 2 10 2 21 5 2" xfId="7279" xr:uid="{00000000-0005-0000-0000-0000631C0000}"/>
    <cellStyle name="Normal 2 2 10 2 21 5 3" xfId="7280" xr:uid="{00000000-0005-0000-0000-0000641C0000}"/>
    <cellStyle name="Normal 2 2 10 2 21 5 4" xfId="7281" xr:uid="{00000000-0005-0000-0000-0000651C0000}"/>
    <cellStyle name="Normal 2 2 10 2 21 5 5" xfId="7282" xr:uid="{00000000-0005-0000-0000-0000661C0000}"/>
    <cellStyle name="Normal 2 2 10 2 21 5 6" xfId="7283" xr:uid="{00000000-0005-0000-0000-0000671C0000}"/>
    <cellStyle name="Normal 2 2 10 2 21 5 7" xfId="7284" xr:uid="{00000000-0005-0000-0000-0000681C0000}"/>
    <cellStyle name="Normal 2 2 10 2 21 5 8" xfId="7285" xr:uid="{00000000-0005-0000-0000-0000691C0000}"/>
    <cellStyle name="Normal 2 2 10 2 21 5 9" xfId="7286" xr:uid="{00000000-0005-0000-0000-00006A1C0000}"/>
    <cellStyle name="Normal 2 2 10 2 21 6" xfId="7287" xr:uid="{00000000-0005-0000-0000-00006B1C0000}"/>
    <cellStyle name="Normal 2 2 10 2 21 7" xfId="7288" xr:uid="{00000000-0005-0000-0000-00006C1C0000}"/>
    <cellStyle name="Normal 2 2 10 2 21 8" xfId="7289" xr:uid="{00000000-0005-0000-0000-00006D1C0000}"/>
    <cellStyle name="Normal 2 2 10 2 21 9" xfId="7290" xr:uid="{00000000-0005-0000-0000-00006E1C0000}"/>
    <cellStyle name="Normal 2 2 10 2 22" xfId="7291" xr:uid="{00000000-0005-0000-0000-00006F1C0000}"/>
    <cellStyle name="Normal 2 2 10 2 22 10" xfId="7292" xr:uid="{00000000-0005-0000-0000-0000701C0000}"/>
    <cellStyle name="Normal 2 2 10 2 22 11" xfId="7293" xr:uid="{00000000-0005-0000-0000-0000711C0000}"/>
    <cellStyle name="Normal 2 2 10 2 22 12" xfId="7294" xr:uid="{00000000-0005-0000-0000-0000721C0000}"/>
    <cellStyle name="Normal 2 2 10 2 22 13" xfId="7295" xr:uid="{00000000-0005-0000-0000-0000731C0000}"/>
    <cellStyle name="Normal 2 2 10 2 22 14" xfId="7296" xr:uid="{00000000-0005-0000-0000-0000741C0000}"/>
    <cellStyle name="Normal 2 2 10 2 22 2" xfId="7297" xr:uid="{00000000-0005-0000-0000-0000751C0000}"/>
    <cellStyle name="Normal 2 2 10 2 22 2 10" xfId="7298" xr:uid="{00000000-0005-0000-0000-0000761C0000}"/>
    <cellStyle name="Normal 2 2 10 2 22 2 2" xfId="7299" xr:uid="{00000000-0005-0000-0000-0000771C0000}"/>
    <cellStyle name="Normal 2 2 10 2 22 2 3" xfId="7300" xr:uid="{00000000-0005-0000-0000-0000781C0000}"/>
    <cellStyle name="Normal 2 2 10 2 22 2 4" xfId="7301" xr:uid="{00000000-0005-0000-0000-0000791C0000}"/>
    <cellStyle name="Normal 2 2 10 2 22 2 5" xfId="7302" xr:uid="{00000000-0005-0000-0000-00007A1C0000}"/>
    <cellStyle name="Normal 2 2 10 2 22 2 6" xfId="7303" xr:uid="{00000000-0005-0000-0000-00007B1C0000}"/>
    <cellStyle name="Normal 2 2 10 2 22 2 7" xfId="7304" xr:uid="{00000000-0005-0000-0000-00007C1C0000}"/>
    <cellStyle name="Normal 2 2 10 2 22 2 8" xfId="7305" xr:uid="{00000000-0005-0000-0000-00007D1C0000}"/>
    <cellStyle name="Normal 2 2 10 2 22 2 9" xfId="7306" xr:uid="{00000000-0005-0000-0000-00007E1C0000}"/>
    <cellStyle name="Normal 2 2 10 2 22 3" xfId="7307" xr:uid="{00000000-0005-0000-0000-00007F1C0000}"/>
    <cellStyle name="Normal 2 2 10 2 22 3 10" xfId="7308" xr:uid="{00000000-0005-0000-0000-0000801C0000}"/>
    <cellStyle name="Normal 2 2 10 2 22 3 2" xfId="7309" xr:uid="{00000000-0005-0000-0000-0000811C0000}"/>
    <cellStyle name="Normal 2 2 10 2 22 3 3" xfId="7310" xr:uid="{00000000-0005-0000-0000-0000821C0000}"/>
    <cellStyle name="Normal 2 2 10 2 22 3 4" xfId="7311" xr:uid="{00000000-0005-0000-0000-0000831C0000}"/>
    <cellStyle name="Normal 2 2 10 2 22 3 5" xfId="7312" xr:uid="{00000000-0005-0000-0000-0000841C0000}"/>
    <cellStyle name="Normal 2 2 10 2 22 3 6" xfId="7313" xr:uid="{00000000-0005-0000-0000-0000851C0000}"/>
    <cellStyle name="Normal 2 2 10 2 22 3 7" xfId="7314" xr:uid="{00000000-0005-0000-0000-0000861C0000}"/>
    <cellStyle name="Normal 2 2 10 2 22 3 8" xfId="7315" xr:uid="{00000000-0005-0000-0000-0000871C0000}"/>
    <cellStyle name="Normal 2 2 10 2 22 3 9" xfId="7316" xr:uid="{00000000-0005-0000-0000-0000881C0000}"/>
    <cellStyle name="Normal 2 2 10 2 22 4" xfId="7317" xr:uid="{00000000-0005-0000-0000-0000891C0000}"/>
    <cellStyle name="Normal 2 2 10 2 22 4 10" xfId="7318" xr:uid="{00000000-0005-0000-0000-00008A1C0000}"/>
    <cellStyle name="Normal 2 2 10 2 22 4 2" xfId="7319" xr:uid="{00000000-0005-0000-0000-00008B1C0000}"/>
    <cellStyle name="Normal 2 2 10 2 22 4 3" xfId="7320" xr:uid="{00000000-0005-0000-0000-00008C1C0000}"/>
    <cellStyle name="Normal 2 2 10 2 22 4 4" xfId="7321" xr:uid="{00000000-0005-0000-0000-00008D1C0000}"/>
    <cellStyle name="Normal 2 2 10 2 22 4 5" xfId="7322" xr:uid="{00000000-0005-0000-0000-00008E1C0000}"/>
    <cellStyle name="Normal 2 2 10 2 22 4 6" xfId="7323" xr:uid="{00000000-0005-0000-0000-00008F1C0000}"/>
    <cellStyle name="Normal 2 2 10 2 22 4 7" xfId="7324" xr:uid="{00000000-0005-0000-0000-0000901C0000}"/>
    <cellStyle name="Normal 2 2 10 2 22 4 8" xfId="7325" xr:uid="{00000000-0005-0000-0000-0000911C0000}"/>
    <cellStyle name="Normal 2 2 10 2 22 4 9" xfId="7326" xr:uid="{00000000-0005-0000-0000-0000921C0000}"/>
    <cellStyle name="Normal 2 2 10 2 22 5" xfId="7327" xr:uid="{00000000-0005-0000-0000-0000931C0000}"/>
    <cellStyle name="Normal 2 2 10 2 22 5 10" xfId="7328" xr:uid="{00000000-0005-0000-0000-0000941C0000}"/>
    <cellStyle name="Normal 2 2 10 2 22 5 2" xfId="7329" xr:uid="{00000000-0005-0000-0000-0000951C0000}"/>
    <cellStyle name="Normal 2 2 10 2 22 5 3" xfId="7330" xr:uid="{00000000-0005-0000-0000-0000961C0000}"/>
    <cellStyle name="Normal 2 2 10 2 22 5 4" xfId="7331" xr:uid="{00000000-0005-0000-0000-0000971C0000}"/>
    <cellStyle name="Normal 2 2 10 2 22 5 5" xfId="7332" xr:uid="{00000000-0005-0000-0000-0000981C0000}"/>
    <cellStyle name="Normal 2 2 10 2 22 5 6" xfId="7333" xr:uid="{00000000-0005-0000-0000-0000991C0000}"/>
    <cellStyle name="Normal 2 2 10 2 22 5 7" xfId="7334" xr:uid="{00000000-0005-0000-0000-00009A1C0000}"/>
    <cellStyle name="Normal 2 2 10 2 22 5 8" xfId="7335" xr:uid="{00000000-0005-0000-0000-00009B1C0000}"/>
    <cellStyle name="Normal 2 2 10 2 22 5 9" xfId="7336" xr:uid="{00000000-0005-0000-0000-00009C1C0000}"/>
    <cellStyle name="Normal 2 2 10 2 22 6" xfId="7337" xr:uid="{00000000-0005-0000-0000-00009D1C0000}"/>
    <cellStyle name="Normal 2 2 10 2 22 7" xfId="7338" xr:uid="{00000000-0005-0000-0000-00009E1C0000}"/>
    <cellStyle name="Normal 2 2 10 2 22 8" xfId="7339" xr:uid="{00000000-0005-0000-0000-00009F1C0000}"/>
    <cellStyle name="Normal 2 2 10 2 22 9" xfId="7340" xr:uid="{00000000-0005-0000-0000-0000A01C0000}"/>
    <cellStyle name="Normal 2 2 10 2 23" xfId="7341" xr:uid="{00000000-0005-0000-0000-0000A11C0000}"/>
    <cellStyle name="Normal 2 2 10 2 23 10" xfId="7342" xr:uid="{00000000-0005-0000-0000-0000A21C0000}"/>
    <cellStyle name="Normal 2 2 10 2 23 11" xfId="7343" xr:uid="{00000000-0005-0000-0000-0000A31C0000}"/>
    <cellStyle name="Normal 2 2 10 2 23 12" xfId="7344" xr:uid="{00000000-0005-0000-0000-0000A41C0000}"/>
    <cellStyle name="Normal 2 2 10 2 23 13" xfId="7345" xr:uid="{00000000-0005-0000-0000-0000A51C0000}"/>
    <cellStyle name="Normal 2 2 10 2 23 14" xfId="7346" xr:uid="{00000000-0005-0000-0000-0000A61C0000}"/>
    <cellStyle name="Normal 2 2 10 2 23 2" xfId="7347" xr:uid="{00000000-0005-0000-0000-0000A71C0000}"/>
    <cellStyle name="Normal 2 2 10 2 23 2 10" xfId="7348" xr:uid="{00000000-0005-0000-0000-0000A81C0000}"/>
    <cellStyle name="Normal 2 2 10 2 23 2 2" xfId="7349" xr:uid="{00000000-0005-0000-0000-0000A91C0000}"/>
    <cellStyle name="Normal 2 2 10 2 23 2 3" xfId="7350" xr:uid="{00000000-0005-0000-0000-0000AA1C0000}"/>
    <cellStyle name="Normal 2 2 10 2 23 2 4" xfId="7351" xr:uid="{00000000-0005-0000-0000-0000AB1C0000}"/>
    <cellStyle name="Normal 2 2 10 2 23 2 5" xfId="7352" xr:uid="{00000000-0005-0000-0000-0000AC1C0000}"/>
    <cellStyle name="Normal 2 2 10 2 23 2 6" xfId="7353" xr:uid="{00000000-0005-0000-0000-0000AD1C0000}"/>
    <cellStyle name="Normal 2 2 10 2 23 2 7" xfId="7354" xr:uid="{00000000-0005-0000-0000-0000AE1C0000}"/>
    <cellStyle name="Normal 2 2 10 2 23 2 8" xfId="7355" xr:uid="{00000000-0005-0000-0000-0000AF1C0000}"/>
    <cellStyle name="Normal 2 2 10 2 23 2 9" xfId="7356" xr:uid="{00000000-0005-0000-0000-0000B01C0000}"/>
    <cellStyle name="Normal 2 2 10 2 23 3" xfId="7357" xr:uid="{00000000-0005-0000-0000-0000B11C0000}"/>
    <cellStyle name="Normal 2 2 10 2 23 3 10" xfId="7358" xr:uid="{00000000-0005-0000-0000-0000B21C0000}"/>
    <cellStyle name="Normal 2 2 10 2 23 3 2" xfId="7359" xr:uid="{00000000-0005-0000-0000-0000B31C0000}"/>
    <cellStyle name="Normal 2 2 10 2 23 3 3" xfId="7360" xr:uid="{00000000-0005-0000-0000-0000B41C0000}"/>
    <cellStyle name="Normal 2 2 10 2 23 3 4" xfId="7361" xr:uid="{00000000-0005-0000-0000-0000B51C0000}"/>
    <cellStyle name="Normal 2 2 10 2 23 3 5" xfId="7362" xr:uid="{00000000-0005-0000-0000-0000B61C0000}"/>
    <cellStyle name="Normal 2 2 10 2 23 3 6" xfId="7363" xr:uid="{00000000-0005-0000-0000-0000B71C0000}"/>
    <cellStyle name="Normal 2 2 10 2 23 3 7" xfId="7364" xr:uid="{00000000-0005-0000-0000-0000B81C0000}"/>
    <cellStyle name="Normal 2 2 10 2 23 3 8" xfId="7365" xr:uid="{00000000-0005-0000-0000-0000B91C0000}"/>
    <cellStyle name="Normal 2 2 10 2 23 3 9" xfId="7366" xr:uid="{00000000-0005-0000-0000-0000BA1C0000}"/>
    <cellStyle name="Normal 2 2 10 2 23 4" xfId="7367" xr:uid="{00000000-0005-0000-0000-0000BB1C0000}"/>
    <cellStyle name="Normal 2 2 10 2 23 4 10" xfId="7368" xr:uid="{00000000-0005-0000-0000-0000BC1C0000}"/>
    <cellStyle name="Normal 2 2 10 2 23 4 2" xfId="7369" xr:uid="{00000000-0005-0000-0000-0000BD1C0000}"/>
    <cellStyle name="Normal 2 2 10 2 23 4 3" xfId="7370" xr:uid="{00000000-0005-0000-0000-0000BE1C0000}"/>
    <cellStyle name="Normal 2 2 10 2 23 4 4" xfId="7371" xr:uid="{00000000-0005-0000-0000-0000BF1C0000}"/>
    <cellStyle name="Normal 2 2 10 2 23 4 5" xfId="7372" xr:uid="{00000000-0005-0000-0000-0000C01C0000}"/>
    <cellStyle name="Normal 2 2 10 2 23 4 6" xfId="7373" xr:uid="{00000000-0005-0000-0000-0000C11C0000}"/>
    <cellStyle name="Normal 2 2 10 2 23 4 7" xfId="7374" xr:uid="{00000000-0005-0000-0000-0000C21C0000}"/>
    <cellStyle name="Normal 2 2 10 2 23 4 8" xfId="7375" xr:uid="{00000000-0005-0000-0000-0000C31C0000}"/>
    <cellStyle name="Normal 2 2 10 2 23 4 9" xfId="7376" xr:uid="{00000000-0005-0000-0000-0000C41C0000}"/>
    <cellStyle name="Normal 2 2 10 2 23 5" xfId="7377" xr:uid="{00000000-0005-0000-0000-0000C51C0000}"/>
    <cellStyle name="Normal 2 2 10 2 23 5 10" xfId="7378" xr:uid="{00000000-0005-0000-0000-0000C61C0000}"/>
    <cellStyle name="Normal 2 2 10 2 23 5 2" xfId="7379" xr:uid="{00000000-0005-0000-0000-0000C71C0000}"/>
    <cellStyle name="Normal 2 2 10 2 23 5 3" xfId="7380" xr:uid="{00000000-0005-0000-0000-0000C81C0000}"/>
    <cellStyle name="Normal 2 2 10 2 23 5 4" xfId="7381" xr:uid="{00000000-0005-0000-0000-0000C91C0000}"/>
    <cellStyle name="Normal 2 2 10 2 23 5 5" xfId="7382" xr:uid="{00000000-0005-0000-0000-0000CA1C0000}"/>
    <cellStyle name="Normal 2 2 10 2 23 5 6" xfId="7383" xr:uid="{00000000-0005-0000-0000-0000CB1C0000}"/>
    <cellStyle name="Normal 2 2 10 2 23 5 7" xfId="7384" xr:uid="{00000000-0005-0000-0000-0000CC1C0000}"/>
    <cellStyle name="Normal 2 2 10 2 23 5 8" xfId="7385" xr:uid="{00000000-0005-0000-0000-0000CD1C0000}"/>
    <cellStyle name="Normal 2 2 10 2 23 5 9" xfId="7386" xr:uid="{00000000-0005-0000-0000-0000CE1C0000}"/>
    <cellStyle name="Normal 2 2 10 2 23 6" xfId="7387" xr:uid="{00000000-0005-0000-0000-0000CF1C0000}"/>
    <cellStyle name="Normal 2 2 10 2 23 7" xfId="7388" xr:uid="{00000000-0005-0000-0000-0000D01C0000}"/>
    <cellStyle name="Normal 2 2 10 2 23 8" xfId="7389" xr:uid="{00000000-0005-0000-0000-0000D11C0000}"/>
    <cellStyle name="Normal 2 2 10 2 23 9" xfId="7390" xr:uid="{00000000-0005-0000-0000-0000D21C0000}"/>
    <cellStyle name="Normal 2 2 10 2 24" xfId="7391" xr:uid="{00000000-0005-0000-0000-0000D31C0000}"/>
    <cellStyle name="Normal 2 2 10 2 24 10" xfId="7392" xr:uid="{00000000-0005-0000-0000-0000D41C0000}"/>
    <cellStyle name="Normal 2 2 10 2 24 11" xfId="7393" xr:uid="{00000000-0005-0000-0000-0000D51C0000}"/>
    <cellStyle name="Normal 2 2 10 2 24 12" xfId="7394" xr:uid="{00000000-0005-0000-0000-0000D61C0000}"/>
    <cellStyle name="Normal 2 2 10 2 24 13" xfId="7395" xr:uid="{00000000-0005-0000-0000-0000D71C0000}"/>
    <cellStyle name="Normal 2 2 10 2 24 14" xfId="7396" xr:uid="{00000000-0005-0000-0000-0000D81C0000}"/>
    <cellStyle name="Normal 2 2 10 2 24 2" xfId="7397" xr:uid="{00000000-0005-0000-0000-0000D91C0000}"/>
    <cellStyle name="Normal 2 2 10 2 24 2 10" xfId="7398" xr:uid="{00000000-0005-0000-0000-0000DA1C0000}"/>
    <cellStyle name="Normal 2 2 10 2 24 2 2" xfId="7399" xr:uid="{00000000-0005-0000-0000-0000DB1C0000}"/>
    <cellStyle name="Normal 2 2 10 2 24 2 3" xfId="7400" xr:uid="{00000000-0005-0000-0000-0000DC1C0000}"/>
    <cellStyle name="Normal 2 2 10 2 24 2 4" xfId="7401" xr:uid="{00000000-0005-0000-0000-0000DD1C0000}"/>
    <cellStyle name="Normal 2 2 10 2 24 2 5" xfId="7402" xr:uid="{00000000-0005-0000-0000-0000DE1C0000}"/>
    <cellStyle name="Normal 2 2 10 2 24 2 6" xfId="7403" xr:uid="{00000000-0005-0000-0000-0000DF1C0000}"/>
    <cellStyle name="Normal 2 2 10 2 24 2 7" xfId="7404" xr:uid="{00000000-0005-0000-0000-0000E01C0000}"/>
    <cellStyle name="Normal 2 2 10 2 24 2 8" xfId="7405" xr:uid="{00000000-0005-0000-0000-0000E11C0000}"/>
    <cellStyle name="Normal 2 2 10 2 24 2 9" xfId="7406" xr:uid="{00000000-0005-0000-0000-0000E21C0000}"/>
    <cellStyle name="Normal 2 2 10 2 24 3" xfId="7407" xr:uid="{00000000-0005-0000-0000-0000E31C0000}"/>
    <cellStyle name="Normal 2 2 10 2 24 3 10" xfId="7408" xr:uid="{00000000-0005-0000-0000-0000E41C0000}"/>
    <cellStyle name="Normal 2 2 10 2 24 3 2" xfId="7409" xr:uid="{00000000-0005-0000-0000-0000E51C0000}"/>
    <cellStyle name="Normal 2 2 10 2 24 3 3" xfId="7410" xr:uid="{00000000-0005-0000-0000-0000E61C0000}"/>
    <cellStyle name="Normal 2 2 10 2 24 3 4" xfId="7411" xr:uid="{00000000-0005-0000-0000-0000E71C0000}"/>
    <cellStyle name="Normal 2 2 10 2 24 3 5" xfId="7412" xr:uid="{00000000-0005-0000-0000-0000E81C0000}"/>
    <cellStyle name="Normal 2 2 10 2 24 3 6" xfId="7413" xr:uid="{00000000-0005-0000-0000-0000E91C0000}"/>
    <cellStyle name="Normal 2 2 10 2 24 3 7" xfId="7414" xr:uid="{00000000-0005-0000-0000-0000EA1C0000}"/>
    <cellStyle name="Normal 2 2 10 2 24 3 8" xfId="7415" xr:uid="{00000000-0005-0000-0000-0000EB1C0000}"/>
    <cellStyle name="Normal 2 2 10 2 24 3 9" xfId="7416" xr:uid="{00000000-0005-0000-0000-0000EC1C0000}"/>
    <cellStyle name="Normal 2 2 10 2 24 4" xfId="7417" xr:uid="{00000000-0005-0000-0000-0000ED1C0000}"/>
    <cellStyle name="Normal 2 2 10 2 24 4 10" xfId="7418" xr:uid="{00000000-0005-0000-0000-0000EE1C0000}"/>
    <cellStyle name="Normal 2 2 10 2 24 4 2" xfId="7419" xr:uid="{00000000-0005-0000-0000-0000EF1C0000}"/>
    <cellStyle name="Normal 2 2 10 2 24 4 3" xfId="7420" xr:uid="{00000000-0005-0000-0000-0000F01C0000}"/>
    <cellStyle name="Normal 2 2 10 2 24 4 4" xfId="7421" xr:uid="{00000000-0005-0000-0000-0000F11C0000}"/>
    <cellStyle name="Normal 2 2 10 2 24 4 5" xfId="7422" xr:uid="{00000000-0005-0000-0000-0000F21C0000}"/>
    <cellStyle name="Normal 2 2 10 2 24 4 6" xfId="7423" xr:uid="{00000000-0005-0000-0000-0000F31C0000}"/>
    <cellStyle name="Normal 2 2 10 2 24 4 7" xfId="7424" xr:uid="{00000000-0005-0000-0000-0000F41C0000}"/>
    <cellStyle name="Normal 2 2 10 2 24 4 8" xfId="7425" xr:uid="{00000000-0005-0000-0000-0000F51C0000}"/>
    <cellStyle name="Normal 2 2 10 2 24 4 9" xfId="7426" xr:uid="{00000000-0005-0000-0000-0000F61C0000}"/>
    <cellStyle name="Normal 2 2 10 2 24 5" xfId="7427" xr:uid="{00000000-0005-0000-0000-0000F71C0000}"/>
    <cellStyle name="Normal 2 2 10 2 24 5 10" xfId="7428" xr:uid="{00000000-0005-0000-0000-0000F81C0000}"/>
    <cellStyle name="Normal 2 2 10 2 24 5 2" xfId="7429" xr:uid="{00000000-0005-0000-0000-0000F91C0000}"/>
    <cellStyle name="Normal 2 2 10 2 24 5 3" xfId="7430" xr:uid="{00000000-0005-0000-0000-0000FA1C0000}"/>
    <cellStyle name="Normal 2 2 10 2 24 5 4" xfId="7431" xr:uid="{00000000-0005-0000-0000-0000FB1C0000}"/>
    <cellStyle name="Normal 2 2 10 2 24 5 5" xfId="7432" xr:uid="{00000000-0005-0000-0000-0000FC1C0000}"/>
    <cellStyle name="Normal 2 2 10 2 24 5 6" xfId="7433" xr:uid="{00000000-0005-0000-0000-0000FD1C0000}"/>
    <cellStyle name="Normal 2 2 10 2 24 5 7" xfId="7434" xr:uid="{00000000-0005-0000-0000-0000FE1C0000}"/>
    <cellStyle name="Normal 2 2 10 2 24 5 8" xfId="7435" xr:uid="{00000000-0005-0000-0000-0000FF1C0000}"/>
    <cellStyle name="Normal 2 2 10 2 24 5 9" xfId="7436" xr:uid="{00000000-0005-0000-0000-0000001D0000}"/>
    <cellStyle name="Normal 2 2 10 2 24 6" xfId="7437" xr:uid="{00000000-0005-0000-0000-0000011D0000}"/>
    <cellStyle name="Normal 2 2 10 2 24 7" xfId="7438" xr:uid="{00000000-0005-0000-0000-0000021D0000}"/>
    <cellStyle name="Normal 2 2 10 2 24 8" xfId="7439" xr:uid="{00000000-0005-0000-0000-0000031D0000}"/>
    <cellStyle name="Normal 2 2 10 2 24 9" xfId="7440" xr:uid="{00000000-0005-0000-0000-0000041D0000}"/>
    <cellStyle name="Normal 2 2 10 2 25" xfId="7441" xr:uid="{00000000-0005-0000-0000-0000051D0000}"/>
    <cellStyle name="Normal 2 2 10 2 25 10" xfId="7442" xr:uid="{00000000-0005-0000-0000-0000061D0000}"/>
    <cellStyle name="Normal 2 2 10 2 25 11" xfId="7443" xr:uid="{00000000-0005-0000-0000-0000071D0000}"/>
    <cellStyle name="Normal 2 2 10 2 25 12" xfId="7444" xr:uid="{00000000-0005-0000-0000-0000081D0000}"/>
    <cellStyle name="Normal 2 2 10 2 25 13" xfId="7445" xr:uid="{00000000-0005-0000-0000-0000091D0000}"/>
    <cellStyle name="Normal 2 2 10 2 25 14" xfId="7446" xr:uid="{00000000-0005-0000-0000-00000A1D0000}"/>
    <cellStyle name="Normal 2 2 10 2 25 2" xfId="7447" xr:uid="{00000000-0005-0000-0000-00000B1D0000}"/>
    <cellStyle name="Normal 2 2 10 2 25 2 10" xfId="7448" xr:uid="{00000000-0005-0000-0000-00000C1D0000}"/>
    <cellStyle name="Normal 2 2 10 2 25 2 2" xfId="7449" xr:uid="{00000000-0005-0000-0000-00000D1D0000}"/>
    <cellStyle name="Normal 2 2 10 2 25 2 3" xfId="7450" xr:uid="{00000000-0005-0000-0000-00000E1D0000}"/>
    <cellStyle name="Normal 2 2 10 2 25 2 4" xfId="7451" xr:uid="{00000000-0005-0000-0000-00000F1D0000}"/>
    <cellStyle name="Normal 2 2 10 2 25 2 5" xfId="7452" xr:uid="{00000000-0005-0000-0000-0000101D0000}"/>
    <cellStyle name="Normal 2 2 10 2 25 2 6" xfId="7453" xr:uid="{00000000-0005-0000-0000-0000111D0000}"/>
    <cellStyle name="Normal 2 2 10 2 25 2 7" xfId="7454" xr:uid="{00000000-0005-0000-0000-0000121D0000}"/>
    <cellStyle name="Normal 2 2 10 2 25 2 8" xfId="7455" xr:uid="{00000000-0005-0000-0000-0000131D0000}"/>
    <cellStyle name="Normal 2 2 10 2 25 2 9" xfId="7456" xr:uid="{00000000-0005-0000-0000-0000141D0000}"/>
    <cellStyle name="Normal 2 2 10 2 25 3" xfId="7457" xr:uid="{00000000-0005-0000-0000-0000151D0000}"/>
    <cellStyle name="Normal 2 2 10 2 25 3 10" xfId="7458" xr:uid="{00000000-0005-0000-0000-0000161D0000}"/>
    <cellStyle name="Normal 2 2 10 2 25 3 2" xfId="7459" xr:uid="{00000000-0005-0000-0000-0000171D0000}"/>
    <cellStyle name="Normal 2 2 10 2 25 3 3" xfId="7460" xr:uid="{00000000-0005-0000-0000-0000181D0000}"/>
    <cellStyle name="Normal 2 2 10 2 25 3 4" xfId="7461" xr:uid="{00000000-0005-0000-0000-0000191D0000}"/>
    <cellStyle name="Normal 2 2 10 2 25 3 5" xfId="7462" xr:uid="{00000000-0005-0000-0000-00001A1D0000}"/>
    <cellStyle name="Normal 2 2 10 2 25 3 6" xfId="7463" xr:uid="{00000000-0005-0000-0000-00001B1D0000}"/>
    <cellStyle name="Normal 2 2 10 2 25 3 7" xfId="7464" xr:uid="{00000000-0005-0000-0000-00001C1D0000}"/>
    <cellStyle name="Normal 2 2 10 2 25 3 8" xfId="7465" xr:uid="{00000000-0005-0000-0000-00001D1D0000}"/>
    <cellStyle name="Normal 2 2 10 2 25 3 9" xfId="7466" xr:uid="{00000000-0005-0000-0000-00001E1D0000}"/>
    <cellStyle name="Normal 2 2 10 2 25 4" xfId="7467" xr:uid="{00000000-0005-0000-0000-00001F1D0000}"/>
    <cellStyle name="Normal 2 2 10 2 25 4 10" xfId="7468" xr:uid="{00000000-0005-0000-0000-0000201D0000}"/>
    <cellStyle name="Normal 2 2 10 2 25 4 2" xfId="7469" xr:uid="{00000000-0005-0000-0000-0000211D0000}"/>
    <cellStyle name="Normal 2 2 10 2 25 4 3" xfId="7470" xr:uid="{00000000-0005-0000-0000-0000221D0000}"/>
    <cellStyle name="Normal 2 2 10 2 25 4 4" xfId="7471" xr:uid="{00000000-0005-0000-0000-0000231D0000}"/>
    <cellStyle name="Normal 2 2 10 2 25 4 5" xfId="7472" xr:uid="{00000000-0005-0000-0000-0000241D0000}"/>
    <cellStyle name="Normal 2 2 10 2 25 4 6" xfId="7473" xr:uid="{00000000-0005-0000-0000-0000251D0000}"/>
    <cellStyle name="Normal 2 2 10 2 25 4 7" xfId="7474" xr:uid="{00000000-0005-0000-0000-0000261D0000}"/>
    <cellStyle name="Normal 2 2 10 2 25 4 8" xfId="7475" xr:uid="{00000000-0005-0000-0000-0000271D0000}"/>
    <cellStyle name="Normal 2 2 10 2 25 4 9" xfId="7476" xr:uid="{00000000-0005-0000-0000-0000281D0000}"/>
    <cellStyle name="Normal 2 2 10 2 25 5" xfId="7477" xr:uid="{00000000-0005-0000-0000-0000291D0000}"/>
    <cellStyle name="Normal 2 2 10 2 25 5 10" xfId="7478" xr:uid="{00000000-0005-0000-0000-00002A1D0000}"/>
    <cellStyle name="Normal 2 2 10 2 25 5 2" xfId="7479" xr:uid="{00000000-0005-0000-0000-00002B1D0000}"/>
    <cellStyle name="Normal 2 2 10 2 25 5 3" xfId="7480" xr:uid="{00000000-0005-0000-0000-00002C1D0000}"/>
    <cellStyle name="Normal 2 2 10 2 25 5 4" xfId="7481" xr:uid="{00000000-0005-0000-0000-00002D1D0000}"/>
    <cellStyle name="Normal 2 2 10 2 25 5 5" xfId="7482" xr:uid="{00000000-0005-0000-0000-00002E1D0000}"/>
    <cellStyle name="Normal 2 2 10 2 25 5 6" xfId="7483" xr:uid="{00000000-0005-0000-0000-00002F1D0000}"/>
    <cellStyle name="Normal 2 2 10 2 25 5 7" xfId="7484" xr:uid="{00000000-0005-0000-0000-0000301D0000}"/>
    <cellStyle name="Normal 2 2 10 2 25 5 8" xfId="7485" xr:uid="{00000000-0005-0000-0000-0000311D0000}"/>
    <cellStyle name="Normal 2 2 10 2 25 5 9" xfId="7486" xr:uid="{00000000-0005-0000-0000-0000321D0000}"/>
    <cellStyle name="Normal 2 2 10 2 25 6" xfId="7487" xr:uid="{00000000-0005-0000-0000-0000331D0000}"/>
    <cellStyle name="Normal 2 2 10 2 25 7" xfId="7488" xr:uid="{00000000-0005-0000-0000-0000341D0000}"/>
    <cellStyle name="Normal 2 2 10 2 25 8" xfId="7489" xr:uid="{00000000-0005-0000-0000-0000351D0000}"/>
    <cellStyle name="Normal 2 2 10 2 25 9" xfId="7490" xr:uid="{00000000-0005-0000-0000-0000361D0000}"/>
    <cellStyle name="Normal 2 2 10 2 26" xfId="7491" xr:uid="{00000000-0005-0000-0000-0000371D0000}"/>
    <cellStyle name="Normal 2 2 10 2 26 10" xfId="7492" xr:uid="{00000000-0005-0000-0000-0000381D0000}"/>
    <cellStyle name="Normal 2 2 10 2 26 11" xfId="7493" xr:uid="{00000000-0005-0000-0000-0000391D0000}"/>
    <cellStyle name="Normal 2 2 10 2 26 12" xfId="7494" xr:uid="{00000000-0005-0000-0000-00003A1D0000}"/>
    <cellStyle name="Normal 2 2 10 2 26 13" xfId="7495" xr:uid="{00000000-0005-0000-0000-00003B1D0000}"/>
    <cellStyle name="Normal 2 2 10 2 26 14" xfId="7496" xr:uid="{00000000-0005-0000-0000-00003C1D0000}"/>
    <cellStyle name="Normal 2 2 10 2 26 2" xfId="7497" xr:uid="{00000000-0005-0000-0000-00003D1D0000}"/>
    <cellStyle name="Normal 2 2 10 2 26 2 10" xfId="7498" xr:uid="{00000000-0005-0000-0000-00003E1D0000}"/>
    <cellStyle name="Normal 2 2 10 2 26 2 2" xfId="7499" xr:uid="{00000000-0005-0000-0000-00003F1D0000}"/>
    <cellStyle name="Normal 2 2 10 2 26 2 3" xfId="7500" xr:uid="{00000000-0005-0000-0000-0000401D0000}"/>
    <cellStyle name="Normal 2 2 10 2 26 2 4" xfId="7501" xr:uid="{00000000-0005-0000-0000-0000411D0000}"/>
    <cellStyle name="Normal 2 2 10 2 26 2 5" xfId="7502" xr:uid="{00000000-0005-0000-0000-0000421D0000}"/>
    <cellStyle name="Normal 2 2 10 2 26 2 6" xfId="7503" xr:uid="{00000000-0005-0000-0000-0000431D0000}"/>
    <cellStyle name="Normal 2 2 10 2 26 2 7" xfId="7504" xr:uid="{00000000-0005-0000-0000-0000441D0000}"/>
    <cellStyle name="Normal 2 2 10 2 26 2 8" xfId="7505" xr:uid="{00000000-0005-0000-0000-0000451D0000}"/>
    <cellStyle name="Normal 2 2 10 2 26 2 9" xfId="7506" xr:uid="{00000000-0005-0000-0000-0000461D0000}"/>
    <cellStyle name="Normal 2 2 10 2 26 3" xfId="7507" xr:uid="{00000000-0005-0000-0000-0000471D0000}"/>
    <cellStyle name="Normal 2 2 10 2 26 3 10" xfId="7508" xr:uid="{00000000-0005-0000-0000-0000481D0000}"/>
    <cellStyle name="Normal 2 2 10 2 26 3 2" xfId="7509" xr:uid="{00000000-0005-0000-0000-0000491D0000}"/>
    <cellStyle name="Normal 2 2 10 2 26 3 3" xfId="7510" xr:uid="{00000000-0005-0000-0000-00004A1D0000}"/>
    <cellStyle name="Normal 2 2 10 2 26 3 4" xfId="7511" xr:uid="{00000000-0005-0000-0000-00004B1D0000}"/>
    <cellStyle name="Normal 2 2 10 2 26 3 5" xfId="7512" xr:uid="{00000000-0005-0000-0000-00004C1D0000}"/>
    <cellStyle name="Normal 2 2 10 2 26 3 6" xfId="7513" xr:uid="{00000000-0005-0000-0000-00004D1D0000}"/>
    <cellStyle name="Normal 2 2 10 2 26 3 7" xfId="7514" xr:uid="{00000000-0005-0000-0000-00004E1D0000}"/>
    <cellStyle name="Normal 2 2 10 2 26 3 8" xfId="7515" xr:uid="{00000000-0005-0000-0000-00004F1D0000}"/>
    <cellStyle name="Normal 2 2 10 2 26 3 9" xfId="7516" xr:uid="{00000000-0005-0000-0000-0000501D0000}"/>
    <cellStyle name="Normal 2 2 10 2 26 4" xfId="7517" xr:uid="{00000000-0005-0000-0000-0000511D0000}"/>
    <cellStyle name="Normal 2 2 10 2 26 4 10" xfId="7518" xr:uid="{00000000-0005-0000-0000-0000521D0000}"/>
    <cellStyle name="Normal 2 2 10 2 26 4 2" xfId="7519" xr:uid="{00000000-0005-0000-0000-0000531D0000}"/>
    <cellStyle name="Normal 2 2 10 2 26 4 3" xfId="7520" xr:uid="{00000000-0005-0000-0000-0000541D0000}"/>
    <cellStyle name="Normal 2 2 10 2 26 4 4" xfId="7521" xr:uid="{00000000-0005-0000-0000-0000551D0000}"/>
    <cellStyle name="Normal 2 2 10 2 26 4 5" xfId="7522" xr:uid="{00000000-0005-0000-0000-0000561D0000}"/>
    <cellStyle name="Normal 2 2 10 2 26 4 6" xfId="7523" xr:uid="{00000000-0005-0000-0000-0000571D0000}"/>
    <cellStyle name="Normal 2 2 10 2 26 4 7" xfId="7524" xr:uid="{00000000-0005-0000-0000-0000581D0000}"/>
    <cellStyle name="Normal 2 2 10 2 26 4 8" xfId="7525" xr:uid="{00000000-0005-0000-0000-0000591D0000}"/>
    <cellStyle name="Normal 2 2 10 2 26 4 9" xfId="7526" xr:uid="{00000000-0005-0000-0000-00005A1D0000}"/>
    <cellStyle name="Normal 2 2 10 2 26 5" xfId="7527" xr:uid="{00000000-0005-0000-0000-00005B1D0000}"/>
    <cellStyle name="Normal 2 2 10 2 26 5 10" xfId="7528" xr:uid="{00000000-0005-0000-0000-00005C1D0000}"/>
    <cellStyle name="Normal 2 2 10 2 26 5 2" xfId="7529" xr:uid="{00000000-0005-0000-0000-00005D1D0000}"/>
    <cellStyle name="Normal 2 2 10 2 26 5 3" xfId="7530" xr:uid="{00000000-0005-0000-0000-00005E1D0000}"/>
    <cellStyle name="Normal 2 2 10 2 26 5 4" xfId="7531" xr:uid="{00000000-0005-0000-0000-00005F1D0000}"/>
    <cellStyle name="Normal 2 2 10 2 26 5 5" xfId="7532" xr:uid="{00000000-0005-0000-0000-0000601D0000}"/>
    <cellStyle name="Normal 2 2 10 2 26 5 6" xfId="7533" xr:uid="{00000000-0005-0000-0000-0000611D0000}"/>
    <cellStyle name="Normal 2 2 10 2 26 5 7" xfId="7534" xr:uid="{00000000-0005-0000-0000-0000621D0000}"/>
    <cellStyle name="Normal 2 2 10 2 26 5 8" xfId="7535" xr:uid="{00000000-0005-0000-0000-0000631D0000}"/>
    <cellStyle name="Normal 2 2 10 2 26 5 9" xfId="7536" xr:uid="{00000000-0005-0000-0000-0000641D0000}"/>
    <cellStyle name="Normal 2 2 10 2 26 6" xfId="7537" xr:uid="{00000000-0005-0000-0000-0000651D0000}"/>
    <cellStyle name="Normal 2 2 10 2 26 7" xfId="7538" xr:uid="{00000000-0005-0000-0000-0000661D0000}"/>
    <cellStyle name="Normal 2 2 10 2 26 8" xfId="7539" xr:uid="{00000000-0005-0000-0000-0000671D0000}"/>
    <cellStyle name="Normal 2 2 10 2 26 9" xfId="7540" xr:uid="{00000000-0005-0000-0000-0000681D0000}"/>
    <cellStyle name="Normal 2 2 10 2 27" xfId="7541" xr:uid="{00000000-0005-0000-0000-0000691D0000}"/>
    <cellStyle name="Normal 2 2 10 2 27 10" xfId="7542" xr:uid="{00000000-0005-0000-0000-00006A1D0000}"/>
    <cellStyle name="Normal 2 2 10 2 27 11" xfId="7543" xr:uid="{00000000-0005-0000-0000-00006B1D0000}"/>
    <cellStyle name="Normal 2 2 10 2 27 12" xfId="7544" xr:uid="{00000000-0005-0000-0000-00006C1D0000}"/>
    <cellStyle name="Normal 2 2 10 2 27 13" xfId="7545" xr:uid="{00000000-0005-0000-0000-00006D1D0000}"/>
    <cellStyle name="Normal 2 2 10 2 27 14" xfId="7546" xr:uid="{00000000-0005-0000-0000-00006E1D0000}"/>
    <cellStyle name="Normal 2 2 10 2 27 2" xfId="7547" xr:uid="{00000000-0005-0000-0000-00006F1D0000}"/>
    <cellStyle name="Normal 2 2 10 2 27 2 10" xfId="7548" xr:uid="{00000000-0005-0000-0000-0000701D0000}"/>
    <cellStyle name="Normal 2 2 10 2 27 2 2" xfId="7549" xr:uid="{00000000-0005-0000-0000-0000711D0000}"/>
    <cellStyle name="Normal 2 2 10 2 27 2 3" xfId="7550" xr:uid="{00000000-0005-0000-0000-0000721D0000}"/>
    <cellStyle name="Normal 2 2 10 2 27 2 4" xfId="7551" xr:uid="{00000000-0005-0000-0000-0000731D0000}"/>
    <cellStyle name="Normal 2 2 10 2 27 2 5" xfId="7552" xr:uid="{00000000-0005-0000-0000-0000741D0000}"/>
    <cellStyle name="Normal 2 2 10 2 27 2 6" xfId="7553" xr:uid="{00000000-0005-0000-0000-0000751D0000}"/>
    <cellStyle name="Normal 2 2 10 2 27 2 7" xfId="7554" xr:uid="{00000000-0005-0000-0000-0000761D0000}"/>
    <cellStyle name="Normal 2 2 10 2 27 2 8" xfId="7555" xr:uid="{00000000-0005-0000-0000-0000771D0000}"/>
    <cellStyle name="Normal 2 2 10 2 27 2 9" xfId="7556" xr:uid="{00000000-0005-0000-0000-0000781D0000}"/>
    <cellStyle name="Normal 2 2 10 2 27 3" xfId="7557" xr:uid="{00000000-0005-0000-0000-0000791D0000}"/>
    <cellStyle name="Normal 2 2 10 2 27 3 10" xfId="7558" xr:uid="{00000000-0005-0000-0000-00007A1D0000}"/>
    <cellStyle name="Normal 2 2 10 2 27 3 2" xfId="7559" xr:uid="{00000000-0005-0000-0000-00007B1D0000}"/>
    <cellStyle name="Normal 2 2 10 2 27 3 3" xfId="7560" xr:uid="{00000000-0005-0000-0000-00007C1D0000}"/>
    <cellStyle name="Normal 2 2 10 2 27 3 4" xfId="7561" xr:uid="{00000000-0005-0000-0000-00007D1D0000}"/>
    <cellStyle name="Normal 2 2 10 2 27 3 5" xfId="7562" xr:uid="{00000000-0005-0000-0000-00007E1D0000}"/>
    <cellStyle name="Normal 2 2 10 2 27 3 6" xfId="7563" xr:uid="{00000000-0005-0000-0000-00007F1D0000}"/>
    <cellStyle name="Normal 2 2 10 2 27 3 7" xfId="7564" xr:uid="{00000000-0005-0000-0000-0000801D0000}"/>
    <cellStyle name="Normal 2 2 10 2 27 3 8" xfId="7565" xr:uid="{00000000-0005-0000-0000-0000811D0000}"/>
    <cellStyle name="Normal 2 2 10 2 27 3 9" xfId="7566" xr:uid="{00000000-0005-0000-0000-0000821D0000}"/>
    <cellStyle name="Normal 2 2 10 2 27 4" xfId="7567" xr:uid="{00000000-0005-0000-0000-0000831D0000}"/>
    <cellStyle name="Normal 2 2 10 2 27 4 10" xfId="7568" xr:uid="{00000000-0005-0000-0000-0000841D0000}"/>
    <cellStyle name="Normal 2 2 10 2 27 4 2" xfId="7569" xr:uid="{00000000-0005-0000-0000-0000851D0000}"/>
    <cellStyle name="Normal 2 2 10 2 27 4 3" xfId="7570" xr:uid="{00000000-0005-0000-0000-0000861D0000}"/>
    <cellStyle name="Normal 2 2 10 2 27 4 4" xfId="7571" xr:uid="{00000000-0005-0000-0000-0000871D0000}"/>
    <cellStyle name="Normal 2 2 10 2 27 4 5" xfId="7572" xr:uid="{00000000-0005-0000-0000-0000881D0000}"/>
    <cellStyle name="Normal 2 2 10 2 27 4 6" xfId="7573" xr:uid="{00000000-0005-0000-0000-0000891D0000}"/>
    <cellStyle name="Normal 2 2 10 2 27 4 7" xfId="7574" xr:uid="{00000000-0005-0000-0000-00008A1D0000}"/>
    <cellStyle name="Normal 2 2 10 2 27 4 8" xfId="7575" xr:uid="{00000000-0005-0000-0000-00008B1D0000}"/>
    <cellStyle name="Normal 2 2 10 2 27 4 9" xfId="7576" xr:uid="{00000000-0005-0000-0000-00008C1D0000}"/>
    <cellStyle name="Normal 2 2 10 2 27 5" xfId="7577" xr:uid="{00000000-0005-0000-0000-00008D1D0000}"/>
    <cellStyle name="Normal 2 2 10 2 27 5 10" xfId="7578" xr:uid="{00000000-0005-0000-0000-00008E1D0000}"/>
    <cellStyle name="Normal 2 2 10 2 27 5 2" xfId="7579" xr:uid="{00000000-0005-0000-0000-00008F1D0000}"/>
    <cellStyle name="Normal 2 2 10 2 27 5 3" xfId="7580" xr:uid="{00000000-0005-0000-0000-0000901D0000}"/>
    <cellStyle name="Normal 2 2 10 2 27 5 4" xfId="7581" xr:uid="{00000000-0005-0000-0000-0000911D0000}"/>
    <cellStyle name="Normal 2 2 10 2 27 5 5" xfId="7582" xr:uid="{00000000-0005-0000-0000-0000921D0000}"/>
    <cellStyle name="Normal 2 2 10 2 27 5 6" xfId="7583" xr:uid="{00000000-0005-0000-0000-0000931D0000}"/>
    <cellStyle name="Normal 2 2 10 2 27 5 7" xfId="7584" xr:uid="{00000000-0005-0000-0000-0000941D0000}"/>
    <cellStyle name="Normal 2 2 10 2 27 5 8" xfId="7585" xr:uid="{00000000-0005-0000-0000-0000951D0000}"/>
    <cellStyle name="Normal 2 2 10 2 27 5 9" xfId="7586" xr:uid="{00000000-0005-0000-0000-0000961D0000}"/>
    <cellStyle name="Normal 2 2 10 2 27 6" xfId="7587" xr:uid="{00000000-0005-0000-0000-0000971D0000}"/>
    <cellStyle name="Normal 2 2 10 2 27 7" xfId="7588" xr:uid="{00000000-0005-0000-0000-0000981D0000}"/>
    <cellStyle name="Normal 2 2 10 2 27 8" xfId="7589" xr:uid="{00000000-0005-0000-0000-0000991D0000}"/>
    <cellStyle name="Normal 2 2 10 2 27 9" xfId="7590" xr:uid="{00000000-0005-0000-0000-00009A1D0000}"/>
    <cellStyle name="Normal 2 2 10 2 28" xfId="7591" xr:uid="{00000000-0005-0000-0000-00009B1D0000}"/>
    <cellStyle name="Normal 2 2 10 2 28 10" xfId="7592" xr:uid="{00000000-0005-0000-0000-00009C1D0000}"/>
    <cellStyle name="Normal 2 2 10 2 28 11" xfId="7593" xr:uid="{00000000-0005-0000-0000-00009D1D0000}"/>
    <cellStyle name="Normal 2 2 10 2 28 12" xfId="7594" xr:uid="{00000000-0005-0000-0000-00009E1D0000}"/>
    <cellStyle name="Normal 2 2 10 2 28 13" xfId="7595" xr:uid="{00000000-0005-0000-0000-00009F1D0000}"/>
    <cellStyle name="Normal 2 2 10 2 28 14" xfId="7596" xr:uid="{00000000-0005-0000-0000-0000A01D0000}"/>
    <cellStyle name="Normal 2 2 10 2 28 2" xfId="7597" xr:uid="{00000000-0005-0000-0000-0000A11D0000}"/>
    <cellStyle name="Normal 2 2 10 2 28 2 10" xfId="7598" xr:uid="{00000000-0005-0000-0000-0000A21D0000}"/>
    <cellStyle name="Normal 2 2 10 2 28 2 2" xfId="7599" xr:uid="{00000000-0005-0000-0000-0000A31D0000}"/>
    <cellStyle name="Normal 2 2 10 2 28 2 3" xfId="7600" xr:uid="{00000000-0005-0000-0000-0000A41D0000}"/>
    <cellStyle name="Normal 2 2 10 2 28 2 4" xfId="7601" xr:uid="{00000000-0005-0000-0000-0000A51D0000}"/>
    <cellStyle name="Normal 2 2 10 2 28 2 5" xfId="7602" xr:uid="{00000000-0005-0000-0000-0000A61D0000}"/>
    <cellStyle name="Normal 2 2 10 2 28 2 6" xfId="7603" xr:uid="{00000000-0005-0000-0000-0000A71D0000}"/>
    <cellStyle name="Normal 2 2 10 2 28 2 7" xfId="7604" xr:uid="{00000000-0005-0000-0000-0000A81D0000}"/>
    <cellStyle name="Normal 2 2 10 2 28 2 8" xfId="7605" xr:uid="{00000000-0005-0000-0000-0000A91D0000}"/>
    <cellStyle name="Normal 2 2 10 2 28 2 9" xfId="7606" xr:uid="{00000000-0005-0000-0000-0000AA1D0000}"/>
    <cellStyle name="Normal 2 2 10 2 28 3" xfId="7607" xr:uid="{00000000-0005-0000-0000-0000AB1D0000}"/>
    <cellStyle name="Normal 2 2 10 2 28 3 10" xfId="7608" xr:uid="{00000000-0005-0000-0000-0000AC1D0000}"/>
    <cellStyle name="Normal 2 2 10 2 28 3 2" xfId="7609" xr:uid="{00000000-0005-0000-0000-0000AD1D0000}"/>
    <cellStyle name="Normal 2 2 10 2 28 3 3" xfId="7610" xr:uid="{00000000-0005-0000-0000-0000AE1D0000}"/>
    <cellStyle name="Normal 2 2 10 2 28 3 4" xfId="7611" xr:uid="{00000000-0005-0000-0000-0000AF1D0000}"/>
    <cellStyle name="Normal 2 2 10 2 28 3 5" xfId="7612" xr:uid="{00000000-0005-0000-0000-0000B01D0000}"/>
    <cellStyle name="Normal 2 2 10 2 28 3 6" xfId="7613" xr:uid="{00000000-0005-0000-0000-0000B11D0000}"/>
    <cellStyle name="Normal 2 2 10 2 28 3 7" xfId="7614" xr:uid="{00000000-0005-0000-0000-0000B21D0000}"/>
    <cellStyle name="Normal 2 2 10 2 28 3 8" xfId="7615" xr:uid="{00000000-0005-0000-0000-0000B31D0000}"/>
    <cellStyle name="Normal 2 2 10 2 28 3 9" xfId="7616" xr:uid="{00000000-0005-0000-0000-0000B41D0000}"/>
    <cellStyle name="Normal 2 2 10 2 28 4" xfId="7617" xr:uid="{00000000-0005-0000-0000-0000B51D0000}"/>
    <cellStyle name="Normal 2 2 10 2 28 4 10" xfId="7618" xr:uid="{00000000-0005-0000-0000-0000B61D0000}"/>
    <cellStyle name="Normal 2 2 10 2 28 4 2" xfId="7619" xr:uid="{00000000-0005-0000-0000-0000B71D0000}"/>
    <cellStyle name="Normal 2 2 10 2 28 4 3" xfId="7620" xr:uid="{00000000-0005-0000-0000-0000B81D0000}"/>
    <cellStyle name="Normal 2 2 10 2 28 4 4" xfId="7621" xr:uid="{00000000-0005-0000-0000-0000B91D0000}"/>
    <cellStyle name="Normal 2 2 10 2 28 4 5" xfId="7622" xr:uid="{00000000-0005-0000-0000-0000BA1D0000}"/>
    <cellStyle name="Normal 2 2 10 2 28 4 6" xfId="7623" xr:uid="{00000000-0005-0000-0000-0000BB1D0000}"/>
    <cellStyle name="Normal 2 2 10 2 28 4 7" xfId="7624" xr:uid="{00000000-0005-0000-0000-0000BC1D0000}"/>
    <cellStyle name="Normal 2 2 10 2 28 4 8" xfId="7625" xr:uid="{00000000-0005-0000-0000-0000BD1D0000}"/>
    <cellStyle name="Normal 2 2 10 2 28 4 9" xfId="7626" xr:uid="{00000000-0005-0000-0000-0000BE1D0000}"/>
    <cellStyle name="Normal 2 2 10 2 28 5" xfId="7627" xr:uid="{00000000-0005-0000-0000-0000BF1D0000}"/>
    <cellStyle name="Normal 2 2 10 2 28 5 10" xfId="7628" xr:uid="{00000000-0005-0000-0000-0000C01D0000}"/>
    <cellStyle name="Normal 2 2 10 2 28 5 2" xfId="7629" xr:uid="{00000000-0005-0000-0000-0000C11D0000}"/>
    <cellStyle name="Normal 2 2 10 2 28 5 3" xfId="7630" xr:uid="{00000000-0005-0000-0000-0000C21D0000}"/>
    <cellStyle name="Normal 2 2 10 2 28 5 4" xfId="7631" xr:uid="{00000000-0005-0000-0000-0000C31D0000}"/>
    <cellStyle name="Normal 2 2 10 2 28 5 5" xfId="7632" xr:uid="{00000000-0005-0000-0000-0000C41D0000}"/>
    <cellStyle name="Normal 2 2 10 2 28 5 6" xfId="7633" xr:uid="{00000000-0005-0000-0000-0000C51D0000}"/>
    <cellStyle name="Normal 2 2 10 2 28 5 7" xfId="7634" xr:uid="{00000000-0005-0000-0000-0000C61D0000}"/>
    <cellStyle name="Normal 2 2 10 2 28 5 8" xfId="7635" xr:uid="{00000000-0005-0000-0000-0000C71D0000}"/>
    <cellStyle name="Normal 2 2 10 2 28 5 9" xfId="7636" xr:uid="{00000000-0005-0000-0000-0000C81D0000}"/>
    <cellStyle name="Normal 2 2 10 2 28 6" xfId="7637" xr:uid="{00000000-0005-0000-0000-0000C91D0000}"/>
    <cellStyle name="Normal 2 2 10 2 28 7" xfId="7638" xr:uid="{00000000-0005-0000-0000-0000CA1D0000}"/>
    <cellStyle name="Normal 2 2 10 2 28 8" xfId="7639" xr:uid="{00000000-0005-0000-0000-0000CB1D0000}"/>
    <cellStyle name="Normal 2 2 10 2 28 9" xfId="7640" xr:uid="{00000000-0005-0000-0000-0000CC1D0000}"/>
    <cellStyle name="Normal 2 2 10 2 29" xfId="7641" xr:uid="{00000000-0005-0000-0000-0000CD1D0000}"/>
    <cellStyle name="Normal 2 2 10 2 29 10" xfId="7642" xr:uid="{00000000-0005-0000-0000-0000CE1D0000}"/>
    <cellStyle name="Normal 2 2 10 2 29 11" xfId="7643" xr:uid="{00000000-0005-0000-0000-0000CF1D0000}"/>
    <cellStyle name="Normal 2 2 10 2 29 12" xfId="7644" xr:uid="{00000000-0005-0000-0000-0000D01D0000}"/>
    <cellStyle name="Normal 2 2 10 2 29 13" xfId="7645" xr:uid="{00000000-0005-0000-0000-0000D11D0000}"/>
    <cellStyle name="Normal 2 2 10 2 29 14" xfId="7646" xr:uid="{00000000-0005-0000-0000-0000D21D0000}"/>
    <cellStyle name="Normal 2 2 10 2 29 2" xfId="7647" xr:uid="{00000000-0005-0000-0000-0000D31D0000}"/>
    <cellStyle name="Normal 2 2 10 2 29 2 10" xfId="7648" xr:uid="{00000000-0005-0000-0000-0000D41D0000}"/>
    <cellStyle name="Normal 2 2 10 2 29 2 2" xfId="7649" xr:uid="{00000000-0005-0000-0000-0000D51D0000}"/>
    <cellStyle name="Normal 2 2 10 2 29 2 3" xfId="7650" xr:uid="{00000000-0005-0000-0000-0000D61D0000}"/>
    <cellStyle name="Normal 2 2 10 2 29 2 4" xfId="7651" xr:uid="{00000000-0005-0000-0000-0000D71D0000}"/>
    <cellStyle name="Normal 2 2 10 2 29 2 5" xfId="7652" xr:uid="{00000000-0005-0000-0000-0000D81D0000}"/>
    <cellStyle name="Normal 2 2 10 2 29 2 6" xfId="7653" xr:uid="{00000000-0005-0000-0000-0000D91D0000}"/>
    <cellStyle name="Normal 2 2 10 2 29 2 7" xfId="7654" xr:uid="{00000000-0005-0000-0000-0000DA1D0000}"/>
    <cellStyle name="Normal 2 2 10 2 29 2 8" xfId="7655" xr:uid="{00000000-0005-0000-0000-0000DB1D0000}"/>
    <cellStyle name="Normal 2 2 10 2 29 2 9" xfId="7656" xr:uid="{00000000-0005-0000-0000-0000DC1D0000}"/>
    <cellStyle name="Normal 2 2 10 2 29 3" xfId="7657" xr:uid="{00000000-0005-0000-0000-0000DD1D0000}"/>
    <cellStyle name="Normal 2 2 10 2 29 3 10" xfId="7658" xr:uid="{00000000-0005-0000-0000-0000DE1D0000}"/>
    <cellStyle name="Normal 2 2 10 2 29 3 2" xfId="7659" xr:uid="{00000000-0005-0000-0000-0000DF1D0000}"/>
    <cellStyle name="Normal 2 2 10 2 29 3 3" xfId="7660" xr:uid="{00000000-0005-0000-0000-0000E01D0000}"/>
    <cellStyle name="Normal 2 2 10 2 29 3 4" xfId="7661" xr:uid="{00000000-0005-0000-0000-0000E11D0000}"/>
    <cellStyle name="Normal 2 2 10 2 29 3 5" xfId="7662" xr:uid="{00000000-0005-0000-0000-0000E21D0000}"/>
    <cellStyle name="Normal 2 2 10 2 29 3 6" xfId="7663" xr:uid="{00000000-0005-0000-0000-0000E31D0000}"/>
    <cellStyle name="Normal 2 2 10 2 29 3 7" xfId="7664" xr:uid="{00000000-0005-0000-0000-0000E41D0000}"/>
    <cellStyle name="Normal 2 2 10 2 29 3 8" xfId="7665" xr:uid="{00000000-0005-0000-0000-0000E51D0000}"/>
    <cellStyle name="Normal 2 2 10 2 29 3 9" xfId="7666" xr:uid="{00000000-0005-0000-0000-0000E61D0000}"/>
    <cellStyle name="Normal 2 2 10 2 29 4" xfId="7667" xr:uid="{00000000-0005-0000-0000-0000E71D0000}"/>
    <cellStyle name="Normal 2 2 10 2 29 4 10" xfId="7668" xr:uid="{00000000-0005-0000-0000-0000E81D0000}"/>
    <cellStyle name="Normal 2 2 10 2 29 4 2" xfId="7669" xr:uid="{00000000-0005-0000-0000-0000E91D0000}"/>
    <cellStyle name="Normal 2 2 10 2 29 4 3" xfId="7670" xr:uid="{00000000-0005-0000-0000-0000EA1D0000}"/>
    <cellStyle name="Normal 2 2 10 2 29 4 4" xfId="7671" xr:uid="{00000000-0005-0000-0000-0000EB1D0000}"/>
    <cellStyle name="Normal 2 2 10 2 29 4 5" xfId="7672" xr:uid="{00000000-0005-0000-0000-0000EC1D0000}"/>
    <cellStyle name="Normal 2 2 10 2 29 4 6" xfId="7673" xr:uid="{00000000-0005-0000-0000-0000ED1D0000}"/>
    <cellStyle name="Normal 2 2 10 2 29 4 7" xfId="7674" xr:uid="{00000000-0005-0000-0000-0000EE1D0000}"/>
    <cellStyle name="Normal 2 2 10 2 29 4 8" xfId="7675" xr:uid="{00000000-0005-0000-0000-0000EF1D0000}"/>
    <cellStyle name="Normal 2 2 10 2 29 4 9" xfId="7676" xr:uid="{00000000-0005-0000-0000-0000F01D0000}"/>
    <cellStyle name="Normal 2 2 10 2 29 5" xfId="7677" xr:uid="{00000000-0005-0000-0000-0000F11D0000}"/>
    <cellStyle name="Normal 2 2 10 2 29 5 10" xfId="7678" xr:uid="{00000000-0005-0000-0000-0000F21D0000}"/>
    <cellStyle name="Normal 2 2 10 2 29 5 2" xfId="7679" xr:uid="{00000000-0005-0000-0000-0000F31D0000}"/>
    <cellStyle name="Normal 2 2 10 2 29 5 3" xfId="7680" xr:uid="{00000000-0005-0000-0000-0000F41D0000}"/>
    <cellStyle name="Normal 2 2 10 2 29 5 4" xfId="7681" xr:uid="{00000000-0005-0000-0000-0000F51D0000}"/>
    <cellStyle name="Normal 2 2 10 2 29 5 5" xfId="7682" xr:uid="{00000000-0005-0000-0000-0000F61D0000}"/>
    <cellStyle name="Normal 2 2 10 2 29 5 6" xfId="7683" xr:uid="{00000000-0005-0000-0000-0000F71D0000}"/>
    <cellStyle name="Normal 2 2 10 2 29 5 7" xfId="7684" xr:uid="{00000000-0005-0000-0000-0000F81D0000}"/>
    <cellStyle name="Normal 2 2 10 2 29 5 8" xfId="7685" xr:uid="{00000000-0005-0000-0000-0000F91D0000}"/>
    <cellStyle name="Normal 2 2 10 2 29 5 9" xfId="7686" xr:uid="{00000000-0005-0000-0000-0000FA1D0000}"/>
    <cellStyle name="Normal 2 2 10 2 29 6" xfId="7687" xr:uid="{00000000-0005-0000-0000-0000FB1D0000}"/>
    <cellStyle name="Normal 2 2 10 2 29 7" xfId="7688" xr:uid="{00000000-0005-0000-0000-0000FC1D0000}"/>
    <cellStyle name="Normal 2 2 10 2 29 8" xfId="7689" xr:uid="{00000000-0005-0000-0000-0000FD1D0000}"/>
    <cellStyle name="Normal 2 2 10 2 29 9" xfId="7690" xr:uid="{00000000-0005-0000-0000-0000FE1D0000}"/>
    <cellStyle name="Normal 2 2 10 2 3" xfId="7691" xr:uid="{00000000-0005-0000-0000-0000FF1D0000}"/>
    <cellStyle name="Normal 2 2 10 2 3 10" xfId="7692" xr:uid="{00000000-0005-0000-0000-0000001E0000}"/>
    <cellStyle name="Normal 2 2 10 2 3 11" xfId="7693" xr:uid="{00000000-0005-0000-0000-0000011E0000}"/>
    <cellStyle name="Normal 2 2 10 2 3 12" xfId="7694" xr:uid="{00000000-0005-0000-0000-0000021E0000}"/>
    <cellStyle name="Normal 2 2 10 2 3 13" xfId="7695" xr:uid="{00000000-0005-0000-0000-0000031E0000}"/>
    <cellStyle name="Normal 2 2 10 2 3 14" xfId="7696" xr:uid="{00000000-0005-0000-0000-0000041E0000}"/>
    <cellStyle name="Normal 2 2 10 2 3 2" xfId="7697" xr:uid="{00000000-0005-0000-0000-0000051E0000}"/>
    <cellStyle name="Normal 2 2 10 2 3 2 10" xfId="7698" xr:uid="{00000000-0005-0000-0000-0000061E0000}"/>
    <cellStyle name="Normal 2 2 10 2 3 2 2" xfId="7699" xr:uid="{00000000-0005-0000-0000-0000071E0000}"/>
    <cellStyle name="Normal 2 2 10 2 3 2 3" xfId="7700" xr:uid="{00000000-0005-0000-0000-0000081E0000}"/>
    <cellStyle name="Normal 2 2 10 2 3 2 4" xfId="7701" xr:uid="{00000000-0005-0000-0000-0000091E0000}"/>
    <cellStyle name="Normal 2 2 10 2 3 2 5" xfId="7702" xr:uid="{00000000-0005-0000-0000-00000A1E0000}"/>
    <cellStyle name="Normal 2 2 10 2 3 2 6" xfId="7703" xr:uid="{00000000-0005-0000-0000-00000B1E0000}"/>
    <cellStyle name="Normal 2 2 10 2 3 2 7" xfId="7704" xr:uid="{00000000-0005-0000-0000-00000C1E0000}"/>
    <cellStyle name="Normal 2 2 10 2 3 2 8" xfId="7705" xr:uid="{00000000-0005-0000-0000-00000D1E0000}"/>
    <cellStyle name="Normal 2 2 10 2 3 2 9" xfId="7706" xr:uid="{00000000-0005-0000-0000-00000E1E0000}"/>
    <cellStyle name="Normal 2 2 10 2 3 3" xfId="7707" xr:uid="{00000000-0005-0000-0000-00000F1E0000}"/>
    <cellStyle na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11" xr:uid="{00000000-0005-0000-0000-0000131E0000}"/>
    <cellStyle name="Normal 2 2 10 2 3 3 5" xfId="7712" xr:uid="{00000000-0005-0000-0000-0000141E0000}"/>
    <cellStyle name="Normal 2 2 10 2 3 3 6" xfId="7713" xr:uid="{00000000-0005-0000-0000-0000151E0000}"/>
    <cellStyle name="Normal 2 2 10 2 3 3 7" xfId="7714" xr:uid="{00000000-0005-0000-0000-0000161E0000}"/>
    <cellStyle name="Normal 2 2 10 2 3 3 8" xfId="7715" xr:uid="{00000000-0005-0000-0000-0000171E0000}"/>
    <cellStyle name="Normal 2 2 10 2 3 3 9" xfId="7716" xr:uid="{00000000-0005-0000-0000-0000181E0000}"/>
    <cellStyle name="Normal 2 2 10 2 3 4" xfId="7717" xr:uid="{00000000-0005-0000-0000-0000191E0000}"/>
    <cellStyle name="Normal 2 2 10 2 3 4 10" xfId="7718" xr:uid="{00000000-0005-0000-0000-00001A1E0000}"/>
    <cellStyle name="Normal 2 2 10 2 3 4 2" xfId="7719" xr:uid="{00000000-0005-0000-0000-00001B1E0000}"/>
    <cellStyle name="Normal 2 2 10 2 3 4 3" xfId="7720" xr:uid="{00000000-0005-0000-0000-00001C1E0000}"/>
    <cellStyle name="Normal 2 2 10 2 3 4 4" xfId="7721" xr:uid="{00000000-0005-0000-0000-00001D1E0000}"/>
    <cellStyle name="Normal 2 2 10 2 3 4 5" xfId="7722" xr:uid="{00000000-0005-0000-0000-00001E1E0000}"/>
    <cellStyle name="Normal 2 2 10 2 3 4 6" xfId="7723" xr:uid="{00000000-0005-0000-0000-00001F1E0000}"/>
    <cellStyle name="Normal 2 2 10 2 3 4 7" xfId="7724" xr:uid="{00000000-0005-0000-0000-0000201E0000}"/>
    <cellStyle name="Normal 2 2 10 2 3 4 8" xfId="7725" xr:uid="{00000000-0005-0000-0000-0000211E0000}"/>
    <cellStyle name="Normal 2 2 10 2 3 4 9" xfId="7726" xr:uid="{00000000-0005-0000-0000-0000221E0000}"/>
    <cellStyle name="Normal 2 2 10 2 3 5" xfId="7727" xr:uid="{00000000-0005-0000-0000-0000231E0000}"/>
    <cellStyle name="Normal 2 2 10 2 3 5 10" xfId="7728" xr:uid="{00000000-0005-0000-0000-0000241E0000}"/>
    <cellStyle name="Normal 2 2 10 2 3 5 2" xfId="7729" xr:uid="{00000000-0005-0000-0000-0000251E0000}"/>
    <cellStyle name="Normal 2 2 10 2 3 5 3" xfId="7730" xr:uid="{00000000-0005-0000-0000-0000261E0000}"/>
    <cellStyle name="Normal 2 2 10 2 3 5 4" xfId="7731" xr:uid="{00000000-0005-0000-0000-0000271E0000}"/>
    <cellStyle name="Normal 2 2 10 2 3 5 5" xfId="7732" xr:uid="{00000000-0005-0000-0000-0000281E0000}"/>
    <cellStyle name="Normal 2 2 10 2 3 5 6" xfId="7733" xr:uid="{00000000-0005-0000-0000-0000291E0000}"/>
    <cellStyle name="Normal 2 2 10 2 3 5 7" xfId="7734" xr:uid="{00000000-0005-0000-0000-00002A1E0000}"/>
    <cellStyle name="Normal 2 2 10 2 3 5 8" xfId="7735" xr:uid="{00000000-0005-0000-0000-00002B1E0000}"/>
    <cellStyle name="Normal 2 2 10 2 3 5 9" xfId="7736" xr:uid="{00000000-0005-0000-0000-00002C1E0000}"/>
    <cellStyle name="Normal 2 2 10 2 3 6" xfId="7737" xr:uid="{00000000-0005-0000-0000-00002D1E0000}"/>
    <cellStyle name="Normal 2 2 10 2 3 7" xfId="7738" xr:uid="{00000000-0005-0000-0000-00002E1E0000}"/>
    <cellStyle name="Normal 2 2 10 2 3 8" xfId="7739" xr:uid="{00000000-0005-0000-0000-00002F1E0000}"/>
    <cellStyle name="Normal 2 2 10 2 3 9" xfId="7740" xr:uid="{00000000-0005-0000-0000-0000301E0000}"/>
    <cellStyle name="Normal 2 2 10 2 30" xfId="7741" xr:uid="{00000000-0005-0000-0000-0000311E0000}"/>
    <cellStyle name="Normal 2 2 10 2 30 10" xfId="7742" xr:uid="{00000000-0005-0000-0000-0000321E0000}"/>
    <cellStyle name="Normal 2 2 10 2 30 11" xfId="7743" xr:uid="{00000000-0005-0000-0000-0000331E0000}"/>
    <cellStyle name="Normal 2 2 10 2 30 12" xfId="7744" xr:uid="{00000000-0005-0000-0000-0000341E0000}"/>
    <cellStyle name="Normal 2 2 10 2 30 13" xfId="7745" xr:uid="{00000000-0005-0000-0000-0000351E0000}"/>
    <cellStyle name="Normal 2 2 10 2 30 14" xfId="7746" xr:uid="{00000000-0005-0000-0000-0000361E0000}"/>
    <cellStyle name="Normal 2 2 10 2 30 2" xfId="7747" xr:uid="{00000000-0005-0000-0000-0000371E0000}"/>
    <cellStyle name="Normal 2 2 10 2 30 2 10" xfId="7748" xr:uid="{00000000-0005-0000-0000-0000381E0000}"/>
    <cellStyle name="Normal 2 2 10 2 30 2 2" xfId="7749" xr:uid="{00000000-0005-0000-0000-0000391E0000}"/>
    <cellStyle name="Normal 2 2 10 2 30 2 3" xfId="7750" xr:uid="{00000000-0005-0000-0000-00003A1E0000}"/>
    <cellStyle name="Normal 2 2 10 2 30 2 4" xfId="7751" xr:uid="{00000000-0005-0000-0000-00003B1E0000}"/>
    <cellStyle name="Normal 2 2 10 2 30 2 5" xfId="7752" xr:uid="{00000000-0005-0000-0000-00003C1E0000}"/>
    <cellStyle name="Normal 2 2 10 2 30 2 6" xfId="7753" xr:uid="{00000000-0005-0000-0000-00003D1E0000}"/>
    <cellStyle name="Normal 2 2 10 2 30 2 7" xfId="7754" xr:uid="{00000000-0005-0000-0000-00003E1E0000}"/>
    <cellStyle name="Normal 2 2 10 2 30 2 8" xfId="7755" xr:uid="{00000000-0005-0000-0000-00003F1E0000}"/>
    <cellStyle name="Normal 2 2 10 2 30 2 9" xfId="7756" xr:uid="{00000000-0005-0000-0000-0000401E0000}"/>
    <cellStyle name="Normal 2 2 10 2 30 3" xfId="7757" xr:uid="{00000000-0005-0000-0000-0000411E0000}"/>
    <cellStyle name="Normal 2 2 10 2 30 3 10" xfId="7758" xr:uid="{00000000-0005-0000-0000-0000421E0000}"/>
    <cellStyle name="Normal 2 2 10 2 30 3 2" xfId="7759" xr:uid="{00000000-0005-0000-0000-0000431E0000}"/>
    <cellStyle name="Normal 2 2 10 2 30 3 3" xfId="7760" xr:uid="{00000000-0005-0000-0000-0000441E0000}"/>
    <cellStyle name="Normal 2 2 10 2 30 3 4" xfId="7761" xr:uid="{00000000-0005-0000-0000-0000451E0000}"/>
    <cellStyle name="Normal 2 2 10 2 30 3 5" xfId="7762" xr:uid="{00000000-0005-0000-0000-0000461E0000}"/>
    <cellStyle name="Normal 2 2 10 2 30 3 6" xfId="7763" xr:uid="{00000000-0005-0000-0000-0000471E0000}"/>
    <cellStyle name="Normal 2 2 10 2 30 3 7" xfId="7764" xr:uid="{00000000-0005-0000-0000-0000481E0000}"/>
    <cellStyle name="Normal 2 2 10 2 30 3 8" xfId="7765" xr:uid="{00000000-0005-0000-0000-0000491E0000}"/>
    <cellStyle name="Normal 2 2 10 2 30 3 9" xfId="7766" xr:uid="{00000000-0005-0000-0000-00004A1E0000}"/>
    <cellStyle name="Normal 2 2 10 2 30 4" xfId="7767" xr:uid="{00000000-0005-0000-0000-00004B1E0000}"/>
    <cellStyle name="Normal 2 2 10 2 30 4 10" xfId="7768" xr:uid="{00000000-0005-0000-0000-00004C1E0000}"/>
    <cellStyle name="Normal 2 2 10 2 30 4 2" xfId="7769" xr:uid="{00000000-0005-0000-0000-00004D1E0000}"/>
    <cellStyle name="Normal 2 2 10 2 30 4 3" xfId="7770" xr:uid="{00000000-0005-0000-0000-00004E1E0000}"/>
    <cellStyle name="Normal 2 2 10 2 30 4 4" xfId="7771" xr:uid="{00000000-0005-0000-0000-00004F1E0000}"/>
    <cellStyle name="Normal 2 2 10 2 30 4 5" xfId="7772" xr:uid="{00000000-0005-0000-0000-0000501E0000}"/>
    <cellStyle name="Normal 2 2 10 2 30 4 6" xfId="7773" xr:uid="{00000000-0005-0000-0000-0000511E0000}"/>
    <cellStyle name="Normal 2 2 10 2 30 4 7" xfId="7774" xr:uid="{00000000-0005-0000-0000-0000521E0000}"/>
    <cellStyle name="Normal 2 2 10 2 30 4 8" xfId="7775" xr:uid="{00000000-0005-0000-0000-0000531E0000}"/>
    <cellStyle name="Normal 2 2 10 2 30 4 9" xfId="7776" xr:uid="{00000000-0005-0000-0000-0000541E0000}"/>
    <cellStyle name="Normal 2 2 10 2 30 5" xfId="7777" xr:uid="{00000000-0005-0000-0000-0000551E0000}"/>
    <cellStyle name="Normal 2 2 10 2 30 5 10" xfId="7778" xr:uid="{00000000-0005-0000-0000-0000561E0000}"/>
    <cellStyle name="Normal 2 2 10 2 30 5 2" xfId="7779" xr:uid="{00000000-0005-0000-0000-0000571E0000}"/>
    <cellStyle name="Normal 2 2 10 2 30 5 3" xfId="7780" xr:uid="{00000000-0005-0000-0000-0000581E0000}"/>
    <cellStyle name="Normal 2 2 10 2 30 5 4" xfId="7781" xr:uid="{00000000-0005-0000-0000-0000591E0000}"/>
    <cellStyle name="Normal 2 2 10 2 30 5 5" xfId="7782" xr:uid="{00000000-0005-0000-0000-00005A1E0000}"/>
    <cellStyle name="Normal 2 2 10 2 30 5 6" xfId="7783" xr:uid="{00000000-0005-0000-0000-00005B1E0000}"/>
    <cellStyle name="Normal 2 2 10 2 30 5 7" xfId="7784" xr:uid="{00000000-0005-0000-0000-00005C1E0000}"/>
    <cellStyle name="Normal 2 2 10 2 30 5 8" xfId="7785" xr:uid="{00000000-0005-0000-0000-00005D1E0000}"/>
    <cellStyle name="Normal 2 2 10 2 30 5 9" xfId="7786" xr:uid="{00000000-0005-0000-0000-00005E1E0000}"/>
    <cellStyle name="Normal 2 2 10 2 30 6" xfId="7787" xr:uid="{00000000-0005-0000-0000-00005F1E0000}"/>
    <cellStyle name="Normal 2 2 10 2 30 7" xfId="7788" xr:uid="{00000000-0005-0000-0000-0000601E0000}"/>
    <cellStyle name="Normal 2 2 10 2 30 8" xfId="7789" xr:uid="{00000000-0005-0000-0000-0000611E0000}"/>
    <cellStyle name="Normal 2 2 10 2 30 9" xfId="7790" xr:uid="{00000000-0005-0000-0000-0000621E0000}"/>
    <cellStyle name="Normal 2 2 10 2 31" xfId="7791" xr:uid="{00000000-0005-0000-0000-0000631E0000}"/>
    <cellStyle name="Normal 2 2 10 2 31 10" xfId="7792" xr:uid="{00000000-0005-0000-0000-0000641E0000}"/>
    <cellStyle name="Normal 2 2 10 2 31 11" xfId="7793" xr:uid="{00000000-0005-0000-0000-0000651E0000}"/>
    <cellStyle name="Normal 2 2 10 2 31 12" xfId="7794" xr:uid="{00000000-0005-0000-0000-0000661E0000}"/>
    <cellStyle name="Normal 2 2 10 2 31 13" xfId="7795" xr:uid="{00000000-0005-0000-0000-0000671E0000}"/>
    <cellStyle name="Normal 2 2 10 2 31 14" xfId="7796" xr:uid="{00000000-0005-0000-0000-0000681E0000}"/>
    <cellStyle name="Normal 2 2 10 2 31 2" xfId="7797" xr:uid="{00000000-0005-0000-0000-0000691E0000}"/>
    <cellStyle name="Normal 2 2 10 2 31 2 10" xfId="7798" xr:uid="{00000000-0005-0000-0000-00006A1E0000}"/>
    <cellStyle name="Normal 2 2 10 2 31 2 2" xfId="7799" xr:uid="{00000000-0005-0000-0000-00006B1E0000}"/>
    <cellStyle name="Normal 2 2 10 2 31 2 3" xfId="7800" xr:uid="{00000000-0005-0000-0000-00006C1E0000}"/>
    <cellStyle name="Normal 2 2 10 2 31 2 4" xfId="7801" xr:uid="{00000000-0005-0000-0000-00006D1E0000}"/>
    <cellStyle name="Normal 2 2 10 2 31 2 5" xfId="7802" xr:uid="{00000000-0005-0000-0000-00006E1E0000}"/>
    <cellStyle name="Normal 2 2 10 2 31 2 6" xfId="7803" xr:uid="{00000000-0005-0000-0000-00006F1E0000}"/>
    <cellStyle name="Normal 2 2 10 2 31 2 7" xfId="7804" xr:uid="{00000000-0005-0000-0000-0000701E0000}"/>
    <cellStyle name="Normal 2 2 10 2 31 2 8" xfId="7805" xr:uid="{00000000-0005-0000-0000-0000711E0000}"/>
    <cellStyle name="Normal 2 2 10 2 31 2 9" xfId="7806" xr:uid="{00000000-0005-0000-0000-0000721E0000}"/>
    <cellStyle name="Normal 2 2 10 2 31 3" xfId="7807" xr:uid="{00000000-0005-0000-0000-0000731E0000}"/>
    <cellStyle name="Normal 2 2 10 2 31 3 10" xfId="7808" xr:uid="{00000000-0005-0000-0000-0000741E0000}"/>
    <cellStyle name="Normal 2 2 10 2 31 3 2" xfId="7809" xr:uid="{00000000-0005-0000-0000-0000751E0000}"/>
    <cellStyle name="Normal 2 2 10 2 31 3 3" xfId="7810" xr:uid="{00000000-0005-0000-0000-0000761E0000}"/>
    <cellStyle name="Normal 2 2 10 2 31 3 4" xfId="7811" xr:uid="{00000000-0005-0000-0000-0000771E0000}"/>
    <cellStyle name="Normal 2 2 10 2 31 3 5" xfId="7812" xr:uid="{00000000-0005-0000-0000-0000781E0000}"/>
    <cellStyle name="Normal 2 2 10 2 31 3 6" xfId="7813" xr:uid="{00000000-0005-0000-0000-0000791E0000}"/>
    <cellStyle name="Normal 2 2 10 2 31 3 7" xfId="7814" xr:uid="{00000000-0005-0000-0000-00007A1E0000}"/>
    <cellStyle name="Normal 2 2 10 2 31 3 8" xfId="7815" xr:uid="{00000000-0005-0000-0000-00007B1E0000}"/>
    <cellStyle name="Normal 2 2 10 2 31 3 9" xfId="7816" xr:uid="{00000000-0005-0000-0000-00007C1E0000}"/>
    <cellStyle name="Normal 2 2 10 2 31 4" xfId="7817" xr:uid="{00000000-0005-0000-0000-00007D1E0000}"/>
    <cellStyle name="Normal 2 2 10 2 31 4 10" xfId="7818" xr:uid="{00000000-0005-0000-0000-00007E1E0000}"/>
    <cellStyle name="Normal 2 2 10 2 31 4 2" xfId="7819" xr:uid="{00000000-0005-0000-0000-00007F1E0000}"/>
    <cellStyle name="Normal 2 2 10 2 31 4 3" xfId="7820" xr:uid="{00000000-0005-0000-0000-0000801E0000}"/>
    <cellStyle name="Normal 2 2 10 2 31 4 4" xfId="7821" xr:uid="{00000000-0005-0000-0000-0000811E0000}"/>
    <cellStyle name="Normal 2 2 10 2 31 4 5" xfId="7822" xr:uid="{00000000-0005-0000-0000-0000821E0000}"/>
    <cellStyle name="Normal 2 2 10 2 31 4 6" xfId="7823" xr:uid="{00000000-0005-0000-0000-0000831E0000}"/>
    <cellStyle name="Normal 2 2 10 2 31 4 7" xfId="7824" xr:uid="{00000000-0005-0000-0000-0000841E0000}"/>
    <cellStyle name="Normal 2 2 10 2 31 4 8" xfId="7825" xr:uid="{00000000-0005-0000-0000-0000851E0000}"/>
    <cellStyle name="Normal 2 2 10 2 31 4 9" xfId="7826" xr:uid="{00000000-0005-0000-0000-0000861E0000}"/>
    <cellStyle name="Normal 2 2 10 2 31 5" xfId="7827" xr:uid="{00000000-0005-0000-0000-0000871E0000}"/>
    <cellStyle name="Normal 2 2 10 2 31 5 10" xfId="7828" xr:uid="{00000000-0005-0000-0000-0000881E0000}"/>
    <cellStyle name="Normal 2 2 10 2 31 5 2" xfId="7829" xr:uid="{00000000-0005-0000-0000-0000891E0000}"/>
    <cellStyle name="Normal 2 2 10 2 31 5 3" xfId="7830" xr:uid="{00000000-0005-0000-0000-00008A1E0000}"/>
    <cellStyle name="Normal 2 2 10 2 31 5 4" xfId="7831" xr:uid="{00000000-0005-0000-0000-00008B1E0000}"/>
    <cellStyle name="Normal 2 2 10 2 31 5 5" xfId="7832" xr:uid="{00000000-0005-0000-0000-00008C1E0000}"/>
    <cellStyle name="Normal 2 2 10 2 31 5 6" xfId="7833" xr:uid="{00000000-0005-0000-0000-00008D1E0000}"/>
    <cellStyle name="Normal 2 2 10 2 31 5 7" xfId="7834" xr:uid="{00000000-0005-0000-0000-00008E1E0000}"/>
    <cellStyle name="Normal 2 2 10 2 31 5 8" xfId="7835" xr:uid="{00000000-0005-0000-0000-00008F1E0000}"/>
    <cellStyle name="Normal 2 2 10 2 31 5 9" xfId="7836" xr:uid="{00000000-0005-0000-0000-0000901E0000}"/>
    <cellStyle name="Normal 2 2 10 2 31 6" xfId="7837" xr:uid="{00000000-0005-0000-0000-0000911E0000}"/>
    <cellStyle name="Normal 2 2 10 2 31 7" xfId="7838" xr:uid="{00000000-0005-0000-0000-0000921E0000}"/>
    <cellStyle name="Normal 2 2 10 2 31 8" xfId="7839" xr:uid="{00000000-0005-0000-0000-0000931E0000}"/>
    <cellStyle name="Normal 2 2 10 2 31 9" xfId="7840" xr:uid="{00000000-0005-0000-0000-0000941E0000}"/>
    <cellStyle name="Normal 2 2 10 2 32" xfId="7841" xr:uid="{00000000-0005-0000-0000-0000951E0000}"/>
    <cellStyle name="Normal 2 2 10 2 32 10" xfId="7842" xr:uid="{00000000-0005-0000-0000-0000961E0000}"/>
    <cellStyle name="Normal 2 2 10 2 32 11" xfId="7843" xr:uid="{00000000-0005-0000-0000-0000971E0000}"/>
    <cellStyle name="Normal 2 2 10 2 32 12" xfId="7844" xr:uid="{00000000-0005-0000-0000-0000981E0000}"/>
    <cellStyle name="Normal 2 2 10 2 32 13" xfId="7845" xr:uid="{00000000-0005-0000-0000-0000991E0000}"/>
    <cellStyle name="Normal 2 2 10 2 32 14" xfId="7846" xr:uid="{00000000-0005-0000-0000-00009A1E0000}"/>
    <cellStyle name="Normal 2 2 10 2 32 2" xfId="7847" xr:uid="{00000000-0005-0000-0000-00009B1E0000}"/>
    <cellStyle name="Normal 2 2 10 2 32 2 10" xfId="7848" xr:uid="{00000000-0005-0000-0000-00009C1E0000}"/>
    <cellStyle name="Normal 2 2 10 2 32 2 2" xfId="7849" xr:uid="{00000000-0005-0000-0000-00009D1E0000}"/>
    <cellStyle name="Normal 2 2 10 2 32 2 3" xfId="7850" xr:uid="{00000000-0005-0000-0000-00009E1E0000}"/>
    <cellStyle name="Normal 2 2 10 2 32 2 4" xfId="7851" xr:uid="{00000000-0005-0000-0000-00009F1E0000}"/>
    <cellStyle name="Normal 2 2 10 2 32 2 5" xfId="7852" xr:uid="{00000000-0005-0000-0000-0000A01E0000}"/>
    <cellStyle name="Normal 2 2 10 2 32 2 6" xfId="7853" xr:uid="{00000000-0005-0000-0000-0000A11E0000}"/>
    <cellStyle name="Normal 2 2 10 2 32 2 7" xfId="7854" xr:uid="{00000000-0005-0000-0000-0000A21E0000}"/>
    <cellStyle name="Normal 2 2 10 2 32 2 8" xfId="7855" xr:uid="{00000000-0005-0000-0000-0000A31E0000}"/>
    <cellStyle name="Normal 2 2 10 2 32 2 9" xfId="7856" xr:uid="{00000000-0005-0000-0000-0000A41E0000}"/>
    <cellStyle name="Normal 2 2 10 2 32 3" xfId="7857" xr:uid="{00000000-0005-0000-0000-0000A51E0000}"/>
    <cellStyle name="Normal 2 2 10 2 32 3 10" xfId="7858" xr:uid="{00000000-0005-0000-0000-0000A61E0000}"/>
    <cellStyle name="Normal 2 2 10 2 32 3 2" xfId="7859" xr:uid="{00000000-0005-0000-0000-0000A71E0000}"/>
    <cellStyle name="Normal 2 2 10 2 32 3 3" xfId="7860" xr:uid="{00000000-0005-0000-0000-0000A81E0000}"/>
    <cellStyle name="Normal 2 2 10 2 32 3 4" xfId="7861" xr:uid="{00000000-0005-0000-0000-0000A91E0000}"/>
    <cellStyle name="Normal 2 2 10 2 32 3 5" xfId="7862" xr:uid="{00000000-0005-0000-0000-0000AA1E0000}"/>
    <cellStyle name="Normal 2 2 10 2 32 3 6" xfId="7863" xr:uid="{00000000-0005-0000-0000-0000AB1E0000}"/>
    <cellStyle name="Normal 2 2 10 2 32 3 7" xfId="7864" xr:uid="{00000000-0005-0000-0000-0000AC1E0000}"/>
    <cellStyle name="Normal 2 2 10 2 32 3 8" xfId="7865" xr:uid="{00000000-0005-0000-0000-0000AD1E0000}"/>
    <cellStyle name="Normal 2 2 10 2 32 3 9" xfId="7866" xr:uid="{00000000-0005-0000-0000-0000AE1E0000}"/>
    <cellStyle name="Normal 2 2 10 2 32 4" xfId="7867" xr:uid="{00000000-0005-0000-0000-0000AF1E0000}"/>
    <cellStyle name="Normal 2 2 10 2 32 4 10" xfId="7868" xr:uid="{00000000-0005-0000-0000-0000B01E0000}"/>
    <cellStyle name="Normal 2 2 10 2 32 4 2" xfId="7869" xr:uid="{00000000-0005-0000-0000-0000B11E0000}"/>
    <cellStyle name="Normal 2 2 10 2 32 4 3" xfId="7870" xr:uid="{00000000-0005-0000-0000-0000B21E0000}"/>
    <cellStyle name="Normal 2 2 10 2 32 4 4" xfId="7871" xr:uid="{00000000-0005-0000-0000-0000B31E0000}"/>
    <cellStyle name="Normal 2 2 10 2 32 4 5" xfId="7872" xr:uid="{00000000-0005-0000-0000-0000B41E0000}"/>
    <cellStyle name="Normal 2 2 10 2 32 4 6" xfId="7873" xr:uid="{00000000-0005-0000-0000-0000B51E0000}"/>
    <cellStyle name="Normal 2 2 10 2 32 4 7" xfId="7874" xr:uid="{00000000-0005-0000-0000-0000B61E0000}"/>
    <cellStyle name="Normal 2 2 10 2 32 4 8" xfId="7875" xr:uid="{00000000-0005-0000-0000-0000B71E0000}"/>
    <cellStyle name="Normal 2 2 10 2 32 4 9" xfId="7876" xr:uid="{00000000-0005-0000-0000-0000B81E0000}"/>
    <cellStyle name="Normal 2 2 10 2 32 5" xfId="7877" xr:uid="{00000000-0005-0000-0000-0000B91E0000}"/>
    <cellStyle name="Normal 2 2 10 2 32 5 10" xfId="7878" xr:uid="{00000000-0005-0000-0000-0000BA1E0000}"/>
    <cellStyle name="Normal 2 2 10 2 32 5 2" xfId="7879" xr:uid="{00000000-0005-0000-0000-0000BB1E0000}"/>
    <cellStyle name="Normal 2 2 10 2 32 5 3" xfId="7880" xr:uid="{00000000-0005-0000-0000-0000BC1E0000}"/>
    <cellStyle name="Normal 2 2 10 2 32 5 4" xfId="7881" xr:uid="{00000000-0005-0000-0000-0000BD1E0000}"/>
    <cellStyle name="Normal 2 2 10 2 32 5 5" xfId="7882" xr:uid="{00000000-0005-0000-0000-0000BE1E0000}"/>
    <cellStyle name="Normal 2 2 10 2 32 5 6" xfId="7883" xr:uid="{00000000-0005-0000-0000-0000BF1E0000}"/>
    <cellStyle name="Normal 2 2 10 2 32 5 7" xfId="7884" xr:uid="{00000000-0005-0000-0000-0000C01E0000}"/>
    <cellStyle name="Normal 2 2 10 2 32 5 8" xfId="7885" xr:uid="{00000000-0005-0000-0000-0000C11E0000}"/>
    <cellStyle name="Normal 2 2 10 2 32 5 9" xfId="7886" xr:uid="{00000000-0005-0000-0000-0000C21E0000}"/>
    <cellStyle name="Normal 2 2 10 2 32 6" xfId="7887" xr:uid="{00000000-0005-0000-0000-0000C31E0000}"/>
    <cellStyle name="Normal 2 2 10 2 32 7" xfId="7888" xr:uid="{00000000-0005-0000-0000-0000C41E0000}"/>
    <cellStyle name="Normal 2 2 10 2 32 8" xfId="7889" xr:uid="{00000000-0005-0000-0000-0000C51E0000}"/>
    <cellStyle name="Normal 2 2 10 2 32 9" xfId="7890" xr:uid="{00000000-0005-0000-0000-0000C61E0000}"/>
    <cellStyle name="Normal 2 2 10 2 33" xfId="7891" xr:uid="{00000000-0005-0000-0000-0000C71E0000}"/>
    <cellStyle name="Normal 2 2 10 2 33 10" xfId="7892" xr:uid="{00000000-0005-0000-0000-0000C81E0000}"/>
    <cellStyle name="Normal 2 2 10 2 33 11" xfId="7893" xr:uid="{00000000-0005-0000-0000-0000C91E0000}"/>
    <cellStyle name="Normal 2 2 10 2 33 12" xfId="7894" xr:uid="{00000000-0005-0000-0000-0000CA1E0000}"/>
    <cellStyle name="Normal 2 2 10 2 33 13" xfId="7895" xr:uid="{00000000-0005-0000-0000-0000CB1E0000}"/>
    <cellStyle name="Normal 2 2 10 2 33 14" xfId="7896" xr:uid="{00000000-0005-0000-0000-0000CC1E0000}"/>
    <cellStyle name="Normal 2 2 10 2 33 2" xfId="7897" xr:uid="{00000000-0005-0000-0000-0000CD1E0000}"/>
    <cellStyle name="Normal 2 2 10 2 33 2 10" xfId="7898" xr:uid="{00000000-0005-0000-0000-0000CE1E0000}"/>
    <cellStyle name="Normal 2 2 10 2 33 2 2" xfId="7899" xr:uid="{00000000-0005-0000-0000-0000CF1E0000}"/>
    <cellStyle name="Normal 2 2 10 2 33 2 3" xfId="7900" xr:uid="{00000000-0005-0000-0000-0000D01E0000}"/>
    <cellStyle name="Normal 2 2 10 2 33 2 4" xfId="7901" xr:uid="{00000000-0005-0000-0000-0000D11E0000}"/>
    <cellStyle name="Normal 2 2 10 2 33 2 5" xfId="7902" xr:uid="{00000000-0005-0000-0000-0000D21E0000}"/>
    <cellStyle name="Normal 2 2 10 2 33 2 6" xfId="7903" xr:uid="{00000000-0005-0000-0000-0000D31E0000}"/>
    <cellStyle name="Normal 2 2 10 2 33 2 7" xfId="7904" xr:uid="{00000000-0005-0000-0000-0000D41E0000}"/>
    <cellStyle name="Normal 2 2 10 2 33 2 8" xfId="7905" xr:uid="{00000000-0005-0000-0000-0000D51E0000}"/>
    <cellStyle name="Normal 2 2 10 2 33 2 9" xfId="7906" xr:uid="{00000000-0005-0000-0000-0000D61E0000}"/>
    <cellStyle name="Normal 2 2 10 2 33 3" xfId="7907" xr:uid="{00000000-0005-0000-0000-0000D71E0000}"/>
    <cellStyle name="Normal 2 2 10 2 33 3 10" xfId="7908" xr:uid="{00000000-0005-0000-0000-0000D81E0000}"/>
    <cellStyle name="Normal 2 2 10 2 33 3 2" xfId="7909" xr:uid="{00000000-0005-0000-0000-0000D91E0000}"/>
    <cellStyle name="Normal 2 2 10 2 33 3 3" xfId="7910" xr:uid="{00000000-0005-0000-0000-0000DA1E0000}"/>
    <cellStyle name="Normal 2 2 10 2 33 3 4" xfId="7911" xr:uid="{00000000-0005-0000-0000-0000DB1E0000}"/>
    <cellStyle name="Normal 2 2 10 2 33 3 5" xfId="7912" xr:uid="{00000000-0005-0000-0000-0000DC1E0000}"/>
    <cellStyle name="Normal 2 2 10 2 33 3 6" xfId="7913" xr:uid="{00000000-0005-0000-0000-0000DD1E0000}"/>
    <cellStyle name="Normal 2 2 10 2 33 3 7" xfId="7914" xr:uid="{00000000-0005-0000-0000-0000DE1E0000}"/>
    <cellStyle name="Normal 2 2 10 2 33 3 8" xfId="7915" xr:uid="{00000000-0005-0000-0000-0000DF1E0000}"/>
    <cellStyle name="Normal 2 2 10 2 33 3 9" xfId="7916" xr:uid="{00000000-0005-0000-0000-0000E01E0000}"/>
    <cellStyle name="Normal 2 2 10 2 33 4" xfId="7917" xr:uid="{00000000-0005-0000-0000-0000E11E0000}"/>
    <cellStyle name="Normal 2 2 10 2 33 4 10" xfId="7918" xr:uid="{00000000-0005-0000-0000-0000E21E0000}"/>
    <cellStyle name="Normal 2 2 10 2 33 4 2" xfId="7919" xr:uid="{00000000-0005-0000-0000-0000E31E0000}"/>
    <cellStyle name="Normal 2 2 10 2 33 4 3" xfId="7920" xr:uid="{00000000-0005-0000-0000-0000E41E0000}"/>
    <cellStyle name="Normal 2 2 10 2 33 4 4" xfId="7921" xr:uid="{00000000-0005-0000-0000-0000E51E0000}"/>
    <cellStyle name="Normal 2 2 10 2 33 4 5" xfId="7922" xr:uid="{00000000-0005-0000-0000-0000E61E0000}"/>
    <cellStyle name="Normal 2 2 10 2 33 4 6" xfId="7923" xr:uid="{00000000-0005-0000-0000-0000E71E0000}"/>
    <cellStyle name="Normal 2 2 10 2 33 4 7" xfId="7924" xr:uid="{00000000-0005-0000-0000-0000E81E0000}"/>
    <cellStyle name="Normal 2 2 10 2 33 4 8" xfId="7925" xr:uid="{00000000-0005-0000-0000-0000E91E0000}"/>
    <cellStyle name="Normal 2 2 10 2 33 4 9" xfId="7926" xr:uid="{00000000-0005-0000-0000-0000EA1E0000}"/>
    <cellStyle name="Normal 2 2 10 2 33 5" xfId="7927" xr:uid="{00000000-0005-0000-0000-0000EB1E0000}"/>
    <cellStyle name="Normal 2 2 10 2 33 5 10" xfId="7928" xr:uid="{00000000-0005-0000-0000-0000EC1E0000}"/>
    <cellStyle name="Normal 2 2 10 2 33 5 2" xfId="7929" xr:uid="{00000000-0005-0000-0000-0000ED1E0000}"/>
    <cellStyle name="Normal 2 2 10 2 33 5 3" xfId="7930" xr:uid="{00000000-0005-0000-0000-0000EE1E0000}"/>
    <cellStyle name="Normal 2 2 10 2 33 5 4" xfId="7931" xr:uid="{00000000-0005-0000-0000-0000EF1E0000}"/>
    <cellStyle name="Normal 2 2 10 2 33 5 5" xfId="7932" xr:uid="{00000000-0005-0000-0000-0000F01E0000}"/>
    <cellStyle name="Normal 2 2 10 2 33 5 6" xfId="7933" xr:uid="{00000000-0005-0000-0000-0000F11E0000}"/>
    <cellStyle name="Normal 2 2 10 2 33 5 7" xfId="7934" xr:uid="{00000000-0005-0000-0000-0000F21E0000}"/>
    <cellStyle name="Normal 2 2 10 2 33 5 8" xfId="7935" xr:uid="{00000000-0005-0000-0000-0000F31E0000}"/>
    <cellStyle name="Normal 2 2 10 2 33 5 9" xfId="7936" xr:uid="{00000000-0005-0000-0000-0000F41E0000}"/>
    <cellStyle name="Normal 2 2 10 2 33 6" xfId="7937" xr:uid="{00000000-0005-0000-0000-0000F51E0000}"/>
    <cellStyle name="Normal 2 2 10 2 33 7" xfId="7938" xr:uid="{00000000-0005-0000-0000-0000F61E0000}"/>
    <cellStyle name="Normal 2 2 10 2 33 8" xfId="7939" xr:uid="{00000000-0005-0000-0000-0000F71E0000}"/>
    <cellStyle name="Normal 2 2 10 2 33 9" xfId="7940" xr:uid="{00000000-0005-0000-0000-0000F81E0000}"/>
    <cellStyle name="Normal 2 2 10 2 34" xfId="7941" xr:uid="{00000000-0005-0000-0000-0000F91E0000}"/>
    <cellStyle name="Normal 2 2 10 2 34 10" xfId="7942" xr:uid="{00000000-0005-0000-0000-0000FA1E0000}"/>
    <cellStyle name="Normal 2 2 10 2 34 2" xfId="7943" xr:uid="{00000000-0005-0000-0000-0000FB1E0000}"/>
    <cellStyle name="Normal 2 2 10 2 34 3" xfId="7944" xr:uid="{00000000-0005-0000-0000-0000FC1E0000}"/>
    <cellStyle name="Normal 2 2 10 2 34 4" xfId="7945" xr:uid="{00000000-0005-0000-0000-0000FD1E0000}"/>
    <cellStyle name="Normal 2 2 10 2 34 5" xfId="7946" xr:uid="{00000000-0005-0000-0000-0000FE1E0000}"/>
    <cellStyle name="Normal 2 2 10 2 34 6" xfId="7947" xr:uid="{00000000-0005-0000-0000-0000FF1E0000}"/>
    <cellStyle name="Normal 2 2 10 2 34 7" xfId="7948" xr:uid="{00000000-0005-0000-0000-0000001F0000}"/>
    <cellStyle name="Normal 2 2 10 2 34 8" xfId="7949" xr:uid="{00000000-0005-0000-0000-0000011F0000}"/>
    <cellStyle name="Normal 2 2 10 2 34 9" xfId="7950" xr:uid="{00000000-0005-0000-0000-0000021F0000}"/>
    <cellStyle name="Normal 2 2 10 2 35" xfId="7951" xr:uid="{00000000-0005-0000-0000-0000031F0000}"/>
    <cellStyle name="Normal 2 2 10 2 35 10" xfId="7952" xr:uid="{00000000-0005-0000-0000-0000041F0000}"/>
    <cellStyle name="Normal 2 2 10 2 35 2" xfId="7953" xr:uid="{00000000-0005-0000-0000-0000051F0000}"/>
    <cellStyle name="Normal 2 2 10 2 35 3" xfId="7954" xr:uid="{00000000-0005-0000-0000-0000061F0000}"/>
    <cellStyle name="Normal 2 2 10 2 35 4" xfId="7955" xr:uid="{00000000-0005-0000-0000-0000071F0000}"/>
    <cellStyle name="Normal 2 2 10 2 35 5" xfId="7956" xr:uid="{00000000-0005-0000-0000-0000081F0000}"/>
    <cellStyle name="Normal 2 2 10 2 35 6" xfId="7957" xr:uid="{00000000-0005-0000-0000-0000091F0000}"/>
    <cellStyle name="Normal 2 2 10 2 35 7" xfId="7958" xr:uid="{00000000-0005-0000-0000-00000A1F0000}"/>
    <cellStyle name="Normal 2 2 10 2 35 8" xfId="7959" xr:uid="{00000000-0005-0000-0000-00000B1F0000}"/>
    <cellStyle name="Normal 2 2 10 2 35 9" xfId="7960" xr:uid="{00000000-0005-0000-0000-00000C1F0000}"/>
    <cellStyle name="Normal 2 2 10 2 36" xfId="7961" xr:uid="{00000000-0005-0000-0000-00000D1F0000}"/>
    <cellStyle name="Normal 2 2 10 2 36 10" xfId="7962" xr:uid="{00000000-0005-0000-0000-00000E1F0000}"/>
    <cellStyle name="Normal 2 2 10 2 36 2" xfId="7963" xr:uid="{00000000-0005-0000-0000-00000F1F0000}"/>
    <cellStyle name="Normal 2 2 10 2 36 3" xfId="7964" xr:uid="{00000000-0005-0000-0000-0000101F0000}"/>
    <cellStyle name="Normal 2 2 10 2 36 4" xfId="7965" xr:uid="{00000000-0005-0000-0000-0000111F0000}"/>
    <cellStyle name="Normal 2 2 10 2 36 5" xfId="7966" xr:uid="{00000000-0005-0000-0000-0000121F0000}"/>
    <cellStyle name="Normal 2 2 10 2 36 6" xfId="7967" xr:uid="{00000000-0005-0000-0000-0000131F0000}"/>
    <cellStyle name="Normal 2 2 10 2 36 7" xfId="7968" xr:uid="{00000000-0005-0000-0000-0000141F0000}"/>
    <cellStyle name="Normal 2 2 10 2 36 8" xfId="7969" xr:uid="{00000000-0005-0000-0000-0000151F0000}"/>
    <cellStyle name="Normal 2 2 10 2 36 9" xfId="7970" xr:uid="{00000000-0005-0000-0000-0000161F0000}"/>
    <cellStyle name="Normal 2 2 10 2 37" xfId="7971" xr:uid="{00000000-0005-0000-0000-0000171F0000}"/>
    <cellStyle name="Normal 2 2 10 2 37 10" xfId="7972" xr:uid="{00000000-0005-0000-0000-0000181F0000}"/>
    <cellStyle name="Normal 2 2 10 2 37 2" xfId="7973" xr:uid="{00000000-0005-0000-0000-0000191F0000}"/>
    <cellStyle name="Normal 2 2 10 2 37 3" xfId="7974" xr:uid="{00000000-0005-0000-0000-00001A1F0000}"/>
    <cellStyle name="Normal 2 2 10 2 37 4" xfId="7975" xr:uid="{00000000-0005-0000-0000-00001B1F0000}"/>
    <cellStyle name="Normal 2 2 10 2 37 5" xfId="7976" xr:uid="{00000000-0005-0000-0000-00001C1F0000}"/>
    <cellStyle name="Normal 2 2 10 2 37 6" xfId="7977" xr:uid="{00000000-0005-0000-0000-00001D1F0000}"/>
    <cellStyle name="Normal 2 2 10 2 37 7" xfId="7978" xr:uid="{00000000-0005-0000-0000-00001E1F0000}"/>
    <cellStyle name="Normal 2 2 10 2 37 8" xfId="7979" xr:uid="{00000000-0005-0000-0000-00001F1F0000}"/>
    <cellStyle name="Normal 2 2 10 2 37 9" xfId="7980" xr:uid="{00000000-0005-0000-0000-0000201F0000}"/>
    <cellStyle name="Normal 2 2 10 2 38" xfId="7981" xr:uid="{00000000-0005-0000-0000-0000211F0000}"/>
    <cellStyle name="Normal 2 2 10 2 39" xfId="7982" xr:uid="{00000000-0005-0000-0000-0000221F0000}"/>
    <cellStyle name="Normal 2 2 10 2 4" xfId="7983" xr:uid="{00000000-0005-0000-0000-0000231F0000}"/>
    <cellStyle name="Normal 2 2 10 2 4 10" xfId="7984" xr:uid="{00000000-0005-0000-0000-0000241F0000}"/>
    <cellStyle name="Normal 2 2 10 2 4 11" xfId="7985" xr:uid="{00000000-0005-0000-0000-0000251F0000}"/>
    <cellStyle name="Normal 2 2 10 2 4 12" xfId="7986" xr:uid="{00000000-0005-0000-0000-0000261F0000}"/>
    <cellStyle name="Normal 2 2 10 2 4 13" xfId="7987" xr:uid="{00000000-0005-0000-0000-0000271F0000}"/>
    <cellStyle name="Normal 2 2 10 2 4 14" xfId="7988" xr:uid="{00000000-0005-0000-0000-0000281F0000}"/>
    <cellStyle name="Normal 2 2 10 2 4 2" xfId="7989" xr:uid="{00000000-0005-0000-0000-0000291F0000}"/>
    <cellStyle name="Normal 2 2 10 2 4 2 10" xfId="7990" xr:uid="{00000000-0005-0000-0000-00002A1F0000}"/>
    <cellStyle name="Normal 2 2 10 2 4 2 2" xfId="7991" xr:uid="{00000000-0005-0000-0000-00002B1F0000}"/>
    <cellStyle name="Normal 2 2 10 2 4 2 3" xfId="7992" xr:uid="{00000000-0005-0000-0000-00002C1F0000}"/>
    <cellStyle name="Normal 2 2 10 2 4 2 4" xfId="7993" xr:uid="{00000000-0005-0000-0000-00002D1F0000}"/>
    <cellStyle name="Normal 2 2 10 2 4 2 5" xfId="7994" xr:uid="{00000000-0005-0000-0000-00002E1F0000}"/>
    <cellStyle name="Normal 2 2 10 2 4 2 6" xfId="7995" xr:uid="{00000000-0005-0000-0000-00002F1F0000}"/>
    <cellStyle name="Normal 2 2 10 2 4 2 7" xfId="7996" xr:uid="{00000000-0005-0000-0000-0000301F0000}"/>
    <cellStyle name="Normal 2 2 10 2 4 2 8" xfId="7997" xr:uid="{00000000-0005-0000-0000-0000311F0000}"/>
    <cellStyle name="Normal 2 2 10 2 4 2 9" xfId="7998" xr:uid="{00000000-0005-0000-0000-0000321F0000}"/>
    <cellStyle name="Normal 2 2 10 2 4 3" xfId="7999" xr:uid="{00000000-0005-0000-0000-0000331F0000}"/>
    <cellStyle name="Normal 2 2 10 2 4 3 10" xfId="8000" xr:uid="{00000000-0005-0000-0000-0000341F0000}"/>
    <cellStyle name="Normal 2 2 10 2 4 3 2" xfId="8001" xr:uid="{00000000-0005-0000-0000-0000351F0000}"/>
    <cellStyle name="Normal 2 2 10 2 4 3 3" xfId="8002" xr:uid="{00000000-0005-0000-0000-0000361F0000}"/>
    <cellStyle name="Normal 2 2 10 2 4 3 4" xfId="8003" xr:uid="{00000000-0005-0000-0000-0000371F0000}"/>
    <cellStyle name="Normal 2 2 10 2 4 3 5" xfId="8004" xr:uid="{00000000-0005-0000-0000-0000381F0000}"/>
    <cellStyle name="Normal 2 2 10 2 4 3 6" xfId="8005" xr:uid="{00000000-0005-0000-0000-0000391F0000}"/>
    <cellStyle name="Normal 2 2 10 2 4 3 7" xfId="8006" xr:uid="{00000000-0005-0000-0000-00003A1F0000}"/>
    <cellStyle name="Normal 2 2 10 2 4 3 8" xfId="8007" xr:uid="{00000000-0005-0000-0000-00003B1F0000}"/>
    <cellStyle name="Normal 2 2 10 2 4 3 9" xfId="8008" xr:uid="{00000000-0005-0000-0000-00003C1F0000}"/>
    <cellStyle name="Normal 2 2 10 2 4 4" xfId="8009" xr:uid="{00000000-0005-0000-0000-00003D1F0000}"/>
    <cellStyle name="Normal 2 2 10 2 4 4 10" xfId="8010" xr:uid="{00000000-0005-0000-0000-00003E1F0000}"/>
    <cellStyle name="Normal 2 2 10 2 4 4 2" xfId="8011" xr:uid="{00000000-0005-0000-0000-00003F1F0000}"/>
    <cellStyle name="Normal 2 2 10 2 4 4 3" xfId="8012" xr:uid="{00000000-0005-0000-0000-0000401F0000}"/>
    <cellStyle name="Normal 2 2 10 2 4 4 4" xfId="8013" xr:uid="{00000000-0005-0000-0000-0000411F0000}"/>
    <cellStyle name="Normal 2 2 10 2 4 4 5" xfId="8014" xr:uid="{00000000-0005-0000-0000-0000421F0000}"/>
    <cellStyle name="Normal 2 2 10 2 4 4 6" xfId="8015" xr:uid="{00000000-0005-0000-0000-0000431F0000}"/>
    <cellStyle name="Normal 2 2 10 2 4 4 7" xfId="8016" xr:uid="{00000000-0005-0000-0000-0000441F0000}"/>
    <cellStyle name="Normal 2 2 10 2 4 4 8" xfId="8017" xr:uid="{00000000-0005-0000-0000-0000451F0000}"/>
    <cellStyle name="Normal 2 2 10 2 4 4 9" xfId="8018" xr:uid="{00000000-0005-0000-0000-0000461F0000}"/>
    <cellStyle name="Normal 2 2 10 2 4 5" xfId="8019" xr:uid="{00000000-0005-0000-0000-0000471F0000}"/>
    <cellStyle name="Normal 2 2 10 2 4 5 10" xfId="8020" xr:uid="{00000000-0005-0000-0000-0000481F0000}"/>
    <cellStyle name="Normal 2 2 10 2 4 5 2" xfId="8021" xr:uid="{00000000-0005-0000-0000-0000491F0000}"/>
    <cellStyle name="Normal 2 2 10 2 4 5 3" xfId="8022" xr:uid="{00000000-0005-0000-0000-00004A1F0000}"/>
    <cellStyle name="Normal 2 2 10 2 4 5 4" xfId="8023" xr:uid="{00000000-0005-0000-0000-00004B1F0000}"/>
    <cellStyle name="Normal 2 2 10 2 4 5 5" xfId="8024" xr:uid="{00000000-0005-0000-0000-00004C1F0000}"/>
    <cellStyle name="Normal 2 2 10 2 4 5 6" xfId="8025" xr:uid="{00000000-0005-0000-0000-00004D1F0000}"/>
    <cellStyle name="Normal 2 2 10 2 4 5 7" xfId="8026" xr:uid="{00000000-0005-0000-0000-00004E1F0000}"/>
    <cellStyle name="Normal 2 2 10 2 4 5 8" xfId="8027" xr:uid="{00000000-0005-0000-0000-00004F1F0000}"/>
    <cellStyle name="Normal 2 2 10 2 4 5 9" xfId="8028" xr:uid="{00000000-0005-0000-0000-0000501F0000}"/>
    <cellStyle name="Normal 2 2 10 2 4 6" xfId="8029" xr:uid="{00000000-0005-0000-0000-0000511F0000}"/>
    <cellStyle name="Normal 2 2 10 2 4 7" xfId="8030" xr:uid="{00000000-0005-0000-0000-0000521F0000}"/>
    <cellStyle name="Normal 2 2 10 2 4 8" xfId="8031" xr:uid="{00000000-0005-0000-0000-0000531F0000}"/>
    <cellStyle name="Normal 2 2 10 2 4 9" xfId="8032" xr:uid="{00000000-0005-0000-0000-0000541F0000}"/>
    <cellStyle name="Normal 2 2 10 2 40" xfId="8033" xr:uid="{00000000-0005-0000-0000-0000551F0000}"/>
    <cellStyle name="Normal 2 2 10 2 41" xfId="8034" xr:uid="{00000000-0005-0000-0000-0000561F0000}"/>
    <cellStyle name="Normal 2 2 10 2 42" xfId="8035" xr:uid="{00000000-0005-0000-0000-0000571F0000}"/>
    <cellStyle name="Normal 2 2 10 2 43" xfId="8036" xr:uid="{00000000-0005-0000-0000-0000581F0000}"/>
    <cellStyle name="Normal 2 2 10 2 44" xfId="8037" xr:uid="{00000000-0005-0000-0000-0000591F0000}"/>
    <cellStyle name="Normal 2 2 10 2 45" xfId="8038" xr:uid="{00000000-0005-0000-0000-00005A1F0000}"/>
    <cellStyle name="Normal 2 2 10 2 46" xfId="8039" xr:uid="{00000000-0005-0000-0000-00005B1F0000}"/>
    <cellStyle name="Normal 2 2 10 2 5" xfId="8040" xr:uid="{00000000-0005-0000-0000-00005C1F0000}"/>
    <cellStyle name="Normal 2 2 10 2 5 10" xfId="8041" xr:uid="{00000000-0005-0000-0000-00005D1F0000}"/>
    <cellStyle name="Normal 2 2 10 2 5 11" xfId="8042" xr:uid="{00000000-0005-0000-0000-00005E1F0000}"/>
    <cellStyle name="Normal 2 2 10 2 5 12" xfId="8043" xr:uid="{00000000-0005-0000-0000-00005F1F0000}"/>
    <cellStyle name="Normal 2 2 10 2 5 13" xfId="8044" xr:uid="{00000000-0005-0000-0000-0000601F0000}"/>
    <cellStyle name="Normal 2 2 10 2 5 14" xfId="8045" xr:uid="{00000000-0005-0000-0000-0000611F0000}"/>
    <cellStyle name="Normal 2 2 10 2 5 2" xfId="8046" xr:uid="{00000000-0005-0000-0000-0000621F0000}"/>
    <cellStyle name="Normal 2 2 10 2 5 2 10" xfId="8047" xr:uid="{00000000-0005-0000-0000-0000631F0000}"/>
    <cellStyle name="Normal 2 2 10 2 5 2 2" xfId="8048" xr:uid="{00000000-0005-0000-0000-0000641F0000}"/>
    <cellStyle name="Normal 2 2 10 2 5 2 3" xfId="8049" xr:uid="{00000000-0005-0000-0000-0000651F0000}"/>
    <cellStyle name="Normal 2 2 10 2 5 2 4" xfId="8050" xr:uid="{00000000-0005-0000-0000-0000661F0000}"/>
    <cellStyle name="Normal 2 2 10 2 5 2 5" xfId="8051" xr:uid="{00000000-0005-0000-0000-0000671F0000}"/>
    <cellStyle name="Normal 2 2 10 2 5 2 6" xfId="8052" xr:uid="{00000000-0005-0000-0000-0000681F0000}"/>
    <cellStyle name="Normal 2 2 10 2 5 2 7" xfId="8053" xr:uid="{00000000-0005-0000-0000-0000691F0000}"/>
    <cellStyle name="Normal 2 2 10 2 5 2 8" xfId="8054" xr:uid="{00000000-0005-0000-0000-00006A1F0000}"/>
    <cellStyle name="Normal 2 2 10 2 5 2 9" xfId="8055" xr:uid="{00000000-0005-0000-0000-00006B1F0000}"/>
    <cellStyle name="Normal 2 2 10 2 5 3" xfId="8056" xr:uid="{00000000-0005-0000-0000-00006C1F0000}"/>
    <cellStyle name="Normal 2 2 10 2 5 3 10" xfId="8057" xr:uid="{00000000-0005-0000-0000-00006D1F0000}"/>
    <cellStyle name="Normal 2 2 10 2 5 3 2" xfId="8058" xr:uid="{00000000-0005-0000-0000-00006E1F0000}"/>
    <cellStyle name="Normal 2 2 10 2 5 3 3" xfId="8059" xr:uid="{00000000-0005-0000-0000-00006F1F0000}"/>
    <cellStyle name="Normal 2 2 10 2 5 3 4" xfId="8060" xr:uid="{00000000-0005-0000-0000-0000701F0000}"/>
    <cellStyle name="Normal 2 2 10 2 5 3 5" xfId="8061" xr:uid="{00000000-0005-0000-0000-0000711F0000}"/>
    <cellStyle name="Normal 2 2 10 2 5 3 6" xfId="8062" xr:uid="{00000000-0005-0000-0000-0000721F0000}"/>
    <cellStyle name="Normal 2 2 10 2 5 3 7" xfId="8063" xr:uid="{00000000-0005-0000-0000-0000731F0000}"/>
    <cellStyle name="Normal 2 2 10 2 5 3 8" xfId="8064" xr:uid="{00000000-0005-0000-0000-0000741F0000}"/>
    <cellStyle name="Normal 2 2 10 2 5 3 9" xfId="8065" xr:uid="{00000000-0005-0000-0000-0000751F0000}"/>
    <cellStyle name="Normal 2 2 10 2 5 4" xfId="8066" xr:uid="{00000000-0005-0000-0000-0000761F0000}"/>
    <cellStyle name="Normal 2 2 10 2 5 4 10" xfId="8067" xr:uid="{00000000-0005-0000-0000-0000771F0000}"/>
    <cellStyle name="Normal 2 2 10 2 5 4 2" xfId="8068" xr:uid="{00000000-0005-0000-0000-0000781F0000}"/>
    <cellStyle name="Normal 2 2 10 2 5 4 3" xfId="8069" xr:uid="{00000000-0005-0000-0000-0000791F0000}"/>
    <cellStyle name="Normal 2 2 10 2 5 4 4" xfId="8070" xr:uid="{00000000-0005-0000-0000-00007A1F0000}"/>
    <cellStyle name="Normal 2 2 10 2 5 4 5" xfId="8071" xr:uid="{00000000-0005-0000-0000-00007B1F0000}"/>
    <cellStyle name="Normal 2 2 10 2 5 4 6" xfId="8072" xr:uid="{00000000-0005-0000-0000-00007C1F0000}"/>
    <cellStyle name="Normal 2 2 10 2 5 4 7" xfId="8073" xr:uid="{00000000-0005-0000-0000-00007D1F0000}"/>
    <cellStyle name="Normal 2 2 10 2 5 4 8" xfId="8074" xr:uid="{00000000-0005-0000-0000-00007E1F0000}"/>
    <cellStyle name="Normal 2 2 10 2 5 4 9" xfId="8075" xr:uid="{00000000-0005-0000-0000-00007F1F0000}"/>
    <cellStyle name="Normal 2 2 10 2 5 5" xfId="8076" xr:uid="{00000000-0005-0000-0000-0000801F0000}"/>
    <cellStyle name="Normal 2 2 10 2 5 5 10" xfId="8077" xr:uid="{00000000-0005-0000-0000-0000811F0000}"/>
    <cellStyle name="Normal 2 2 10 2 5 5 2" xfId="8078" xr:uid="{00000000-0005-0000-0000-0000821F0000}"/>
    <cellStyle name="Normal 2 2 10 2 5 5 3" xfId="8079" xr:uid="{00000000-0005-0000-0000-0000831F0000}"/>
    <cellStyle name="Normal 2 2 10 2 5 5 4" xfId="8080" xr:uid="{00000000-0005-0000-0000-0000841F0000}"/>
    <cellStyle name="Normal 2 2 10 2 5 5 5" xfId="8081" xr:uid="{00000000-0005-0000-0000-0000851F0000}"/>
    <cellStyle name="Normal 2 2 10 2 5 5 6" xfId="8082" xr:uid="{00000000-0005-0000-0000-0000861F0000}"/>
    <cellStyle name="Normal 2 2 10 2 5 5 7" xfId="8083" xr:uid="{00000000-0005-0000-0000-0000871F0000}"/>
    <cellStyle name="Normal 2 2 10 2 5 5 8" xfId="8084" xr:uid="{00000000-0005-0000-0000-0000881F0000}"/>
    <cellStyle name="Normal 2 2 10 2 5 5 9" xfId="8085" xr:uid="{00000000-0005-0000-0000-0000891F0000}"/>
    <cellStyle name="Normal 2 2 10 2 5 6" xfId="8086" xr:uid="{00000000-0005-0000-0000-00008A1F0000}"/>
    <cellStyle name="Normal 2 2 10 2 5 7" xfId="8087" xr:uid="{00000000-0005-0000-0000-00008B1F0000}"/>
    <cellStyle name="Normal 2 2 10 2 5 8" xfId="8088" xr:uid="{00000000-0005-0000-0000-00008C1F0000}"/>
    <cellStyle name="Normal 2 2 10 2 5 9" xfId="8089" xr:uid="{00000000-0005-0000-0000-00008D1F0000}"/>
    <cellStyle name="Normal 2 2 10 2 6" xfId="8090" xr:uid="{00000000-0005-0000-0000-00008E1F0000}"/>
    <cellStyle name="Normal 2 2 10 2 6 10" xfId="8091" xr:uid="{00000000-0005-0000-0000-00008F1F0000}"/>
    <cellStyle name="Normal 2 2 10 2 6 11" xfId="8092" xr:uid="{00000000-0005-0000-0000-0000901F0000}"/>
    <cellStyle name="Normal 2 2 10 2 6 12" xfId="8093" xr:uid="{00000000-0005-0000-0000-0000911F0000}"/>
    <cellStyle name="Normal 2 2 10 2 6 13" xfId="8094" xr:uid="{00000000-0005-0000-0000-0000921F0000}"/>
    <cellStyle name="Normal 2 2 10 2 6 14" xfId="8095" xr:uid="{00000000-0005-0000-0000-0000931F0000}"/>
    <cellStyle name="Normal 2 2 10 2 6 2" xfId="8096" xr:uid="{00000000-0005-0000-0000-0000941F0000}"/>
    <cellStyle name="Normal 2 2 10 2 6 2 10" xfId="8097" xr:uid="{00000000-0005-0000-0000-0000951F0000}"/>
    <cellStyle name="Normal 2 2 10 2 6 2 2" xfId="8098" xr:uid="{00000000-0005-0000-0000-0000961F0000}"/>
    <cellStyle name="Normal 2 2 10 2 6 2 3" xfId="8099" xr:uid="{00000000-0005-0000-0000-0000971F0000}"/>
    <cellStyle name="Normal 2 2 10 2 6 2 4" xfId="8100" xr:uid="{00000000-0005-0000-0000-0000981F0000}"/>
    <cellStyle name="Normal 2 2 10 2 6 2 5" xfId="8101" xr:uid="{00000000-0005-0000-0000-0000991F0000}"/>
    <cellStyle name="Normal 2 2 10 2 6 2 6" xfId="8102" xr:uid="{00000000-0005-0000-0000-00009A1F0000}"/>
    <cellStyle name="Normal 2 2 10 2 6 2 7" xfId="8103" xr:uid="{00000000-0005-0000-0000-00009B1F0000}"/>
    <cellStyle name="Normal 2 2 10 2 6 2 8" xfId="8104" xr:uid="{00000000-0005-0000-0000-00009C1F0000}"/>
    <cellStyle name="Normal 2 2 10 2 6 2 9" xfId="8105" xr:uid="{00000000-0005-0000-0000-00009D1F0000}"/>
    <cellStyle name="Normal 2 2 10 2 6 3" xfId="8106" xr:uid="{00000000-0005-0000-0000-00009E1F0000}"/>
    <cellStyle name="Normal 2 2 10 2 6 3 10" xfId="8107" xr:uid="{00000000-0005-0000-0000-00009F1F0000}"/>
    <cellStyle name="Normal 2 2 10 2 6 3 2" xfId="8108" xr:uid="{00000000-0005-0000-0000-0000A01F0000}"/>
    <cellStyle name="Normal 2 2 10 2 6 3 3" xfId="8109" xr:uid="{00000000-0005-0000-0000-0000A11F0000}"/>
    <cellStyle name="Normal 2 2 10 2 6 3 4" xfId="8110" xr:uid="{00000000-0005-0000-0000-0000A21F0000}"/>
    <cellStyle name="Normal 2 2 10 2 6 3 5" xfId="8111" xr:uid="{00000000-0005-0000-0000-0000A31F0000}"/>
    <cellStyle name="Normal 2 2 10 2 6 3 6" xfId="8112" xr:uid="{00000000-0005-0000-0000-0000A41F0000}"/>
    <cellStyle name="Normal 2 2 10 2 6 3 7" xfId="8113" xr:uid="{00000000-0005-0000-0000-0000A51F0000}"/>
    <cellStyle name="Normal 2 2 10 2 6 3 8" xfId="8114" xr:uid="{00000000-0005-0000-0000-0000A61F0000}"/>
    <cellStyle name="Normal 2 2 10 2 6 3 9" xfId="8115" xr:uid="{00000000-0005-0000-0000-0000A71F0000}"/>
    <cellStyle name="Normal 2 2 10 2 6 4" xfId="8116" xr:uid="{00000000-0005-0000-0000-0000A81F0000}"/>
    <cellStyle name="Normal 2 2 10 2 6 4 10" xfId="8117" xr:uid="{00000000-0005-0000-0000-0000A91F0000}"/>
    <cellStyle name="Normal 2 2 10 2 6 4 2" xfId="8118" xr:uid="{00000000-0005-0000-0000-0000AA1F0000}"/>
    <cellStyle name="Normal 2 2 10 2 6 4 3" xfId="8119" xr:uid="{00000000-0005-0000-0000-0000AB1F0000}"/>
    <cellStyle name="Normal 2 2 10 2 6 4 4" xfId="8120" xr:uid="{00000000-0005-0000-0000-0000AC1F0000}"/>
    <cellStyle name="Normal 2 2 10 2 6 4 5" xfId="8121" xr:uid="{00000000-0005-0000-0000-0000AD1F0000}"/>
    <cellStyle name="Normal 2 2 10 2 6 4 6" xfId="8122" xr:uid="{00000000-0005-0000-0000-0000AE1F0000}"/>
    <cellStyle name="Normal 2 2 10 2 6 4 7" xfId="8123" xr:uid="{00000000-0005-0000-0000-0000AF1F0000}"/>
    <cellStyle name="Normal 2 2 10 2 6 4 8" xfId="8124" xr:uid="{00000000-0005-0000-0000-0000B01F0000}"/>
    <cellStyle name="Normal 2 2 10 2 6 4 9" xfId="8125" xr:uid="{00000000-0005-0000-0000-0000B11F0000}"/>
    <cellStyle name="Normal 2 2 10 2 6 5" xfId="8126" xr:uid="{00000000-0005-0000-0000-0000B21F0000}"/>
    <cellStyle name="Normal 2 2 10 2 6 5 10" xfId="8127" xr:uid="{00000000-0005-0000-0000-0000B31F0000}"/>
    <cellStyle name="Normal 2 2 10 2 6 5 2" xfId="8128" xr:uid="{00000000-0005-0000-0000-0000B41F0000}"/>
    <cellStyle name="Normal 2 2 10 2 6 5 3" xfId="8129" xr:uid="{00000000-0005-0000-0000-0000B51F0000}"/>
    <cellStyle name="Normal 2 2 10 2 6 5 4" xfId="8130" xr:uid="{00000000-0005-0000-0000-0000B61F0000}"/>
    <cellStyle name="Normal 2 2 10 2 6 5 5" xfId="8131" xr:uid="{00000000-0005-0000-0000-0000B71F0000}"/>
    <cellStyle name="Normal 2 2 10 2 6 5 6" xfId="8132" xr:uid="{00000000-0005-0000-0000-0000B81F0000}"/>
    <cellStyle name="Normal 2 2 10 2 6 5 7" xfId="8133" xr:uid="{00000000-0005-0000-0000-0000B91F0000}"/>
    <cellStyle name="Normal 2 2 10 2 6 5 8" xfId="8134" xr:uid="{00000000-0005-0000-0000-0000BA1F0000}"/>
    <cellStyle name="Normal 2 2 10 2 6 5 9" xfId="8135" xr:uid="{00000000-0005-0000-0000-0000BB1F0000}"/>
    <cellStyle name="Normal 2 2 10 2 6 6" xfId="8136" xr:uid="{00000000-0005-0000-0000-0000BC1F0000}"/>
    <cellStyle name="Normal 2 2 10 2 6 7" xfId="8137" xr:uid="{00000000-0005-0000-0000-0000BD1F0000}"/>
    <cellStyle name="Normal 2 2 10 2 6 8" xfId="8138" xr:uid="{00000000-0005-0000-0000-0000BE1F0000}"/>
    <cellStyle name="Normal 2 2 10 2 6 9" xfId="8139" xr:uid="{00000000-0005-0000-0000-0000BF1F0000}"/>
    <cellStyle name="Normal 2 2 10 2 7" xfId="8140" xr:uid="{00000000-0005-0000-0000-0000C01F0000}"/>
    <cellStyle name="Normal 2 2 10 2 7 10" xfId="8141" xr:uid="{00000000-0005-0000-0000-0000C11F0000}"/>
    <cellStyle name="Normal 2 2 10 2 7 11" xfId="8142" xr:uid="{00000000-0005-0000-0000-0000C21F0000}"/>
    <cellStyle name="Normal 2 2 10 2 7 12" xfId="8143" xr:uid="{00000000-0005-0000-0000-0000C31F0000}"/>
    <cellStyle name="Normal 2 2 10 2 7 13" xfId="8144" xr:uid="{00000000-0005-0000-0000-0000C41F0000}"/>
    <cellStyle name="Normal 2 2 10 2 7 14" xfId="8145" xr:uid="{00000000-0005-0000-0000-0000C51F0000}"/>
    <cellStyle name="Normal 2 2 10 2 7 2" xfId="8146" xr:uid="{00000000-0005-0000-0000-0000C61F0000}"/>
    <cellStyle name="Normal 2 2 10 2 7 2 10" xfId="8147" xr:uid="{00000000-0005-0000-0000-0000C71F0000}"/>
    <cellStyle name="Normal 2 2 10 2 7 2 2" xfId="8148" xr:uid="{00000000-0005-0000-0000-0000C81F0000}"/>
    <cellStyle name="Normal 2 2 10 2 7 2 3" xfId="8149" xr:uid="{00000000-0005-0000-0000-0000C91F0000}"/>
    <cellStyle name="Normal 2 2 10 2 7 2 4" xfId="8150" xr:uid="{00000000-0005-0000-0000-0000CA1F0000}"/>
    <cellStyle name="Normal 2 2 10 2 7 2 5" xfId="8151" xr:uid="{00000000-0005-0000-0000-0000CB1F0000}"/>
    <cellStyle name="Normal 2 2 10 2 7 2 6" xfId="8152" xr:uid="{00000000-0005-0000-0000-0000CC1F0000}"/>
    <cellStyle name="Normal 2 2 10 2 7 2 7" xfId="8153" xr:uid="{00000000-0005-0000-0000-0000CD1F0000}"/>
    <cellStyle name="Normal 2 2 10 2 7 2 8" xfId="8154" xr:uid="{00000000-0005-0000-0000-0000CE1F0000}"/>
    <cellStyle name="Normal 2 2 10 2 7 2 9" xfId="8155" xr:uid="{00000000-0005-0000-0000-0000CF1F0000}"/>
    <cellStyle name="Normal 2 2 10 2 7 3" xfId="8156" xr:uid="{00000000-0005-0000-0000-0000D01F0000}"/>
    <cellStyle name="Normal 2 2 10 2 7 3 10" xfId="8157" xr:uid="{00000000-0005-0000-0000-0000D11F0000}"/>
    <cellStyle name="Normal 2 2 10 2 7 3 2" xfId="8158" xr:uid="{00000000-0005-0000-0000-0000D21F0000}"/>
    <cellStyle name="Normal 2 2 10 2 7 3 3" xfId="8159" xr:uid="{00000000-0005-0000-0000-0000D31F0000}"/>
    <cellStyle name="Normal 2 2 10 2 7 3 4" xfId="8160" xr:uid="{00000000-0005-0000-0000-0000D41F0000}"/>
    <cellStyle name="Normal 2 2 10 2 7 3 5" xfId="8161" xr:uid="{00000000-0005-0000-0000-0000D51F0000}"/>
    <cellStyle name="Normal 2 2 10 2 7 3 6" xfId="8162" xr:uid="{00000000-0005-0000-0000-0000D61F0000}"/>
    <cellStyle name="Normal 2 2 10 2 7 3 7" xfId="8163" xr:uid="{00000000-0005-0000-0000-0000D71F0000}"/>
    <cellStyle name="Normal 2 2 10 2 7 3 8" xfId="8164" xr:uid="{00000000-0005-0000-0000-0000D81F0000}"/>
    <cellStyle name="Normal 2 2 10 2 7 3 9" xfId="8165" xr:uid="{00000000-0005-0000-0000-0000D91F0000}"/>
    <cellStyle name="Normal 2 2 10 2 7 4" xfId="8166" xr:uid="{00000000-0005-0000-0000-0000DA1F0000}"/>
    <cellStyle name="Normal 2 2 10 2 7 4 10" xfId="8167" xr:uid="{00000000-0005-0000-0000-0000DB1F0000}"/>
    <cellStyle name="Normal 2 2 10 2 7 4 2" xfId="8168" xr:uid="{00000000-0005-0000-0000-0000DC1F0000}"/>
    <cellStyle name="Normal 2 2 10 2 7 4 3" xfId="8169" xr:uid="{00000000-0005-0000-0000-0000DD1F0000}"/>
    <cellStyle name="Normal 2 2 10 2 7 4 4" xfId="8170" xr:uid="{00000000-0005-0000-0000-0000DE1F0000}"/>
    <cellStyle name="Normal 2 2 10 2 7 4 5" xfId="8171" xr:uid="{00000000-0005-0000-0000-0000DF1F0000}"/>
    <cellStyle name="Normal 2 2 10 2 7 4 6" xfId="8172" xr:uid="{00000000-0005-0000-0000-0000E01F0000}"/>
    <cellStyle name="Normal 2 2 10 2 7 4 7" xfId="8173" xr:uid="{00000000-0005-0000-0000-0000E11F0000}"/>
    <cellStyle name="Normal 2 2 10 2 7 4 8" xfId="8174" xr:uid="{00000000-0005-0000-0000-0000E21F0000}"/>
    <cellStyle name="Normal 2 2 10 2 7 4 9" xfId="8175" xr:uid="{00000000-0005-0000-0000-0000E31F0000}"/>
    <cellStyle name="Normal 2 2 10 2 7 5" xfId="8176" xr:uid="{00000000-0005-0000-0000-0000E41F0000}"/>
    <cellStyle name="Normal 2 2 10 2 7 5 10" xfId="8177" xr:uid="{00000000-0005-0000-0000-0000E51F0000}"/>
    <cellStyle name="Normal 2 2 10 2 7 5 2" xfId="8178" xr:uid="{00000000-0005-0000-0000-0000E61F0000}"/>
    <cellStyle name="Normal 2 2 10 2 7 5 3" xfId="8179" xr:uid="{00000000-0005-0000-0000-0000E71F0000}"/>
    <cellStyle name="Normal 2 2 10 2 7 5 4" xfId="8180" xr:uid="{00000000-0005-0000-0000-0000E81F0000}"/>
    <cellStyle name="Normal 2 2 10 2 7 5 5" xfId="8181" xr:uid="{00000000-0005-0000-0000-0000E91F0000}"/>
    <cellStyle name="Normal 2 2 10 2 7 5 6" xfId="8182" xr:uid="{00000000-0005-0000-0000-0000EA1F0000}"/>
    <cellStyle name="Normal 2 2 10 2 7 5 7" xfId="8183" xr:uid="{00000000-0005-0000-0000-0000EB1F0000}"/>
    <cellStyle name="Normal 2 2 10 2 7 5 8" xfId="8184" xr:uid="{00000000-0005-0000-0000-0000EC1F0000}"/>
    <cellStyle name="Normal 2 2 10 2 7 5 9" xfId="8185" xr:uid="{00000000-0005-0000-0000-0000ED1F0000}"/>
    <cellStyle name="Normal 2 2 10 2 7 6" xfId="8186" xr:uid="{00000000-0005-0000-0000-0000EE1F0000}"/>
    <cellStyle name="Normal 2 2 10 2 7 7" xfId="8187" xr:uid="{00000000-0005-0000-0000-0000EF1F0000}"/>
    <cellStyle name="Normal 2 2 10 2 7 8" xfId="8188" xr:uid="{00000000-0005-0000-0000-0000F01F0000}"/>
    <cellStyle name="Normal 2 2 10 2 7 9" xfId="8189" xr:uid="{00000000-0005-0000-0000-0000F11F0000}"/>
    <cellStyle name="Normal 2 2 10 2 8" xfId="8190" xr:uid="{00000000-0005-0000-0000-0000F21F0000}"/>
    <cellStyle name="Normal 2 2 10 2 8 10" xfId="8191" xr:uid="{00000000-0005-0000-0000-0000F31F0000}"/>
    <cellStyle name="Normal 2 2 10 2 8 11" xfId="8192" xr:uid="{00000000-0005-0000-0000-0000F41F0000}"/>
    <cellStyle name="Normal 2 2 10 2 8 12" xfId="8193" xr:uid="{00000000-0005-0000-0000-0000F51F0000}"/>
    <cellStyle name="Normal 2 2 10 2 8 13" xfId="8194" xr:uid="{00000000-0005-0000-0000-0000F61F0000}"/>
    <cellStyle name="Normal 2 2 10 2 8 14" xfId="8195" xr:uid="{00000000-0005-0000-0000-0000F71F0000}"/>
    <cellStyle name="Normal 2 2 10 2 8 2" xfId="8196" xr:uid="{00000000-0005-0000-0000-0000F81F0000}"/>
    <cellStyle name="Normal 2 2 10 2 8 2 10" xfId="8197" xr:uid="{00000000-0005-0000-0000-0000F91F0000}"/>
    <cellStyle name="Normal 2 2 10 2 8 2 2" xfId="8198" xr:uid="{00000000-0005-0000-0000-0000FA1F0000}"/>
    <cellStyle name="Normal 2 2 10 2 8 2 3" xfId="8199" xr:uid="{00000000-0005-0000-0000-0000FB1F0000}"/>
    <cellStyle name="Normal 2 2 10 2 8 2 4" xfId="8200" xr:uid="{00000000-0005-0000-0000-0000FC1F0000}"/>
    <cellStyle name="Normal 2 2 10 2 8 2 5" xfId="8201" xr:uid="{00000000-0005-0000-0000-0000FD1F0000}"/>
    <cellStyle name="Normal 2 2 10 2 8 2 6" xfId="8202" xr:uid="{00000000-0005-0000-0000-0000FE1F0000}"/>
    <cellStyle name="Normal 2 2 10 2 8 2 7" xfId="8203" xr:uid="{00000000-0005-0000-0000-0000FF1F0000}"/>
    <cellStyle name="Normal 2 2 10 2 8 2 8" xfId="8204" xr:uid="{00000000-0005-0000-0000-000000200000}"/>
    <cellStyle name="Normal 2 2 10 2 8 2 9" xfId="8205" xr:uid="{00000000-0005-0000-0000-000001200000}"/>
    <cellStyle name="Normal 2 2 10 2 8 3" xfId="8206" xr:uid="{00000000-0005-0000-0000-000002200000}"/>
    <cellStyle name="Normal 2 2 10 2 8 3 10" xfId="8207" xr:uid="{00000000-0005-0000-0000-000003200000}"/>
    <cellStyle name="Normal 2 2 10 2 8 3 2" xfId="8208" xr:uid="{00000000-0005-0000-0000-000004200000}"/>
    <cellStyle name="Normal 2 2 10 2 8 3 3" xfId="8209" xr:uid="{00000000-0005-0000-0000-000005200000}"/>
    <cellStyle name="Normal 2 2 10 2 8 3 4" xfId="8210" xr:uid="{00000000-0005-0000-0000-000006200000}"/>
    <cellStyle name="Normal 2 2 10 2 8 3 5" xfId="8211" xr:uid="{00000000-0005-0000-0000-000007200000}"/>
    <cellStyle name="Normal 2 2 10 2 8 3 6" xfId="8212" xr:uid="{00000000-0005-0000-0000-000008200000}"/>
    <cellStyle name="Normal 2 2 10 2 8 3 7" xfId="8213" xr:uid="{00000000-0005-0000-0000-000009200000}"/>
    <cellStyle name="Normal 2 2 10 2 8 3 8" xfId="8214" xr:uid="{00000000-0005-0000-0000-00000A200000}"/>
    <cellStyle name="Normal 2 2 10 2 8 3 9" xfId="8215" xr:uid="{00000000-0005-0000-0000-00000B200000}"/>
    <cellStyle name="Normal 2 2 10 2 8 4" xfId="8216" xr:uid="{00000000-0005-0000-0000-00000C200000}"/>
    <cellStyle name="Normal 2 2 10 2 8 4 10" xfId="8217" xr:uid="{00000000-0005-0000-0000-00000D200000}"/>
    <cellStyle name="Normal 2 2 10 2 8 4 2" xfId="8218" xr:uid="{00000000-0005-0000-0000-00000E200000}"/>
    <cellStyle name="Normal 2 2 10 2 8 4 3" xfId="8219" xr:uid="{00000000-0005-0000-0000-00000F200000}"/>
    <cellStyle name="Normal 2 2 10 2 8 4 4" xfId="8220" xr:uid="{00000000-0005-0000-0000-000010200000}"/>
    <cellStyle name="Normal 2 2 10 2 8 4 5" xfId="8221" xr:uid="{00000000-0005-0000-0000-000011200000}"/>
    <cellStyle name="Normal 2 2 10 2 8 4 6" xfId="8222" xr:uid="{00000000-0005-0000-0000-000012200000}"/>
    <cellStyle name="Normal 2 2 10 2 8 4 7" xfId="8223" xr:uid="{00000000-0005-0000-0000-000013200000}"/>
    <cellStyle name="Normal 2 2 10 2 8 4 8" xfId="8224" xr:uid="{00000000-0005-0000-0000-000014200000}"/>
    <cellStyle name="Normal 2 2 10 2 8 4 9" xfId="8225" xr:uid="{00000000-0005-0000-0000-000015200000}"/>
    <cellStyle name="Normal 2 2 10 2 8 5" xfId="8226" xr:uid="{00000000-0005-0000-0000-000016200000}"/>
    <cellStyle name="Normal 2 2 10 2 8 5 10" xfId="8227" xr:uid="{00000000-0005-0000-0000-000017200000}"/>
    <cellStyle name="Normal 2 2 10 2 8 5 2" xfId="8228" xr:uid="{00000000-0005-0000-0000-000018200000}"/>
    <cellStyle name="Normal 2 2 10 2 8 5 3" xfId="8229" xr:uid="{00000000-0005-0000-0000-000019200000}"/>
    <cellStyle name="Normal 2 2 10 2 8 5 4" xfId="8230" xr:uid="{00000000-0005-0000-0000-00001A200000}"/>
    <cellStyle name="Normal 2 2 10 2 8 5 5" xfId="8231" xr:uid="{00000000-0005-0000-0000-00001B200000}"/>
    <cellStyle name="Normal 2 2 10 2 8 5 6" xfId="8232" xr:uid="{00000000-0005-0000-0000-00001C200000}"/>
    <cellStyle name="Normal 2 2 10 2 8 5 7" xfId="8233" xr:uid="{00000000-0005-0000-0000-00001D200000}"/>
    <cellStyle name="Normal 2 2 10 2 8 5 8" xfId="8234" xr:uid="{00000000-0005-0000-0000-00001E200000}"/>
    <cellStyle name="Normal 2 2 10 2 8 5 9" xfId="8235" xr:uid="{00000000-0005-0000-0000-00001F200000}"/>
    <cellStyle name="Normal 2 2 10 2 8 6" xfId="8236" xr:uid="{00000000-0005-0000-0000-000020200000}"/>
    <cellStyle name="Normal 2 2 10 2 8 7" xfId="8237" xr:uid="{00000000-0005-0000-0000-000021200000}"/>
    <cellStyle name="Normal 2 2 10 2 8 8" xfId="8238" xr:uid="{00000000-0005-0000-0000-000022200000}"/>
    <cellStyle name="Normal 2 2 10 2 8 9" xfId="8239" xr:uid="{00000000-0005-0000-0000-000023200000}"/>
    <cellStyle name="Normal 2 2 10 2 9" xfId="8240" xr:uid="{00000000-0005-0000-0000-000024200000}"/>
    <cellStyle name="Normal 2 2 10 2 9 10" xfId="8241" xr:uid="{00000000-0005-0000-0000-000025200000}"/>
    <cellStyle name="Normal 2 2 10 2 9 11" xfId="8242" xr:uid="{00000000-0005-0000-0000-000026200000}"/>
    <cellStyle name="Normal 2 2 10 2 9 12" xfId="8243" xr:uid="{00000000-0005-0000-0000-000027200000}"/>
    <cellStyle name="Normal 2 2 10 2 9 13" xfId="8244" xr:uid="{00000000-0005-0000-0000-000028200000}"/>
    <cellStyle name="Normal 2 2 10 2 9 14" xfId="8245" xr:uid="{00000000-0005-0000-0000-000029200000}"/>
    <cellStyle name="Normal 2 2 10 2 9 2" xfId="8246" xr:uid="{00000000-0005-0000-0000-00002A200000}"/>
    <cellStyle name="Normal 2 2 10 2 9 2 10" xfId="8247" xr:uid="{00000000-0005-0000-0000-00002B200000}"/>
    <cellStyle name="Normal 2 2 10 2 9 2 2" xfId="8248" xr:uid="{00000000-0005-0000-0000-00002C200000}"/>
    <cellStyle name="Normal 2 2 10 2 9 2 3" xfId="8249" xr:uid="{00000000-0005-0000-0000-00002D200000}"/>
    <cellStyle name="Normal 2 2 10 2 9 2 4" xfId="8250" xr:uid="{00000000-0005-0000-0000-00002E200000}"/>
    <cellStyle name="Normal 2 2 10 2 9 2 5" xfId="8251" xr:uid="{00000000-0005-0000-0000-00002F200000}"/>
    <cellStyle name="Normal 2 2 10 2 9 2 6" xfId="8252" xr:uid="{00000000-0005-0000-0000-000030200000}"/>
    <cellStyle name="Normal 2 2 10 2 9 2 7" xfId="8253" xr:uid="{00000000-0005-0000-0000-000031200000}"/>
    <cellStyle name="Normal 2 2 10 2 9 2 8" xfId="8254" xr:uid="{00000000-0005-0000-0000-000032200000}"/>
    <cellStyle name="Normal 2 2 10 2 9 2 9" xfId="8255" xr:uid="{00000000-0005-0000-0000-000033200000}"/>
    <cellStyle name="Normal 2 2 10 2 9 3" xfId="8256" xr:uid="{00000000-0005-0000-0000-000034200000}"/>
    <cellStyle name="Normal 2 2 10 2 9 3 10" xfId="8257" xr:uid="{00000000-0005-0000-0000-000035200000}"/>
    <cellStyle name="Normal 2 2 10 2 9 3 2" xfId="8258" xr:uid="{00000000-0005-0000-0000-000036200000}"/>
    <cellStyle name="Normal 2 2 10 2 9 3 3" xfId="8259" xr:uid="{00000000-0005-0000-0000-000037200000}"/>
    <cellStyle name="Normal 2 2 10 2 9 3 4" xfId="8260" xr:uid="{00000000-0005-0000-0000-000038200000}"/>
    <cellStyle name="Normal 2 2 10 2 9 3 5" xfId="8261" xr:uid="{00000000-0005-0000-0000-000039200000}"/>
    <cellStyle name="Normal 2 2 10 2 9 3 6" xfId="8262" xr:uid="{00000000-0005-0000-0000-00003A200000}"/>
    <cellStyle name="Normal 2 2 10 2 9 3 7" xfId="8263" xr:uid="{00000000-0005-0000-0000-00003B200000}"/>
    <cellStyle name="Normal 2 2 10 2 9 3 8" xfId="8264" xr:uid="{00000000-0005-0000-0000-00003C200000}"/>
    <cellStyle name="Normal 2 2 10 2 9 3 9" xfId="8265" xr:uid="{00000000-0005-0000-0000-00003D200000}"/>
    <cellStyle name="Normal 2 2 10 2 9 4" xfId="8266" xr:uid="{00000000-0005-0000-0000-00003E200000}"/>
    <cellStyle name="Normal 2 2 10 2 9 4 10" xfId="8267" xr:uid="{00000000-0005-0000-0000-00003F200000}"/>
    <cellStyle name="Normal 2 2 10 2 9 4 2" xfId="8268" xr:uid="{00000000-0005-0000-0000-000040200000}"/>
    <cellStyle name="Normal 2 2 10 2 9 4 3" xfId="8269" xr:uid="{00000000-0005-0000-0000-000041200000}"/>
    <cellStyle name="Normal 2 2 10 2 9 4 4" xfId="8270" xr:uid="{00000000-0005-0000-0000-000042200000}"/>
    <cellStyle name="Normal 2 2 10 2 9 4 5" xfId="8271" xr:uid="{00000000-0005-0000-0000-000043200000}"/>
    <cellStyle name="Normal 2 2 10 2 9 4 6" xfId="8272" xr:uid="{00000000-0005-0000-0000-000044200000}"/>
    <cellStyle name="Normal 2 2 10 2 9 4 7" xfId="8273" xr:uid="{00000000-0005-0000-0000-000045200000}"/>
    <cellStyle name="Normal 2 2 10 2 9 4 8" xfId="8274" xr:uid="{00000000-0005-0000-0000-000046200000}"/>
    <cellStyle name="Normal 2 2 10 2 9 4 9" xfId="8275" xr:uid="{00000000-0005-0000-0000-000047200000}"/>
    <cellStyle name="Normal 2 2 10 2 9 5" xfId="8276" xr:uid="{00000000-0005-0000-0000-000048200000}"/>
    <cellStyle name="Normal 2 2 10 2 9 5 10" xfId="8277" xr:uid="{00000000-0005-0000-0000-000049200000}"/>
    <cellStyle name="Normal 2 2 10 2 9 5 2" xfId="8278" xr:uid="{00000000-0005-0000-0000-00004A200000}"/>
    <cellStyle name="Normal 2 2 10 2 9 5 3" xfId="8279" xr:uid="{00000000-0005-0000-0000-00004B200000}"/>
    <cellStyle name="Normal 2 2 10 2 9 5 4" xfId="8280" xr:uid="{00000000-0005-0000-0000-00004C200000}"/>
    <cellStyle name="Normal 2 2 10 2 9 5 5" xfId="8281" xr:uid="{00000000-0005-0000-0000-00004D200000}"/>
    <cellStyle name="Normal 2 2 10 2 9 5 6" xfId="8282" xr:uid="{00000000-0005-0000-0000-00004E200000}"/>
    <cellStyle name="Normal 2 2 10 2 9 5 7" xfId="8283" xr:uid="{00000000-0005-0000-0000-00004F200000}"/>
    <cellStyle name="Normal 2 2 10 2 9 5 8" xfId="8284" xr:uid="{00000000-0005-0000-0000-000050200000}"/>
    <cellStyle name="Normal 2 2 10 2 9 5 9" xfId="8285" xr:uid="{00000000-0005-0000-0000-000051200000}"/>
    <cellStyle name="Normal 2 2 10 2 9 6" xfId="8286" xr:uid="{00000000-0005-0000-0000-000052200000}"/>
    <cellStyle name="Normal 2 2 10 2 9 7" xfId="8287" xr:uid="{00000000-0005-0000-0000-000053200000}"/>
    <cellStyle name="Normal 2 2 10 2 9 8" xfId="8288" xr:uid="{00000000-0005-0000-0000-000054200000}"/>
    <cellStyle name="Normal 2 2 10 2 9 9" xfId="8289" xr:uid="{00000000-0005-0000-0000-000055200000}"/>
    <cellStyle name="Normal 2 2 10 20" xfId="8290" xr:uid="{00000000-0005-0000-0000-000056200000}"/>
    <cellStyle name="Normal 2 2 10 20 10" xfId="8291" xr:uid="{00000000-0005-0000-0000-000057200000}"/>
    <cellStyle name="Normal 2 2 10 20 11" xfId="8292" xr:uid="{00000000-0005-0000-0000-000058200000}"/>
    <cellStyle name="Normal 2 2 10 20 12" xfId="8293" xr:uid="{00000000-0005-0000-0000-000059200000}"/>
    <cellStyle name="Normal 2 2 10 20 13" xfId="8294" xr:uid="{00000000-0005-0000-0000-00005A200000}"/>
    <cellStyle name="Normal 2 2 10 20 14" xfId="8295" xr:uid="{00000000-0005-0000-0000-00005B200000}"/>
    <cellStyle name="Normal 2 2 10 20 2" xfId="8296" xr:uid="{00000000-0005-0000-0000-00005C200000}"/>
    <cellStyle name="Normal 2 2 10 20 2 10" xfId="8297" xr:uid="{00000000-0005-0000-0000-00005D200000}"/>
    <cellStyle name="Normal 2 2 10 20 2 2" xfId="8298" xr:uid="{00000000-0005-0000-0000-00005E200000}"/>
    <cellStyle name="Normal 2 2 10 20 2 3" xfId="8299" xr:uid="{00000000-0005-0000-0000-00005F200000}"/>
    <cellStyle name="Normal 2 2 10 20 2 4" xfId="8300" xr:uid="{00000000-0005-0000-0000-000060200000}"/>
    <cellStyle name="Normal 2 2 10 20 2 5" xfId="8301" xr:uid="{00000000-0005-0000-0000-000061200000}"/>
    <cellStyle name="Normal 2 2 10 20 2 6" xfId="8302" xr:uid="{00000000-0005-0000-0000-000062200000}"/>
    <cellStyle name="Normal 2 2 10 20 2 7" xfId="8303" xr:uid="{00000000-0005-0000-0000-000063200000}"/>
    <cellStyle name="Normal 2 2 10 20 2 8" xfId="8304" xr:uid="{00000000-0005-0000-0000-000064200000}"/>
    <cellStyle name="Normal 2 2 10 20 2 9" xfId="8305" xr:uid="{00000000-0005-0000-0000-000065200000}"/>
    <cellStyle name="Normal 2 2 10 20 3" xfId="8306" xr:uid="{00000000-0005-0000-0000-000066200000}"/>
    <cellStyle name="Normal 2 2 10 20 3 10" xfId="8307" xr:uid="{00000000-0005-0000-0000-000067200000}"/>
    <cellStyle name="Normal 2 2 10 20 3 2" xfId="8308" xr:uid="{00000000-0005-0000-0000-000068200000}"/>
    <cellStyle name="Normal 2 2 10 20 3 3" xfId="8309" xr:uid="{00000000-0005-0000-0000-000069200000}"/>
    <cellStyle name="Normal 2 2 10 20 3 4" xfId="8310" xr:uid="{00000000-0005-0000-0000-00006A200000}"/>
    <cellStyle name="Normal 2 2 10 20 3 5" xfId="8311" xr:uid="{00000000-0005-0000-0000-00006B200000}"/>
    <cellStyle name="Normal 2 2 10 20 3 6" xfId="8312" xr:uid="{00000000-0005-0000-0000-00006C200000}"/>
    <cellStyle name="Normal 2 2 10 20 3 7" xfId="8313" xr:uid="{00000000-0005-0000-0000-00006D200000}"/>
    <cellStyle name="Normal 2 2 10 20 3 8" xfId="8314" xr:uid="{00000000-0005-0000-0000-00006E200000}"/>
    <cellStyle name="Normal 2 2 10 20 3 9" xfId="8315" xr:uid="{00000000-0005-0000-0000-00006F200000}"/>
    <cellStyle name="Normal 2 2 10 20 4" xfId="8316" xr:uid="{00000000-0005-0000-0000-000070200000}"/>
    <cellStyle name="Normal 2 2 10 20 4 10" xfId="8317" xr:uid="{00000000-0005-0000-0000-000071200000}"/>
    <cellStyle name="Normal 2 2 10 20 4 2" xfId="8318" xr:uid="{00000000-0005-0000-0000-000072200000}"/>
    <cellStyle name="Normal 2 2 10 20 4 3" xfId="8319" xr:uid="{00000000-0005-0000-0000-000073200000}"/>
    <cellStyle name="Normal 2 2 10 20 4 4" xfId="8320" xr:uid="{00000000-0005-0000-0000-000074200000}"/>
    <cellStyle name="Normal 2 2 10 20 4 5" xfId="8321" xr:uid="{00000000-0005-0000-0000-000075200000}"/>
    <cellStyle name="Normal 2 2 10 20 4 6" xfId="8322" xr:uid="{00000000-0005-0000-0000-000076200000}"/>
    <cellStyle name="Normal 2 2 10 20 4 7" xfId="8323" xr:uid="{00000000-0005-0000-0000-000077200000}"/>
    <cellStyle name="Normal 2 2 10 20 4 8" xfId="8324" xr:uid="{00000000-0005-0000-0000-000078200000}"/>
    <cellStyle name="Normal 2 2 10 20 4 9" xfId="8325" xr:uid="{00000000-0005-0000-0000-000079200000}"/>
    <cellStyle name="Normal 2 2 10 20 5" xfId="8326" xr:uid="{00000000-0005-0000-0000-00007A200000}"/>
    <cellStyle name="Normal 2 2 10 20 5 10" xfId="8327" xr:uid="{00000000-0005-0000-0000-00007B200000}"/>
    <cellStyle name="Normal 2 2 10 20 5 2" xfId="8328" xr:uid="{00000000-0005-0000-0000-00007C200000}"/>
    <cellStyle name="Normal 2 2 10 20 5 3" xfId="8329" xr:uid="{00000000-0005-0000-0000-00007D200000}"/>
    <cellStyle name="Normal 2 2 10 20 5 4" xfId="8330" xr:uid="{00000000-0005-0000-0000-00007E200000}"/>
    <cellStyle name="Normal 2 2 10 20 5 5" xfId="8331" xr:uid="{00000000-0005-0000-0000-00007F200000}"/>
    <cellStyle name="Normal 2 2 10 20 5 6" xfId="8332" xr:uid="{00000000-0005-0000-0000-000080200000}"/>
    <cellStyle name="Normal 2 2 10 20 5 7" xfId="8333" xr:uid="{00000000-0005-0000-0000-000081200000}"/>
    <cellStyle name="Normal 2 2 10 20 5 8" xfId="8334" xr:uid="{00000000-0005-0000-0000-000082200000}"/>
    <cellStyle name="Normal 2 2 10 20 5 9" xfId="8335" xr:uid="{00000000-0005-0000-0000-000083200000}"/>
    <cellStyle name="Normal 2 2 10 20 6" xfId="8336" xr:uid="{00000000-0005-0000-0000-000084200000}"/>
    <cellStyle name="Normal 2 2 10 20 7" xfId="8337" xr:uid="{00000000-0005-0000-0000-000085200000}"/>
    <cellStyle name="Normal 2 2 10 20 8" xfId="8338" xr:uid="{00000000-0005-0000-0000-000086200000}"/>
    <cellStyle name="Normal 2 2 10 20 9" xfId="8339" xr:uid="{00000000-0005-0000-0000-000087200000}"/>
    <cellStyle name="Normal 2 2 10 21" xfId="8340" xr:uid="{00000000-0005-0000-0000-000088200000}"/>
    <cellStyle name="Normal 2 2 10 21 10" xfId="8341" xr:uid="{00000000-0005-0000-0000-000089200000}"/>
    <cellStyle name="Normal 2 2 10 21 11" xfId="8342" xr:uid="{00000000-0005-0000-0000-00008A200000}"/>
    <cellStyle name="Normal 2 2 10 21 12" xfId="8343" xr:uid="{00000000-0005-0000-0000-00008B200000}"/>
    <cellStyle name="Normal 2 2 10 21 13" xfId="8344" xr:uid="{00000000-0005-0000-0000-00008C200000}"/>
    <cellStyle name="Normal 2 2 10 21 14" xfId="8345" xr:uid="{00000000-0005-0000-0000-00008D200000}"/>
    <cellStyle name="Normal 2 2 10 21 2" xfId="8346" xr:uid="{00000000-0005-0000-0000-00008E200000}"/>
    <cellStyle name="Normal 2 2 10 21 2 10" xfId="8347" xr:uid="{00000000-0005-0000-0000-00008F200000}"/>
    <cellStyle name="Normal 2 2 10 21 2 2" xfId="8348" xr:uid="{00000000-0005-0000-0000-000090200000}"/>
    <cellStyle name="Normal 2 2 10 21 2 3" xfId="8349" xr:uid="{00000000-0005-0000-0000-000091200000}"/>
    <cellStyle name="Normal 2 2 10 21 2 4" xfId="8350" xr:uid="{00000000-0005-0000-0000-000092200000}"/>
    <cellStyle name="Normal 2 2 10 21 2 5" xfId="8351" xr:uid="{00000000-0005-0000-0000-000093200000}"/>
    <cellStyle name="Normal 2 2 10 21 2 6" xfId="8352" xr:uid="{00000000-0005-0000-0000-000094200000}"/>
    <cellStyle name="Normal 2 2 10 21 2 7" xfId="8353" xr:uid="{00000000-0005-0000-0000-000095200000}"/>
    <cellStyle name="Normal 2 2 10 21 2 8" xfId="8354" xr:uid="{00000000-0005-0000-0000-000096200000}"/>
    <cellStyle name="Normal 2 2 10 21 2 9" xfId="8355" xr:uid="{00000000-0005-0000-0000-000097200000}"/>
    <cellStyle name="Normal 2 2 10 21 3" xfId="8356" xr:uid="{00000000-0005-0000-0000-000098200000}"/>
    <cellStyle name="Normal 2 2 10 21 3 10" xfId="8357" xr:uid="{00000000-0005-0000-0000-000099200000}"/>
    <cellStyle name="Normal 2 2 10 21 3 2" xfId="8358" xr:uid="{00000000-0005-0000-0000-00009A200000}"/>
    <cellStyle name="Normal 2 2 10 21 3 3" xfId="8359" xr:uid="{00000000-0005-0000-0000-00009B200000}"/>
    <cellStyle name="Normal 2 2 10 21 3 4" xfId="8360" xr:uid="{00000000-0005-0000-0000-00009C200000}"/>
    <cellStyle name="Normal 2 2 10 21 3 5" xfId="8361" xr:uid="{00000000-0005-0000-0000-00009D200000}"/>
    <cellStyle name="Normal 2 2 10 21 3 6" xfId="8362" xr:uid="{00000000-0005-0000-0000-00009E200000}"/>
    <cellStyle name="Normal 2 2 10 21 3 7" xfId="8363" xr:uid="{00000000-0005-0000-0000-00009F200000}"/>
    <cellStyle name="Normal 2 2 10 21 3 8" xfId="8364" xr:uid="{00000000-0005-0000-0000-0000A0200000}"/>
    <cellStyle name="Normal 2 2 10 21 3 9" xfId="8365" xr:uid="{00000000-0005-0000-0000-0000A1200000}"/>
    <cellStyle name="Normal 2 2 10 21 4" xfId="8366" xr:uid="{00000000-0005-0000-0000-0000A2200000}"/>
    <cellStyle name="Normal 2 2 10 21 4 10" xfId="8367" xr:uid="{00000000-0005-0000-0000-0000A3200000}"/>
    <cellStyle name="Normal 2 2 10 21 4 2" xfId="8368" xr:uid="{00000000-0005-0000-0000-0000A4200000}"/>
    <cellStyle name="Normal 2 2 10 21 4 3" xfId="8369" xr:uid="{00000000-0005-0000-0000-0000A5200000}"/>
    <cellStyle name="Normal 2 2 10 21 4 4" xfId="8370" xr:uid="{00000000-0005-0000-0000-0000A6200000}"/>
    <cellStyle name="Normal 2 2 10 21 4 5" xfId="8371" xr:uid="{00000000-0005-0000-0000-0000A7200000}"/>
    <cellStyle name="Normal 2 2 10 21 4 6" xfId="8372" xr:uid="{00000000-0005-0000-0000-0000A8200000}"/>
    <cellStyle name="Normal 2 2 10 21 4 7" xfId="8373" xr:uid="{00000000-0005-0000-0000-0000A9200000}"/>
    <cellStyle name="Normal 2 2 10 21 4 8" xfId="8374" xr:uid="{00000000-0005-0000-0000-0000AA200000}"/>
    <cellStyle name="Normal 2 2 10 21 4 9" xfId="8375" xr:uid="{00000000-0005-0000-0000-0000AB200000}"/>
    <cellStyle name="Normal 2 2 10 21 5" xfId="8376" xr:uid="{00000000-0005-0000-0000-0000AC200000}"/>
    <cellStyle name="Normal 2 2 10 21 5 10" xfId="8377" xr:uid="{00000000-0005-0000-0000-0000AD200000}"/>
    <cellStyle name="Normal 2 2 10 21 5 2" xfId="8378" xr:uid="{00000000-0005-0000-0000-0000AE200000}"/>
    <cellStyle name="Normal 2 2 10 21 5 3" xfId="8379" xr:uid="{00000000-0005-0000-0000-0000AF200000}"/>
    <cellStyle name="Normal 2 2 10 21 5 4" xfId="8380" xr:uid="{00000000-0005-0000-0000-0000B0200000}"/>
    <cellStyle name="Normal 2 2 10 21 5 5" xfId="8381" xr:uid="{00000000-0005-0000-0000-0000B1200000}"/>
    <cellStyle name="Normal 2 2 10 21 5 6" xfId="8382" xr:uid="{00000000-0005-0000-0000-0000B2200000}"/>
    <cellStyle name="Normal 2 2 10 21 5 7" xfId="8383" xr:uid="{00000000-0005-0000-0000-0000B3200000}"/>
    <cellStyle name="Normal 2 2 10 21 5 8" xfId="8384" xr:uid="{00000000-0005-0000-0000-0000B4200000}"/>
    <cellStyle name="Normal 2 2 10 21 5 9" xfId="8385" xr:uid="{00000000-0005-0000-0000-0000B5200000}"/>
    <cellStyle name="Normal 2 2 10 21 6" xfId="8386" xr:uid="{00000000-0005-0000-0000-0000B6200000}"/>
    <cellStyle name="Normal 2 2 10 21 7" xfId="8387" xr:uid="{00000000-0005-0000-0000-0000B7200000}"/>
    <cellStyle name="Normal 2 2 10 21 8" xfId="8388" xr:uid="{00000000-0005-0000-0000-0000B8200000}"/>
    <cellStyle name="Normal 2 2 10 21 9" xfId="8389" xr:uid="{00000000-0005-0000-0000-0000B9200000}"/>
    <cellStyle name="Normal 2 2 10 22" xfId="8390" xr:uid="{00000000-0005-0000-0000-0000BA200000}"/>
    <cellStyle name="Normal 2 2 10 22 10" xfId="8391" xr:uid="{00000000-0005-0000-0000-0000BB200000}"/>
    <cellStyle name="Normal 2 2 10 22 11" xfId="8392" xr:uid="{00000000-0005-0000-0000-0000BC200000}"/>
    <cellStyle name="Normal 2 2 10 22 12" xfId="8393" xr:uid="{00000000-0005-0000-0000-0000BD200000}"/>
    <cellStyle name="Normal 2 2 10 22 13" xfId="8394" xr:uid="{00000000-0005-0000-0000-0000BE200000}"/>
    <cellStyle name="Normal 2 2 10 22 14" xfId="8395" xr:uid="{00000000-0005-0000-0000-0000BF200000}"/>
    <cellStyle name="Normal 2 2 10 22 2" xfId="8396" xr:uid="{00000000-0005-0000-0000-0000C0200000}"/>
    <cellStyle name="Normal 2 2 10 22 2 10" xfId="8397" xr:uid="{00000000-0005-0000-0000-0000C1200000}"/>
    <cellStyle name="Normal 2 2 10 22 2 2" xfId="8398" xr:uid="{00000000-0005-0000-0000-0000C2200000}"/>
    <cellStyle name="Normal 2 2 10 22 2 3" xfId="8399" xr:uid="{00000000-0005-0000-0000-0000C3200000}"/>
    <cellStyle name="Normal 2 2 10 22 2 4" xfId="8400" xr:uid="{00000000-0005-0000-0000-0000C4200000}"/>
    <cellStyle name="Normal 2 2 10 22 2 5" xfId="8401" xr:uid="{00000000-0005-0000-0000-0000C5200000}"/>
    <cellStyle name="Normal 2 2 10 22 2 6" xfId="8402" xr:uid="{00000000-0005-0000-0000-0000C6200000}"/>
    <cellStyle name="Normal 2 2 10 22 2 7" xfId="8403" xr:uid="{00000000-0005-0000-0000-0000C7200000}"/>
    <cellStyle name="Normal 2 2 10 22 2 8" xfId="8404" xr:uid="{00000000-0005-0000-0000-0000C8200000}"/>
    <cellStyle name="Normal 2 2 10 22 2 9" xfId="8405" xr:uid="{00000000-0005-0000-0000-0000C9200000}"/>
    <cellStyle name="Normal 2 2 10 22 3" xfId="8406" xr:uid="{00000000-0005-0000-0000-0000CA200000}"/>
    <cellStyle name="Normal 2 2 10 22 3 10" xfId="8407" xr:uid="{00000000-0005-0000-0000-0000CB200000}"/>
    <cellStyle name="Normal 2 2 10 22 3 2" xfId="8408" xr:uid="{00000000-0005-0000-0000-0000CC200000}"/>
    <cellStyle name="Normal 2 2 10 22 3 3" xfId="8409" xr:uid="{00000000-0005-0000-0000-0000CD200000}"/>
    <cellStyle name="Normal 2 2 10 22 3 4" xfId="8410" xr:uid="{00000000-0005-0000-0000-0000CE200000}"/>
    <cellStyle name="Normal 2 2 10 22 3 5" xfId="8411" xr:uid="{00000000-0005-0000-0000-0000CF200000}"/>
    <cellStyle name="Normal 2 2 10 22 3 6" xfId="8412" xr:uid="{00000000-0005-0000-0000-0000D0200000}"/>
    <cellStyle name="Normal 2 2 10 22 3 7" xfId="8413" xr:uid="{00000000-0005-0000-0000-0000D1200000}"/>
    <cellStyle name="Normal 2 2 10 22 3 8" xfId="8414" xr:uid="{00000000-0005-0000-0000-0000D2200000}"/>
    <cellStyle name="Normal 2 2 10 22 3 9" xfId="8415" xr:uid="{00000000-0005-0000-0000-0000D3200000}"/>
    <cellStyle name="Normal 2 2 10 22 4" xfId="8416" xr:uid="{00000000-0005-0000-0000-0000D4200000}"/>
    <cellStyle name="Normal 2 2 10 22 4 10" xfId="8417" xr:uid="{00000000-0005-0000-0000-0000D5200000}"/>
    <cellStyle name="Normal 2 2 10 22 4 2" xfId="8418" xr:uid="{00000000-0005-0000-0000-0000D6200000}"/>
    <cellStyle name="Normal 2 2 10 22 4 3" xfId="8419" xr:uid="{00000000-0005-0000-0000-0000D7200000}"/>
    <cellStyle name="Normal 2 2 10 22 4 4" xfId="8420" xr:uid="{00000000-0005-0000-0000-0000D8200000}"/>
    <cellStyle name="Normal 2 2 10 22 4 5" xfId="8421" xr:uid="{00000000-0005-0000-0000-0000D9200000}"/>
    <cellStyle name="Normal 2 2 10 22 4 6" xfId="8422" xr:uid="{00000000-0005-0000-0000-0000DA200000}"/>
    <cellStyle name="Normal 2 2 10 22 4 7" xfId="8423" xr:uid="{00000000-0005-0000-0000-0000DB200000}"/>
    <cellStyle name="Normal 2 2 10 22 4 8" xfId="8424" xr:uid="{00000000-0005-0000-0000-0000DC200000}"/>
    <cellStyle name="Normal 2 2 10 22 4 9" xfId="8425" xr:uid="{00000000-0005-0000-0000-0000DD200000}"/>
    <cellStyle name="Normal 2 2 10 22 5" xfId="8426" xr:uid="{00000000-0005-0000-0000-0000DE200000}"/>
    <cellStyle name="Normal 2 2 10 22 5 10" xfId="8427" xr:uid="{00000000-0005-0000-0000-0000DF200000}"/>
    <cellStyle name="Normal 2 2 10 22 5 2" xfId="8428" xr:uid="{00000000-0005-0000-0000-0000E0200000}"/>
    <cellStyle name="Normal 2 2 10 22 5 3" xfId="8429" xr:uid="{00000000-0005-0000-0000-0000E1200000}"/>
    <cellStyle name="Normal 2 2 10 22 5 4" xfId="8430" xr:uid="{00000000-0005-0000-0000-0000E2200000}"/>
    <cellStyle name="Normal 2 2 10 22 5 5" xfId="8431" xr:uid="{00000000-0005-0000-0000-0000E3200000}"/>
    <cellStyle name="Normal 2 2 10 22 5 6" xfId="8432" xr:uid="{00000000-0005-0000-0000-0000E4200000}"/>
    <cellStyle name="Normal 2 2 10 22 5 7" xfId="8433" xr:uid="{00000000-0005-0000-0000-0000E5200000}"/>
    <cellStyle name="Normal 2 2 10 22 5 8" xfId="8434" xr:uid="{00000000-0005-0000-0000-0000E6200000}"/>
    <cellStyle name="Normal 2 2 10 22 5 9" xfId="8435" xr:uid="{00000000-0005-0000-0000-0000E7200000}"/>
    <cellStyle name="Normal 2 2 10 22 6" xfId="8436" xr:uid="{00000000-0005-0000-0000-0000E8200000}"/>
    <cellStyle name="Normal 2 2 10 22 7" xfId="8437" xr:uid="{00000000-0005-0000-0000-0000E9200000}"/>
    <cellStyle name="Normal 2 2 10 22 8" xfId="8438" xr:uid="{00000000-0005-0000-0000-0000EA200000}"/>
    <cellStyle name="Normal 2 2 10 22 9" xfId="8439" xr:uid="{00000000-0005-0000-0000-0000EB200000}"/>
    <cellStyle name="Normal 2 2 10 23" xfId="8440" xr:uid="{00000000-0005-0000-0000-0000EC200000}"/>
    <cellStyle name="Normal 2 2 10 23 10" xfId="8441" xr:uid="{00000000-0005-0000-0000-0000ED200000}"/>
    <cellStyle name="Normal 2 2 10 23 11" xfId="8442" xr:uid="{00000000-0005-0000-0000-0000EE200000}"/>
    <cellStyle name="Normal 2 2 10 23 12" xfId="8443" xr:uid="{00000000-0005-0000-0000-0000EF200000}"/>
    <cellStyle name="Normal 2 2 10 23 13" xfId="8444" xr:uid="{00000000-0005-0000-0000-0000F0200000}"/>
    <cellStyle name="Normal 2 2 10 23 14" xfId="8445" xr:uid="{00000000-0005-0000-0000-0000F1200000}"/>
    <cellStyle name="Normal 2 2 10 23 2" xfId="8446" xr:uid="{00000000-0005-0000-0000-0000F2200000}"/>
    <cellStyle name="Normal 2 2 10 23 2 10" xfId="8447" xr:uid="{00000000-0005-0000-0000-0000F3200000}"/>
    <cellStyle name="Normal 2 2 10 23 2 2" xfId="8448" xr:uid="{00000000-0005-0000-0000-0000F4200000}"/>
    <cellStyle name="Normal 2 2 10 23 2 3" xfId="8449" xr:uid="{00000000-0005-0000-0000-0000F5200000}"/>
    <cellStyle name="Normal 2 2 10 23 2 4" xfId="8450" xr:uid="{00000000-0005-0000-0000-0000F6200000}"/>
    <cellStyle name="Normal 2 2 10 23 2 5" xfId="8451" xr:uid="{00000000-0005-0000-0000-0000F7200000}"/>
    <cellStyle name="Normal 2 2 10 23 2 6" xfId="8452" xr:uid="{00000000-0005-0000-0000-0000F8200000}"/>
    <cellStyle name="Normal 2 2 10 23 2 7" xfId="8453" xr:uid="{00000000-0005-0000-0000-0000F9200000}"/>
    <cellStyle name="Normal 2 2 10 23 2 8" xfId="8454" xr:uid="{00000000-0005-0000-0000-0000FA200000}"/>
    <cellStyle name="Normal 2 2 10 23 2 9" xfId="8455" xr:uid="{00000000-0005-0000-0000-0000FB200000}"/>
    <cellStyle name="Normal 2 2 10 23 3" xfId="8456" xr:uid="{00000000-0005-0000-0000-0000FC200000}"/>
    <cellStyle name="Normal 2 2 10 23 3 10" xfId="8457" xr:uid="{00000000-0005-0000-0000-0000FD200000}"/>
    <cellStyle name="Normal 2 2 10 23 3 2" xfId="8458" xr:uid="{00000000-0005-0000-0000-0000FE200000}"/>
    <cellStyle name="Normal 2 2 10 23 3 3" xfId="8459" xr:uid="{00000000-0005-0000-0000-0000FF200000}"/>
    <cellStyle name="Normal 2 2 10 23 3 4" xfId="8460" xr:uid="{00000000-0005-0000-0000-000000210000}"/>
    <cellStyle name="Normal 2 2 10 23 3 5" xfId="8461" xr:uid="{00000000-0005-0000-0000-000001210000}"/>
    <cellStyle name="Normal 2 2 10 23 3 6" xfId="8462" xr:uid="{00000000-0005-0000-0000-000002210000}"/>
    <cellStyle name="Normal 2 2 10 23 3 7" xfId="8463" xr:uid="{00000000-0005-0000-0000-000003210000}"/>
    <cellStyle name="Normal 2 2 10 23 3 8" xfId="8464" xr:uid="{00000000-0005-0000-0000-000004210000}"/>
    <cellStyle name="Normal 2 2 10 23 3 9" xfId="8465" xr:uid="{00000000-0005-0000-0000-000005210000}"/>
    <cellStyle name="Normal 2 2 10 23 4" xfId="8466" xr:uid="{00000000-0005-0000-0000-000006210000}"/>
    <cellStyle name="Normal 2 2 10 23 4 10" xfId="8467" xr:uid="{00000000-0005-0000-0000-000007210000}"/>
    <cellStyle name="Normal 2 2 10 23 4 2" xfId="8468" xr:uid="{00000000-0005-0000-0000-000008210000}"/>
    <cellStyle name="Normal 2 2 10 23 4 3" xfId="8469" xr:uid="{00000000-0005-0000-0000-000009210000}"/>
    <cellStyle name="Normal 2 2 10 23 4 4" xfId="8470" xr:uid="{00000000-0005-0000-0000-00000A210000}"/>
    <cellStyle name="Normal 2 2 10 23 4 5" xfId="8471" xr:uid="{00000000-0005-0000-0000-00000B210000}"/>
    <cellStyle name="Normal 2 2 10 23 4 6" xfId="8472" xr:uid="{00000000-0005-0000-0000-00000C210000}"/>
    <cellStyle name="Normal 2 2 10 23 4 7" xfId="8473" xr:uid="{00000000-0005-0000-0000-00000D210000}"/>
    <cellStyle name="Normal 2 2 10 23 4 8" xfId="8474" xr:uid="{00000000-0005-0000-0000-00000E210000}"/>
    <cellStyle name="Normal 2 2 10 23 4 9" xfId="8475" xr:uid="{00000000-0005-0000-0000-00000F210000}"/>
    <cellStyle name="Normal 2 2 10 23 5" xfId="8476" xr:uid="{00000000-0005-0000-0000-000010210000}"/>
    <cellStyle name="Normal 2 2 10 23 5 10" xfId="8477" xr:uid="{00000000-0005-0000-0000-000011210000}"/>
    <cellStyle name="Normal 2 2 10 23 5 2" xfId="8478" xr:uid="{00000000-0005-0000-0000-000012210000}"/>
    <cellStyle name="Normal 2 2 10 23 5 3" xfId="8479" xr:uid="{00000000-0005-0000-0000-000013210000}"/>
    <cellStyle name="Normal 2 2 10 23 5 4" xfId="8480" xr:uid="{00000000-0005-0000-0000-000014210000}"/>
    <cellStyle name="Normal 2 2 10 23 5 5" xfId="8481" xr:uid="{00000000-0005-0000-0000-000015210000}"/>
    <cellStyle name="Normal 2 2 10 23 5 6" xfId="8482" xr:uid="{00000000-0005-0000-0000-000016210000}"/>
    <cellStyle name="Normal 2 2 10 23 5 7" xfId="8483" xr:uid="{00000000-0005-0000-0000-000017210000}"/>
    <cellStyle name="Normal 2 2 10 23 5 8" xfId="8484" xr:uid="{00000000-0005-0000-0000-000018210000}"/>
    <cellStyle name="Normal 2 2 10 23 5 9" xfId="8485" xr:uid="{00000000-0005-0000-0000-000019210000}"/>
    <cellStyle name="Normal 2 2 10 23 6" xfId="8486" xr:uid="{00000000-0005-0000-0000-00001A210000}"/>
    <cellStyle name="Normal 2 2 10 23 7" xfId="8487" xr:uid="{00000000-0005-0000-0000-00001B210000}"/>
    <cellStyle name="Normal 2 2 10 23 8" xfId="8488" xr:uid="{00000000-0005-0000-0000-00001C210000}"/>
    <cellStyle name="Normal 2 2 10 23 9" xfId="8489" xr:uid="{00000000-0005-0000-0000-00001D210000}"/>
    <cellStyle name="Normal 2 2 10 24" xfId="8490" xr:uid="{00000000-0005-0000-0000-00001E210000}"/>
    <cellStyle name="Normal 2 2 10 24 10" xfId="8491" xr:uid="{00000000-0005-0000-0000-00001F210000}"/>
    <cellStyle name="Normal 2 2 10 24 11" xfId="8492" xr:uid="{00000000-0005-0000-0000-000020210000}"/>
    <cellStyle name="Normal 2 2 10 24 12" xfId="8493" xr:uid="{00000000-0005-0000-0000-000021210000}"/>
    <cellStyle name="Normal 2 2 10 24 13" xfId="8494" xr:uid="{00000000-0005-0000-0000-000022210000}"/>
    <cellStyle name="Normal 2 2 10 24 14" xfId="8495" xr:uid="{00000000-0005-0000-0000-000023210000}"/>
    <cellStyle name="Normal 2 2 10 24 2" xfId="8496" xr:uid="{00000000-0005-0000-0000-000024210000}"/>
    <cellStyle name="Normal 2 2 10 24 2 10" xfId="8497" xr:uid="{00000000-0005-0000-0000-000025210000}"/>
    <cellStyle name="Normal 2 2 10 24 2 2" xfId="8498" xr:uid="{00000000-0005-0000-0000-000026210000}"/>
    <cellStyle name="Normal 2 2 10 24 2 3" xfId="8499" xr:uid="{00000000-0005-0000-0000-000027210000}"/>
    <cellStyle name="Normal 2 2 10 24 2 4" xfId="8500" xr:uid="{00000000-0005-0000-0000-000028210000}"/>
    <cellStyle name="Normal 2 2 10 24 2 5" xfId="8501" xr:uid="{00000000-0005-0000-0000-000029210000}"/>
    <cellStyle name="Normal 2 2 10 24 2 6" xfId="8502" xr:uid="{00000000-0005-0000-0000-00002A210000}"/>
    <cellStyle name="Normal 2 2 10 24 2 7" xfId="8503" xr:uid="{00000000-0005-0000-0000-00002B210000}"/>
    <cellStyle name="Normal 2 2 10 24 2 8" xfId="8504" xr:uid="{00000000-0005-0000-0000-00002C210000}"/>
    <cellStyle name="Normal 2 2 10 24 2 9" xfId="8505" xr:uid="{00000000-0005-0000-0000-00002D210000}"/>
    <cellStyle name="Normal 2 2 10 24 3" xfId="8506" xr:uid="{00000000-0005-0000-0000-00002E210000}"/>
    <cellStyle name="Normal 2 2 10 24 3 10" xfId="8507" xr:uid="{00000000-0005-0000-0000-00002F210000}"/>
    <cellStyle name="Normal 2 2 10 24 3 2" xfId="8508" xr:uid="{00000000-0005-0000-0000-000030210000}"/>
    <cellStyle name="Normal 2 2 10 24 3 3" xfId="8509" xr:uid="{00000000-0005-0000-0000-000031210000}"/>
    <cellStyle name="Normal 2 2 10 24 3 4" xfId="8510" xr:uid="{00000000-0005-0000-0000-000032210000}"/>
    <cellStyle name="Normal 2 2 10 24 3 5" xfId="8511" xr:uid="{00000000-0005-0000-0000-000033210000}"/>
    <cellStyle name="Normal 2 2 10 24 3 6" xfId="8512" xr:uid="{00000000-0005-0000-0000-000034210000}"/>
    <cellStyle name="Normal 2 2 10 24 3 7" xfId="8513" xr:uid="{00000000-0005-0000-0000-000035210000}"/>
    <cellStyle name="Normal 2 2 10 24 3 8" xfId="8514" xr:uid="{00000000-0005-0000-0000-000036210000}"/>
    <cellStyle name="Normal 2 2 10 24 3 9" xfId="8515" xr:uid="{00000000-0005-0000-0000-000037210000}"/>
    <cellStyle name="Normal 2 2 10 24 4" xfId="8516" xr:uid="{00000000-0005-0000-0000-000038210000}"/>
    <cellStyle name="Normal 2 2 10 24 4 10" xfId="8517" xr:uid="{00000000-0005-0000-0000-000039210000}"/>
    <cellStyle name="Normal 2 2 10 24 4 2" xfId="8518" xr:uid="{00000000-0005-0000-0000-00003A210000}"/>
    <cellStyle name="Normal 2 2 10 24 4 3" xfId="8519" xr:uid="{00000000-0005-0000-0000-00003B210000}"/>
    <cellStyle name="Normal 2 2 10 24 4 4" xfId="8520" xr:uid="{00000000-0005-0000-0000-00003C210000}"/>
    <cellStyle name="Normal 2 2 10 24 4 5" xfId="8521" xr:uid="{00000000-0005-0000-0000-00003D210000}"/>
    <cellStyle name="Normal 2 2 10 24 4 6" xfId="8522" xr:uid="{00000000-0005-0000-0000-00003E210000}"/>
    <cellStyle name="Normal 2 2 10 24 4 7" xfId="8523" xr:uid="{00000000-0005-0000-0000-00003F210000}"/>
    <cellStyle name="Normal 2 2 10 24 4 8" xfId="8524" xr:uid="{00000000-0005-0000-0000-000040210000}"/>
    <cellStyle name="Normal 2 2 10 24 4 9" xfId="8525" xr:uid="{00000000-0005-0000-0000-000041210000}"/>
    <cellStyle name="Normal 2 2 10 24 5" xfId="8526" xr:uid="{00000000-0005-0000-0000-000042210000}"/>
    <cellStyle name="Normal 2 2 10 24 5 10" xfId="8527" xr:uid="{00000000-0005-0000-0000-000043210000}"/>
    <cellStyle name="Normal 2 2 10 24 5 2" xfId="8528" xr:uid="{00000000-0005-0000-0000-000044210000}"/>
    <cellStyle name="Normal 2 2 10 24 5 3" xfId="8529" xr:uid="{00000000-0005-0000-0000-000045210000}"/>
    <cellStyle name="Normal 2 2 10 24 5 4" xfId="8530" xr:uid="{00000000-0005-0000-0000-000046210000}"/>
    <cellStyle name="Normal 2 2 10 24 5 5" xfId="8531" xr:uid="{00000000-0005-0000-0000-000047210000}"/>
    <cellStyle name="Normal 2 2 10 24 5 6" xfId="8532" xr:uid="{00000000-0005-0000-0000-000048210000}"/>
    <cellStyle name="Normal 2 2 10 24 5 7" xfId="8533" xr:uid="{00000000-0005-0000-0000-000049210000}"/>
    <cellStyle name="Normal 2 2 10 24 5 8" xfId="8534" xr:uid="{00000000-0005-0000-0000-00004A210000}"/>
    <cellStyle name="Normal 2 2 10 24 5 9" xfId="8535" xr:uid="{00000000-0005-0000-0000-00004B210000}"/>
    <cellStyle name="Normal 2 2 10 24 6" xfId="8536" xr:uid="{00000000-0005-0000-0000-00004C210000}"/>
    <cellStyle name="Normal 2 2 10 24 7" xfId="8537" xr:uid="{00000000-0005-0000-0000-00004D210000}"/>
    <cellStyle name="Normal 2 2 10 24 8" xfId="8538" xr:uid="{00000000-0005-0000-0000-00004E210000}"/>
    <cellStyle name="Normal 2 2 10 24 9" xfId="8539" xr:uid="{00000000-0005-0000-0000-00004F210000}"/>
    <cellStyle name="Normal 2 2 10 25" xfId="8540" xr:uid="{00000000-0005-0000-0000-000050210000}"/>
    <cellStyle name="Normal 2 2 10 25 10" xfId="8541" xr:uid="{00000000-0005-0000-0000-000051210000}"/>
    <cellStyle name="Normal 2 2 10 25 11" xfId="8542" xr:uid="{00000000-0005-0000-0000-000052210000}"/>
    <cellStyle name="Normal 2 2 10 25 12" xfId="8543" xr:uid="{00000000-0005-0000-0000-000053210000}"/>
    <cellStyle name="Normal 2 2 10 25 13" xfId="8544" xr:uid="{00000000-0005-0000-0000-000054210000}"/>
    <cellStyle name="Normal 2 2 10 25 14" xfId="8545" xr:uid="{00000000-0005-0000-0000-000055210000}"/>
    <cellStyle name="Normal 2 2 10 25 2" xfId="8546" xr:uid="{00000000-0005-0000-0000-000056210000}"/>
    <cellStyle name="Normal 2 2 10 25 2 10" xfId="8547" xr:uid="{00000000-0005-0000-0000-000057210000}"/>
    <cellStyle name="Normal 2 2 10 25 2 2" xfId="8548" xr:uid="{00000000-0005-0000-0000-000058210000}"/>
    <cellStyle name="Normal 2 2 10 25 2 3" xfId="8549" xr:uid="{00000000-0005-0000-0000-000059210000}"/>
    <cellStyle name="Normal 2 2 10 25 2 4" xfId="8550" xr:uid="{00000000-0005-0000-0000-00005A210000}"/>
    <cellStyle name="Normal 2 2 10 25 2 5" xfId="8551" xr:uid="{00000000-0005-0000-0000-00005B210000}"/>
    <cellStyle name="Normal 2 2 10 25 2 6" xfId="8552" xr:uid="{00000000-0005-0000-0000-00005C210000}"/>
    <cellStyle name="Normal 2 2 10 25 2 7" xfId="8553" xr:uid="{00000000-0005-0000-0000-00005D210000}"/>
    <cellStyle name="Normal 2 2 10 25 2 8" xfId="8554" xr:uid="{00000000-0005-0000-0000-00005E210000}"/>
    <cellStyle name="Normal 2 2 10 25 2 9" xfId="8555" xr:uid="{00000000-0005-0000-0000-00005F210000}"/>
    <cellStyle name="Normal 2 2 10 25 3" xfId="8556" xr:uid="{00000000-0005-0000-0000-000060210000}"/>
    <cellStyle name="Normal 2 2 10 25 3 10" xfId="8557" xr:uid="{00000000-0005-0000-0000-000061210000}"/>
    <cellStyle name="Normal 2 2 10 25 3 2" xfId="8558" xr:uid="{00000000-0005-0000-0000-000062210000}"/>
    <cellStyle name="Normal 2 2 10 25 3 3" xfId="8559" xr:uid="{00000000-0005-0000-0000-000063210000}"/>
    <cellStyle name="Normal 2 2 10 25 3 4" xfId="8560" xr:uid="{00000000-0005-0000-0000-000064210000}"/>
    <cellStyle name="Normal 2 2 10 25 3 5" xfId="8561" xr:uid="{00000000-0005-0000-0000-000065210000}"/>
    <cellStyle name="Normal 2 2 10 25 3 6" xfId="8562" xr:uid="{00000000-0005-0000-0000-000066210000}"/>
    <cellStyle name="Normal 2 2 10 25 3 7" xfId="8563" xr:uid="{00000000-0005-0000-0000-000067210000}"/>
    <cellStyle name="Normal 2 2 10 25 3 8" xfId="8564" xr:uid="{00000000-0005-0000-0000-000068210000}"/>
    <cellStyle name="Normal 2 2 10 25 3 9" xfId="8565" xr:uid="{00000000-0005-0000-0000-000069210000}"/>
    <cellStyle name="Normal 2 2 10 25 4" xfId="8566" xr:uid="{00000000-0005-0000-0000-00006A210000}"/>
    <cellStyle name="Normal 2 2 10 25 4 10" xfId="8567" xr:uid="{00000000-0005-0000-0000-00006B210000}"/>
    <cellStyle name="Normal 2 2 10 25 4 2" xfId="8568" xr:uid="{00000000-0005-0000-0000-00006C210000}"/>
    <cellStyle name="Normal 2 2 10 25 4 3" xfId="8569" xr:uid="{00000000-0005-0000-0000-00006D210000}"/>
    <cellStyle name="Normal 2 2 10 25 4 4" xfId="8570" xr:uid="{00000000-0005-0000-0000-00006E210000}"/>
    <cellStyle name="Normal 2 2 10 25 4 5" xfId="8571" xr:uid="{00000000-0005-0000-0000-00006F210000}"/>
    <cellStyle name="Normal 2 2 10 25 4 6" xfId="8572" xr:uid="{00000000-0005-0000-0000-000070210000}"/>
    <cellStyle name="Normal 2 2 10 25 4 7" xfId="8573" xr:uid="{00000000-0005-0000-0000-000071210000}"/>
    <cellStyle name="Normal 2 2 10 25 4 8" xfId="8574" xr:uid="{00000000-0005-0000-0000-000072210000}"/>
    <cellStyle name="Normal 2 2 10 25 4 9" xfId="8575" xr:uid="{00000000-0005-0000-0000-000073210000}"/>
    <cellStyle name="Normal 2 2 10 25 5" xfId="8576" xr:uid="{00000000-0005-0000-0000-000074210000}"/>
    <cellStyle name="Normal 2 2 10 25 5 10" xfId="8577" xr:uid="{00000000-0005-0000-0000-000075210000}"/>
    <cellStyle name="Normal 2 2 10 25 5 2" xfId="8578" xr:uid="{00000000-0005-0000-0000-000076210000}"/>
    <cellStyle name="Normal 2 2 10 25 5 3" xfId="8579" xr:uid="{00000000-0005-0000-0000-000077210000}"/>
    <cellStyle name="Normal 2 2 10 25 5 4" xfId="8580" xr:uid="{00000000-0005-0000-0000-000078210000}"/>
    <cellStyle name="Normal 2 2 10 25 5 5" xfId="8581" xr:uid="{00000000-0005-0000-0000-000079210000}"/>
    <cellStyle name="Normal 2 2 10 25 5 6" xfId="8582" xr:uid="{00000000-0005-0000-0000-00007A210000}"/>
    <cellStyle name="Normal 2 2 10 25 5 7" xfId="8583" xr:uid="{00000000-0005-0000-0000-00007B210000}"/>
    <cellStyle name="Normal 2 2 10 25 5 8" xfId="8584" xr:uid="{00000000-0005-0000-0000-00007C210000}"/>
    <cellStyle name="Normal 2 2 10 25 5 9" xfId="8585" xr:uid="{00000000-0005-0000-0000-00007D210000}"/>
    <cellStyle name="Normal 2 2 10 25 6" xfId="8586" xr:uid="{00000000-0005-0000-0000-00007E210000}"/>
    <cellStyle name="Normal 2 2 10 25 7" xfId="8587" xr:uid="{00000000-0005-0000-0000-00007F210000}"/>
    <cellStyle name="Normal 2 2 10 25 8" xfId="8588" xr:uid="{00000000-0005-0000-0000-000080210000}"/>
    <cellStyle name="Normal 2 2 10 25 9" xfId="8589" xr:uid="{00000000-0005-0000-0000-000081210000}"/>
    <cellStyle name="Normal 2 2 10 26" xfId="8590" xr:uid="{00000000-0005-0000-0000-000082210000}"/>
    <cellStyle name="Normal 2 2 10 26 10" xfId="8591" xr:uid="{00000000-0005-0000-0000-000083210000}"/>
    <cellStyle name="Normal 2 2 10 26 11" xfId="8592" xr:uid="{00000000-0005-0000-0000-000084210000}"/>
    <cellStyle name="Normal 2 2 10 26 12" xfId="8593" xr:uid="{00000000-0005-0000-0000-000085210000}"/>
    <cellStyle name="Normal 2 2 10 26 13" xfId="8594" xr:uid="{00000000-0005-0000-0000-000086210000}"/>
    <cellStyle name="Normal 2 2 10 26 14" xfId="8595" xr:uid="{00000000-0005-0000-0000-000087210000}"/>
    <cellStyle name="Normal 2 2 10 26 2" xfId="8596" xr:uid="{00000000-0005-0000-0000-000088210000}"/>
    <cellStyle name="Normal 2 2 10 26 2 10" xfId="8597" xr:uid="{00000000-0005-0000-0000-000089210000}"/>
    <cellStyle name="Normal 2 2 10 26 2 2" xfId="8598" xr:uid="{00000000-0005-0000-0000-00008A210000}"/>
    <cellStyle name="Normal 2 2 10 26 2 3" xfId="8599" xr:uid="{00000000-0005-0000-0000-00008B210000}"/>
    <cellStyle name="Normal 2 2 10 26 2 4" xfId="8600" xr:uid="{00000000-0005-0000-0000-00008C210000}"/>
    <cellStyle name="Normal 2 2 10 26 2 5" xfId="8601" xr:uid="{00000000-0005-0000-0000-00008D210000}"/>
    <cellStyle name="Normal 2 2 10 26 2 6" xfId="8602" xr:uid="{00000000-0005-0000-0000-00008E210000}"/>
    <cellStyle name="Normal 2 2 10 26 2 7" xfId="8603" xr:uid="{00000000-0005-0000-0000-00008F210000}"/>
    <cellStyle name="Normal 2 2 10 26 2 8" xfId="8604" xr:uid="{00000000-0005-0000-0000-000090210000}"/>
    <cellStyle name="Normal 2 2 10 26 2 9" xfId="8605" xr:uid="{00000000-0005-0000-0000-000091210000}"/>
    <cellStyle name="Normal 2 2 10 26 3" xfId="8606" xr:uid="{00000000-0005-0000-0000-000092210000}"/>
    <cellStyle name="Normal 2 2 10 26 3 10" xfId="8607" xr:uid="{00000000-0005-0000-0000-000093210000}"/>
    <cellStyle name="Normal 2 2 10 26 3 2" xfId="8608" xr:uid="{00000000-0005-0000-0000-000094210000}"/>
    <cellStyle name="Normal 2 2 10 26 3 3" xfId="8609" xr:uid="{00000000-0005-0000-0000-000095210000}"/>
    <cellStyle name="Normal 2 2 10 26 3 4" xfId="8610" xr:uid="{00000000-0005-0000-0000-000096210000}"/>
    <cellStyle name="Normal 2 2 10 26 3 5" xfId="8611" xr:uid="{00000000-0005-0000-0000-000097210000}"/>
    <cellStyle name="Normal 2 2 10 26 3 6" xfId="8612" xr:uid="{00000000-0005-0000-0000-000098210000}"/>
    <cellStyle name="Normal 2 2 10 26 3 7" xfId="8613" xr:uid="{00000000-0005-0000-0000-000099210000}"/>
    <cellStyle name="Normal 2 2 10 26 3 8" xfId="8614" xr:uid="{00000000-0005-0000-0000-00009A210000}"/>
    <cellStyle name="Normal 2 2 10 26 3 9" xfId="8615" xr:uid="{00000000-0005-0000-0000-00009B210000}"/>
    <cellStyle name="Normal 2 2 10 26 4" xfId="8616" xr:uid="{00000000-0005-0000-0000-00009C210000}"/>
    <cellStyle name="Normal 2 2 10 26 4 10" xfId="8617" xr:uid="{00000000-0005-0000-0000-00009D210000}"/>
    <cellStyle name="Normal 2 2 10 26 4 2" xfId="8618" xr:uid="{00000000-0005-0000-0000-00009E210000}"/>
    <cellStyle name="Normal 2 2 10 26 4 3" xfId="8619" xr:uid="{00000000-0005-0000-0000-00009F210000}"/>
    <cellStyle name="Normal 2 2 10 26 4 4" xfId="8620" xr:uid="{00000000-0005-0000-0000-0000A0210000}"/>
    <cellStyle name="Normal 2 2 10 26 4 5" xfId="8621" xr:uid="{00000000-0005-0000-0000-0000A1210000}"/>
    <cellStyle name="Normal 2 2 10 26 4 6" xfId="8622" xr:uid="{00000000-0005-0000-0000-0000A2210000}"/>
    <cellStyle name="Normal 2 2 10 26 4 7" xfId="8623" xr:uid="{00000000-0005-0000-0000-0000A3210000}"/>
    <cellStyle name="Normal 2 2 10 26 4 8" xfId="8624" xr:uid="{00000000-0005-0000-0000-0000A4210000}"/>
    <cellStyle name="Normal 2 2 10 26 4 9" xfId="8625" xr:uid="{00000000-0005-0000-0000-0000A5210000}"/>
    <cellStyle name="Normal 2 2 10 26 5" xfId="8626" xr:uid="{00000000-0005-0000-0000-0000A6210000}"/>
    <cellStyle name="Normal 2 2 10 26 5 10" xfId="8627" xr:uid="{00000000-0005-0000-0000-0000A7210000}"/>
    <cellStyle name="Normal 2 2 10 26 5 2" xfId="8628" xr:uid="{00000000-0005-0000-0000-0000A8210000}"/>
    <cellStyle name="Normal 2 2 10 26 5 3" xfId="8629" xr:uid="{00000000-0005-0000-0000-0000A9210000}"/>
    <cellStyle name="Normal 2 2 10 26 5 4" xfId="8630" xr:uid="{00000000-0005-0000-0000-0000AA210000}"/>
    <cellStyle name="Normal 2 2 10 26 5 5" xfId="8631" xr:uid="{00000000-0005-0000-0000-0000AB210000}"/>
    <cellStyle name="Normal 2 2 10 26 5 6" xfId="8632" xr:uid="{00000000-0005-0000-0000-0000AC210000}"/>
    <cellStyle name="Normal 2 2 10 26 5 7" xfId="8633" xr:uid="{00000000-0005-0000-0000-0000AD210000}"/>
    <cellStyle name="Normal 2 2 10 26 5 8" xfId="8634" xr:uid="{00000000-0005-0000-0000-0000AE210000}"/>
    <cellStyle name="Normal 2 2 10 26 5 9" xfId="8635" xr:uid="{00000000-0005-0000-0000-0000AF210000}"/>
    <cellStyle name="Normal 2 2 10 26 6" xfId="8636" xr:uid="{00000000-0005-0000-0000-0000B0210000}"/>
    <cellStyle name="Normal 2 2 10 26 7" xfId="8637" xr:uid="{00000000-0005-0000-0000-0000B1210000}"/>
    <cellStyle name="Normal 2 2 10 26 8" xfId="8638" xr:uid="{00000000-0005-0000-0000-0000B2210000}"/>
    <cellStyle name="Normal 2 2 10 26 9" xfId="8639" xr:uid="{00000000-0005-0000-0000-0000B3210000}"/>
    <cellStyle name="Normal 2 2 10 27" xfId="8640" xr:uid="{00000000-0005-0000-0000-0000B4210000}"/>
    <cellStyle name="Normal 2 2 10 27 10" xfId="8641" xr:uid="{00000000-0005-0000-0000-0000B5210000}"/>
    <cellStyle name="Normal 2 2 10 27 11" xfId="8642" xr:uid="{00000000-0005-0000-0000-0000B6210000}"/>
    <cellStyle name="Normal 2 2 10 27 12" xfId="8643" xr:uid="{00000000-0005-0000-0000-0000B7210000}"/>
    <cellStyle name="Normal 2 2 10 27 13" xfId="8644" xr:uid="{00000000-0005-0000-0000-0000B8210000}"/>
    <cellStyle name="Normal 2 2 10 27 14" xfId="8645" xr:uid="{00000000-0005-0000-0000-0000B9210000}"/>
    <cellStyle name="Normal 2 2 10 27 2" xfId="8646" xr:uid="{00000000-0005-0000-0000-0000BA210000}"/>
    <cellStyle name="Normal 2 2 10 27 2 10" xfId="8647" xr:uid="{00000000-0005-0000-0000-0000BB210000}"/>
    <cellStyle name="Normal 2 2 10 27 2 2" xfId="8648" xr:uid="{00000000-0005-0000-0000-0000BC210000}"/>
    <cellStyle name="Normal 2 2 10 27 2 3" xfId="8649" xr:uid="{00000000-0005-0000-0000-0000BD210000}"/>
    <cellStyle name="Normal 2 2 10 27 2 4" xfId="8650" xr:uid="{00000000-0005-0000-0000-0000BE210000}"/>
    <cellStyle name="Normal 2 2 10 27 2 5" xfId="8651" xr:uid="{00000000-0005-0000-0000-0000BF210000}"/>
    <cellStyle name="Normal 2 2 10 27 2 6" xfId="8652" xr:uid="{00000000-0005-0000-0000-0000C0210000}"/>
    <cellStyle name="Normal 2 2 10 27 2 7" xfId="8653" xr:uid="{00000000-0005-0000-0000-0000C1210000}"/>
    <cellStyle name="Normal 2 2 10 27 2 8" xfId="8654" xr:uid="{00000000-0005-0000-0000-0000C2210000}"/>
    <cellStyle name="Normal 2 2 10 27 2 9" xfId="8655" xr:uid="{00000000-0005-0000-0000-0000C3210000}"/>
    <cellStyle name="Normal 2 2 10 27 3" xfId="8656" xr:uid="{00000000-0005-0000-0000-0000C4210000}"/>
    <cellStyle name="Normal 2 2 10 27 3 10" xfId="8657" xr:uid="{00000000-0005-0000-0000-0000C5210000}"/>
    <cellStyle name="Normal 2 2 10 27 3 2" xfId="8658" xr:uid="{00000000-0005-0000-0000-0000C6210000}"/>
    <cellStyle name="Normal 2 2 10 27 3 3" xfId="8659" xr:uid="{00000000-0005-0000-0000-0000C7210000}"/>
    <cellStyle name="Normal 2 2 10 27 3 4" xfId="8660" xr:uid="{00000000-0005-0000-0000-0000C8210000}"/>
    <cellStyle name="Normal 2 2 10 27 3 5" xfId="8661" xr:uid="{00000000-0005-0000-0000-0000C9210000}"/>
    <cellStyle name="Normal 2 2 10 27 3 6" xfId="8662" xr:uid="{00000000-0005-0000-0000-0000CA210000}"/>
    <cellStyle name="Normal 2 2 10 27 3 7" xfId="8663" xr:uid="{00000000-0005-0000-0000-0000CB210000}"/>
    <cellStyle name="Normal 2 2 10 27 3 8" xfId="8664" xr:uid="{00000000-0005-0000-0000-0000CC210000}"/>
    <cellStyle name="Normal 2 2 10 27 3 9" xfId="8665" xr:uid="{00000000-0005-0000-0000-0000CD210000}"/>
    <cellStyle name="Normal 2 2 10 27 4" xfId="8666" xr:uid="{00000000-0005-0000-0000-0000CE210000}"/>
    <cellStyle name="Normal 2 2 10 27 4 10" xfId="8667" xr:uid="{00000000-0005-0000-0000-0000CF210000}"/>
    <cellStyle name="Normal 2 2 10 27 4 2" xfId="8668" xr:uid="{00000000-0005-0000-0000-0000D0210000}"/>
    <cellStyle name="Normal 2 2 10 27 4 3" xfId="8669" xr:uid="{00000000-0005-0000-0000-0000D1210000}"/>
    <cellStyle name="Normal 2 2 10 27 4 4" xfId="8670" xr:uid="{00000000-0005-0000-0000-0000D2210000}"/>
    <cellStyle name="Normal 2 2 10 27 4 5" xfId="8671" xr:uid="{00000000-0005-0000-0000-0000D3210000}"/>
    <cellStyle name="Normal 2 2 10 27 4 6" xfId="8672" xr:uid="{00000000-0005-0000-0000-0000D4210000}"/>
    <cellStyle name="Normal 2 2 10 27 4 7" xfId="8673" xr:uid="{00000000-0005-0000-0000-0000D5210000}"/>
    <cellStyle name="Normal 2 2 10 27 4 8" xfId="8674" xr:uid="{00000000-0005-0000-0000-0000D6210000}"/>
    <cellStyle name="Normal 2 2 10 27 4 9" xfId="8675" xr:uid="{00000000-0005-0000-0000-0000D7210000}"/>
    <cellStyle name="Normal 2 2 10 27 5" xfId="8676" xr:uid="{00000000-0005-0000-0000-0000D8210000}"/>
    <cellStyle name="Normal 2 2 10 27 5 10" xfId="8677" xr:uid="{00000000-0005-0000-0000-0000D9210000}"/>
    <cellStyle name="Normal 2 2 10 27 5 2" xfId="8678" xr:uid="{00000000-0005-0000-0000-0000DA210000}"/>
    <cellStyle name="Normal 2 2 10 27 5 3" xfId="8679" xr:uid="{00000000-0005-0000-0000-0000DB210000}"/>
    <cellStyle name="Normal 2 2 10 27 5 4" xfId="8680" xr:uid="{00000000-0005-0000-0000-0000DC210000}"/>
    <cellStyle name="Normal 2 2 10 27 5 5" xfId="8681" xr:uid="{00000000-0005-0000-0000-0000DD210000}"/>
    <cellStyle name="Normal 2 2 10 27 5 6" xfId="8682" xr:uid="{00000000-0005-0000-0000-0000DE210000}"/>
    <cellStyle name="Normal 2 2 10 27 5 7" xfId="8683" xr:uid="{00000000-0005-0000-0000-0000DF210000}"/>
    <cellStyle name="Normal 2 2 10 27 5 8" xfId="8684" xr:uid="{00000000-0005-0000-0000-0000E0210000}"/>
    <cellStyle name="Normal 2 2 10 27 5 9" xfId="8685" xr:uid="{00000000-0005-0000-0000-0000E1210000}"/>
    <cellStyle name="Normal 2 2 10 27 6" xfId="8686" xr:uid="{00000000-0005-0000-0000-0000E2210000}"/>
    <cellStyle name="Normal 2 2 10 27 7" xfId="8687" xr:uid="{00000000-0005-0000-0000-0000E3210000}"/>
    <cellStyle name="Normal 2 2 10 27 8" xfId="8688" xr:uid="{00000000-0005-0000-0000-0000E4210000}"/>
    <cellStyle name="Normal 2 2 10 27 9" xfId="8689" xr:uid="{00000000-0005-0000-0000-0000E5210000}"/>
    <cellStyle name="Normal 2 2 10 28" xfId="8690" xr:uid="{00000000-0005-0000-0000-0000E6210000}"/>
    <cellStyle name="Normal 2 2 10 28 10" xfId="8691" xr:uid="{00000000-0005-0000-0000-0000E7210000}"/>
    <cellStyle name="Normal 2 2 10 28 11" xfId="8692" xr:uid="{00000000-0005-0000-0000-0000E8210000}"/>
    <cellStyle name="Normal 2 2 10 28 12" xfId="8693" xr:uid="{00000000-0005-0000-0000-0000E9210000}"/>
    <cellStyle name="Normal 2 2 10 28 13" xfId="8694" xr:uid="{00000000-0005-0000-0000-0000EA210000}"/>
    <cellStyle name="Normal 2 2 10 28 14" xfId="8695" xr:uid="{00000000-0005-0000-0000-0000EB210000}"/>
    <cellStyle name="Normal 2 2 10 28 2" xfId="8696" xr:uid="{00000000-0005-0000-0000-0000EC210000}"/>
    <cellStyle name="Normal 2 2 10 28 2 10" xfId="8697" xr:uid="{00000000-0005-0000-0000-0000ED210000}"/>
    <cellStyle name="Normal 2 2 10 28 2 2" xfId="8698" xr:uid="{00000000-0005-0000-0000-0000EE210000}"/>
    <cellStyle name="Normal 2 2 10 28 2 3" xfId="8699" xr:uid="{00000000-0005-0000-0000-0000EF210000}"/>
    <cellStyle name="Normal 2 2 10 28 2 4" xfId="8700" xr:uid="{00000000-0005-0000-0000-0000F0210000}"/>
    <cellStyle name="Normal 2 2 10 28 2 5" xfId="8701" xr:uid="{00000000-0005-0000-0000-0000F1210000}"/>
    <cellStyle name="Normal 2 2 10 28 2 6" xfId="8702" xr:uid="{00000000-0005-0000-0000-0000F2210000}"/>
    <cellStyle name="Normal 2 2 10 28 2 7" xfId="8703" xr:uid="{00000000-0005-0000-0000-0000F3210000}"/>
    <cellStyle name="Normal 2 2 10 28 2 8" xfId="8704" xr:uid="{00000000-0005-0000-0000-0000F4210000}"/>
    <cellStyle name="Normal 2 2 10 28 2 9" xfId="8705" xr:uid="{00000000-0005-0000-0000-0000F5210000}"/>
    <cellStyle name="Normal 2 2 10 28 3" xfId="8706" xr:uid="{00000000-0005-0000-0000-0000F6210000}"/>
    <cellStyle name="Normal 2 2 10 28 3 10" xfId="8707" xr:uid="{00000000-0005-0000-0000-0000F7210000}"/>
    <cellStyle name="Normal 2 2 10 28 3 2" xfId="8708" xr:uid="{00000000-0005-0000-0000-0000F8210000}"/>
    <cellStyle name="Normal 2 2 10 28 3 3" xfId="8709" xr:uid="{00000000-0005-0000-0000-0000F9210000}"/>
    <cellStyle name="Normal 2 2 10 28 3 4" xfId="8710" xr:uid="{00000000-0005-0000-0000-0000FA210000}"/>
    <cellStyle name="Normal 2 2 10 28 3 5" xfId="8711" xr:uid="{00000000-0005-0000-0000-0000FB210000}"/>
    <cellStyle name="Normal 2 2 10 28 3 6" xfId="8712" xr:uid="{00000000-0005-0000-0000-0000FC210000}"/>
    <cellStyle name="Normal 2 2 10 28 3 7" xfId="8713" xr:uid="{00000000-0005-0000-0000-0000FD210000}"/>
    <cellStyle name="Normal 2 2 10 28 3 8" xfId="8714" xr:uid="{00000000-0005-0000-0000-0000FE210000}"/>
    <cellStyle name="Normal 2 2 10 28 3 9" xfId="8715" xr:uid="{00000000-0005-0000-0000-0000FF210000}"/>
    <cellStyle name="Normal 2 2 10 28 4" xfId="8716" xr:uid="{00000000-0005-0000-0000-000000220000}"/>
    <cellStyle name="Normal 2 2 10 28 4 10" xfId="8717" xr:uid="{00000000-0005-0000-0000-000001220000}"/>
    <cellStyle name="Normal 2 2 10 28 4 2" xfId="8718" xr:uid="{00000000-0005-0000-0000-000002220000}"/>
    <cellStyle name="Normal 2 2 10 28 4 3" xfId="8719" xr:uid="{00000000-0005-0000-0000-000003220000}"/>
    <cellStyle name="Normal 2 2 10 28 4 4" xfId="8720" xr:uid="{00000000-0005-0000-0000-000004220000}"/>
    <cellStyle name="Normal 2 2 10 28 4 5" xfId="8721" xr:uid="{00000000-0005-0000-0000-000005220000}"/>
    <cellStyle name="Normal 2 2 10 28 4 6" xfId="8722" xr:uid="{00000000-0005-0000-0000-000006220000}"/>
    <cellStyle name="Normal 2 2 10 28 4 7" xfId="8723" xr:uid="{00000000-0005-0000-0000-000007220000}"/>
    <cellStyle name="Normal 2 2 10 28 4 8" xfId="8724" xr:uid="{00000000-0005-0000-0000-000008220000}"/>
    <cellStyle name="Normal 2 2 10 28 4 9" xfId="8725" xr:uid="{00000000-0005-0000-0000-000009220000}"/>
    <cellStyle name="Normal 2 2 10 28 5" xfId="8726" xr:uid="{00000000-0005-0000-0000-00000A220000}"/>
    <cellStyle name="Normal 2 2 10 28 5 10" xfId="8727" xr:uid="{00000000-0005-0000-0000-00000B220000}"/>
    <cellStyle name="Normal 2 2 10 28 5 2" xfId="8728" xr:uid="{00000000-0005-0000-0000-00000C220000}"/>
    <cellStyle name="Normal 2 2 10 28 5 3" xfId="8729" xr:uid="{00000000-0005-0000-0000-00000D220000}"/>
    <cellStyle name="Normal 2 2 10 28 5 4" xfId="8730" xr:uid="{00000000-0005-0000-0000-00000E220000}"/>
    <cellStyle name="Normal 2 2 10 28 5 5" xfId="8731" xr:uid="{00000000-0005-0000-0000-00000F220000}"/>
    <cellStyle name="Normal 2 2 10 28 5 6" xfId="8732" xr:uid="{00000000-0005-0000-0000-000010220000}"/>
    <cellStyle name="Normal 2 2 10 28 5 7" xfId="8733" xr:uid="{00000000-0005-0000-0000-000011220000}"/>
    <cellStyle name="Normal 2 2 10 28 5 8" xfId="8734" xr:uid="{00000000-0005-0000-0000-000012220000}"/>
    <cellStyle name="Normal 2 2 10 28 5 9" xfId="8735" xr:uid="{00000000-0005-0000-0000-000013220000}"/>
    <cellStyle name="Normal 2 2 10 28 6" xfId="8736" xr:uid="{00000000-0005-0000-0000-000014220000}"/>
    <cellStyle name="Normal 2 2 10 28 7" xfId="8737" xr:uid="{00000000-0005-0000-0000-000015220000}"/>
    <cellStyle name="Normal 2 2 10 28 8" xfId="8738" xr:uid="{00000000-0005-0000-0000-000016220000}"/>
    <cellStyle name="Normal 2 2 10 28 9" xfId="8739" xr:uid="{00000000-0005-0000-0000-000017220000}"/>
    <cellStyle name="Normal 2 2 10 29" xfId="8740" xr:uid="{00000000-0005-0000-0000-000018220000}"/>
    <cellStyle name="Normal 2 2 10 29 10" xfId="8741" xr:uid="{00000000-0005-0000-0000-000019220000}"/>
    <cellStyle name="Normal 2 2 10 29 11" xfId="8742" xr:uid="{00000000-0005-0000-0000-00001A220000}"/>
    <cellStyle name="Normal 2 2 10 29 12" xfId="8743" xr:uid="{00000000-0005-0000-0000-00001B220000}"/>
    <cellStyle name="Normal 2 2 10 29 13" xfId="8744" xr:uid="{00000000-0005-0000-0000-00001C220000}"/>
    <cellStyle name="Normal 2 2 10 29 14" xfId="8745" xr:uid="{00000000-0005-0000-0000-00001D220000}"/>
    <cellStyle name="Normal 2 2 10 29 2" xfId="8746" xr:uid="{00000000-0005-0000-0000-00001E220000}"/>
    <cellStyle name="Normal 2 2 10 29 2 10" xfId="8747" xr:uid="{00000000-0005-0000-0000-00001F220000}"/>
    <cellStyle name="Normal 2 2 10 29 2 2" xfId="8748" xr:uid="{00000000-0005-0000-0000-000020220000}"/>
    <cellStyle name="Normal 2 2 10 29 2 3" xfId="8749" xr:uid="{00000000-0005-0000-0000-000021220000}"/>
    <cellStyle name="Normal 2 2 10 29 2 4" xfId="8750" xr:uid="{00000000-0005-0000-0000-000022220000}"/>
    <cellStyle name="Normal 2 2 10 29 2 5" xfId="8751" xr:uid="{00000000-0005-0000-0000-000023220000}"/>
    <cellStyle name="Normal 2 2 10 29 2 6" xfId="8752" xr:uid="{00000000-0005-0000-0000-000024220000}"/>
    <cellStyle name="Normal 2 2 10 29 2 7" xfId="8753" xr:uid="{00000000-0005-0000-0000-000025220000}"/>
    <cellStyle name="Normal 2 2 10 29 2 8" xfId="8754" xr:uid="{00000000-0005-0000-0000-000026220000}"/>
    <cellStyle name="Normal 2 2 10 29 2 9" xfId="8755" xr:uid="{00000000-0005-0000-0000-000027220000}"/>
    <cellStyle name="Normal 2 2 10 29 3" xfId="8756" xr:uid="{00000000-0005-0000-0000-000028220000}"/>
    <cellStyle name="Normal 2 2 10 29 3 10" xfId="8757" xr:uid="{00000000-0005-0000-0000-000029220000}"/>
    <cellStyle name="Normal 2 2 10 29 3 2" xfId="8758" xr:uid="{00000000-0005-0000-0000-00002A220000}"/>
    <cellStyle name="Normal 2 2 10 29 3 3" xfId="8759" xr:uid="{00000000-0005-0000-0000-00002B220000}"/>
    <cellStyle name="Normal 2 2 10 29 3 4" xfId="8760" xr:uid="{00000000-0005-0000-0000-00002C220000}"/>
    <cellStyle name="Normal 2 2 10 29 3 5" xfId="8761" xr:uid="{00000000-0005-0000-0000-00002D220000}"/>
    <cellStyle name="Normal 2 2 10 29 3 6" xfId="8762" xr:uid="{00000000-0005-0000-0000-00002E220000}"/>
    <cellStyle name="Normal 2 2 10 29 3 7" xfId="8763" xr:uid="{00000000-0005-0000-0000-00002F220000}"/>
    <cellStyle name="Normal 2 2 10 29 3 8" xfId="8764" xr:uid="{00000000-0005-0000-0000-000030220000}"/>
    <cellStyle name="Normal 2 2 10 29 3 9" xfId="8765" xr:uid="{00000000-0005-0000-0000-000031220000}"/>
    <cellStyle name="Normal 2 2 10 29 4" xfId="8766" xr:uid="{00000000-0005-0000-0000-000032220000}"/>
    <cellStyle name="Normal 2 2 10 29 4 10" xfId="8767" xr:uid="{00000000-0005-0000-0000-000033220000}"/>
    <cellStyle name="Normal 2 2 10 29 4 2" xfId="8768" xr:uid="{00000000-0005-0000-0000-000034220000}"/>
    <cellStyle name="Normal 2 2 10 29 4 3" xfId="8769" xr:uid="{00000000-0005-0000-0000-000035220000}"/>
    <cellStyle name="Normal 2 2 10 29 4 4" xfId="8770" xr:uid="{00000000-0005-0000-0000-000036220000}"/>
    <cellStyle name="Normal 2 2 10 29 4 5" xfId="8771" xr:uid="{00000000-0005-0000-0000-000037220000}"/>
    <cellStyle name="Normal 2 2 10 29 4 6" xfId="8772" xr:uid="{00000000-0005-0000-0000-000038220000}"/>
    <cellStyle name="Normal 2 2 10 29 4 7" xfId="8773" xr:uid="{00000000-0005-0000-0000-000039220000}"/>
    <cellStyle name="Normal 2 2 10 29 4 8" xfId="8774" xr:uid="{00000000-0005-0000-0000-00003A220000}"/>
    <cellStyle name="Normal 2 2 10 29 4 9" xfId="8775" xr:uid="{00000000-0005-0000-0000-00003B220000}"/>
    <cellStyle name="Normal 2 2 10 29 5" xfId="8776" xr:uid="{00000000-0005-0000-0000-00003C220000}"/>
    <cellStyle name="Normal 2 2 10 29 5 10" xfId="8777" xr:uid="{00000000-0005-0000-0000-00003D220000}"/>
    <cellStyle name="Normal 2 2 10 29 5 2" xfId="8778" xr:uid="{00000000-0005-0000-0000-00003E220000}"/>
    <cellStyle name="Normal 2 2 10 29 5 3" xfId="8779" xr:uid="{00000000-0005-0000-0000-00003F220000}"/>
    <cellStyle name="Normal 2 2 10 29 5 4" xfId="8780" xr:uid="{00000000-0005-0000-0000-000040220000}"/>
    <cellStyle name="Normal 2 2 10 29 5 5" xfId="8781" xr:uid="{00000000-0005-0000-0000-000041220000}"/>
    <cellStyle name="Normal 2 2 10 29 5 6" xfId="8782" xr:uid="{00000000-0005-0000-0000-000042220000}"/>
    <cellStyle name="Normal 2 2 10 29 5 7" xfId="8783" xr:uid="{00000000-0005-0000-0000-000043220000}"/>
    <cellStyle name="Normal 2 2 10 29 5 8" xfId="8784" xr:uid="{00000000-0005-0000-0000-000044220000}"/>
    <cellStyle name="Normal 2 2 10 29 5 9" xfId="8785" xr:uid="{00000000-0005-0000-0000-000045220000}"/>
    <cellStyle name="Normal 2 2 10 29 6" xfId="8786" xr:uid="{00000000-0005-0000-0000-000046220000}"/>
    <cellStyle name="Normal 2 2 10 29 7" xfId="8787" xr:uid="{00000000-0005-0000-0000-000047220000}"/>
    <cellStyle name="Normal 2 2 10 29 8" xfId="8788" xr:uid="{00000000-0005-0000-0000-000048220000}"/>
    <cellStyle name="Normal 2 2 10 29 9" xfId="8789" xr:uid="{00000000-0005-0000-0000-000049220000}"/>
    <cellStyle name="Normal 2 2 10 3" xfId="8790" xr:uid="{00000000-0005-0000-0000-00004A220000}"/>
    <cellStyle name="Normal 2 2 10 3 10" xfId="8791" xr:uid="{00000000-0005-0000-0000-00004B220000}"/>
    <cellStyle name="Normal 2 2 10 3 11" xfId="8792" xr:uid="{00000000-0005-0000-0000-00004C220000}"/>
    <cellStyle name="Normal 2 2 10 3 12" xfId="8793" xr:uid="{00000000-0005-0000-0000-00004D220000}"/>
    <cellStyle name="Normal 2 2 10 3 13" xfId="8794" xr:uid="{00000000-0005-0000-0000-00004E220000}"/>
    <cellStyle name="Normal 2 2 10 3 14" xfId="8795" xr:uid="{00000000-0005-0000-0000-00004F220000}"/>
    <cellStyle name="Normal 2 2 10 3 2" xfId="8796" xr:uid="{00000000-0005-0000-0000-000050220000}"/>
    <cellStyle name="Normal 2 2 10 3 2 10" xfId="8797" xr:uid="{00000000-0005-0000-0000-000051220000}"/>
    <cellStyle name="Normal 2 2 10 3 2 2" xfId="8798" xr:uid="{00000000-0005-0000-0000-000052220000}"/>
    <cellStyle name="Normal 2 2 10 3 2 3" xfId="8799" xr:uid="{00000000-0005-0000-0000-000053220000}"/>
    <cellStyle name="Normal 2 2 10 3 2 4" xfId="8800" xr:uid="{00000000-0005-0000-0000-000054220000}"/>
    <cellStyle name="Normal 2 2 10 3 2 5" xfId="8801" xr:uid="{00000000-0005-0000-0000-000055220000}"/>
    <cellStyle name="Normal 2 2 10 3 2 6" xfId="8802" xr:uid="{00000000-0005-0000-0000-000056220000}"/>
    <cellStyle name="Normal 2 2 10 3 2 7" xfId="8803" xr:uid="{00000000-0005-0000-0000-000057220000}"/>
    <cellStyle name="Normal 2 2 10 3 2 8" xfId="8804" xr:uid="{00000000-0005-0000-0000-000058220000}"/>
    <cellStyle name="Normal 2 2 10 3 2 9" xfId="8805" xr:uid="{00000000-0005-0000-0000-000059220000}"/>
    <cellStyle name="Normal 2 2 10 3 3" xfId="8806" xr:uid="{00000000-0005-0000-0000-00005A220000}"/>
    <cellStyle name="Normal 2 2 10 3 3 10" xfId="8807" xr:uid="{00000000-0005-0000-0000-00005B220000}"/>
    <cellStyle name="Normal 2 2 10 3 3 2" xfId="8808" xr:uid="{00000000-0005-0000-0000-00005C220000}"/>
    <cellStyle name="Normal 2 2 10 3 3 3" xfId="8809" xr:uid="{00000000-0005-0000-0000-00005D220000}"/>
    <cellStyle name="Normal 2 2 10 3 3 4" xfId="8810" xr:uid="{00000000-0005-0000-0000-00005E220000}"/>
    <cellStyle name="Normal 2 2 10 3 3 5" xfId="8811" xr:uid="{00000000-0005-0000-0000-00005F220000}"/>
    <cellStyle name="Normal 2 2 10 3 3 6" xfId="8812" xr:uid="{00000000-0005-0000-0000-000060220000}"/>
    <cellStyle name="Normal 2 2 10 3 3 7" xfId="8813" xr:uid="{00000000-0005-0000-0000-000061220000}"/>
    <cellStyle name="Normal 2 2 10 3 3 8" xfId="8814" xr:uid="{00000000-0005-0000-0000-000062220000}"/>
    <cellStyle name="Normal 2 2 10 3 3 9" xfId="8815" xr:uid="{00000000-0005-0000-0000-000063220000}"/>
    <cellStyle name="Normal 2 2 10 3 4" xfId="8816" xr:uid="{00000000-0005-0000-0000-000064220000}"/>
    <cellStyle name="Normal 2 2 10 3 4 10" xfId="8817" xr:uid="{00000000-0005-0000-0000-000065220000}"/>
    <cellStyle name="Normal 2 2 10 3 4 2" xfId="8818" xr:uid="{00000000-0005-0000-0000-000066220000}"/>
    <cellStyle name="Normal 2 2 10 3 4 3" xfId="8819" xr:uid="{00000000-0005-0000-0000-000067220000}"/>
    <cellStyle name="Normal 2 2 10 3 4 4" xfId="8820" xr:uid="{00000000-0005-0000-0000-000068220000}"/>
    <cellStyle name="Normal 2 2 10 3 4 5" xfId="8821" xr:uid="{00000000-0005-0000-0000-000069220000}"/>
    <cellStyle name="Normal 2 2 10 3 4 6" xfId="8822" xr:uid="{00000000-0005-0000-0000-00006A220000}"/>
    <cellStyle name="Normal 2 2 10 3 4 7" xfId="8823" xr:uid="{00000000-0005-0000-0000-00006B220000}"/>
    <cellStyle name="Normal 2 2 10 3 4 8" xfId="8824" xr:uid="{00000000-0005-0000-0000-00006C220000}"/>
    <cellStyle name="Normal 2 2 10 3 4 9" xfId="8825" xr:uid="{00000000-0005-0000-0000-00006D220000}"/>
    <cellStyle name="Normal 2 2 10 3 5" xfId="8826" xr:uid="{00000000-0005-0000-0000-00006E220000}"/>
    <cellStyle name="Normal 2 2 10 3 5 10" xfId="8827" xr:uid="{00000000-0005-0000-0000-00006F220000}"/>
    <cellStyle name="Normal 2 2 10 3 5 2" xfId="8828" xr:uid="{00000000-0005-0000-0000-000070220000}"/>
    <cellStyle name="Normal 2 2 10 3 5 3" xfId="8829" xr:uid="{00000000-0005-0000-0000-000071220000}"/>
    <cellStyle name="Normal 2 2 10 3 5 4" xfId="8830" xr:uid="{00000000-0005-0000-0000-000072220000}"/>
    <cellStyle name="Normal 2 2 10 3 5 5" xfId="8831" xr:uid="{00000000-0005-0000-0000-000073220000}"/>
    <cellStyle name="Normal 2 2 10 3 5 6" xfId="8832" xr:uid="{00000000-0005-0000-0000-000074220000}"/>
    <cellStyle name="Normal 2 2 10 3 5 7" xfId="8833" xr:uid="{00000000-0005-0000-0000-000075220000}"/>
    <cellStyle name="Normal 2 2 10 3 5 8" xfId="8834" xr:uid="{00000000-0005-0000-0000-000076220000}"/>
    <cellStyle name="Normal 2 2 10 3 5 9" xfId="8835" xr:uid="{00000000-0005-0000-0000-000077220000}"/>
    <cellStyle name="Normal 2 2 10 3 6" xfId="8836" xr:uid="{00000000-0005-0000-0000-000078220000}"/>
    <cellStyle name="Normal 2 2 10 3 7" xfId="8837" xr:uid="{00000000-0005-0000-0000-000079220000}"/>
    <cellStyle name="Normal 2 2 10 3 8" xfId="8838" xr:uid="{00000000-0005-0000-0000-00007A220000}"/>
    <cellStyle name="Normal 2 2 10 3 9" xfId="8839" xr:uid="{00000000-0005-0000-0000-00007B220000}"/>
    <cellStyle name="Normal 2 2 10 30" xfId="8840" xr:uid="{00000000-0005-0000-0000-00007C220000}"/>
    <cellStyle name="Normal 2 2 10 30 10" xfId="8841" xr:uid="{00000000-0005-0000-0000-00007D220000}"/>
    <cellStyle name="Normal 2 2 10 30 11" xfId="8842" xr:uid="{00000000-0005-0000-0000-00007E220000}"/>
    <cellStyle name="Normal 2 2 10 30 12" xfId="8843" xr:uid="{00000000-0005-0000-0000-00007F220000}"/>
    <cellStyle name="Normal 2 2 10 30 13" xfId="8844" xr:uid="{00000000-0005-0000-0000-000080220000}"/>
    <cellStyle name="Normal 2 2 10 30 14" xfId="8845" xr:uid="{00000000-0005-0000-0000-000081220000}"/>
    <cellStyle name="Normal 2 2 10 30 2" xfId="8846" xr:uid="{00000000-0005-0000-0000-000082220000}"/>
    <cellStyle name="Normal 2 2 10 30 2 10" xfId="8847" xr:uid="{00000000-0005-0000-0000-000083220000}"/>
    <cellStyle name="Normal 2 2 10 30 2 2" xfId="8848" xr:uid="{00000000-0005-0000-0000-000084220000}"/>
    <cellStyle name="Normal 2 2 10 30 2 3" xfId="8849" xr:uid="{00000000-0005-0000-0000-000085220000}"/>
    <cellStyle name="Normal 2 2 10 30 2 4" xfId="8850" xr:uid="{00000000-0005-0000-0000-000086220000}"/>
    <cellStyle name="Normal 2 2 10 30 2 5" xfId="8851" xr:uid="{00000000-0005-0000-0000-000087220000}"/>
    <cellStyle name="Normal 2 2 10 30 2 6" xfId="8852" xr:uid="{00000000-0005-0000-0000-000088220000}"/>
    <cellStyle name="Normal 2 2 10 30 2 7" xfId="8853" xr:uid="{00000000-0005-0000-0000-000089220000}"/>
    <cellStyle name="Normal 2 2 10 30 2 8" xfId="8854" xr:uid="{00000000-0005-0000-0000-00008A220000}"/>
    <cellStyle name="Normal 2 2 10 30 2 9" xfId="8855" xr:uid="{00000000-0005-0000-0000-00008B220000}"/>
    <cellStyle name="Normal 2 2 10 30 3" xfId="8856" xr:uid="{00000000-0005-0000-0000-00008C220000}"/>
    <cellStyle name="Normal 2 2 10 30 3 10" xfId="8857" xr:uid="{00000000-0005-0000-0000-00008D220000}"/>
    <cellStyle name="Normal 2 2 10 30 3 2" xfId="8858" xr:uid="{00000000-0005-0000-0000-00008E220000}"/>
    <cellStyle name="Normal 2 2 10 30 3 3" xfId="8859" xr:uid="{00000000-0005-0000-0000-00008F220000}"/>
    <cellStyle name="Normal 2 2 10 30 3 4" xfId="8860" xr:uid="{00000000-0005-0000-0000-000090220000}"/>
    <cellStyle name="Normal 2 2 10 30 3 5" xfId="8861" xr:uid="{00000000-0005-0000-0000-000091220000}"/>
    <cellStyle name="Normal 2 2 10 30 3 6" xfId="8862" xr:uid="{00000000-0005-0000-0000-000092220000}"/>
    <cellStyle name="Normal 2 2 10 30 3 7" xfId="8863" xr:uid="{00000000-0005-0000-0000-000093220000}"/>
    <cellStyle name="Normal 2 2 10 30 3 8" xfId="8864" xr:uid="{00000000-0005-0000-0000-000094220000}"/>
    <cellStyle name="Normal 2 2 10 30 3 9" xfId="8865" xr:uid="{00000000-0005-0000-0000-000095220000}"/>
    <cellStyle name="Normal 2 2 10 30 4" xfId="8866" xr:uid="{00000000-0005-0000-0000-000096220000}"/>
    <cellStyle name="Normal 2 2 10 30 4 10" xfId="8867" xr:uid="{00000000-0005-0000-0000-000097220000}"/>
    <cellStyle name="Normal 2 2 10 30 4 2" xfId="8868" xr:uid="{00000000-0005-0000-0000-000098220000}"/>
    <cellStyle name="Normal 2 2 10 30 4 3" xfId="8869" xr:uid="{00000000-0005-0000-0000-000099220000}"/>
    <cellStyle name="Normal 2 2 10 30 4 4" xfId="8870" xr:uid="{00000000-0005-0000-0000-00009A220000}"/>
    <cellStyle name="Normal 2 2 10 30 4 5" xfId="8871" xr:uid="{00000000-0005-0000-0000-00009B220000}"/>
    <cellStyle name="Normal 2 2 10 30 4 6" xfId="8872" xr:uid="{00000000-0005-0000-0000-00009C220000}"/>
    <cellStyle name="Normal 2 2 10 30 4 7" xfId="8873" xr:uid="{00000000-0005-0000-0000-00009D220000}"/>
    <cellStyle name="Normal 2 2 10 30 4 8" xfId="8874" xr:uid="{00000000-0005-0000-0000-00009E220000}"/>
    <cellStyle name="Normal 2 2 10 30 4 9" xfId="8875" xr:uid="{00000000-0005-0000-0000-00009F220000}"/>
    <cellStyle name="Normal 2 2 10 30 5" xfId="8876" xr:uid="{00000000-0005-0000-0000-0000A0220000}"/>
    <cellStyle name="Normal 2 2 10 30 5 10" xfId="8877" xr:uid="{00000000-0005-0000-0000-0000A1220000}"/>
    <cellStyle name="Normal 2 2 10 30 5 2" xfId="8878" xr:uid="{00000000-0005-0000-0000-0000A2220000}"/>
    <cellStyle name="Normal 2 2 10 30 5 3" xfId="8879" xr:uid="{00000000-0005-0000-0000-0000A3220000}"/>
    <cellStyle name="Normal 2 2 10 30 5 4" xfId="8880" xr:uid="{00000000-0005-0000-0000-0000A4220000}"/>
    <cellStyle name="Normal 2 2 10 30 5 5" xfId="8881" xr:uid="{00000000-0005-0000-0000-0000A5220000}"/>
    <cellStyle name="Normal 2 2 10 30 5 6" xfId="8882" xr:uid="{00000000-0005-0000-0000-0000A6220000}"/>
    <cellStyle name="Normal 2 2 10 30 5 7" xfId="8883" xr:uid="{00000000-0005-0000-0000-0000A7220000}"/>
    <cellStyle name="Normal 2 2 10 30 5 8" xfId="8884" xr:uid="{00000000-0005-0000-0000-0000A8220000}"/>
    <cellStyle name="Normal 2 2 10 30 5 9" xfId="8885" xr:uid="{00000000-0005-0000-0000-0000A9220000}"/>
    <cellStyle name="Normal 2 2 10 30 6" xfId="8886" xr:uid="{00000000-0005-0000-0000-0000AA220000}"/>
    <cellStyle name="Normal 2 2 10 30 7" xfId="8887" xr:uid="{00000000-0005-0000-0000-0000AB220000}"/>
    <cellStyle name="Normal 2 2 10 30 8" xfId="8888" xr:uid="{00000000-0005-0000-0000-0000AC220000}"/>
    <cellStyle name="Normal 2 2 10 30 9" xfId="8889" xr:uid="{00000000-0005-0000-0000-0000AD220000}"/>
    <cellStyle name="Normal 2 2 10 31" xfId="8890" xr:uid="{00000000-0005-0000-0000-0000AE220000}"/>
    <cellStyle name="Normal 2 2 10 31 10" xfId="8891" xr:uid="{00000000-0005-0000-0000-0000AF220000}"/>
    <cellStyle name="Normal 2 2 10 31 11" xfId="8892" xr:uid="{00000000-0005-0000-0000-0000B0220000}"/>
    <cellStyle name="Normal 2 2 10 31 12" xfId="8893" xr:uid="{00000000-0005-0000-0000-0000B1220000}"/>
    <cellStyle name="Normal 2 2 10 31 13" xfId="8894" xr:uid="{00000000-0005-0000-0000-0000B2220000}"/>
    <cellStyle name="Normal 2 2 10 31 14" xfId="8895" xr:uid="{00000000-0005-0000-0000-0000B3220000}"/>
    <cellStyle name="Normal 2 2 10 31 2" xfId="8896" xr:uid="{00000000-0005-0000-0000-0000B4220000}"/>
    <cellStyle name="Normal 2 2 10 31 2 10" xfId="8897" xr:uid="{00000000-0005-0000-0000-0000B5220000}"/>
    <cellStyle name="Normal 2 2 10 31 2 2" xfId="8898" xr:uid="{00000000-0005-0000-0000-0000B6220000}"/>
    <cellStyle name="Normal 2 2 10 31 2 3" xfId="8899" xr:uid="{00000000-0005-0000-0000-0000B7220000}"/>
    <cellStyle name="Normal 2 2 10 31 2 4" xfId="8900" xr:uid="{00000000-0005-0000-0000-0000B8220000}"/>
    <cellStyle name="Normal 2 2 10 31 2 5" xfId="8901" xr:uid="{00000000-0005-0000-0000-0000B9220000}"/>
    <cellStyle name="Normal 2 2 10 31 2 6" xfId="8902" xr:uid="{00000000-0005-0000-0000-0000BA220000}"/>
    <cellStyle name="Normal 2 2 10 31 2 7" xfId="8903" xr:uid="{00000000-0005-0000-0000-0000BB220000}"/>
    <cellStyle name="Normal 2 2 10 31 2 8" xfId="8904" xr:uid="{00000000-0005-0000-0000-0000BC220000}"/>
    <cellStyle name="Normal 2 2 10 31 2 9" xfId="8905" xr:uid="{00000000-0005-0000-0000-0000BD220000}"/>
    <cellStyle name="Normal 2 2 10 31 3" xfId="8906" xr:uid="{00000000-0005-0000-0000-0000BE220000}"/>
    <cellStyle name="Normal 2 2 10 31 3 10" xfId="8907" xr:uid="{00000000-0005-0000-0000-0000BF220000}"/>
    <cellStyle name="Normal 2 2 10 31 3 2" xfId="8908" xr:uid="{00000000-0005-0000-0000-0000C0220000}"/>
    <cellStyle name="Normal 2 2 10 31 3 3" xfId="8909" xr:uid="{00000000-0005-0000-0000-0000C1220000}"/>
    <cellStyle name="Normal 2 2 10 31 3 4" xfId="8910" xr:uid="{00000000-0005-0000-0000-0000C2220000}"/>
    <cellStyle name="Normal 2 2 10 31 3 5" xfId="8911" xr:uid="{00000000-0005-0000-0000-0000C3220000}"/>
    <cellStyle name="Normal 2 2 10 31 3 6" xfId="8912" xr:uid="{00000000-0005-0000-0000-0000C4220000}"/>
    <cellStyle name="Normal 2 2 10 31 3 7" xfId="8913" xr:uid="{00000000-0005-0000-0000-0000C5220000}"/>
    <cellStyle name="Normal 2 2 10 31 3 8" xfId="8914" xr:uid="{00000000-0005-0000-0000-0000C6220000}"/>
    <cellStyle name="Normal 2 2 10 31 3 9" xfId="8915" xr:uid="{00000000-0005-0000-0000-0000C7220000}"/>
    <cellStyle name="Normal 2 2 10 31 4" xfId="8916" xr:uid="{00000000-0005-0000-0000-0000C8220000}"/>
    <cellStyle name="Normal 2 2 10 31 4 10" xfId="8917" xr:uid="{00000000-0005-0000-0000-0000C9220000}"/>
    <cellStyle name="Normal 2 2 10 31 4 2" xfId="8918" xr:uid="{00000000-0005-0000-0000-0000CA220000}"/>
    <cellStyle name="Normal 2 2 10 31 4 3" xfId="8919" xr:uid="{00000000-0005-0000-0000-0000CB220000}"/>
    <cellStyle name="Normal 2 2 10 31 4 4" xfId="8920" xr:uid="{00000000-0005-0000-0000-0000CC220000}"/>
    <cellStyle name="Normal 2 2 10 31 4 5" xfId="8921" xr:uid="{00000000-0005-0000-0000-0000CD220000}"/>
    <cellStyle name="Normal 2 2 10 31 4 6" xfId="8922" xr:uid="{00000000-0005-0000-0000-0000CE220000}"/>
    <cellStyle name="Normal 2 2 10 31 4 7" xfId="8923" xr:uid="{00000000-0005-0000-0000-0000CF220000}"/>
    <cellStyle name="Normal 2 2 10 31 4 8" xfId="8924" xr:uid="{00000000-0005-0000-0000-0000D0220000}"/>
    <cellStyle name="Normal 2 2 10 31 4 9" xfId="8925" xr:uid="{00000000-0005-0000-0000-0000D1220000}"/>
    <cellStyle name="Normal 2 2 10 31 5" xfId="8926" xr:uid="{00000000-0005-0000-0000-0000D2220000}"/>
    <cellStyle name="Normal 2 2 10 31 5 10" xfId="8927" xr:uid="{00000000-0005-0000-0000-0000D3220000}"/>
    <cellStyle name="Normal 2 2 10 31 5 2" xfId="8928" xr:uid="{00000000-0005-0000-0000-0000D4220000}"/>
    <cellStyle name="Normal 2 2 10 31 5 3" xfId="8929" xr:uid="{00000000-0005-0000-0000-0000D5220000}"/>
    <cellStyle name="Normal 2 2 10 31 5 4" xfId="8930" xr:uid="{00000000-0005-0000-0000-0000D6220000}"/>
    <cellStyle name="Normal 2 2 10 31 5 5" xfId="8931" xr:uid="{00000000-0005-0000-0000-0000D7220000}"/>
    <cellStyle name="Normal 2 2 10 31 5 6" xfId="8932" xr:uid="{00000000-0005-0000-0000-0000D8220000}"/>
    <cellStyle name="Normal 2 2 10 31 5 7" xfId="8933" xr:uid="{00000000-0005-0000-0000-0000D9220000}"/>
    <cellStyle name="Normal 2 2 10 31 5 8" xfId="8934" xr:uid="{00000000-0005-0000-0000-0000DA220000}"/>
    <cellStyle name="Normal 2 2 10 31 5 9" xfId="8935" xr:uid="{00000000-0005-0000-0000-0000DB220000}"/>
    <cellStyle name="Normal 2 2 10 31 6" xfId="8936" xr:uid="{00000000-0005-0000-0000-0000DC220000}"/>
    <cellStyle name="Normal 2 2 10 31 7" xfId="8937" xr:uid="{00000000-0005-0000-0000-0000DD220000}"/>
    <cellStyle name="Normal 2 2 10 31 8" xfId="8938" xr:uid="{00000000-0005-0000-0000-0000DE220000}"/>
    <cellStyle name="Normal 2 2 10 31 9" xfId="8939" xr:uid="{00000000-0005-0000-0000-0000DF220000}"/>
    <cellStyle name="Normal 2 2 10 32" xfId="8940" xr:uid="{00000000-0005-0000-0000-0000E0220000}"/>
    <cellStyle name="Normal 2 2 10 32 10" xfId="8941" xr:uid="{00000000-0005-0000-0000-0000E1220000}"/>
    <cellStyle name="Normal 2 2 10 32 11" xfId="8942" xr:uid="{00000000-0005-0000-0000-0000E2220000}"/>
    <cellStyle name="Normal 2 2 10 32 12" xfId="8943" xr:uid="{00000000-0005-0000-0000-0000E3220000}"/>
    <cellStyle name="Normal 2 2 10 32 13" xfId="8944" xr:uid="{00000000-0005-0000-0000-0000E4220000}"/>
    <cellStyle name="Normal 2 2 10 32 14" xfId="8945" xr:uid="{00000000-0005-0000-0000-0000E5220000}"/>
    <cellStyle name="Normal 2 2 10 32 2" xfId="8946" xr:uid="{00000000-0005-0000-0000-0000E6220000}"/>
    <cellStyle name="Normal 2 2 10 32 2 10" xfId="8947" xr:uid="{00000000-0005-0000-0000-0000E7220000}"/>
    <cellStyle name="Normal 2 2 10 32 2 2" xfId="8948" xr:uid="{00000000-0005-0000-0000-0000E8220000}"/>
    <cellStyle name="Normal 2 2 10 32 2 3" xfId="8949" xr:uid="{00000000-0005-0000-0000-0000E9220000}"/>
    <cellStyle name="Normal 2 2 10 32 2 4" xfId="8950" xr:uid="{00000000-0005-0000-0000-0000EA220000}"/>
    <cellStyle name="Normal 2 2 10 32 2 5" xfId="8951" xr:uid="{00000000-0005-0000-0000-0000EB220000}"/>
    <cellStyle name="Normal 2 2 10 32 2 6" xfId="8952" xr:uid="{00000000-0005-0000-0000-0000EC220000}"/>
    <cellStyle name="Normal 2 2 10 32 2 7" xfId="8953" xr:uid="{00000000-0005-0000-0000-0000ED220000}"/>
    <cellStyle name="Normal 2 2 10 32 2 8" xfId="8954" xr:uid="{00000000-0005-0000-0000-0000EE220000}"/>
    <cellStyle name="Normal 2 2 10 32 2 9" xfId="8955" xr:uid="{00000000-0005-0000-0000-0000EF220000}"/>
    <cellStyle name="Normal 2 2 10 32 3" xfId="8956" xr:uid="{00000000-0005-0000-0000-0000F0220000}"/>
    <cellStyle name="Normal 2 2 10 32 3 10" xfId="8957" xr:uid="{00000000-0005-0000-0000-0000F1220000}"/>
    <cellStyle name="Normal 2 2 10 32 3 2" xfId="8958" xr:uid="{00000000-0005-0000-0000-0000F2220000}"/>
    <cellStyle name="Normal 2 2 10 32 3 3" xfId="8959" xr:uid="{00000000-0005-0000-0000-0000F3220000}"/>
    <cellStyle name="Normal 2 2 10 32 3 4" xfId="8960" xr:uid="{00000000-0005-0000-0000-0000F4220000}"/>
    <cellStyle name="Normal 2 2 10 32 3 5" xfId="8961" xr:uid="{00000000-0005-0000-0000-0000F5220000}"/>
    <cellStyle name="Normal 2 2 10 32 3 6" xfId="8962" xr:uid="{00000000-0005-0000-0000-0000F6220000}"/>
    <cellStyle name="Normal 2 2 10 32 3 7" xfId="8963" xr:uid="{00000000-0005-0000-0000-0000F7220000}"/>
    <cellStyle name="Normal 2 2 10 32 3 8" xfId="8964" xr:uid="{00000000-0005-0000-0000-0000F8220000}"/>
    <cellStyle name="Normal 2 2 10 32 3 9" xfId="8965" xr:uid="{00000000-0005-0000-0000-0000F9220000}"/>
    <cellStyle name="Normal 2 2 10 32 4" xfId="8966" xr:uid="{00000000-0005-0000-0000-0000FA220000}"/>
    <cellStyle name="Normal 2 2 10 32 4 10" xfId="8967" xr:uid="{00000000-0005-0000-0000-0000FB220000}"/>
    <cellStyle name="Normal 2 2 10 32 4 2" xfId="8968" xr:uid="{00000000-0005-0000-0000-0000FC220000}"/>
    <cellStyle name="Normal 2 2 10 32 4 3" xfId="8969" xr:uid="{00000000-0005-0000-0000-0000FD220000}"/>
    <cellStyle name="Normal 2 2 10 32 4 4" xfId="8970" xr:uid="{00000000-0005-0000-0000-0000FE220000}"/>
    <cellStyle name="Normal 2 2 10 32 4 5" xfId="8971" xr:uid="{00000000-0005-0000-0000-0000FF220000}"/>
    <cellStyle name="Normal 2 2 10 32 4 6" xfId="8972" xr:uid="{00000000-0005-0000-0000-000000230000}"/>
    <cellStyle name="Normal 2 2 10 32 4 7" xfId="8973" xr:uid="{00000000-0005-0000-0000-000001230000}"/>
    <cellStyle name="Normal 2 2 10 32 4 8" xfId="8974" xr:uid="{00000000-0005-0000-0000-000002230000}"/>
    <cellStyle name="Normal 2 2 10 32 4 9" xfId="8975" xr:uid="{00000000-0005-0000-0000-000003230000}"/>
    <cellStyle name="Normal 2 2 10 32 5" xfId="8976" xr:uid="{00000000-0005-0000-0000-000004230000}"/>
    <cellStyle name="Normal 2 2 10 32 5 10" xfId="8977" xr:uid="{00000000-0005-0000-0000-000005230000}"/>
    <cellStyle name="Normal 2 2 10 32 5 2" xfId="8978" xr:uid="{00000000-0005-0000-0000-000006230000}"/>
    <cellStyle name="Normal 2 2 10 32 5 3" xfId="8979" xr:uid="{00000000-0005-0000-0000-000007230000}"/>
    <cellStyle name="Normal 2 2 10 32 5 4" xfId="8980" xr:uid="{00000000-0005-0000-0000-000008230000}"/>
    <cellStyle name="Normal 2 2 10 32 5 5" xfId="8981" xr:uid="{00000000-0005-0000-0000-000009230000}"/>
    <cellStyle name="Normal 2 2 10 32 5 6" xfId="8982" xr:uid="{00000000-0005-0000-0000-00000A230000}"/>
    <cellStyle name="Normal 2 2 10 32 5 7" xfId="8983" xr:uid="{00000000-0005-0000-0000-00000B230000}"/>
    <cellStyle name="Normal 2 2 10 32 5 8" xfId="8984" xr:uid="{00000000-0005-0000-0000-00000C230000}"/>
    <cellStyle name="Normal 2 2 10 32 5 9" xfId="8985" xr:uid="{00000000-0005-0000-0000-00000D230000}"/>
    <cellStyle name="Normal 2 2 10 32 6" xfId="8986" xr:uid="{00000000-0005-0000-0000-00000E230000}"/>
    <cellStyle name="Normal 2 2 10 32 7" xfId="8987" xr:uid="{00000000-0005-0000-0000-00000F230000}"/>
    <cellStyle name="Normal 2 2 10 32 8" xfId="8988" xr:uid="{00000000-0005-0000-0000-000010230000}"/>
    <cellStyle name="Normal 2 2 10 32 9" xfId="8989" xr:uid="{00000000-0005-0000-0000-000011230000}"/>
    <cellStyle name="Normal 2 2 10 33" xfId="8990" xr:uid="{00000000-0005-0000-0000-000012230000}"/>
    <cellStyle name="Normal 2 2 10 33 10" xfId="8991" xr:uid="{00000000-0005-0000-0000-000013230000}"/>
    <cellStyle name="Normal 2 2 10 33 11" xfId="8992" xr:uid="{00000000-0005-0000-0000-000014230000}"/>
    <cellStyle name="Normal 2 2 10 33 12" xfId="8993" xr:uid="{00000000-0005-0000-0000-000015230000}"/>
    <cellStyle name="Normal 2 2 10 33 13" xfId="8994" xr:uid="{00000000-0005-0000-0000-000016230000}"/>
    <cellStyle name="Normal 2 2 10 33 14" xfId="8995" xr:uid="{00000000-0005-0000-0000-000017230000}"/>
    <cellStyle name="Normal 2 2 10 33 2" xfId="8996" xr:uid="{00000000-0005-0000-0000-000018230000}"/>
    <cellStyle name="Normal 2 2 10 33 2 10" xfId="8997" xr:uid="{00000000-0005-0000-0000-000019230000}"/>
    <cellStyle name="Normal 2 2 10 33 2 2" xfId="8998" xr:uid="{00000000-0005-0000-0000-00001A230000}"/>
    <cellStyle name="Normal 2 2 10 33 2 3" xfId="8999" xr:uid="{00000000-0005-0000-0000-00001B230000}"/>
    <cellStyle name="Normal 2 2 10 33 2 4" xfId="9000" xr:uid="{00000000-0005-0000-0000-00001C230000}"/>
    <cellStyle name="Normal 2 2 10 33 2 5" xfId="9001" xr:uid="{00000000-0005-0000-0000-00001D230000}"/>
    <cellStyle name="Normal 2 2 10 33 2 6" xfId="9002" xr:uid="{00000000-0005-0000-0000-00001E230000}"/>
    <cellStyle name="Normal 2 2 10 33 2 7" xfId="9003" xr:uid="{00000000-0005-0000-0000-00001F230000}"/>
    <cellStyle name="Normal 2 2 10 33 2 8" xfId="9004" xr:uid="{00000000-0005-0000-0000-000020230000}"/>
    <cellStyle name="Normal 2 2 10 33 2 9" xfId="9005" xr:uid="{00000000-0005-0000-0000-000021230000}"/>
    <cellStyle name="Normal 2 2 10 33 3" xfId="9006" xr:uid="{00000000-0005-0000-0000-000022230000}"/>
    <cellStyle name="Normal 2 2 10 33 3 10" xfId="9007" xr:uid="{00000000-0005-0000-0000-000023230000}"/>
    <cellStyle name="Normal 2 2 10 33 3 2" xfId="9008" xr:uid="{00000000-0005-0000-0000-000024230000}"/>
    <cellStyle name="Normal 2 2 10 33 3 3" xfId="9009" xr:uid="{00000000-0005-0000-0000-000025230000}"/>
    <cellStyle name="Normal 2 2 10 33 3 4" xfId="9010" xr:uid="{00000000-0005-0000-0000-000026230000}"/>
    <cellStyle name="Normal 2 2 10 33 3 5" xfId="9011" xr:uid="{00000000-0005-0000-0000-000027230000}"/>
    <cellStyle name="Normal 2 2 10 33 3 6" xfId="9012" xr:uid="{00000000-0005-0000-0000-000028230000}"/>
    <cellStyle name="Normal 2 2 10 33 3 7" xfId="9013" xr:uid="{00000000-0005-0000-0000-000029230000}"/>
    <cellStyle name="Normal 2 2 10 33 3 8" xfId="9014" xr:uid="{00000000-0005-0000-0000-00002A230000}"/>
    <cellStyle name="Normal 2 2 10 33 3 9" xfId="9015" xr:uid="{00000000-0005-0000-0000-00002B230000}"/>
    <cellStyle name="Normal 2 2 10 33 4" xfId="9016" xr:uid="{00000000-0005-0000-0000-00002C230000}"/>
    <cellStyle name="Normal 2 2 10 33 4 10" xfId="9017" xr:uid="{00000000-0005-0000-0000-00002D230000}"/>
    <cellStyle name="Normal 2 2 10 33 4 2" xfId="9018" xr:uid="{00000000-0005-0000-0000-00002E230000}"/>
    <cellStyle name="Normal 2 2 10 33 4 3" xfId="9019" xr:uid="{00000000-0005-0000-0000-00002F230000}"/>
    <cellStyle name="Normal 2 2 10 33 4 4" xfId="9020" xr:uid="{00000000-0005-0000-0000-000030230000}"/>
    <cellStyle name="Normal 2 2 10 33 4 5" xfId="9021" xr:uid="{00000000-0005-0000-0000-000031230000}"/>
    <cellStyle name="Normal 2 2 10 33 4 6" xfId="9022" xr:uid="{00000000-0005-0000-0000-000032230000}"/>
    <cellStyle name="Normal 2 2 10 33 4 7" xfId="9023" xr:uid="{00000000-0005-0000-0000-000033230000}"/>
    <cellStyle name="Normal 2 2 10 33 4 8" xfId="9024" xr:uid="{00000000-0005-0000-0000-000034230000}"/>
    <cellStyle name="Normal 2 2 10 33 4 9" xfId="9025" xr:uid="{00000000-0005-0000-0000-000035230000}"/>
    <cellStyle name="Normal 2 2 10 33 5" xfId="9026" xr:uid="{00000000-0005-0000-0000-000036230000}"/>
    <cellStyle name="Normal 2 2 10 33 5 10" xfId="9027" xr:uid="{00000000-0005-0000-0000-000037230000}"/>
    <cellStyle name="Normal 2 2 10 33 5 2" xfId="9028" xr:uid="{00000000-0005-0000-0000-000038230000}"/>
    <cellStyle name="Normal 2 2 10 33 5 3" xfId="9029" xr:uid="{00000000-0005-0000-0000-000039230000}"/>
    <cellStyle name="Normal 2 2 10 33 5 4" xfId="9030" xr:uid="{00000000-0005-0000-0000-00003A230000}"/>
    <cellStyle name="Normal 2 2 10 33 5 5" xfId="9031" xr:uid="{00000000-0005-0000-0000-00003B230000}"/>
    <cellStyle name="Normal 2 2 10 33 5 6" xfId="9032" xr:uid="{00000000-0005-0000-0000-00003C230000}"/>
    <cellStyle name="Normal 2 2 10 33 5 7" xfId="9033" xr:uid="{00000000-0005-0000-0000-00003D230000}"/>
    <cellStyle name="Normal 2 2 10 33 5 8" xfId="9034" xr:uid="{00000000-0005-0000-0000-00003E230000}"/>
    <cellStyle name="Normal 2 2 10 33 5 9" xfId="9035" xr:uid="{00000000-0005-0000-0000-00003F230000}"/>
    <cellStyle name="Normal 2 2 10 33 6" xfId="9036" xr:uid="{00000000-0005-0000-0000-000040230000}"/>
    <cellStyle name="Normal 2 2 10 33 7" xfId="9037" xr:uid="{00000000-0005-0000-0000-000041230000}"/>
    <cellStyle name="Normal 2 2 10 33 8" xfId="9038" xr:uid="{00000000-0005-0000-0000-000042230000}"/>
    <cellStyle name="Normal 2 2 10 33 9" xfId="9039" xr:uid="{00000000-0005-0000-0000-000043230000}"/>
    <cellStyle name="Normal 2 2 10 34" xfId="9040" xr:uid="{00000000-0005-0000-0000-000044230000}"/>
    <cellStyle name="Normal 2 2 10 34 10" xfId="9041" xr:uid="{00000000-0005-0000-0000-000045230000}"/>
    <cellStyle name="Normal 2 2 10 34 11" xfId="9042" xr:uid="{00000000-0005-0000-0000-000046230000}"/>
    <cellStyle name="Normal 2 2 10 34 12" xfId="9043" xr:uid="{00000000-0005-0000-0000-000047230000}"/>
    <cellStyle name="Normal 2 2 10 34 13" xfId="9044" xr:uid="{00000000-0005-0000-0000-000048230000}"/>
    <cellStyle name="Normal 2 2 10 34 14" xfId="9045" xr:uid="{00000000-0005-0000-0000-000049230000}"/>
    <cellStyle name="Normal 2 2 10 34 2" xfId="9046" xr:uid="{00000000-0005-0000-0000-00004A230000}"/>
    <cellStyle name="Normal 2 2 10 34 2 10" xfId="9047" xr:uid="{00000000-0005-0000-0000-00004B230000}"/>
    <cellStyle name="Normal 2 2 10 34 2 2" xfId="9048" xr:uid="{00000000-0005-0000-0000-00004C230000}"/>
    <cellStyle name="Normal 2 2 10 34 2 3" xfId="9049" xr:uid="{00000000-0005-0000-0000-00004D230000}"/>
    <cellStyle name="Normal 2 2 10 34 2 4" xfId="9050" xr:uid="{00000000-0005-0000-0000-00004E230000}"/>
    <cellStyle name="Normal 2 2 10 34 2 5" xfId="9051" xr:uid="{00000000-0005-0000-0000-00004F230000}"/>
    <cellStyle name="Normal 2 2 10 34 2 6" xfId="9052" xr:uid="{00000000-0005-0000-0000-000050230000}"/>
    <cellStyle name="Normal 2 2 10 34 2 7" xfId="9053" xr:uid="{00000000-0005-0000-0000-000051230000}"/>
    <cellStyle name="Normal 2 2 10 34 2 8" xfId="9054" xr:uid="{00000000-0005-0000-0000-000052230000}"/>
    <cellStyle name="Normal 2 2 10 34 2 9" xfId="9055" xr:uid="{00000000-0005-0000-0000-000053230000}"/>
    <cellStyle name="Normal 2 2 10 34 3" xfId="9056" xr:uid="{00000000-0005-0000-0000-000054230000}"/>
    <cellStyle name="Normal 2 2 10 34 3 10" xfId="9057" xr:uid="{00000000-0005-0000-0000-000055230000}"/>
    <cellStyle name="Normal 2 2 10 34 3 2" xfId="9058" xr:uid="{00000000-0005-0000-0000-000056230000}"/>
    <cellStyle name="Normal 2 2 10 34 3 3" xfId="9059" xr:uid="{00000000-0005-0000-0000-000057230000}"/>
    <cellStyle name="Normal 2 2 10 34 3 4" xfId="9060" xr:uid="{00000000-0005-0000-0000-000058230000}"/>
    <cellStyle name="Normal 2 2 10 34 3 5" xfId="9061" xr:uid="{00000000-0005-0000-0000-000059230000}"/>
    <cellStyle name="Normal 2 2 10 34 3 6" xfId="9062" xr:uid="{00000000-0005-0000-0000-00005A230000}"/>
    <cellStyle name="Normal 2 2 10 34 3 7" xfId="9063" xr:uid="{00000000-0005-0000-0000-00005B230000}"/>
    <cellStyle name="Normal 2 2 10 34 3 8" xfId="9064" xr:uid="{00000000-0005-0000-0000-00005C230000}"/>
    <cellStyle name="Normal 2 2 10 34 3 9" xfId="9065" xr:uid="{00000000-0005-0000-0000-00005D230000}"/>
    <cellStyle name="Normal 2 2 10 34 4" xfId="9066" xr:uid="{00000000-0005-0000-0000-00005E230000}"/>
    <cellStyle name="Normal 2 2 10 34 4 10" xfId="9067" xr:uid="{00000000-0005-0000-0000-00005F230000}"/>
    <cellStyle name="Normal 2 2 10 34 4 2" xfId="9068" xr:uid="{00000000-0005-0000-0000-000060230000}"/>
    <cellStyle name="Normal 2 2 10 34 4 3" xfId="9069" xr:uid="{00000000-0005-0000-0000-000061230000}"/>
    <cellStyle name="Normal 2 2 10 34 4 4" xfId="9070" xr:uid="{00000000-0005-0000-0000-000062230000}"/>
    <cellStyle name="Normal 2 2 10 34 4 5" xfId="9071" xr:uid="{00000000-0005-0000-0000-000063230000}"/>
    <cellStyle name="Normal 2 2 10 34 4 6" xfId="9072" xr:uid="{00000000-0005-0000-0000-000064230000}"/>
    <cellStyle name="Normal 2 2 10 34 4 7" xfId="9073" xr:uid="{00000000-0005-0000-0000-000065230000}"/>
    <cellStyle name="Normal 2 2 10 34 4 8" xfId="9074" xr:uid="{00000000-0005-0000-0000-000066230000}"/>
    <cellStyle name="Normal 2 2 10 34 4 9" xfId="9075" xr:uid="{00000000-0005-0000-0000-000067230000}"/>
    <cellStyle name="Normal 2 2 10 34 5" xfId="9076" xr:uid="{00000000-0005-0000-0000-000068230000}"/>
    <cellStyle name="Normal 2 2 10 34 5 10" xfId="9077" xr:uid="{00000000-0005-0000-0000-000069230000}"/>
    <cellStyle name="Normal 2 2 10 34 5 2" xfId="9078" xr:uid="{00000000-0005-0000-0000-00006A230000}"/>
    <cellStyle name="Normal 2 2 10 34 5 3" xfId="9079" xr:uid="{00000000-0005-0000-0000-00006B230000}"/>
    <cellStyle name="Normal 2 2 10 34 5 4" xfId="9080" xr:uid="{00000000-0005-0000-0000-00006C230000}"/>
    <cellStyle name="Normal 2 2 10 34 5 5" xfId="9081" xr:uid="{00000000-0005-0000-0000-00006D230000}"/>
    <cellStyle name="Normal 2 2 10 34 5 6" xfId="9082" xr:uid="{00000000-0005-0000-0000-00006E230000}"/>
    <cellStyle name="Normal 2 2 10 34 5 7" xfId="9083" xr:uid="{00000000-0005-0000-0000-00006F230000}"/>
    <cellStyle name="Normal 2 2 10 34 5 8" xfId="9084" xr:uid="{00000000-0005-0000-0000-000070230000}"/>
    <cellStyle name="Normal 2 2 10 34 5 9" xfId="9085" xr:uid="{00000000-0005-0000-0000-000071230000}"/>
    <cellStyle name="Normal 2 2 10 34 6" xfId="9086" xr:uid="{00000000-0005-0000-0000-000072230000}"/>
    <cellStyle name="Normal 2 2 10 34 7" xfId="9087" xr:uid="{00000000-0005-0000-0000-000073230000}"/>
    <cellStyle name="Normal 2 2 10 34 8" xfId="9088" xr:uid="{00000000-0005-0000-0000-000074230000}"/>
    <cellStyle name="Normal 2 2 10 34 9" xfId="9089" xr:uid="{00000000-0005-0000-0000-000075230000}"/>
    <cellStyle name="Normal 2 2 10 35" xfId="9090" xr:uid="{00000000-0005-0000-0000-000076230000}"/>
    <cellStyle name="Normal 2 2 10 35 10" xfId="9091" xr:uid="{00000000-0005-0000-0000-000077230000}"/>
    <cellStyle name="Normal 2 2 10 35 2" xfId="9092" xr:uid="{00000000-0005-0000-0000-000078230000}"/>
    <cellStyle name="Normal 2 2 10 35 3" xfId="9093" xr:uid="{00000000-0005-0000-0000-000079230000}"/>
    <cellStyle name="Normal 2 2 10 35 4" xfId="9094" xr:uid="{00000000-0005-0000-0000-00007A230000}"/>
    <cellStyle name="Normal 2 2 10 35 5" xfId="9095" xr:uid="{00000000-0005-0000-0000-00007B230000}"/>
    <cellStyle name="Normal 2 2 10 35 6" xfId="9096" xr:uid="{00000000-0005-0000-0000-00007C230000}"/>
    <cellStyle name="Normal 2 2 10 35 7" xfId="9097" xr:uid="{00000000-0005-0000-0000-00007D230000}"/>
    <cellStyle name="Normal 2 2 10 35 8" xfId="9098" xr:uid="{00000000-0005-0000-0000-00007E230000}"/>
    <cellStyle name="Normal 2 2 10 35 9" xfId="9099" xr:uid="{00000000-0005-0000-0000-00007F230000}"/>
    <cellStyle name="Normal 2 2 10 36" xfId="9100" xr:uid="{00000000-0005-0000-0000-000080230000}"/>
    <cellStyle name="Normal 2 2 10 36 10" xfId="9101" xr:uid="{00000000-0005-0000-0000-000081230000}"/>
    <cellStyle name="Normal 2 2 10 36 2" xfId="9102" xr:uid="{00000000-0005-0000-0000-000082230000}"/>
    <cellStyle name="Normal 2 2 10 36 3" xfId="9103" xr:uid="{00000000-0005-0000-0000-000083230000}"/>
    <cellStyle name="Normal 2 2 10 36 4" xfId="9104" xr:uid="{00000000-0005-0000-0000-000084230000}"/>
    <cellStyle name="Normal 2 2 10 36 5" xfId="9105" xr:uid="{00000000-0005-0000-0000-000085230000}"/>
    <cellStyle name="Normal 2 2 10 36 6" xfId="9106" xr:uid="{00000000-0005-0000-0000-000086230000}"/>
    <cellStyle name="Normal 2 2 10 36 7" xfId="9107" xr:uid="{00000000-0005-0000-0000-000087230000}"/>
    <cellStyle name="Normal 2 2 10 36 8" xfId="9108" xr:uid="{00000000-0005-0000-0000-000088230000}"/>
    <cellStyle name="Normal 2 2 10 36 9" xfId="9109" xr:uid="{00000000-0005-0000-0000-000089230000}"/>
    <cellStyle name="Normal 2 2 10 37" xfId="9110" xr:uid="{00000000-0005-0000-0000-00008A230000}"/>
    <cellStyle name="Normal 2 2 10 37 10" xfId="9111" xr:uid="{00000000-0005-0000-0000-00008B230000}"/>
    <cellStyle name="Normal 2 2 10 37 2" xfId="9112" xr:uid="{00000000-0005-0000-0000-00008C230000}"/>
    <cellStyle name="Normal 2 2 10 37 3" xfId="9113" xr:uid="{00000000-0005-0000-0000-00008D230000}"/>
    <cellStyle name="Normal 2 2 10 37 4" xfId="9114" xr:uid="{00000000-0005-0000-0000-00008E230000}"/>
    <cellStyle name="Normal 2 2 10 37 5" xfId="9115" xr:uid="{00000000-0005-0000-0000-00008F230000}"/>
    <cellStyle name="Normal 2 2 10 37 6" xfId="9116" xr:uid="{00000000-0005-0000-0000-000090230000}"/>
    <cellStyle name="Normal 2 2 10 37 7" xfId="9117" xr:uid="{00000000-0005-0000-0000-000091230000}"/>
    <cellStyle name="Normal 2 2 10 37 8" xfId="9118" xr:uid="{00000000-0005-0000-0000-000092230000}"/>
    <cellStyle name="Normal 2 2 10 37 9" xfId="9119" xr:uid="{00000000-0005-0000-0000-000093230000}"/>
    <cellStyle name="Normal 2 2 10 38" xfId="9120" xr:uid="{00000000-0005-0000-0000-000094230000}"/>
    <cellStyle name="Normal 2 2 10 38 10" xfId="9121" xr:uid="{00000000-0005-0000-0000-000095230000}"/>
    <cellStyle name="Normal 2 2 10 38 2" xfId="9122" xr:uid="{00000000-0005-0000-0000-000096230000}"/>
    <cellStyle name="Normal 2 2 10 38 3" xfId="9123" xr:uid="{00000000-0005-0000-0000-000097230000}"/>
    <cellStyle name="Normal 2 2 10 38 4" xfId="9124" xr:uid="{00000000-0005-0000-0000-000098230000}"/>
    <cellStyle name="Normal 2 2 10 38 5" xfId="9125" xr:uid="{00000000-0005-0000-0000-000099230000}"/>
    <cellStyle name="Normal 2 2 10 38 6" xfId="9126" xr:uid="{00000000-0005-0000-0000-00009A230000}"/>
    <cellStyle name="Normal 2 2 10 38 7" xfId="9127" xr:uid="{00000000-0005-0000-0000-00009B230000}"/>
    <cellStyle name="Normal 2 2 10 38 8" xfId="9128" xr:uid="{00000000-0005-0000-0000-00009C230000}"/>
    <cellStyle name="Normal 2 2 10 38 9" xfId="9129" xr:uid="{00000000-0005-0000-0000-00009D230000}"/>
    <cellStyle name="Normal 2 2 10 39" xfId="9130" xr:uid="{00000000-0005-0000-0000-00009E230000}"/>
    <cellStyle name="Normal 2 2 10 4" xfId="9131" xr:uid="{00000000-0005-0000-0000-00009F230000}"/>
    <cellStyle name="Normal 2 2 10 4 10" xfId="9132" xr:uid="{00000000-0005-0000-0000-0000A0230000}"/>
    <cellStyle name="Normal 2 2 10 4 11" xfId="9133" xr:uid="{00000000-0005-0000-0000-0000A1230000}"/>
    <cellStyle name="Normal 2 2 10 4 12" xfId="9134" xr:uid="{00000000-0005-0000-0000-0000A2230000}"/>
    <cellStyle name="Normal 2 2 10 4 13" xfId="9135" xr:uid="{00000000-0005-0000-0000-0000A3230000}"/>
    <cellStyle name="Normal 2 2 10 4 14" xfId="9136" xr:uid="{00000000-0005-0000-0000-0000A4230000}"/>
    <cellStyle name="Normal 2 2 10 4 2" xfId="9137" xr:uid="{00000000-0005-0000-0000-0000A5230000}"/>
    <cellStyle name="Normal 2 2 10 4 2 10" xfId="9138" xr:uid="{00000000-0005-0000-0000-0000A6230000}"/>
    <cellStyle name="Normal 2 2 10 4 2 2" xfId="9139" xr:uid="{00000000-0005-0000-0000-0000A7230000}"/>
    <cellStyle name="Normal 2 2 10 4 2 3" xfId="9140" xr:uid="{00000000-0005-0000-0000-0000A8230000}"/>
    <cellStyle name="Normal 2 2 10 4 2 4" xfId="9141" xr:uid="{00000000-0005-0000-0000-0000A9230000}"/>
    <cellStyle name="Normal 2 2 10 4 2 5" xfId="9142" xr:uid="{00000000-0005-0000-0000-0000AA230000}"/>
    <cellStyle name="Normal 2 2 10 4 2 6" xfId="9143" xr:uid="{00000000-0005-0000-0000-0000AB230000}"/>
    <cellStyle name="Normal 2 2 10 4 2 7" xfId="9144" xr:uid="{00000000-0005-0000-0000-0000AC230000}"/>
    <cellStyle name="Normal 2 2 10 4 2 8" xfId="9145" xr:uid="{00000000-0005-0000-0000-0000AD230000}"/>
    <cellStyle name="Normal 2 2 10 4 2 9" xfId="9146" xr:uid="{00000000-0005-0000-0000-0000AE230000}"/>
    <cellStyle name="Normal 2 2 10 4 3" xfId="9147" xr:uid="{00000000-0005-0000-0000-0000AF230000}"/>
    <cellStyle name="Normal 2 2 10 4 3 10" xfId="9148" xr:uid="{00000000-0005-0000-0000-0000B0230000}"/>
    <cellStyle name="Normal 2 2 10 4 3 2" xfId="9149" xr:uid="{00000000-0005-0000-0000-0000B1230000}"/>
    <cellStyle name="Normal 2 2 10 4 3 3" xfId="9150" xr:uid="{00000000-0005-0000-0000-0000B2230000}"/>
    <cellStyle name="Normal 2 2 10 4 3 4" xfId="9151" xr:uid="{00000000-0005-0000-0000-0000B3230000}"/>
    <cellStyle name="Normal 2 2 10 4 3 5" xfId="9152" xr:uid="{00000000-0005-0000-0000-0000B4230000}"/>
    <cellStyle name="Normal 2 2 10 4 3 6" xfId="9153" xr:uid="{00000000-0005-0000-0000-0000B5230000}"/>
    <cellStyle name="Normal 2 2 10 4 3 7" xfId="9154" xr:uid="{00000000-0005-0000-0000-0000B6230000}"/>
    <cellStyle name="Normal 2 2 10 4 3 8" xfId="9155" xr:uid="{00000000-0005-0000-0000-0000B7230000}"/>
    <cellStyle name="Normal 2 2 10 4 3 9" xfId="9156" xr:uid="{00000000-0005-0000-0000-0000B8230000}"/>
    <cellStyle name="Normal 2 2 10 4 4" xfId="9157" xr:uid="{00000000-0005-0000-0000-0000B9230000}"/>
    <cellStyle name="Normal 2 2 10 4 4 10" xfId="9158" xr:uid="{00000000-0005-0000-0000-0000BA230000}"/>
    <cellStyle name="Normal 2 2 10 4 4 2" xfId="9159" xr:uid="{00000000-0005-0000-0000-0000BB230000}"/>
    <cellStyle name="Normal 2 2 10 4 4 3" xfId="9160" xr:uid="{00000000-0005-0000-0000-0000BC230000}"/>
    <cellStyle name="Normal 2 2 10 4 4 4" xfId="9161" xr:uid="{00000000-0005-0000-0000-0000BD230000}"/>
    <cellStyle name="Normal 2 2 10 4 4 5" xfId="9162" xr:uid="{00000000-0005-0000-0000-0000BE230000}"/>
    <cellStyle name="Normal 2 2 10 4 4 6" xfId="9163" xr:uid="{00000000-0005-0000-0000-0000BF230000}"/>
    <cellStyle name="Normal 2 2 10 4 4 7" xfId="9164" xr:uid="{00000000-0005-0000-0000-0000C0230000}"/>
    <cellStyle name="Normal 2 2 10 4 4 8" xfId="9165" xr:uid="{00000000-0005-0000-0000-0000C1230000}"/>
    <cellStyle name="Normal 2 2 10 4 4 9" xfId="9166" xr:uid="{00000000-0005-0000-0000-0000C2230000}"/>
    <cellStyle name="Normal 2 2 10 4 5" xfId="9167" xr:uid="{00000000-0005-0000-0000-0000C3230000}"/>
    <cellStyle name="Normal 2 2 10 4 5 10" xfId="9168" xr:uid="{00000000-0005-0000-0000-0000C4230000}"/>
    <cellStyle name="Normal 2 2 10 4 5 2" xfId="9169" xr:uid="{00000000-0005-0000-0000-0000C5230000}"/>
    <cellStyle name="Normal 2 2 10 4 5 3" xfId="9170" xr:uid="{00000000-0005-0000-0000-0000C6230000}"/>
    <cellStyle name="Normal 2 2 10 4 5 4" xfId="9171" xr:uid="{00000000-0005-0000-0000-0000C7230000}"/>
    <cellStyle name="Normal 2 2 10 4 5 5" xfId="9172" xr:uid="{00000000-0005-0000-0000-0000C8230000}"/>
    <cellStyle name="Normal 2 2 10 4 5 6" xfId="9173" xr:uid="{00000000-0005-0000-0000-0000C9230000}"/>
    <cellStyle name="Normal 2 2 10 4 5 7" xfId="9174" xr:uid="{00000000-0005-0000-0000-0000CA230000}"/>
    <cellStyle name="Normal 2 2 10 4 5 8" xfId="9175" xr:uid="{00000000-0005-0000-0000-0000CB230000}"/>
    <cellStyle name="Normal 2 2 10 4 5 9" xfId="9176" xr:uid="{00000000-0005-0000-0000-0000CC230000}"/>
    <cellStyle name="Normal 2 2 10 4 6" xfId="9177" xr:uid="{00000000-0005-0000-0000-0000CD230000}"/>
    <cellStyle name="Normal 2 2 10 4 7" xfId="9178" xr:uid="{00000000-0005-0000-0000-0000CE230000}"/>
    <cellStyle name="Normal 2 2 10 4 8" xfId="9179" xr:uid="{00000000-0005-0000-0000-0000CF230000}"/>
    <cellStyle name="Normal 2 2 10 4 9" xfId="9180" xr:uid="{00000000-0005-0000-0000-0000D0230000}"/>
    <cellStyle name="Normal 2 2 10 40" xfId="9181" xr:uid="{00000000-0005-0000-0000-0000D1230000}"/>
    <cellStyle name="Normal 2 2 10 41" xfId="9182" xr:uid="{00000000-0005-0000-0000-0000D2230000}"/>
    <cellStyle name="Normal 2 2 10 42" xfId="9183" xr:uid="{00000000-0005-0000-0000-0000D3230000}"/>
    <cellStyle name="Normal 2 2 10 43" xfId="9184" xr:uid="{00000000-0005-0000-0000-0000D4230000}"/>
    <cellStyle name="Normal 2 2 10 44" xfId="9185" xr:uid="{00000000-0005-0000-0000-0000D5230000}"/>
    <cellStyle name="Normal 2 2 10 45" xfId="9186" xr:uid="{00000000-0005-0000-0000-0000D6230000}"/>
    <cellStyle name="Normal 2 2 10 46" xfId="9187" xr:uid="{00000000-0005-0000-0000-0000D7230000}"/>
    <cellStyle name="Normal 2 2 10 47" xfId="9188" xr:uid="{00000000-0005-0000-0000-0000D8230000}"/>
    <cellStyle name="Normal 2 2 10 5" xfId="9189" xr:uid="{00000000-0005-0000-0000-0000D9230000}"/>
    <cellStyle name="Normal 2 2 10 5 10" xfId="9190" xr:uid="{00000000-0005-0000-0000-0000DA230000}"/>
    <cellStyle name="Normal 2 2 10 5 11" xfId="9191" xr:uid="{00000000-0005-0000-0000-0000DB230000}"/>
    <cellStyle name="Normal 2 2 10 5 12" xfId="9192" xr:uid="{00000000-0005-0000-0000-0000DC230000}"/>
    <cellStyle name="Normal 2 2 10 5 13" xfId="9193" xr:uid="{00000000-0005-0000-0000-0000DD230000}"/>
    <cellStyle name="Normal 2 2 10 5 14" xfId="9194" xr:uid="{00000000-0005-0000-0000-0000DE230000}"/>
    <cellStyle name="Normal 2 2 10 5 2" xfId="9195" xr:uid="{00000000-0005-0000-0000-0000DF230000}"/>
    <cellStyle name="Normal 2 2 10 5 2 10" xfId="9196" xr:uid="{00000000-0005-0000-0000-0000E0230000}"/>
    <cellStyle name="Normal 2 2 10 5 2 2" xfId="9197" xr:uid="{00000000-0005-0000-0000-0000E1230000}"/>
    <cellStyle name="Normal 2 2 10 5 2 3" xfId="9198" xr:uid="{00000000-0005-0000-0000-0000E2230000}"/>
    <cellStyle name="Normal 2 2 10 5 2 4" xfId="9199" xr:uid="{00000000-0005-0000-0000-0000E3230000}"/>
    <cellStyle name="Normal 2 2 10 5 2 5" xfId="9200" xr:uid="{00000000-0005-0000-0000-0000E4230000}"/>
    <cellStyle name="Normal 2 2 10 5 2 6" xfId="9201" xr:uid="{00000000-0005-0000-0000-0000E5230000}"/>
    <cellStyle name="Normal 2 2 10 5 2 7" xfId="9202" xr:uid="{00000000-0005-0000-0000-0000E6230000}"/>
    <cellStyle name="Normal 2 2 10 5 2 8" xfId="9203" xr:uid="{00000000-0005-0000-0000-0000E7230000}"/>
    <cellStyle name="Normal 2 2 10 5 2 9" xfId="9204" xr:uid="{00000000-0005-0000-0000-0000E8230000}"/>
    <cellStyle name="Normal 2 2 10 5 3" xfId="9205" xr:uid="{00000000-0005-0000-0000-0000E9230000}"/>
    <cellStyle name="Normal 2 2 10 5 3 10" xfId="9206" xr:uid="{00000000-0005-0000-0000-0000EA230000}"/>
    <cellStyle name="Normal 2 2 10 5 3 2" xfId="9207" xr:uid="{00000000-0005-0000-0000-0000EB230000}"/>
    <cellStyle name="Normal 2 2 10 5 3 3" xfId="9208" xr:uid="{00000000-0005-0000-0000-0000EC230000}"/>
    <cellStyle name="Normal 2 2 10 5 3 4" xfId="9209" xr:uid="{00000000-0005-0000-0000-0000ED230000}"/>
    <cellStyle name="Normal 2 2 10 5 3 5" xfId="9210" xr:uid="{00000000-0005-0000-0000-0000EE230000}"/>
    <cellStyle name="Normal 2 2 10 5 3 6" xfId="9211" xr:uid="{00000000-0005-0000-0000-0000EF230000}"/>
    <cellStyle name="Normal 2 2 10 5 3 7" xfId="9212" xr:uid="{00000000-0005-0000-0000-0000F0230000}"/>
    <cellStyle name="Normal 2 2 10 5 3 8" xfId="9213" xr:uid="{00000000-0005-0000-0000-0000F1230000}"/>
    <cellStyle name="Normal 2 2 10 5 3 9" xfId="9214" xr:uid="{00000000-0005-0000-0000-0000F2230000}"/>
    <cellStyle name="Normal 2 2 10 5 4" xfId="9215" xr:uid="{00000000-0005-0000-0000-0000F3230000}"/>
    <cellStyle name="Normal 2 2 10 5 4 10" xfId="9216" xr:uid="{00000000-0005-0000-0000-0000F4230000}"/>
    <cellStyle name="Normal 2 2 10 5 4 2" xfId="9217" xr:uid="{00000000-0005-0000-0000-0000F5230000}"/>
    <cellStyle name="Normal 2 2 10 5 4 3" xfId="9218" xr:uid="{00000000-0005-0000-0000-0000F6230000}"/>
    <cellStyle name="Normal 2 2 10 5 4 4" xfId="9219" xr:uid="{00000000-0005-0000-0000-0000F7230000}"/>
    <cellStyle name="Normal 2 2 10 5 4 5" xfId="9220" xr:uid="{00000000-0005-0000-0000-0000F8230000}"/>
    <cellStyle name="Normal 2 2 10 5 4 6" xfId="9221" xr:uid="{00000000-0005-0000-0000-0000F9230000}"/>
    <cellStyle name="Normal 2 2 10 5 4 7" xfId="9222" xr:uid="{00000000-0005-0000-0000-0000FA230000}"/>
    <cellStyle name="Normal 2 2 10 5 4 8" xfId="9223" xr:uid="{00000000-0005-0000-0000-0000FB230000}"/>
    <cellStyle name="Normal 2 2 10 5 4 9" xfId="9224" xr:uid="{00000000-0005-0000-0000-0000FC230000}"/>
    <cellStyle name="Normal 2 2 10 5 5" xfId="9225" xr:uid="{00000000-0005-0000-0000-0000FD230000}"/>
    <cellStyle name="Normal 2 2 10 5 5 10" xfId="9226" xr:uid="{00000000-0005-0000-0000-0000FE230000}"/>
    <cellStyle name="Normal 2 2 10 5 5 2" xfId="9227" xr:uid="{00000000-0005-0000-0000-0000FF230000}"/>
    <cellStyle name="Normal 2 2 10 5 5 3" xfId="9228" xr:uid="{00000000-0005-0000-0000-000000240000}"/>
    <cellStyle name="Normal 2 2 10 5 5 4" xfId="9229" xr:uid="{00000000-0005-0000-0000-000001240000}"/>
    <cellStyle name="Normal 2 2 10 5 5 5" xfId="9230" xr:uid="{00000000-0005-0000-0000-000002240000}"/>
    <cellStyle name="Normal 2 2 10 5 5 6" xfId="9231" xr:uid="{00000000-0005-0000-0000-000003240000}"/>
    <cellStyle name="Normal 2 2 10 5 5 7" xfId="9232" xr:uid="{00000000-0005-0000-0000-000004240000}"/>
    <cellStyle name="Normal 2 2 10 5 5 8" xfId="9233" xr:uid="{00000000-0005-0000-0000-000005240000}"/>
    <cellStyle name="Normal 2 2 10 5 5 9" xfId="9234" xr:uid="{00000000-0005-0000-0000-000006240000}"/>
    <cellStyle name="Normal 2 2 10 5 6" xfId="9235" xr:uid="{00000000-0005-0000-0000-000007240000}"/>
    <cellStyle name="Normal 2 2 10 5 7" xfId="9236" xr:uid="{00000000-0005-0000-0000-000008240000}"/>
    <cellStyle name="Normal 2 2 10 5 8" xfId="9237" xr:uid="{00000000-0005-0000-0000-000009240000}"/>
    <cellStyle name="Normal 2 2 10 5 9" xfId="9238" xr:uid="{00000000-0005-0000-0000-00000A240000}"/>
    <cellStyle name="Normal 2 2 10 6" xfId="9239" xr:uid="{00000000-0005-0000-0000-00000B240000}"/>
    <cellStyle name="Normal 2 2 10 6 10" xfId="9240" xr:uid="{00000000-0005-0000-0000-00000C240000}"/>
    <cellStyle name="Normal 2 2 10 6 11" xfId="9241" xr:uid="{00000000-0005-0000-0000-00000D240000}"/>
    <cellStyle name="Normal 2 2 10 6 12" xfId="9242" xr:uid="{00000000-0005-0000-0000-00000E240000}"/>
    <cellStyle name="Normal 2 2 10 6 13" xfId="9243" xr:uid="{00000000-0005-0000-0000-00000F240000}"/>
    <cellStyle name="Normal 2 2 10 6 14" xfId="9244" xr:uid="{00000000-0005-0000-0000-000010240000}"/>
    <cellStyle name="Normal 2 2 10 6 2" xfId="9245" xr:uid="{00000000-0005-0000-0000-000011240000}"/>
    <cellStyle name="Normal 2 2 10 6 2 10" xfId="9246" xr:uid="{00000000-0005-0000-0000-000012240000}"/>
    <cellStyle name="Normal 2 2 10 6 2 2" xfId="9247" xr:uid="{00000000-0005-0000-0000-000013240000}"/>
    <cellStyle name="Normal 2 2 10 6 2 3" xfId="9248" xr:uid="{00000000-0005-0000-0000-000014240000}"/>
    <cellStyle name="Normal 2 2 10 6 2 4" xfId="9249" xr:uid="{00000000-0005-0000-0000-000015240000}"/>
    <cellStyle name="Normal 2 2 10 6 2 5" xfId="9250" xr:uid="{00000000-0005-0000-0000-000016240000}"/>
    <cellStyle name="Normal 2 2 10 6 2 6" xfId="9251" xr:uid="{00000000-0005-0000-0000-000017240000}"/>
    <cellStyle name="Normal 2 2 10 6 2 7" xfId="9252" xr:uid="{00000000-0005-0000-0000-000018240000}"/>
    <cellStyle name="Normal 2 2 10 6 2 8" xfId="9253" xr:uid="{00000000-0005-0000-0000-000019240000}"/>
    <cellStyle name="Normal 2 2 10 6 2 9" xfId="9254" xr:uid="{00000000-0005-0000-0000-00001A240000}"/>
    <cellStyle name="Normal 2 2 10 6 3" xfId="9255" xr:uid="{00000000-0005-0000-0000-00001B240000}"/>
    <cellStyle name="Normal 2 2 10 6 3 10" xfId="9256" xr:uid="{00000000-0005-0000-0000-00001C240000}"/>
    <cellStyle name="Normal 2 2 10 6 3 2" xfId="9257" xr:uid="{00000000-0005-0000-0000-00001D240000}"/>
    <cellStyle name="Normal 2 2 10 6 3 3" xfId="9258" xr:uid="{00000000-0005-0000-0000-00001E240000}"/>
    <cellStyle name="Normal 2 2 10 6 3 4" xfId="9259" xr:uid="{00000000-0005-0000-0000-00001F240000}"/>
    <cellStyle name="Normal 2 2 10 6 3 5" xfId="9260" xr:uid="{00000000-0005-0000-0000-000020240000}"/>
    <cellStyle name="Normal 2 2 10 6 3 6" xfId="9261" xr:uid="{00000000-0005-0000-0000-000021240000}"/>
    <cellStyle name="Normal 2 2 10 6 3 7" xfId="9262" xr:uid="{00000000-0005-0000-0000-000022240000}"/>
    <cellStyle name="Normal 2 2 10 6 3 8" xfId="9263" xr:uid="{00000000-0005-0000-0000-000023240000}"/>
    <cellStyle name="Normal 2 2 10 6 3 9" xfId="9264" xr:uid="{00000000-0005-0000-0000-000024240000}"/>
    <cellStyle name="Normal 2 2 10 6 4" xfId="9265" xr:uid="{00000000-0005-0000-0000-000025240000}"/>
    <cellStyle name="Normal 2 2 10 6 4 10" xfId="9266" xr:uid="{00000000-0005-0000-0000-000026240000}"/>
    <cellStyle name="Normal 2 2 10 6 4 2" xfId="9267" xr:uid="{00000000-0005-0000-0000-000027240000}"/>
    <cellStyle name="Normal 2 2 10 6 4 3" xfId="9268" xr:uid="{00000000-0005-0000-0000-000028240000}"/>
    <cellStyle name="Normal 2 2 10 6 4 4" xfId="9269" xr:uid="{00000000-0005-0000-0000-000029240000}"/>
    <cellStyle name="Normal 2 2 10 6 4 5" xfId="9270" xr:uid="{00000000-0005-0000-0000-00002A240000}"/>
    <cellStyle name="Normal 2 2 10 6 4 6" xfId="9271" xr:uid="{00000000-0005-0000-0000-00002B240000}"/>
    <cellStyle name="Normal 2 2 10 6 4 7" xfId="9272" xr:uid="{00000000-0005-0000-0000-00002C240000}"/>
    <cellStyle name="Normal 2 2 10 6 4 8" xfId="9273" xr:uid="{00000000-0005-0000-0000-00002D240000}"/>
    <cellStyle name="Normal 2 2 10 6 4 9" xfId="9274" xr:uid="{00000000-0005-0000-0000-00002E240000}"/>
    <cellStyle name="Normal 2 2 10 6 5" xfId="9275" xr:uid="{00000000-0005-0000-0000-00002F240000}"/>
    <cellStyle name="Normal 2 2 10 6 5 10" xfId="9276" xr:uid="{00000000-0005-0000-0000-000030240000}"/>
    <cellStyle name="Normal 2 2 10 6 5 2" xfId="9277" xr:uid="{00000000-0005-0000-0000-000031240000}"/>
    <cellStyle name="Normal 2 2 10 6 5 3" xfId="9278" xr:uid="{00000000-0005-0000-0000-000032240000}"/>
    <cellStyle name="Normal 2 2 10 6 5 4" xfId="9279" xr:uid="{00000000-0005-0000-0000-000033240000}"/>
    <cellStyle name="Normal 2 2 10 6 5 5" xfId="9280" xr:uid="{00000000-0005-0000-0000-000034240000}"/>
    <cellStyle name="Normal 2 2 10 6 5 6" xfId="9281" xr:uid="{00000000-0005-0000-0000-000035240000}"/>
    <cellStyle name="Normal 2 2 10 6 5 7" xfId="9282" xr:uid="{00000000-0005-0000-0000-000036240000}"/>
    <cellStyle name="Normal 2 2 10 6 5 8" xfId="9283" xr:uid="{00000000-0005-0000-0000-000037240000}"/>
    <cellStyle name="Normal 2 2 10 6 5 9" xfId="9284" xr:uid="{00000000-0005-0000-0000-000038240000}"/>
    <cellStyle name="Normal 2 2 10 6 6" xfId="9285" xr:uid="{00000000-0005-0000-0000-000039240000}"/>
    <cellStyle name="Normal 2 2 10 6 7" xfId="9286" xr:uid="{00000000-0005-0000-0000-00003A240000}"/>
    <cellStyle name="Normal 2 2 10 6 8" xfId="9287" xr:uid="{00000000-0005-0000-0000-00003B240000}"/>
    <cellStyle name="Normal 2 2 10 6 9" xfId="9288" xr:uid="{00000000-0005-0000-0000-00003C240000}"/>
    <cellStyle name="Normal 2 2 10 7" xfId="9289" xr:uid="{00000000-0005-0000-0000-00003D240000}"/>
    <cellStyle name="Normal 2 2 10 7 10" xfId="9290" xr:uid="{00000000-0005-0000-0000-00003E240000}"/>
    <cellStyle name="Normal 2 2 10 7 11" xfId="9291" xr:uid="{00000000-0005-0000-0000-00003F240000}"/>
    <cellStyle name="Normal 2 2 10 7 12" xfId="9292" xr:uid="{00000000-0005-0000-0000-000040240000}"/>
    <cellStyle name="Normal 2 2 10 7 13" xfId="9293" xr:uid="{00000000-0005-0000-0000-000041240000}"/>
    <cellStyle name="Normal 2 2 10 7 14" xfId="9294" xr:uid="{00000000-0005-0000-0000-000042240000}"/>
    <cellStyle name="Normal 2 2 10 7 2" xfId="9295" xr:uid="{00000000-0005-0000-0000-000043240000}"/>
    <cellStyle name="Normal 2 2 10 7 2 10" xfId="9296" xr:uid="{00000000-0005-0000-0000-000044240000}"/>
    <cellStyle name="Normal 2 2 10 7 2 2" xfId="9297" xr:uid="{00000000-0005-0000-0000-000045240000}"/>
    <cellStyle name="Normal 2 2 10 7 2 3" xfId="9298" xr:uid="{00000000-0005-0000-0000-000046240000}"/>
    <cellStyle name="Normal 2 2 10 7 2 4" xfId="9299" xr:uid="{00000000-0005-0000-0000-000047240000}"/>
    <cellStyle name="Normal 2 2 10 7 2 5" xfId="9300" xr:uid="{00000000-0005-0000-0000-000048240000}"/>
    <cellStyle name="Normal 2 2 10 7 2 6" xfId="9301" xr:uid="{00000000-0005-0000-0000-000049240000}"/>
    <cellStyle name="Normal 2 2 10 7 2 7" xfId="9302" xr:uid="{00000000-0005-0000-0000-00004A240000}"/>
    <cellStyle name="Normal 2 2 10 7 2 8" xfId="9303" xr:uid="{00000000-0005-0000-0000-00004B240000}"/>
    <cellStyle name="Normal 2 2 10 7 2 9" xfId="9304" xr:uid="{00000000-0005-0000-0000-00004C240000}"/>
    <cellStyle name="Normal 2 2 10 7 3" xfId="9305" xr:uid="{00000000-0005-0000-0000-00004D240000}"/>
    <cellStyle name="Normal 2 2 10 7 3 10" xfId="9306" xr:uid="{00000000-0005-0000-0000-00004E240000}"/>
    <cellStyle name="Normal 2 2 10 7 3 2" xfId="9307" xr:uid="{00000000-0005-0000-0000-00004F240000}"/>
    <cellStyle name="Normal 2 2 10 7 3 3" xfId="9308" xr:uid="{00000000-0005-0000-0000-000050240000}"/>
    <cellStyle name="Normal 2 2 10 7 3 4" xfId="9309" xr:uid="{00000000-0005-0000-0000-000051240000}"/>
    <cellStyle name="Normal 2 2 10 7 3 5" xfId="9310" xr:uid="{00000000-0005-0000-0000-000052240000}"/>
    <cellStyle name="Normal 2 2 10 7 3 6" xfId="9311" xr:uid="{00000000-0005-0000-0000-000053240000}"/>
    <cellStyle name="Normal 2 2 10 7 3 7" xfId="9312" xr:uid="{00000000-0005-0000-0000-000054240000}"/>
    <cellStyle name="Normal 2 2 10 7 3 8" xfId="9313" xr:uid="{00000000-0005-0000-0000-000055240000}"/>
    <cellStyle name="Normal 2 2 10 7 3 9" xfId="9314" xr:uid="{00000000-0005-0000-0000-000056240000}"/>
    <cellStyle name="Normal 2 2 10 7 4" xfId="9315" xr:uid="{00000000-0005-0000-0000-000057240000}"/>
    <cellStyle name="Normal 2 2 10 7 4 10" xfId="9316" xr:uid="{00000000-0005-0000-0000-000058240000}"/>
    <cellStyle name="Normal 2 2 10 7 4 2" xfId="9317" xr:uid="{00000000-0005-0000-0000-000059240000}"/>
    <cellStyle name="Normal 2 2 10 7 4 3" xfId="9318" xr:uid="{00000000-0005-0000-0000-00005A240000}"/>
    <cellStyle name="Normal 2 2 10 7 4 4" xfId="9319" xr:uid="{00000000-0005-0000-0000-00005B240000}"/>
    <cellStyle name="Normal 2 2 10 7 4 5" xfId="9320" xr:uid="{00000000-0005-0000-0000-00005C240000}"/>
    <cellStyle name="Normal 2 2 10 7 4 6" xfId="9321" xr:uid="{00000000-0005-0000-0000-00005D240000}"/>
    <cellStyle name="Normal 2 2 10 7 4 7" xfId="9322" xr:uid="{00000000-0005-0000-0000-00005E240000}"/>
    <cellStyle name="Normal 2 2 10 7 4 8" xfId="9323" xr:uid="{00000000-0005-0000-0000-00005F240000}"/>
    <cellStyle name="Normal 2 2 10 7 4 9" xfId="9324" xr:uid="{00000000-0005-0000-0000-000060240000}"/>
    <cellStyle name="Normal 2 2 10 7 5" xfId="9325" xr:uid="{00000000-0005-0000-0000-000061240000}"/>
    <cellStyle name="Normal 2 2 10 7 5 10" xfId="9326" xr:uid="{00000000-0005-0000-0000-000062240000}"/>
    <cellStyle name="Normal 2 2 10 7 5 2" xfId="9327" xr:uid="{00000000-0005-0000-0000-000063240000}"/>
    <cellStyle name="Normal 2 2 10 7 5 3" xfId="9328" xr:uid="{00000000-0005-0000-0000-000064240000}"/>
    <cellStyle name="Normal 2 2 10 7 5 4" xfId="9329" xr:uid="{00000000-0005-0000-0000-000065240000}"/>
    <cellStyle name="Normal 2 2 10 7 5 5" xfId="9330" xr:uid="{00000000-0005-0000-0000-000066240000}"/>
    <cellStyle name="Normal 2 2 10 7 5 6" xfId="9331" xr:uid="{00000000-0005-0000-0000-000067240000}"/>
    <cellStyle name="Normal 2 2 10 7 5 7" xfId="9332" xr:uid="{00000000-0005-0000-0000-000068240000}"/>
    <cellStyle name="Normal 2 2 10 7 5 8" xfId="9333" xr:uid="{00000000-0005-0000-0000-000069240000}"/>
    <cellStyle name="Normal 2 2 10 7 5 9" xfId="9334" xr:uid="{00000000-0005-0000-0000-00006A240000}"/>
    <cellStyle name="Normal 2 2 10 7 6" xfId="9335" xr:uid="{00000000-0005-0000-0000-00006B240000}"/>
    <cellStyle name="Normal 2 2 10 7 7" xfId="9336" xr:uid="{00000000-0005-0000-0000-00006C240000}"/>
    <cellStyle name="Normal 2 2 10 7 8" xfId="9337" xr:uid="{00000000-0005-0000-0000-00006D240000}"/>
    <cellStyle name="Normal 2 2 10 7 9" xfId="9338" xr:uid="{00000000-0005-0000-0000-00006E240000}"/>
    <cellStyle name="Normal 2 2 10 8" xfId="9339" xr:uid="{00000000-0005-0000-0000-00006F240000}"/>
    <cellStyle name="Normal 2 2 10 8 10" xfId="9340" xr:uid="{00000000-0005-0000-0000-000070240000}"/>
    <cellStyle name="Normal 2 2 10 8 11" xfId="9341" xr:uid="{00000000-0005-0000-0000-000071240000}"/>
    <cellStyle name="Normal 2 2 10 8 12" xfId="9342" xr:uid="{00000000-0005-0000-0000-000072240000}"/>
    <cellStyle name="Normal 2 2 10 8 13" xfId="9343" xr:uid="{00000000-0005-0000-0000-000073240000}"/>
    <cellStyle name="Normal 2 2 10 8 14" xfId="9344" xr:uid="{00000000-0005-0000-0000-000074240000}"/>
    <cellStyle name="Normal 2 2 10 8 2" xfId="9345" xr:uid="{00000000-0005-0000-0000-000075240000}"/>
    <cellStyle name="Normal 2 2 10 8 2 10" xfId="9346" xr:uid="{00000000-0005-0000-0000-000076240000}"/>
    <cellStyle name="Normal 2 2 10 8 2 2" xfId="9347" xr:uid="{00000000-0005-0000-0000-000077240000}"/>
    <cellStyle name="Normal 2 2 10 8 2 3" xfId="9348" xr:uid="{00000000-0005-0000-0000-000078240000}"/>
    <cellStyle name="Normal 2 2 10 8 2 4" xfId="9349" xr:uid="{00000000-0005-0000-0000-000079240000}"/>
    <cellStyle name="Normal 2 2 10 8 2 5" xfId="9350" xr:uid="{00000000-0005-0000-0000-00007A240000}"/>
    <cellStyle name="Normal 2 2 10 8 2 6" xfId="9351" xr:uid="{00000000-0005-0000-0000-00007B240000}"/>
    <cellStyle name="Normal 2 2 10 8 2 7" xfId="9352" xr:uid="{00000000-0005-0000-0000-00007C240000}"/>
    <cellStyle name="Normal 2 2 10 8 2 8" xfId="9353" xr:uid="{00000000-0005-0000-0000-00007D240000}"/>
    <cellStyle name="Normal 2 2 10 8 2 9" xfId="9354" xr:uid="{00000000-0005-0000-0000-00007E240000}"/>
    <cellStyle name="Normal 2 2 10 8 3" xfId="9355" xr:uid="{00000000-0005-0000-0000-00007F240000}"/>
    <cellStyle name="Normal 2 2 10 8 3 10" xfId="9356" xr:uid="{00000000-0005-0000-0000-000080240000}"/>
    <cellStyle name="Normal 2 2 10 8 3 2" xfId="9357" xr:uid="{00000000-0005-0000-0000-000081240000}"/>
    <cellStyle name="Normal 2 2 10 8 3 3" xfId="9358" xr:uid="{00000000-0005-0000-0000-000082240000}"/>
    <cellStyle name="Normal 2 2 10 8 3 4" xfId="9359" xr:uid="{00000000-0005-0000-0000-000083240000}"/>
    <cellStyle name="Normal 2 2 10 8 3 5" xfId="9360" xr:uid="{00000000-0005-0000-0000-000084240000}"/>
    <cellStyle name="Normal 2 2 10 8 3 6" xfId="9361" xr:uid="{00000000-0005-0000-0000-000085240000}"/>
    <cellStyle name="Normal 2 2 10 8 3 7" xfId="9362" xr:uid="{00000000-0005-0000-0000-000086240000}"/>
    <cellStyle name="Normal 2 2 10 8 3 8" xfId="9363" xr:uid="{00000000-0005-0000-0000-000087240000}"/>
    <cellStyle name="Normal 2 2 10 8 3 9" xfId="9364" xr:uid="{00000000-0005-0000-0000-000088240000}"/>
    <cellStyle name="Normal 2 2 10 8 4" xfId="9365" xr:uid="{00000000-0005-0000-0000-000089240000}"/>
    <cellStyle name="Normal 2 2 10 8 4 10" xfId="9366" xr:uid="{00000000-0005-0000-0000-00008A240000}"/>
    <cellStyle name="Normal 2 2 10 8 4 2" xfId="9367" xr:uid="{00000000-0005-0000-0000-00008B240000}"/>
    <cellStyle name="Normal 2 2 10 8 4 3" xfId="9368" xr:uid="{00000000-0005-0000-0000-00008C240000}"/>
    <cellStyle name="Normal 2 2 10 8 4 4" xfId="9369" xr:uid="{00000000-0005-0000-0000-00008D240000}"/>
    <cellStyle name="Normal 2 2 10 8 4 5" xfId="9370" xr:uid="{00000000-0005-0000-0000-00008E240000}"/>
    <cellStyle name="Normal 2 2 10 8 4 6" xfId="9371" xr:uid="{00000000-0005-0000-0000-00008F240000}"/>
    <cellStyle name="Normal 2 2 10 8 4 7" xfId="9372" xr:uid="{00000000-0005-0000-0000-000090240000}"/>
    <cellStyle name="Normal 2 2 10 8 4 8" xfId="9373" xr:uid="{00000000-0005-0000-0000-000091240000}"/>
    <cellStyle name="Normal 2 2 10 8 4 9" xfId="9374" xr:uid="{00000000-0005-0000-0000-000092240000}"/>
    <cellStyle name="Normal 2 2 10 8 5" xfId="9375" xr:uid="{00000000-0005-0000-0000-000093240000}"/>
    <cellStyle name="Normal 2 2 10 8 5 10" xfId="9376" xr:uid="{00000000-0005-0000-0000-000094240000}"/>
    <cellStyle name="Normal 2 2 10 8 5 2" xfId="9377" xr:uid="{00000000-0005-0000-0000-000095240000}"/>
    <cellStyle name="Normal 2 2 10 8 5 3" xfId="9378" xr:uid="{00000000-0005-0000-0000-000096240000}"/>
    <cellStyle name="Normal 2 2 10 8 5 4" xfId="9379" xr:uid="{00000000-0005-0000-0000-000097240000}"/>
    <cellStyle name="Normal 2 2 10 8 5 5" xfId="9380" xr:uid="{00000000-0005-0000-0000-000098240000}"/>
    <cellStyle name="Normal 2 2 10 8 5 6" xfId="9381" xr:uid="{00000000-0005-0000-0000-000099240000}"/>
    <cellStyle name="Normal 2 2 10 8 5 7" xfId="9382" xr:uid="{00000000-0005-0000-0000-00009A240000}"/>
    <cellStyle name="Normal 2 2 10 8 5 8" xfId="9383" xr:uid="{00000000-0005-0000-0000-00009B240000}"/>
    <cellStyle name="Normal 2 2 10 8 5 9" xfId="9384" xr:uid="{00000000-0005-0000-0000-00009C240000}"/>
    <cellStyle name="Normal 2 2 10 8 6" xfId="9385" xr:uid="{00000000-0005-0000-0000-00009D240000}"/>
    <cellStyle name="Normal 2 2 10 8 7" xfId="9386" xr:uid="{00000000-0005-0000-0000-00009E240000}"/>
    <cellStyle name="Normal 2 2 10 8 8" xfId="9387" xr:uid="{00000000-0005-0000-0000-00009F240000}"/>
    <cellStyle name="Normal 2 2 10 8 9" xfId="9388" xr:uid="{00000000-0005-0000-0000-0000A0240000}"/>
    <cellStyle name="Normal 2 2 10 9" xfId="9389" xr:uid="{00000000-0005-0000-0000-0000A1240000}"/>
    <cellStyle name="Normal 2 2 10 9 10" xfId="9390" xr:uid="{00000000-0005-0000-0000-0000A2240000}"/>
    <cellStyle name="Normal 2 2 10 9 11" xfId="9391" xr:uid="{00000000-0005-0000-0000-0000A3240000}"/>
    <cellStyle name="Normal 2 2 10 9 12" xfId="9392" xr:uid="{00000000-0005-0000-0000-0000A4240000}"/>
    <cellStyle name="Normal 2 2 10 9 13" xfId="9393" xr:uid="{00000000-0005-0000-0000-0000A5240000}"/>
    <cellStyle name="Normal 2 2 10 9 14" xfId="9394" xr:uid="{00000000-0005-0000-0000-0000A6240000}"/>
    <cellStyle name="Normal 2 2 10 9 2" xfId="9395" xr:uid="{00000000-0005-0000-0000-0000A7240000}"/>
    <cellStyle name="Normal 2 2 10 9 2 10" xfId="9396" xr:uid="{00000000-0005-0000-0000-0000A8240000}"/>
    <cellStyle name="Normal 2 2 10 9 2 2" xfId="9397" xr:uid="{00000000-0005-0000-0000-0000A9240000}"/>
    <cellStyle name="Normal 2 2 10 9 2 3" xfId="9398" xr:uid="{00000000-0005-0000-0000-0000AA240000}"/>
    <cellStyle name="Normal 2 2 10 9 2 4" xfId="9399" xr:uid="{00000000-0005-0000-0000-0000AB240000}"/>
    <cellStyle name="Normal 2 2 10 9 2 5" xfId="9400" xr:uid="{00000000-0005-0000-0000-0000AC240000}"/>
    <cellStyle name="Normal 2 2 10 9 2 6" xfId="9401" xr:uid="{00000000-0005-0000-0000-0000AD240000}"/>
    <cellStyle name="Normal 2 2 10 9 2 7" xfId="9402" xr:uid="{00000000-0005-0000-0000-0000AE240000}"/>
    <cellStyle name="Normal 2 2 10 9 2 8" xfId="9403" xr:uid="{00000000-0005-0000-0000-0000AF240000}"/>
    <cellStyle name="Normal 2 2 10 9 2 9" xfId="9404" xr:uid="{00000000-0005-0000-0000-0000B0240000}"/>
    <cellStyle name="Normal 2 2 10 9 3" xfId="9405" xr:uid="{00000000-0005-0000-0000-0000B1240000}"/>
    <cellStyle name="Normal 2 2 10 9 3 10" xfId="9406" xr:uid="{00000000-0005-0000-0000-0000B2240000}"/>
    <cellStyle name="Normal 2 2 10 9 3 2" xfId="9407" xr:uid="{00000000-0005-0000-0000-0000B3240000}"/>
    <cellStyle name="Normal 2 2 10 9 3 3" xfId="9408" xr:uid="{00000000-0005-0000-0000-0000B4240000}"/>
    <cellStyle name="Normal 2 2 10 9 3 4" xfId="9409" xr:uid="{00000000-0005-0000-0000-0000B5240000}"/>
    <cellStyle name="Normal 2 2 10 9 3 5" xfId="9410" xr:uid="{00000000-0005-0000-0000-0000B6240000}"/>
    <cellStyle name="Normal 2 2 10 9 3 6" xfId="9411" xr:uid="{00000000-0005-0000-0000-0000B7240000}"/>
    <cellStyle name="Normal 2 2 10 9 3 7" xfId="9412" xr:uid="{00000000-0005-0000-0000-0000B8240000}"/>
    <cellStyle name="Normal 2 2 10 9 3 8" xfId="9413" xr:uid="{00000000-0005-0000-0000-0000B9240000}"/>
    <cellStyle name="Normal 2 2 10 9 3 9" xfId="9414" xr:uid="{00000000-0005-0000-0000-0000BA240000}"/>
    <cellStyle name="Normal 2 2 10 9 4" xfId="9415" xr:uid="{00000000-0005-0000-0000-0000BB240000}"/>
    <cellStyle name="Normal 2 2 10 9 4 10" xfId="9416" xr:uid="{00000000-0005-0000-0000-0000BC240000}"/>
    <cellStyle name="Normal 2 2 10 9 4 2" xfId="9417" xr:uid="{00000000-0005-0000-0000-0000BD240000}"/>
    <cellStyle name="Normal 2 2 10 9 4 3" xfId="9418" xr:uid="{00000000-0005-0000-0000-0000BE240000}"/>
    <cellStyle name="Normal 2 2 10 9 4 4" xfId="9419" xr:uid="{00000000-0005-0000-0000-0000BF240000}"/>
    <cellStyle name="Normal 2 2 10 9 4 5" xfId="9420" xr:uid="{00000000-0005-0000-0000-0000C0240000}"/>
    <cellStyle name="Normal 2 2 10 9 4 6" xfId="9421" xr:uid="{00000000-0005-0000-0000-0000C1240000}"/>
    <cellStyle name="Normal 2 2 10 9 4 7" xfId="9422" xr:uid="{00000000-0005-0000-0000-0000C2240000}"/>
    <cellStyle name="Normal 2 2 10 9 4 8" xfId="9423" xr:uid="{00000000-0005-0000-0000-0000C3240000}"/>
    <cellStyle name="Normal 2 2 10 9 4 9" xfId="9424" xr:uid="{00000000-0005-0000-0000-0000C4240000}"/>
    <cellStyle name="Normal 2 2 10 9 5" xfId="9425" xr:uid="{00000000-0005-0000-0000-0000C5240000}"/>
    <cellStyle name="Normal 2 2 10 9 5 10" xfId="9426" xr:uid="{00000000-0005-0000-0000-0000C6240000}"/>
    <cellStyle name="Normal 2 2 10 9 5 2" xfId="9427" xr:uid="{00000000-0005-0000-0000-0000C7240000}"/>
    <cellStyle name="Normal 2 2 10 9 5 3" xfId="9428" xr:uid="{00000000-0005-0000-0000-0000C8240000}"/>
    <cellStyle name="Normal 2 2 10 9 5 4" xfId="9429" xr:uid="{00000000-0005-0000-0000-0000C9240000}"/>
    <cellStyle name="Normal 2 2 10 9 5 5" xfId="9430" xr:uid="{00000000-0005-0000-0000-0000CA240000}"/>
    <cellStyle name="Normal 2 2 10 9 5 6" xfId="9431" xr:uid="{00000000-0005-0000-0000-0000CB240000}"/>
    <cellStyle name="Normal 2 2 10 9 5 7" xfId="9432" xr:uid="{00000000-0005-0000-0000-0000CC240000}"/>
    <cellStyle name="Normal 2 2 10 9 5 8" xfId="9433" xr:uid="{00000000-0005-0000-0000-0000CD240000}"/>
    <cellStyle name="Normal 2 2 10 9 5 9" xfId="9434" xr:uid="{00000000-0005-0000-0000-0000CE240000}"/>
    <cellStyle name="Normal 2 2 10 9 6" xfId="9435" xr:uid="{00000000-0005-0000-0000-0000CF240000}"/>
    <cellStyle name="Normal 2 2 10 9 7" xfId="9436" xr:uid="{00000000-0005-0000-0000-0000D0240000}"/>
    <cellStyle name="Normal 2 2 10 9 8" xfId="9437" xr:uid="{00000000-0005-0000-0000-0000D1240000}"/>
    <cellStyle name="Normal 2 2 10 9 9" xfId="9438" xr:uid="{00000000-0005-0000-0000-0000D2240000}"/>
    <cellStyle name="Normal 2 2 11" xfId="9439" xr:uid="{00000000-0005-0000-0000-0000D3240000}"/>
    <cellStyle name="Normal 2 2 12" xfId="9440" xr:uid="{00000000-0005-0000-0000-0000D4240000}"/>
    <cellStyle name="Normal 2 2 13" xfId="9441" xr:uid="{00000000-0005-0000-0000-0000D5240000}"/>
    <cellStyle name="Normal 2 2 14" xfId="9442" xr:uid="{00000000-0005-0000-0000-0000D6240000}"/>
    <cellStyle name="Normal 2 2 15" xfId="9443" xr:uid="{00000000-0005-0000-0000-0000D7240000}"/>
    <cellStyle name="Normal 2 2 16" xfId="9444" xr:uid="{00000000-0005-0000-0000-0000D8240000}"/>
    <cellStyle name="Normal 2 2 17" xfId="9445" xr:uid="{00000000-0005-0000-0000-0000D9240000}"/>
    <cellStyle name="Normal 2 2 18" xfId="9446" xr:uid="{00000000-0005-0000-0000-0000DA240000}"/>
    <cellStyle name="Normal 2 2 19" xfId="9447" xr:uid="{00000000-0005-0000-0000-0000DB240000}"/>
    <cellStyle name="Normal 2 2 2" xfId="13" xr:uid="{00000000-0005-0000-0000-0000DC240000}"/>
    <cellStyle name="Normal 2 2 2 10" xfId="9448" xr:uid="{00000000-0005-0000-0000-0000DD240000}"/>
    <cellStyle name="Normal 2 2 2 10 10" xfId="9449" xr:uid="{00000000-0005-0000-0000-0000DE240000}"/>
    <cellStyle name="Normal 2 2 2 10 11" xfId="9450" xr:uid="{00000000-0005-0000-0000-0000DF240000}"/>
    <cellStyle name="Normal 2 2 2 10 12" xfId="9451" xr:uid="{00000000-0005-0000-0000-0000E0240000}"/>
    <cellStyle name="Normal 2 2 2 10 13" xfId="9452" xr:uid="{00000000-0005-0000-0000-0000E1240000}"/>
    <cellStyle name="Normal 2 2 2 10 14" xfId="9453" xr:uid="{00000000-0005-0000-0000-0000E2240000}"/>
    <cellStyle name="Normal 2 2 2 10 2" xfId="9454" xr:uid="{00000000-0005-0000-0000-0000E3240000}"/>
    <cellStyle name="Normal 2 2 2 10 2 10" xfId="9455" xr:uid="{00000000-0005-0000-0000-0000E4240000}"/>
    <cellStyle name="Normal 2 2 2 10 2 2" xfId="9456" xr:uid="{00000000-0005-0000-0000-0000E5240000}"/>
    <cellStyle name="Normal 2 2 2 10 2 3" xfId="9457" xr:uid="{00000000-0005-0000-0000-0000E6240000}"/>
    <cellStyle name="Normal 2 2 2 10 2 4" xfId="9458" xr:uid="{00000000-0005-0000-0000-0000E7240000}"/>
    <cellStyle name="Normal 2 2 2 10 2 5" xfId="9459" xr:uid="{00000000-0005-0000-0000-0000E8240000}"/>
    <cellStyle name="Normal 2 2 2 10 2 6" xfId="9460" xr:uid="{00000000-0005-0000-0000-0000E9240000}"/>
    <cellStyle name="Normal 2 2 2 10 2 7" xfId="9461" xr:uid="{00000000-0005-0000-0000-0000EA240000}"/>
    <cellStyle name="Normal 2 2 2 10 2 8" xfId="9462" xr:uid="{00000000-0005-0000-0000-0000EB240000}"/>
    <cellStyle name="Normal 2 2 2 10 2 9" xfId="9463" xr:uid="{00000000-0005-0000-0000-0000EC240000}"/>
    <cellStyle name="Normal 2 2 2 10 3" xfId="9464" xr:uid="{00000000-0005-0000-0000-0000ED240000}"/>
    <cellStyle name="Normal 2 2 2 10 3 10" xfId="9465" xr:uid="{00000000-0005-0000-0000-0000EE240000}"/>
    <cellStyle name="Normal 2 2 2 10 3 2" xfId="9466" xr:uid="{00000000-0005-0000-0000-0000EF240000}"/>
    <cellStyle name="Normal 2 2 2 10 3 3" xfId="9467" xr:uid="{00000000-0005-0000-0000-0000F0240000}"/>
    <cellStyle name="Normal 2 2 2 10 3 4" xfId="9468" xr:uid="{00000000-0005-0000-0000-0000F1240000}"/>
    <cellStyle name="Normal 2 2 2 10 3 5" xfId="9469" xr:uid="{00000000-0005-0000-0000-0000F2240000}"/>
    <cellStyle name="Normal 2 2 2 10 3 6" xfId="9470" xr:uid="{00000000-0005-0000-0000-0000F3240000}"/>
    <cellStyle name="Normal 2 2 2 10 3 7" xfId="9471" xr:uid="{00000000-0005-0000-0000-0000F4240000}"/>
    <cellStyle name="Normal 2 2 2 10 3 8" xfId="9472" xr:uid="{00000000-0005-0000-0000-0000F5240000}"/>
    <cellStyle name="Normal 2 2 2 10 3 9" xfId="9473" xr:uid="{00000000-0005-0000-0000-0000F6240000}"/>
    <cellStyle name="Normal 2 2 2 10 4" xfId="9474" xr:uid="{00000000-0005-0000-0000-0000F7240000}"/>
    <cellStyle name="Normal 2 2 2 10 4 10" xfId="9475" xr:uid="{00000000-0005-0000-0000-0000F8240000}"/>
    <cellStyle name="Normal 2 2 2 10 4 2" xfId="9476" xr:uid="{00000000-0005-0000-0000-0000F9240000}"/>
    <cellStyle name="Normal 2 2 2 10 4 3" xfId="9477" xr:uid="{00000000-0005-0000-0000-0000FA240000}"/>
    <cellStyle name="Normal 2 2 2 10 4 4" xfId="9478" xr:uid="{00000000-0005-0000-0000-0000FB240000}"/>
    <cellStyle name="Normal 2 2 2 10 4 5" xfId="9479" xr:uid="{00000000-0005-0000-0000-0000FC240000}"/>
    <cellStyle name="Normal 2 2 2 10 4 6" xfId="9480" xr:uid="{00000000-0005-0000-0000-0000FD240000}"/>
    <cellStyle name="Normal 2 2 2 10 4 7" xfId="9481" xr:uid="{00000000-0005-0000-0000-0000FE240000}"/>
    <cellStyle name="Normal 2 2 2 10 4 8" xfId="9482" xr:uid="{00000000-0005-0000-0000-0000FF240000}"/>
    <cellStyle name="Normal 2 2 2 10 4 9" xfId="9483" xr:uid="{00000000-0005-0000-0000-000000250000}"/>
    <cellStyle name="Normal 2 2 2 10 5" xfId="9484" xr:uid="{00000000-0005-0000-0000-000001250000}"/>
    <cellStyle name="Normal 2 2 2 10 5 10" xfId="9485" xr:uid="{00000000-0005-0000-0000-000002250000}"/>
    <cellStyle name="Normal 2 2 2 10 5 2" xfId="9486" xr:uid="{00000000-0005-0000-0000-000003250000}"/>
    <cellStyle name="Normal 2 2 2 10 5 3" xfId="9487" xr:uid="{00000000-0005-0000-0000-000004250000}"/>
    <cellStyle name="Normal 2 2 2 10 5 4" xfId="9488" xr:uid="{00000000-0005-0000-0000-000005250000}"/>
    <cellStyle name="Normal 2 2 2 10 5 5" xfId="9489" xr:uid="{00000000-0005-0000-0000-000006250000}"/>
    <cellStyle name="Normal 2 2 2 10 5 6" xfId="9490" xr:uid="{00000000-0005-0000-0000-000007250000}"/>
    <cellStyle name="Normal 2 2 2 10 5 7" xfId="9491" xr:uid="{00000000-0005-0000-0000-000008250000}"/>
    <cellStyle name="Normal 2 2 2 10 5 8" xfId="9492" xr:uid="{00000000-0005-0000-0000-000009250000}"/>
    <cellStyle name="Normal 2 2 2 10 5 9" xfId="9493" xr:uid="{00000000-0005-0000-0000-00000A250000}"/>
    <cellStyle name="Normal 2 2 2 10 6" xfId="9494" xr:uid="{00000000-0005-0000-0000-00000B250000}"/>
    <cellStyle name="Normal 2 2 2 10 7" xfId="9495" xr:uid="{00000000-0005-0000-0000-00000C250000}"/>
    <cellStyle name="Normal 2 2 2 10 8" xfId="9496" xr:uid="{00000000-0005-0000-0000-00000D250000}"/>
    <cellStyle name="Normal 2 2 2 10 9" xfId="9497" xr:uid="{00000000-0005-0000-0000-00000E250000}"/>
    <cellStyle name="Normal 2 2 2 11" xfId="9498" xr:uid="{00000000-0005-0000-0000-00000F250000}"/>
    <cellStyle name="Normal 2 2 2 11 10" xfId="9499" xr:uid="{00000000-0005-0000-0000-000010250000}"/>
    <cellStyle name="Normal 2 2 2 11 11" xfId="9500" xr:uid="{00000000-0005-0000-0000-000011250000}"/>
    <cellStyle name="Normal 2 2 2 11 12" xfId="9501" xr:uid="{00000000-0005-0000-0000-000012250000}"/>
    <cellStyle name="Normal 2 2 2 11 13" xfId="9502" xr:uid="{00000000-0005-0000-0000-000013250000}"/>
    <cellStyle name="Normal 2 2 2 11 14" xfId="9503" xr:uid="{00000000-0005-0000-0000-000014250000}"/>
    <cellStyle name="Normal 2 2 2 11 2" xfId="9504" xr:uid="{00000000-0005-0000-0000-000015250000}"/>
    <cellStyle name="Normal 2 2 2 11 2 10" xfId="9505" xr:uid="{00000000-0005-0000-0000-000016250000}"/>
    <cellStyle name="Normal 2 2 2 11 2 2" xfId="9506" xr:uid="{00000000-0005-0000-0000-000017250000}"/>
    <cellStyle name="Normal 2 2 2 11 2 3" xfId="9507" xr:uid="{00000000-0005-0000-0000-000018250000}"/>
    <cellStyle name="Normal 2 2 2 11 2 4" xfId="9508" xr:uid="{00000000-0005-0000-0000-000019250000}"/>
    <cellStyle name="Normal 2 2 2 11 2 5" xfId="9509" xr:uid="{00000000-0005-0000-0000-00001A250000}"/>
    <cellStyle name="Normal 2 2 2 11 2 6" xfId="9510" xr:uid="{00000000-0005-0000-0000-00001B250000}"/>
    <cellStyle name="Normal 2 2 2 11 2 7" xfId="9511" xr:uid="{00000000-0005-0000-0000-00001C250000}"/>
    <cellStyle name="Normal 2 2 2 11 2 8" xfId="9512" xr:uid="{00000000-0005-0000-0000-00001D250000}"/>
    <cellStyle name="Normal 2 2 2 11 2 9" xfId="9513" xr:uid="{00000000-0005-0000-0000-00001E250000}"/>
    <cellStyle name="Normal 2 2 2 11 3" xfId="9514" xr:uid="{00000000-0005-0000-0000-00001F250000}"/>
    <cellStyle name="Normal 2 2 2 11 3 10" xfId="9515" xr:uid="{00000000-0005-0000-0000-000020250000}"/>
    <cellStyle name="Normal 2 2 2 11 3 2" xfId="9516" xr:uid="{00000000-0005-0000-0000-000021250000}"/>
    <cellStyle name="Normal 2 2 2 11 3 3" xfId="9517" xr:uid="{00000000-0005-0000-0000-000022250000}"/>
    <cellStyle name="Normal 2 2 2 11 3 4" xfId="9518" xr:uid="{00000000-0005-0000-0000-000023250000}"/>
    <cellStyle name="Normal 2 2 2 11 3 5" xfId="9519" xr:uid="{00000000-0005-0000-0000-000024250000}"/>
    <cellStyle name="Normal 2 2 2 11 3 6" xfId="9520" xr:uid="{00000000-0005-0000-0000-000025250000}"/>
    <cellStyle name="Normal 2 2 2 11 3 7" xfId="9521" xr:uid="{00000000-0005-0000-0000-000026250000}"/>
    <cellStyle name="Normal 2 2 2 11 3 8" xfId="9522" xr:uid="{00000000-0005-0000-0000-000027250000}"/>
    <cellStyle name="Normal 2 2 2 11 3 9" xfId="9523" xr:uid="{00000000-0005-0000-0000-000028250000}"/>
    <cellStyle name="Normal 2 2 2 11 4" xfId="9524" xr:uid="{00000000-0005-0000-0000-000029250000}"/>
    <cellStyle name="Normal 2 2 2 11 4 10" xfId="9525" xr:uid="{00000000-0005-0000-0000-00002A250000}"/>
    <cellStyle name="Normal 2 2 2 11 4 2" xfId="9526" xr:uid="{00000000-0005-0000-0000-00002B250000}"/>
    <cellStyle name="Normal 2 2 2 11 4 3" xfId="9527" xr:uid="{00000000-0005-0000-0000-00002C250000}"/>
    <cellStyle name="Normal 2 2 2 11 4 4" xfId="9528" xr:uid="{00000000-0005-0000-0000-00002D250000}"/>
    <cellStyle name="Normal 2 2 2 11 4 5" xfId="9529" xr:uid="{00000000-0005-0000-0000-00002E250000}"/>
    <cellStyle name="Normal 2 2 2 11 4 6" xfId="9530" xr:uid="{00000000-0005-0000-0000-00002F250000}"/>
    <cellStyle name="Normal 2 2 2 11 4 7" xfId="9531" xr:uid="{00000000-0005-0000-0000-000030250000}"/>
    <cellStyle name="Normal 2 2 2 11 4 8" xfId="9532" xr:uid="{00000000-0005-0000-0000-000031250000}"/>
    <cellStyle name="Normal 2 2 2 11 4 9" xfId="9533" xr:uid="{00000000-0005-0000-0000-000032250000}"/>
    <cellStyle name="Normal 2 2 2 11 5" xfId="9534" xr:uid="{00000000-0005-0000-0000-000033250000}"/>
    <cellStyle name="Normal 2 2 2 11 5 10" xfId="9535" xr:uid="{00000000-0005-0000-0000-000034250000}"/>
    <cellStyle name="Normal 2 2 2 11 5 2" xfId="9536" xr:uid="{00000000-0005-0000-0000-000035250000}"/>
    <cellStyle name="Normal 2 2 2 11 5 3" xfId="9537" xr:uid="{00000000-0005-0000-0000-000036250000}"/>
    <cellStyle name="Normal 2 2 2 11 5 4" xfId="9538" xr:uid="{00000000-0005-0000-0000-000037250000}"/>
    <cellStyle name="Normal 2 2 2 11 5 5" xfId="9539" xr:uid="{00000000-0005-0000-0000-000038250000}"/>
    <cellStyle name="Normal 2 2 2 11 5 6" xfId="9540" xr:uid="{00000000-0005-0000-0000-000039250000}"/>
    <cellStyle name="Normal 2 2 2 11 5 7" xfId="9541" xr:uid="{00000000-0005-0000-0000-00003A250000}"/>
    <cellStyle name="Normal 2 2 2 11 5 8" xfId="9542" xr:uid="{00000000-0005-0000-0000-00003B250000}"/>
    <cellStyle name="Normal 2 2 2 11 5 9" xfId="9543" xr:uid="{00000000-0005-0000-0000-00003C250000}"/>
    <cellStyle name="Normal 2 2 2 11 6" xfId="9544" xr:uid="{00000000-0005-0000-0000-00003D250000}"/>
    <cellStyle name="Normal 2 2 2 11 7" xfId="9545" xr:uid="{00000000-0005-0000-0000-00003E250000}"/>
    <cellStyle name="Normal 2 2 2 11 8" xfId="9546" xr:uid="{00000000-0005-0000-0000-00003F250000}"/>
    <cellStyle name="Normal 2 2 2 11 9" xfId="9547" xr:uid="{00000000-0005-0000-0000-000040250000}"/>
    <cellStyle name="Normal 2 2 2 12" xfId="9548" xr:uid="{00000000-0005-0000-0000-000041250000}"/>
    <cellStyle name="Normal 2 2 2 12 10" xfId="9549" xr:uid="{00000000-0005-0000-0000-000042250000}"/>
    <cellStyle name="Normal 2 2 2 12 11" xfId="9550" xr:uid="{00000000-0005-0000-0000-000043250000}"/>
    <cellStyle name="Normal 2 2 2 12 12" xfId="9551" xr:uid="{00000000-0005-0000-0000-000044250000}"/>
    <cellStyle name="Normal 2 2 2 12 13" xfId="9552" xr:uid="{00000000-0005-0000-0000-000045250000}"/>
    <cellStyle name="Normal 2 2 2 12 14" xfId="9553" xr:uid="{00000000-0005-0000-0000-000046250000}"/>
    <cellStyle name="Normal 2 2 2 12 2" xfId="9554" xr:uid="{00000000-0005-0000-0000-000047250000}"/>
    <cellStyle name="Normal 2 2 2 12 2 10" xfId="9555" xr:uid="{00000000-0005-0000-0000-000048250000}"/>
    <cellStyle name="Normal 2 2 2 12 2 2" xfId="9556" xr:uid="{00000000-0005-0000-0000-000049250000}"/>
    <cellStyle name="Normal 2 2 2 12 2 3" xfId="9557" xr:uid="{00000000-0005-0000-0000-00004A250000}"/>
    <cellStyle name="Normal 2 2 2 12 2 4" xfId="9558" xr:uid="{00000000-0005-0000-0000-00004B250000}"/>
    <cellStyle name="Normal 2 2 2 12 2 5" xfId="9559" xr:uid="{00000000-0005-0000-0000-00004C250000}"/>
    <cellStyle name="Normal 2 2 2 12 2 6" xfId="9560" xr:uid="{00000000-0005-0000-0000-00004D250000}"/>
    <cellStyle name="Normal 2 2 2 12 2 7" xfId="9561" xr:uid="{00000000-0005-0000-0000-00004E250000}"/>
    <cellStyle name="Normal 2 2 2 12 2 8" xfId="9562" xr:uid="{00000000-0005-0000-0000-00004F250000}"/>
    <cellStyle name="Normal 2 2 2 12 2 9" xfId="9563" xr:uid="{00000000-0005-0000-0000-000050250000}"/>
    <cellStyle name="Normal 2 2 2 12 3" xfId="9564" xr:uid="{00000000-0005-0000-0000-000051250000}"/>
    <cellStyle name="Normal 2 2 2 12 3 10" xfId="9565" xr:uid="{00000000-0005-0000-0000-000052250000}"/>
    <cellStyle name="Normal 2 2 2 12 3 2" xfId="9566" xr:uid="{00000000-0005-0000-0000-000053250000}"/>
    <cellStyle name="Normal 2 2 2 12 3 3" xfId="9567" xr:uid="{00000000-0005-0000-0000-000054250000}"/>
    <cellStyle name="Normal 2 2 2 12 3 4" xfId="9568" xr:uid="{00000000-0005-0000-0000-000055250000}"/>
    <cellStyle name="Normal 2 2 2 12 3 5" xfId="9569" xr:uid="{00000000-0005-0000-0000-000056250000}"/>
    <cellStyle name="Normal 2 2 2 12 3 6" xfId="9570" xr:uid="{00000000-0005-0000-0000-000057250000}"/>
    <cellStyle name="Normal 2 2 2 12 3 7" xfId="9571" xr:uid="{00000000-0005-0000-0000-000058250000}"/>
    <cellStyle name="Normal 2 2 2 12 3 8" xfId="9572" xr:uid="{00000000-0005-0000-0000-000059250000}"/>
    <cellStyle name="Normal 2 2 2 12 3 9" xfId="9573" xr:uid="{00000000-0005-0000-0000-00005A250000}"/>
    <cellStyle name="Normal 2 2 2 12 4" xfId="9574" xr:uid="{00000000-0005-0000-0000-00005B250000}"/>
    <cellStyle name="Normal 2 2 2 12 4 10" xfId="9575" xr:uid="{00000000-0005-0000-0000-00005C250000}"/>
    <cellStyle name="Normal 2 2 2 12 4 2" xfId="9576" xr:uid="{00000000-0005-0000-0000-00005D250000}"/>
    <cellStyle name="Normal 2 2 2 12 4 3" xfId="9577" xr:uid="{00000000-0005-0000-0000-00005E250000}"/>
    <cellStyle name="Normal 2 2 2 12 4 4" xfId="9578" xr:uid="{00000000-0005-0000-0000-00005F250000}"/>
    <cellStyle name="Normal 2 2 2 12 4 5" xfId="9579" xr:uid="{00000000-0005-0000-0000-000060250000}"/>
    <cellStyle name="Normal 2 2 2 12 4 6" xfId="9580" xr:uid="{00000000-0005-0000-0000-000061250000}"/>
    <cellStyle name="Normal 2 2 2 12 4 7" xfId="9581" xr:uid="{00000000-0005-0000-0000-000062250000}"/>
    <cellStyle name="Normal 2 2 2 12 4 8" xfId="9582" xr:uid="{00000000-0005-0000-0000-000063250000}"/>
    <cellStyle name="Normal 2 2 2 12 4 9" xfId="9583" xr:uid="{00000000-0005-0000-0000-000064250000}"/>
    <cellStyle name="Normal 2 2 2 12 5" xfId="9584" xr:uid="{00000000-0005-0000-0000-000065250000}"/>
    <cellStyle name="Normal 2 2 2 12 5 10" xfId="9585" xr:uid="{00000000-0005-0000-0000-000066250000}"/>
    <cellStyle name="Normal 2 2 2 12 5 2" xfId="9586" xr:uid="{00000000-0005-0000-0000-000067250000}"/>
    <cellStyle name="Normal 2 2 2 12 5 3" xfId="9587" xr:uid="{00000000-0005-0000-0000-000068250000}"/>
    <cellStyle name="Normal 2 2 2 12 5 4" xfId="9588" xr:uid="{00000000-0005-0000-0000-000069250000}"/>
    <cellStyle name="Normal 2 2 2 12 5 5" xfId="9589" xr:uid="{00000000-0005-0000-0000-00006A250000}"/>
    <cellStyle name="Normal 2 2 2 12 5 6" xfId="9590" xr:uid="{00000000-0005-0000-0000-00006B250000}"/>
    <cellStyle name="Normal 2 2 2 12 5 7" xfId="9591" xr:uid="{00000000-0005-0000-0000-00006C250000}"/>
    <cellStyle name="Normal 2 2 2 12 5 8" xfId="9592" xr:uid="{00000000-0005-0000-0000-00006D250000}"/>
    <cellStyle name="Normal 2 2 2 12 5 9" xfId="9593" xr:uid="{00000000-0005-0000-0000-00006E250000}"/>
    <cellStyle name="Normal 2 2 2 12 6" xfId="9594" xr:uid="{00000000-0005-0000-0000-00006F250000}"/>
    <cellStyle name="Normal 2 2 2 12 7" xfId="9595" xr:uid="{00000000-0005-0000-0000-000070250000}"/>
    <cellStyle name="Normal 2 2 2 12 8" xfId="9596" xr:uid="{00000000-0005-0000-0000-000071250000}"/>
    <cellStyle name="Normal 2 2 2 12 9" xfId="9597" xr:uid="{00000000-0005-0000-0000-000072250000}"/>
    <cellStyle name="Normal 2 2 2 13" xfId="9598" xr:uid="{00000000-0005-0000-0000-000073250000}"/>
    <cellStyle name="Normal 2 2 2 13 10" xfId="9599" xr:uid="{00000000-0005-0000-0000-000074250000}"/>
    <cellStyle name="Normal 2 2 2 13 11" xfId="9600" xr:uid="{00000000-0005-0000-0000-000075250000}"/>
    <cellStyle name="Normal 2 2 2 13 12" xfId="9601" xr:uid="{00000000-0005-0000-0000-000076250000}"/>
    <cellStyle name="Normal 2 2 2 13 13" xfId="9602" xr:uid="{00000000-0005-0000-0000-000077250000}"/>
    <cellStyle name="Normal 2 2 2 13 14" xfId="9603" xr:uid="{00000000-0005-0000-0000-000078250000}"/>
    <cellStyle name="Normal 2 2 2 13 2" xfId="9604" xr:uid="{00000000-0005-0000-0000-000079250000}"/>
    <cellStyle name="Normal 2 2 2 13 2 10" xfId="9605" xr:uid="{00000000-0005-0000-0000-00007A250000}"/>
    <cellStyle name="Normal 2 2 2 13 2 2" xfId="9606" xr:uid="{00000000-0005-0000-0000-00007B250000}"/>
    <cellStyle name="Normal 2 2 2 13 2 3" xfId="9607" xr:uid="{00000000-0005-0000-0000-00007C250000}"/>
    <cellStyle name="Normal 2 2 2 13 2 4" xfId="9608" xr:uid="{00000000-0005-0000-0000-00007D250000}"/>
    <cellStyle name="Normal 2 2 2 13 2 5" xfId="9609" xr:uid="{00000000-0005-0000-0000-00007E250000}"/>
    <cellStyle name="Normal 2 2 2 13 2 6" xfId="9610" xr:uid="{00000000-0005-0000-0000-00007F250000}"/>
    <cellStyle name="Normal 2 2 2 13 2 7" xfId="9611" xr:uid="{00000000-0005-0000-0000-000080250000}"/>
    <cellStyle name="Normal 2 2 2 13 2 8" xfId="9612" xr:uid="{00000000-0005-0000-0000-000081250000}"/>
    <cellStyle name="Normal 2 2 2 13 2 9" xfId="9613" xr:uid="{00000000-0005-0000-0000-000082250000}"/>
    <cellStyle name="Normal 2 2 2 13 3" xfId="9614" xr:uid="{00000000-0005-0000-0000-000083250000}"/>
    <cellStyle name="Normal 2 2 2 13 3 10" xfId="9615" xr:uid="{00000000-0005-0000-0000-000084250000}"/>
    <cellStyle name="Normal 2 2 2 13 3 2" xfId="9616" xr:uid="{00000000-0005-0000-0000-000085250000}"/>
    <cellStyle name="Normal 2 2 2 13 3 3" xfId="9617" xr:uid="{00000000-0005-0000-0000-000086250000}"/>
    <cellStyle name="Normal 2 2 2 13 3 4" xfId="9618" xr:uid="{00000000-0005-0000-0000-000087250000}"/>
    <cellStyle name="Normal 2 2 2 13 3 5" xfId="9619" xr:uid="{00000000-0005-0000-0000-000088250000}"/>
    <cellStyle name="Normal 2 2 2 13 3 6" xfId="9620" xr:uid="{00000000-0005-0000-0000-000089250000}"/>
    <cellStyle name="Normal 2 2 2 13 3 7" xfId="9621" xr:uid="{00000000-0005-0000-0000-00008A250000}"/>
    <cellStyle name="Normal 2 2 2 13 3 8" xfId="9622" xr:uid="{00000000-0005-0000-0000-00008B250000}"/>
    <cellStyle name="Normal 2 2 2 13 3 9" xfId="9623" xr:uid="{00000000-0005-0000-0000-00008C250000}"/>
    <cellStyle name="Normal 2 2 2 13 4" xfId="9624" xr:uid="{00000000-0005-0000-0000-00008D250000}"/>
    <cellStyle name="Normal 2 2 2 13 4 10" xfId="9625" xr:uid="{00000000-0005-0000-0000-00008E250000}"/>
    <cellStyle name="Normal 2 2 2 13 4 2" xfId="9626" xr:uid="{00000000-0005-0000-0000-00008F250000}"/>
    <cellStyle name="Normal 2 2 2 13 4 3" xfId="9627" xr:uid="{00000000-0005-0000-0000-000090250000}"/>
    <cellStyle name="Normal 2 2 2 13 4 4" xfId="9628" xr:uid="{00000000-0005-0000-0000-000091250000}"/>
    <cellStyle name="Normal 2 2 2 13 4 5" xfId="9629" xr:uid="{00000000-0005-0000-0000-000092250000}"/>
    <cellStyle name="Normal 2 2 2 13 4 6" xfId="9630" xr:uid="{00000000-0005-0000-0000-000093250000}"/>
    <cellStyle name="Normal 2 2 2 13 4 7" xfId="9631" xr:uid="{00000000-0005-0000-0000-000094250000}"/>
    <cellStyle name="Normal 2 2 2 13 4 8" xfId="9632" xr:uid="{00000000-0005-0000-0000-000095250000}"/>
    <cellStyle name="Normal 2 2 2 13 4 9" xfId="9633" xr:uid="{00000000-0005-0000-0000-000096250000}"/>
    <cellStyle name="Normal 2 2 2 13 5" xfId="9634" xr:uid="{00000000-0005-0000-0000-000097250000}"/>
    <cellStyle name="Normal 2 2 2 13 5 10" xfId="9635" xr:uid="{00000000-0005-0000-0000-000098250000}"/>
    <cellStyle name="Normal 2 2 2 13 5 2" xfId="9636" xr:uid="{00000000-0005-0000-0000-000099250000}"/>
    <cellStyle name="Normal 2 2 2 13 5 3" xfId="9637" xr:uid="{00000000-0005-0000-0000-00009A250000}"/>
    <cellStyle name="Normal 2 2 2 13 5 4" xfId="9638" xr:uid="{00000000-0005-0000-0000-00009B250000}"/>
    <cellStyle name="Normal 2 2 2 13 5 5" xfId="9639" xr:uid="{00000000-0005-0000-0000-00009C250000}"/>
    <cellStyle name="Normal 2 2 2 13 5 6" xfId="9640" xr:uid="{00000000-0005-0000-0000-00009D250000}"/>
    <cellStyle name="Normal 2 2 2 13 5 7" xfId="9641" xr:uid="{00000000-0005-0000-0000-00009E250000}"/>
    <cellStyle name="Normal 2 2 2 13 5 8" xfId="9642" xr:uid="{00000000-0005-0000-0000-00009F250000}"/>
    <cellStyle name="Normal 2 2 2 13 5 9" xfId="9643" xr:uid="{00000000-0005-0000-0000-0000A0250000}"/>
    <cellStyle name="Normal 2 2 2 13 6" xfId="9644" xr:uid="{00000000-0005-0000-0000-0000A1250000}"/>
    <cellStyle name="Normal 2 2 2 13 7" xfId="9645" xr:uid="{00000000-0005-0000-0000-0000A2250000}"/>
    <cellStyle name="Normal 2 2 2 13 8" xfId="9646" xr:uid="{00000000-0005-0000-0000-0000A3250000}"/>
    <cellStyle name="Normal 2 2 2 13 9" xfId="9647" xr:uid="{00000000-0005-0000-0000-0000A4250000}"/>
    <cellStyle name="Normal 2 2 2 14" xfId="9648" xr:uid="{00000000-0005-0000-0000-0000A5250000}"/>
    <cellStyle name="Normal 2 2 2 14 10" xfId="9649" xr:uid="{00000000-0005-0000-0000-0000A6250000}"/>
    <cellStyle name="Normal 2 2 2 14 11" xfId="9650" xr:uid="{00000000-0005-0000-0000-0000A7250000}"/>
    <cellStyle name="Normal 2 2 2 14 12" xfId="9651" xr:uid="{00000000-0005-0000-0000-0000A8250000}"/>
    <cellStyle name="Normal 2 2 2 14 13" xfId="9652" xr:uid="{00000000-0005-0000-0000-0000A9250000}"/>
    <cellStyle name="Normal 2 2 2 14 14" xfId="9653" xr:uid="{00000000-0005-0000-0000-0000AA250000}"/>
    <cellStyle name="Normal 2 2 2 14 2" xfId="9654" xr:uid="{00000000-0005-0000-0000-0000AB250000}"/>
    <cellStyle name="Normal 2 2 2 14 2 10" xfId="9655" xr:uid="{00000000-0005-0000-0000-0000AC250000}"/>
    <cellStyle name="Normal 2 2 2 14 2 2" xfId="9656" xr:uid="{00000000-0005-0000-0000-0000AD250000}"/>
    <cellStyle name="Normal 2 2 2 14 2 3" xfId="9657" xr:uid="{00000000-0005-0000-0000-0000AE250000}"/>
    <cellStyle name="Normal 2 2 2 14 2 4" xfId="9658" xr:uid="{00000000-0005-0000-0000-0000AF250000}"/>
    <cellStyle name="Normal 2 2 2 14 2 5" xfId="9659" xr:uid="{00000000-0005-0000-0000-0000B0250000}"/>
    <cellStyle name="Normal 2 2 2 14 2 6" xfId="9660" xr:uid="{00000000-0005-0000-0000-0000B1250000}"/>
    <cellStyle name="Normal 2 2 2 14 2 7" xfId="9661" xr:uid="{00000000-0005-0000-0000-0000B2250000}"/>
    <cellStyle name="Normal 2 2 2 14 2 8" xfId="9662" xr:uid="{00000000-0005-0000-0000-0000B3250000}"/>
    <cellStyle name="Normal 2 2 2 14 2 9" xfId="9663" xr:uid="{00000000-0005-0000-0000-0000B4250000}"/>
    <cellStyle name="Normal 2 2 2 14 3" xfId="9664" xr:uid="{00000000-0005-0000-0000-0000B5250000}"/>
    <cellStyle name="Normal 2 2 2 14 3 10" xfId="9665" xr:uid="{00000000-0005-0000-0000-0000B6250000}"/>
    <cellStyle name="Normal 2 2 2 14 3 2" xfId="9666" xr:uid="{00000000-0005-0000-0000-0000B7250000}"/>
    <cellStyle name="Normal 2 2 2 14 3 3" xfId="9667" xr:uid="{00000000-0005-0000-0000-0000B8250000}"/>
    <cellStyle name="Normal 2 2 2 14 3 4" xfId="9668" xr:uid="{00000000-0005-0000-0000-0000B9250000}"/>
    <cellStyle name="Normal 2 2 2 14 3 5" xfId="9669" xr:uid="{00000000-0005-0000-0000-0000BA250000}"/>
    <cellStyle name="Normal 2 2 2 14 3 6" xfId="9670" xr:uid="{00000000-0005-0000-0000-0000BB250000}"/>
    <cellStyle name="Normal 2 2 2 14 3 7" xfId="9671" xr:uid="{00000000-0005-0000-0000-0000BC250000}"/>
    <cellStyle name="Normal 2 2 2 14 3 8" xfId="9672" xr:uid="{00000000-0005-0000-0000-0000BD250000}"/>
    <cellStyle name="Normal 2 2 2 14 3 9" xfId="9673" xr:uid="{00000000-0005-0000-0000-0000BE250000}"/>
    <cellStyle name="Normal 2 2 2 14 4" xfId="9674" xr:uid="{00000000-0005-0000-0000-0000BF250000}"/>
    <cellStyle name="Normal 2 2 2 14 4 10" xfId="9675" xr:uid="{00000000-0005-0000-0000-0000C0250000}"/>
    <cellStyle name="Normal 2 2 2 14 4 2" xfId="9676" xr:uid="{00000000-0005-0000-0000-0000C1250000}"/>
    <cellStyle name="Normal 2 2 2 14 4 3" xfId="9677" xr:uid="{00000000-0005-0000-0000-0000C2250000}"/>
    <cellStyle name="Normal 2 2 2 14 4 4" xfId="9678" xr:uid="{00000000-0005-0000-0000-0000C3250000}"/>
    <cellStyle name="Normal 2 2 2 14 4 5" xfId="9679" xr:uid="{00000000-0005-0000-0000-0000C4250000}"/>
    <cellStyle name="Normal 2 2 2 14 4 6" xfId="9680" xr:uid="{00000000-0005-0000-0000-0000C5250000}"/>
    <cellStyle name="Normal 2 2 2 14 4 7" xfId="9681" xr:uid="{00000000-0005-0000-0000-0000C6250000}"/>
    <cellStyle name="Normal 2 2 2 14 4 8" xfId="9682" xr:uid="{00000000-0005-0000-0000-0000C7250000}"/>
    <cellStyle name="Normal 2 2 2 14 4 9" xfId="9683" xr:uid="{00000000-0005-0000-0000-0000C8250000}"/>
    <cellStyle name="Normal 2 2 2 14 5" xfId="9684" xr:uid="{00000000-0005-0000-0000-0000C9250000}"/>
    <cellStyle name="Normal 2 2 2 14 5 10" xfId="9685" xr:uid="{00000000-0005-0000-0000-0000CA250000}"/>
    <cellStyle name="Normal 2 2 2 14 5 2" xfId="9686" xr:uid="{00000000-0005-0000-0000-0000CB250000}"/>
    <cellStyle name="Normal 2 2 2 14 5 3" xfId="9687" xr:uid="{00000000-0005-0000-0000-0000CC250000}"/>
    <cellStyle name="Normal 2 2 2 14 5 4" xfId="9688" xr:uid="{00000000-0005-0000-0000-0000CD250000}"/>
    <cellStyle name="Normal 2 2 2 14 5 5" xfId="9689" xr:uid="{00000000-0005-0000-0000-0000CE250000}"/>
    <cellStyle name="Normal 2 2 2 14 5 6" xfId="9690" xr:uid="{00000000-0005-0000-0000-0000CF250000}"/>
    <cellStyle name="Normal 2 2 2 14 5 7" xfId="9691" xr:uid="{00000000-0005-0000-0000-0000D0250000}"/>
    <cellStyle name="Normal 2 2 2 14 5 8" xfId="9692" xr:uid="{00000000-0005-0000-0000-0000D1250000}"/>
    <cellStyle name="Normal 2 2 2 14 5 9" xfId="9693" xr:uid="{00000000-0005-0000-0000-0000D2250000}"/>
    <cellStyle name="Normal 2 2 2 14 6" xfId="9694" xr:uid="{00000000-0005-0000-0000-0000D3250000}"/>
    <cellStyle name="Normal 2 2 2 14 7" xfId="9695" xr:uid="{00000000-0005-0000-0000-0000D4250000}"/>
    <cellStyle name="Normal 2 2 2 14 8" xfId="9696" xr:uid="{00000000-0005-0000-0000-0000D5250000}"/>
    <cellStyle name="Normal 2 2 2 14 9" xfId="9697" xr:uid="{00000000-0005-0000-0000-0000D6250000}"/>
    <cellStyle name="Normal 2 2 2 15" xfId="9698" xr:uid="{00000000-0005-0000-0000-0000D7250000}"/>
    <cellStyle name="Normal 2 2 2 15 10" xfId="9699" xr:uid="{00000000-0005-0000-0000-0000D8250000}"/>
    <cellStyle name="Normal 2 2 2 15 11" xfId="9700" xr:uid="{00000000-0005-0000-0000-0000D9250000}"/>
    <cellStyle name="Normal 2 2 2 15 12" xfId="9701" xr:uid="{00000000-0005-0000-0000-0000DA250000}"/>
    <cellStyle name="Normal 2 2 2 15 13" xfId="9702" xr:uid="{00000000-0005-0000-0000-0000DB250000}"/>
    <cellStyle name="Normal 2 2 2 15 14" xfId="9703" xr:uid="{00000000-0005-0000-0000-0000DC250000}"/>
    <cellStyle name="Normal 2 2 2 15 2" xfId="9704" xr:uid="{00000000-0005-0000-0000-0000DD250000}"/>
    <cellStyle name="Normal 2 2 2 15 2 10" xfId="9705" xr:uid="{00000000-0005-0000-0000-0000DE250000}"/>
    <cellStyle name="Normal 2 2 2 15 2 2" xfId="9706" xr:uid="{00000000-0005-0000-0000-0000DF250000}"/>
    <cellStyle name="Normal 2 2 2 15 2 3" xfId="9707" xr:uid="{00000000-0005-0000-0000-0000E0250000}"/>
    <cellStyle name="Normal 2 2 2 15 2 4" xfId="9708" xr:uid="{00000000-0005-0000-0000-0000E1250000}"/>
    <cellStyle name="Normal 2 2 2 15 2 5" xfId="9709" xr:uid="{00000000-0005-0000-0000-0000E2250000}"/>
    <cellStyle name="Normal 2 2 2 15 2 6" xfId="9710" xr:uid="{00000000-0005-0000-0000-0000E3250000}"/>
    <cellStyle name="Normal 2 2 2 15 2 7" xfId="9711" xr:uid="{00000000-0005-0000-0000-0000E4250000}"/>
    <cellStyle name="Normal 2 2 2 15 2 8" xfId="9712" xr:uid="{00000000-0005-0000-0000-0000E5250000}"/>
    <cellStyle name="Normal 2 2 2 15 2 9" xfId="9713" xr:uid="{00000000-0005-0000-0000-0000E6250000}"/>
    <cellStyle name="Normal 2 2 2 15 3" xfId="9714" xr:uid="{00000000-0005-0000-0000-0000E7250000}"/>
    <cellStyle name="Normal 2 2 2 15 3 10" xfId="9715" xr:uid="{00000000-0005-0000-0000-0000E8250000}"/>
    <cellStyle name="Normal 2 2 2 15 3 2" xfId="9716" xr:uid="{00000000-0005-0000-0000-0000E9250000}"/>
    <cellStyle name="Normal 2 2 2 15 3 3" xfId="9717" xr:uid="{00000000-0005-0000-0000-0000EA250000}"/>
    <cellStyle name="Normal 2 2 2 15 3 4" xfId="9718" xr:uid="{00000000-0005-0000-0000-0000EB250000}"/>
    <cellStyle name="Normal 2 2 2 15 3 5" xfId="9719" xr:uid="{00000000-0005-0000-0000-0000EC250000}"/>
    <cellStyle name="Normal 2 2 2 15 3 6" xfId="9720" xr:uid="{00000000-0005-0000-0000-0000ED250000}"/>
    <cellStyle name="Normal 2 2 2 15 3 7" xfId="9721" xr:uid="{00000000-0005-0000-0000-0000EE250000}"/>
    <cellStyle name="Normal 2 2 2 15 3 8" xfId="9722" xr:uid="{00000000-0005-0000-0000-0000EF250000}"/>
    <cellStyle name="Normal 2 2 2 15 3 9" xfId="9723" xr:uid="{00000000-0005-0000-0000-0000F0250000}"/>
    <cellStyle name="Normal 2 2 2 15 4" xfId="9724" xr:uid="{00000000-0005-0000-0000-0000F1250000}"/>
    <cellStyle name="Normal 2 2 2 15 4 10" xfId="9725" xr:uid="{00000000-0005-0000-0000-0000F2250000}"/>
    <cellStyle name="Normal 2 2 2 15 4 2" xfId="9726" xr:uid="{00000000-0005-0000-0000-0000F3250000}"/>
    <cellStyle name="Normal 2 2 2 15 4 3" xfId="9727" xr:uid="{00000000-0005-0000-0000-0000F4250000}"/>
    <cellStyle name="Normal 2 2 2 15 4 4" xfId="9728" xr:uid="{00000000-0005-0000-0000-0000F5250000}"/>
    <cellStyle name="Normal 2 2 2 15 4 5" xfId="9729" xr:uid="{00000000-0005-0000-0000-0000F6250000}"/>
    <cellStyle name="Normal 2 2 2 15 4 6" xfId="9730" xr:uid="{00000000-0005-0000-0000-0000F7250000}"/>
    <cellStyle name="Normal 2 2 2 15 4 7" xfId="9731" xr:uid="{00000000-0005-0000-0000-0000F8250000}"/>
    <cellStyle name="Normal 2 2 2 15 4 8" xfId="9732" xr:uid="{00000000-0005-0000-0000-0000F9250000}"/>
    <cellStyle name="Normal 2 2 2 15 4 9" xfId="9733" xr:uid="{00000000-0005-0000-0000-0000FA250000}"/>
    <cellStyle name="Normal 2 2 2 15 5" xfId="9734" xr:uid="{00000000-0005-0000-0000-0000FB250000}"/>
    <cellStyle name="Normal 2 2 2 15 5 10" xfId="9735" xr:uid="{00000000-0005-0000-0000-0000FC250000}"/>
    <cellStyle name="Normal 2 2 2 15 5 2" xfId="9736" xr:uid="{00000000-0005-0000-0000-0000FD250000}"/>
    <cellStyle name="Normal 2 2 2 15 5 3" xfId="9737" xr:uid="{00000000-0005-0000-0000-0000FE250000}"/>
    <cellStyle name="Normal 2 2 2 15 5 4" xfId="9738" xr:uid="{00000000-0005-0000-0000-0000FF250000}"/>
    <cellStyle name="Normal 2 2 2 15 5 5" xfId="9739" xr:uid="{00000000-0005-0000-0000-000000260000}"/>
    <cellStyle name="Normal 2 2 2 15 5 6" xfId="9740" xr:uid="{00000000-0005-0000-0000-000001260000}"/>
    <cellStyle name="Normal 2 2 2 15 5 7" xfId="9741" xr:uid="{00000000-0005-0000-0000-000002260000}"/>
    <cellStyle name="Normal 2 2 2 15 5 8" xfId="9742" xr:uid="{00000000-0005-0000-0000-000003260000}"/>
    <cellStyle name="Normal 2 2 2 15 5 9" xfId="9743" xr:uid="{00000000-0005-0000-0000-000004260000}"/>
    <cellStyle name="Normal 2 2 2 15 6" xfId="9744" xr:uid="{00000000-0005-0000-0000-000005260000}"/>
    <cellStyle name="Normal 2 2 2 15 7" xfId="9745" xr:uid="{00000000-0005-0000-0000-000006260000}"/>
    <cellStyle name="Normal 2 2 2 15 8" xfId="9746" xr:uid="{00000000-0005-0000-0000-000007260000}"/>
    <cellStyle name="Normal 2 2 2 15 9" xfId="9747" xr:uid="{00000000-0005-0000-0000-000008260000}"/>
    <cellStyle name="Normal 2 2 2 16" xfId="9748" xr:uid="{00000000-0005-0000-0000-000009260000}"/>
    <cellStyle name="Normal 2 2 2 16 10" xfId="9749" xr:uid="{00000000-0005-0000-0000-00000A260000}"/>
    <cellStyle name="Normal 2 2 2 16 11" xfId="9750" xr:uid="{00000000-0005-0000-0000-00000B260000}"/>
    <cellStyle name="Normal 2 2 2 16 12" xfId="9751" xr:uid="{00000000-0005-0000-0000-00000C260000}"/>
    <cellStyle name="Normal 2 2 2 16 13" xfId="9752" xr:uid="{00000000-0005-0000-0000-00000D260000}"/>
    <cellStyle name="Normal 2 2 2 16 14" xfId="9753" xr:uid="{00000000-0005-0000-0000-00000E260000}"/>
    <cellStyle name="Normal 2 2 2 16 2" xfId="9754" xr:uid="{00000000-0005-0000-0000-00000F260000}"/>
    <cellStyle name="Normal 2 2 2 16 2 10" xfId="9755" xr:uid="{00000000-0005-0000-0000-000010260000}"/>
    <cellStyle name="Normal 2 2 2 16 2 2" xfId="9756" xr:uid="{00000000-0005-0000-0000-000011260000}"/>
    <cellStyle name="Normal 2 2 2 16 2 3" xfId="9757" xr:uid="{00000000-0005-0000-0000-000012260000}"/>
    <cellStyle name="Normal 2 2 2 16 2 4" xfId="9758" xr:uid="{00000000-0005-0000-0000-000013260000}"/>
    <cellStyle name="Normal 2 2 2 16 2 5" xfId="9759" xr:uid="{00000000-0005-0000-0000-000014260000}"/>
    <cellStyle name="Normal 2 2 2 16 2 6" xfId="9760" xr:uid="{00000000-0005-0000-0000-000015260000}"/>
    <cellStyle name="Normal 2 2 2 16 2 7" xfId="9761" xr:uid="{00000000-0005-0000-0000-000016260000}"/>
    <cellStyle name="Normal 2 2 2 16 2 8" xfId="9762" xr:uid="{00000000-0005-0000-0000-000017260000}"/>
    <cellStyle name="Normal 2 2 2 16 2 9" xfId="9763" xr:uid="{00000000-0005-0000-0000-000018260000}"/>
    <cellStyle name="Normal 2 2 2 16 3" xfId="9764" xr:uid="{00000000-0005-0000-0000-000019260000}"/>
    <cellStyle name="Normal 2 2 2 16 3 10" xfId="9765" xr:uid="{00000000-0005-0000-0000-00001A260000}"/>
    <cellStyle name="Normal 2 2 2 16 3 2" xfId="9766" xr:uid="{00000000-0005-0000-0000-00001B260000}"/>
    <cellStyle name="Normal 2 2 2 16 3 3" xfId="9767" xr:uid="{00000000-0005-0000-0000-00001C260000}"/>
    <cellStyle name="Normal 2 2 2 16 3 4" xfId="9768" xr:uid="{00000000-0005-0000-0000-00001D260000}"/>
    <cellStyle name="Normal 2 2 2 16 3 5" xfId="9769" xr:uid="{00000000-0005-0000-0000-00001E260000}"/>
    <cellStyle name="Normal 2 2 2 16 3 6" xfId="9770" xr:uid="{00000000-0005-0000-0000-00001F260000}"/>
    <cellStyle name="Normal 2 2 2 16 3 7" xfId="9771" xr:uid="{00000000-0005-0000-0000-000020260000}"/>
    <cellStyle name="Normal 2 2 2 16 3 8" xfId="9772" xr:uid="{00000000-0005-0000-0000-000021260000}"/>
    <cellStyle name="Normal 2 2 2 16 3 9" xfId="9773" xr:uid="{00000000-0005-0000-0000-000022260000}"/>
    <cellStyle name="Normal 2 2 2 16 4" xfId="9774" xr:uid="{00000000-0005-0000-0000-000023260000}"/>
    <cellStyle name="Normal 2 2 2 16 4 10" xfId="9775" xr:uid="{00000000-0005-0000-0000-000024260000}"/>
    <cellStyle name="Normal 2 2 2 16 4 2" xfId="9776" xr:uid="{00000000-0005-0000-0000-000025260000}"/>
    <cellStyle name="Normal 2 2 2 16 4 3" xfId="9777" xr:uid="{00000000-0005-0000-0000-000026260000}"/>
    <cellStyle name="Normal 2 2 2 16 4 4" xfId="9778" xr:uid="{00000000-0005-0000-0000-000027260000}"/>
    <cellStyle name="Normal 2 2 2 16 4 5" xfId="9779" xr:uid="{00000000-0005-0000-0000-000028260000}"/>
    <cellStyle name="Normal 2 2 2 16 4 6" xfId="9780" xr:uid="{00000000-0005-0000-0000-000029260000}"/>
    <cellStyle name="Normal 2 2 2 16 4 7" xfId="9781" xr:uid="{00000000-0005-0000-0000-00002A260000}"/>
    <cellStyle name="Normal 2 2 2 16 4 8" xfId="9782" xr:uid="{00000000-0005-0000-0000-00002B260000}"/>
    <cellStyle name="Normal 2 2 2 16 4 9" xfId="9783" xr:uid="{00000000-0005-0000-0000-00002C260000}"/>
    <cellStyle name="Normal 2 2 2 16 5" xfId="9784" xr:uid="{00000000-0005-0000-0000-00002D260000}"/>
    <cellStyle name="Normal 2 2 2 16 5 10" xfId="9785" xr:uid="{00000000-0005-0000-0000-00002E260000}"/>
    <cellStyle name="Normal 2 2 2 16 5 2" xfId="9786" xr:uid="{00000000-0005-0000-0000-00002F260000}"/>
    <cellStyle name="Normal 2 2 2 16 5 3" xfId="9787" xr:uid="{00000000-0005-0000-0000-000030260000}"/>
    <cellStyle name="Normal 2 2 2 16 5 4" xfId="9788" xr:uid="{00000000-0005-0000-0000-000031260000}"/>
    <cellStyle name="Normal 2 2 2 16 5 5" xfId="9789" xr:uid="{00000000-0005-0000-0000-000032260000}"/>
    <cellStyle name="Normal 2 2 2 16 5 6" xfId="9790" xr:uid="{00000000-0005-0000-0000-000033260000}"/>
    <cellStyle name="Normal 2 2 2 16 5 7" xfId="9791" xr:uid="{00000000-0005-0000-0000-000034260000}"/>
    <cellStyle name="Normal 2 2 2 16 5 8" xfId="9792" xr:uid="{00000000-0005-0000-0000-000035260000}"/>
    <cellStyle name="Normal 2 2 2 16 5 9" xfId="9793" xr:uid="{00000000-0005-0000-0000-000036260000}"/>
    <cellStyle name="Normal 2 2 2 16 6" xfId="9794" xr:uid="{00000000-0005-0000-0000-000037260000}"/>
    <cellStyle name="Normal 2 2 2 16 7" xfId="9795" xr:uid="{00000000-0005-0000-0000-000038260000}"/>
    <cellStyle name="Normal 2 2 2 16 8" xfId="9796" xr:uid="{00000000-0005-0000-0000-000039260000}"/>
    <cellStyle name="Normal 2 2 2 16 9" xfId="9797" xr:uid="{00000000-0005-0000-0000-00003A260000}"/>
    <cellStyle name="Normal 2 2 2 17" xfId="9798" xr:uid="{00000000-0005-0000-0000-00003B260000}"/>
    <cellStyle name="Normal 2 2 2 17 10" xfId="9799" xr:uid="{00000000-0005-0000-0000-00003C260000}"/>
    <cellStyle name="Normal 2 2 2 17 11" xfId="9800" xr:uid="{00000000-0005-0000-0000-00003D260000}"/>
    <cellStyle name="Normal 2 2 2 17 12" xfId="9801" xr:uid="{00000000-0005-0000-0000-00003E260000}"/>
    <cellStyle name="Normal 2 2 2 17 13" xfId="9802" xr:uid="{00000000-0005-0000-0000-00003F260000}"/>
    <cellStyle name="Normal 2 2 2 17 14" xfId="9803" xr:uid="{00000000-0005-0000-0000-000040260000}"/>
    <cellStyle name="Normal 2 2 2 17 2" xfId="9804" xr:uid="{00000000-0005-0000-0000-000041260000}"/>
    <cellStyle name="Normal 2 2 2 17 2 10" xfId="9805" xr:uid="{00000000-0005-0000-0000-000042260000}"/>
    <cellStyle name="Normal 2 2 2 17 2 2" xfId="9806" xr:uid="{00000000-0005-0000-0000-000043260000}"/>
    <cellStyle name="Normal 2 2 2 17 2 3" xfId="9807" xr:uid="{00000000-0005-0000-0000-000044260000}"/>
    <cellStyle name="Normal 2 2 2 17 2 4" xfId="9808" xr:uid="{00000000-0005-0000-0000-000045260000}"/>
    <cellStyle name="Normal 2 2 2 17 2 5" xfId="9809" xr:uid="{00000000-0005-0000-0000-000046260000}"/>
    <cellStyle name="Normal 2 2 2 17 2 6" xfId="9810" xr:uid="{00000000-0005-0000-0000-000047260000}"/>
    <cellStyle name="Normal 2 2 2 17 2 7" xfId="9811" xr:uid="{00000000-0005-0000-0000-000048260000}"/>
    <cellStyle name="Normal 2 2 2 17 2 8" xfId="9812" xr:uid="{00000000-0005-0000-0000-000049260000}"/>
    <cellStyle name="Normal 2 2 2 17 2 9" xfId="9813" xr:uid="{00000000-0005-0000-0000-00004A260000}"/>
    <cellStyle name="Normal 2 2 2 17 3" xfId="9814" xr:uid="{00000000-0005-0000-0000-00004B260000}"/>
    <cellStyle name="Normal 2 2 2 17 3 10" xfId="9815" xr:uid="{00000000-0005-0000-0000-00004C260000}"/>
    <cellStyle name="Normal 2 2 2 17 3 2" xfId="9816" xr:uid="{00000000-0005-0000-0000-00004D260000}"/>
    <cellStyle name="Normal 2 2 2 17 3 3" xfId="9817" xr:uid="{00000000-0005-0000-0000-00004E260000}"/>
    <cellStyle name="Normal 2 2 2 17 3 4" xfId="9818" xr:uid="{00000000-0005-0000-0000-00004F260000}"/>
    <cellStyle name="Normal 2 2 2 17 3 5" xfId="9819" xr:uid="{00000000-0005-0000-0000-000050260000}"/>
    <cellStyle name="Normal 2 2 2 17 3 6" xfId="9820" xr:uid="{00000000-0005-0000-0000-000051260000}"/>
    <cellStyle name="Normal 2 2 2 17 3 7" xfId="9821" xr:uid="{00000000-0005-0000-0000-000052260000}"/>
    <cellStyle name="Normal 2 2 2 17 3 8" xfId="9822" xr:uid="{00000000-0005-0000-0000-000053260000}"/>
    <cellStyle name="Normal 2 2 2 17 3 9" xfId="9823" xr:uid="{00000000-0005-0000-0000-000054260000}"/>
    <cellStyle name="Normal 2 2 2 17 4" xfId="9824" xr:uid="{00000000-0005-0000-0000-000055260000}"/>
    <cellStyle name="Normal 2 2 2 17 4 10" xfId="9825" xr:uid="{00000000-0005-0000-0000-000056260000}"/>
    <cellStyle name="Normal 2 2 2 17 4 2" xfId="9826" xr:uid="{00000000-0005-0000-0000-000057260000}"/>
    <cellStyle name="Normal 2 2 2 17 4 3" xfId="9827" xr:uid="{00000000-0005-0000-0000-000058260000}"/>
    <cellStyle name="Normal 2 2 2 17 4 4" xfId="9828" xr:uid="{00000000-0005-0000-0000-000059260000}"/>
    <cellStyle name="Normal 2 2 2 17 4 5" xfId="9829" xr:uid="{00000000-0005-0000-0000-00005A260000}"/>
    <cellStyle name="Normal 2 2 2 17 4 6" xfId="9830" xr:uid="{00000000-0005-0000-0000-00005B260000}"/>
    <cellStyle name="Normal 2 2 2 17 4 7" xfId="9831" xr:uid="{00000000-0005-0000-0000-00005C260000}"/>
    <cellStyle name="Normal 2 2 2 17 4 8" xfId="9832" xr:uid="{00000000-0005-0000-0000-00005D260000}"/>
    <cellStyle name="Normal 2 2 2 17 4 9" xfId="9833" xr:uid="{00000000-0005-0000-0000-00005E260000}"/>
    <cellStyle name="Normal 2 2 2 17 5" xfId="9834" xr:uid="{00000000-0005-0000-0000-00005F260000}"/>
    <cellStyle name="Normal 2 2 2 17 5 10" xfId="9835" xr:uid="{00000000-0005-0000-0000-000060260000}"/>
    <cellStyle name="Normal 2 2 2 17 5 2" xfId="9836" xr:uid="{00000000-0005-0000-0000-000061260000}"/>
    <cellStyle name="Normal 2 2 2 17 5 3" xfId="9837" xr:uid="{00000000-0005-0000-0000-000062260000}"/>
    <cellStyle name="Normal 2 2 2 17 5 4" xfId="9838" xr:uid="{00000000-0005-0000-0000-000063260000}"/>
    <cellStyle name="Normal 2 2 2 17 5 5" xfId="9839" xr:uid="{00000000-0005-0000-0000-000064260000}"/>
    <cellStyle name="Normal 2 2 2 17 5 6" xfId="9840" xr:uid="{00000000-0005-0000-0000-000065260000}"/>
    <cellStyle name="Normal 2 2 2 17 5 7" xfId="9841" xr:uid="{00000000-0005-0000-0000-000066260000}"/>
    <cellStyle name="Normal 2 2 2 17 5 8" xfId="9842" xr:uid="{00000000-0005-0000-0000-000067260000}"/>
    <cellStyle name="Normal 2 2 2 17 5 9" xfId="9843" xr:uid="{00000000-0005-0000-0000-000068260000}"/>
    <cellStyle name="Normal 2 2 2 17 6" xfId="9844" xr:uid="{00000000-0005-0000-0000-000069260000}"/>
    <cellStyle name="Normal 2 2 2 17 7" xfId="9845" xr:uid="{00000000-0005-0000-0000-00006A260000}"/>
    <cellStyle name="Normal 2 2 2 17 8" xfId="9846" xr:uid="{00000000-0005-0000-0000-00006B260000}"/>
    <cellStyle name="Normal 2 2 2 17 9" xfId="9847" xr:uid="{00000000-0005-0000-0000-00006C260000}"/>
    <cellStyle name="Normal 2 2 2 18" xfId="9848" xr:uid="{00000000-0005-0000-0000-00006D260000}"/>
    <cellStyle name="Normal 2 2 2 18 10" xfId="9849" xr:uid="{00000000-0005-0000-0000-00006E260000}"/>
    <cellStyle name="Normal 2 2 2 18 11" xfId="9850" xr:uid="{00000000-0005-0000-0000-00006F260000}"/>
    <cellStyle name="Normal 2 2 2 18 12" xfId="9851" xr:uid="{00000000-0005-0000-0000-000070260000}"/>
    <cellStyle name="Normal 2 2 2 18 13" xfId="9852" xr:uid="{00000000-0005-0000-0000-000071260000}"/>
    <cellStyle name="Normal 2 2 2 18 14" xfId="9853" xr:uid="{00000000-0005-0000-0000-000072260000}"/>
    <cellStyle name="Normal 2 2 2 18 2" xfId="9854" xr:uid="{00000000-0005-0000-0000-000073260000}"/>
    <cellStyle name="Normal 2 2 2 18 2 10" xfId="9855" xr:uid="{00000000-0005-0000-0000-000074260000}"/>
    <cellStyle name="Normal 2 2 2 18 2 2" xfId="9856" xr:uid="{00000000-0005-0000-0000-000075260000}"/>
    <cellStyle name="Normal 2 2 2 18 2 3" xfId="9857" xr:uid="{00000000-0005-0000-0000-000076260000}"/>
    <cellStyle name="Normal 2 2 2 18 2 4" xfId="9858" xr:uid="{00000000-0005-0000-0000-000077260000}"/>
    <cellStyle name="Normal 2 2 2 18 2 5" xfId="9859" xr:uid="{00000000-0005-0000-0000-000078260000}"/>
    <cellStyle name="Normal 2 2 2 18 2 6" xfId="9860" xr:uid="{00000000-0005-0000-0000-000079260000}"/>
    <cellStyle name="Normal 2 2 2 18 2 7" xfId="9861" xr:uid="{00000000-0005-0000-0000-00007A260000}"/>
    <cellStyle name="Normal 2 2 2 18 2 8" xfId="9862" xr:uid="{00000000-0005-0000-0000-00007B260000}"/>
    <cellStyle name="Normal 2 2 2 18 2 9" xfId="9863" xr:uid="{00000000-0005-0000-0000-00007C260000}"/>
    <cellStyle name="Normal 2 2 2 18 3" xfId="9864" xr:uid="{00000000-0005-0000-0000-00007D260000}"/>
    <cellStyle name="Normal 2 2 2 18 3 10" xfId="9865" xr:uid="{00000000-0005-0000-0000-00007E260000}"/>
    <cellStyle name="Normal 2 2 2 18 3 2" xfId="9866" xr:uid="{00000000-0005-0000-0000-00007F260000}"/>
    <cellStyle name="Normal 2 2 2 18 3 3" xfId="9867" xr:uid="{00000000-0005-0000-0000-000080260000}"/>
    <cellStyle name="Normal 2 2 2 18 3 4" xfId="9868" xr:uid="{00000000-0005-0000-0000-000081260000}"/>
    <cellStyle name="Normal 2 2 2 18 3 5" xfId="9869" xr:uid="{00000000-0005-0000-0000-000082260000}"/>
    <cellStyle name="Normal 2 2 2 18 3 6" xfId="9870" xr:uid="{00000000-0005-0000-0000-000083260000}"/>
    <cellStyle name="Normal 2 2 2 18 3 7" xfId="9871" xr:uid="{00000000-0005-0000-0000-000084260000}"/>
    <cellStyle name="Normal 2 2 2 18 3 8" xfId="9872" xr:uid="{00000000-0005-0000-0000-000085260000}"/>
    <cellStyle name="Normal 2 2 2 18 3 9" xfId="9873" xr:uid="{00000000-0005-0000-0000-000086260000}"/>
    <cellStyle name="Normal 2 2 2 18 4" xfId="9874" xr:uid="{00000000-0005-0000-0000-000087260000}"/>
    <cellStyle name="Normal 2 2 2 18 4 10" xfId="9875" xr:uid="{00000000-0005-0000-0000-000088260000}"/>
    <cellStyle name="Normal 2 2 2 18 4 2" xfId="9876" xr:uid="{00000000-0005-0000-0000-000089260000}"/>
    <cellStyle name="Normal 2 2 2 18 4 3" xfId="9877" xr:uid="{00000000-0005-0000-0000-00008A260000}"/>
    <cellStyle name="Normal 2 2 2 18 4 4" xfId="9878" xr:uid="{00000000-0005-0000-0000-00008B260000}"/>
    <cellStyle name="Normal 2 2 2 18 4 5" xfId="9879" xr:uid="{00000000-0005-0000-0000-00008C260000}"/>
    <cellStyle name="Normal 2 2 2 18 4 6" xfId="9880" xr:uid="{00000000-0005-0000-0000-00008D260000}"/>
    <cellStyle name="Normal 2 2 2 18 4 7" xfId="9881" xr:uid="{00000000-0005-0000-0000-00008E260000}"/>
    <cellStyle name="Normal 2 2 2 18 4 8" xfId="9882" xr:uid="{00000000-0005-0000-0000-00008F260000}"/>
    <cellStyle name="Normal 2 2 2 18 4 9" xfId="9883" xr:uid="{00000000-0005-0000-0000-000090260000}"/>
    <cellStyle name="Normal 2 2 2 18 5" xfId="9884" xr:uid="{00000000-0005-0000-0000-000091260000}"/>
    <cellStyle name="Normal 2 2 2 18 5 10" xfId="9885" xr:uid="{00000000-0005-0000-0000-000092260000}"/>
    <cellStyle name="Normal 2 2 2 18 5 2" xfId="9886" xr:uid="{00000000-0005-0000-0000-000093260000}"/>
    <cellStyle name="Normal 2 2 2 18 5 3" xfId="9887" xr:uid="{00000000-0005-0000-0000-000094260000}"/>
    <cellStyle name="Normal 2 2 2 18 5 4" xfId="9888" xr:uid="{00000000-0005-0000-0000-000095260000}"/>
    <cellStyle name="Normal 2 2 2 18 5 5" xfId="9889" xr:uid="{00000000-0005-0000-0000-000096260000}"/>
    <cellStyle name="Normal 2 2 2 18 5 6" xfId="9890" xr:uid="{00000000-0005-0000-0000-000097260000}"/>
    <cellStyle name="Normal 2 2 2 18 5 7" xfId="9891" xr:uid="{00000000-0005-0000-0000-000098260000}"/>
    <cellStyle name="Normal 2 2 2 18 5 8" xfId="9892" xr:uid="{00000000-0005-0000-0000-000099260000}"/>
    <cellStyle name="Normal 2 2 2 18 5 9" xfId="9893" xr:uid="{00000000-0005-0000-0000-00009A260000}"/>
    <cellStyle name="Normal 2 2 2 18 6" xfId="9894" xr:uid="{00000000-0005-0000-0000-00009B260000}"/>
    <cellStyle name="Normal 2 2 2 18 7" xfId="9895" xr:uid="{00000000-0005-0000-0000-00009C260000}"/>
    <cellStyle name="Normal 2 2 2 18 8" xfId="9896" xr:uid="{00000000-0005-0000-0000-00009D260000}"/>
    <cellStyle name="Normal 2 2 2 18 9" xfId="9897" xr:uid="{00000000-0005-0000-0000-00009E260000}"/>
    <cellStyle name="Normal 2 2 2 19" xfId="9898" xr:uid="{00000000-0005-0000-0000-00009F260000}"/>
    <cellStyle name="Normal 2 2 2 19 10" xfId="9899" xr:uid="{00000000-0005-0000-0000-0000A0260000}"/>
    <cellStyle name="Normal 2 2 2 19 11" xfId="9900" xr:uid="{00000000-0005-0000-0000-0000A1260000}"/>
    <cellStyle name="Normal 2 2 2 19 12" xfId="9901" xr:uid="{00000000-0005-0000-0000-0000A2260000}"/>
    <cellStyle name="Normal 2 2 2 19 13" xfId="9902" xr:uid="{00000000-0005-0000-0000-0000A3260000}"/>
    <cellStyle name="Normal 2 2 2 19 14" xfId="9903" xr:uid="{00000000-0005-0000-0000-0000A4260000}"/>
    <cellStyle name="Normal 2 2 2 19 2" xfId="9904" xr:uid="{00000000-0005-0000-0000-0000A5260000}"/>
    <cellStyle name="Normal 2 2 2 19 2 10" xfId="9905" xr:uid="{00000000-0005-0000-0000-0000A6260000}"/>
    <cellStyle name="Normal 2 2 2 19 2 2" xfId="9906" xr:uid="{00000000-0005-0000-0000-0000A7260000}"/>
    <cellStyle name="Normal 2 2 2 19 2 3" xfId="9907" xr:uid="{00000000-0005-0000-0000-0000A8260000}"/>
    <cellStyle name="Normal 2 2 2 19 2 4" xfId="9908" xr:uid="{00000000-0005-0000-0000-0000A9260000}"/>
    <cellStyle name="Normal 2 2 2 19 2 5" xfId="9909" xr:uid="{00000000-0005-0000-0000-0000AA260000}"/>
    <cellStyle name="Normal 2 2 2 19 2 6" xfId="9910" xr:uid="{00000000-0005-0000-0000-0000AB260000}"/>
    <cellStyle name="Normal 2 2 2 19 2 7" xfId="9911" xr:uid="{00000000-0005-0000-0000-0000AC260000}"/>
    <cellStyle name="Normal 2 2 2 19 2 8" xfId="9912" xr:uid="{00000000-0005-0000-0000-0000AD260000}"/>
    <cellStyle name="Normal 2 2 2 19 2 9" xfId="9913" xr:uid="{00000000-0005-0000-0000-0000AE260000}"/>
    <cellStyle name="Normal 2 2 2 19 3" xfId="9914" xr:uid="{00000000-0005-0000-0000-0000AF260000}"/>
    <cellStyle name="Normal 2 2 2 19 3 10" xfId="9915" xr:uid="{00000000-0005-0000-0000-0000B0260000}"/>
    <cellStyle name="Normal 2 2 2 19 3 2" xfId="9916" xr:uid="{00000000-0005-0000-0000-0000B1260000}"/>
    <cellStyle name="Normal 2 2 2 19 3 3" xfId="9917" xr:uid="{00000000-0005-0000-0000-0000B2260000}"/>
    <cellStyle name="Normal 2 2 2 19 3 4" xfId="9918" xr:uid="{00000000-0005-0000-0000-0000B3260000}"/>
    <cellStyle name="Normal 2 2 2 19 3 5" xfId="9919" xr:uid="{00000000-0005-0000-0000-0000B4260000}"/>
    <cellStyle name="Normal 2 2 2 19 3 6" xfId="9920" xr:uid="{00000000-0005-0000-0000-0000B5260000}"/>
    <cellStyle name="Normal 2 2 2 19 3 7" xfId="9921" xr:uid="{00000000-0005-0000-0000-0000B6260000}"/>
    <cellStyle name="Normal 2 2 2 19 3 8" xfId="9922" xr:uid="{00000000-0005-0000-0000-0000B7260000}"/>
    <cellStyle name="Normal 2 2 2 19 3 9" xfId="9923" xr:uid="{00000000-0005-0000-0000-0000B8260000}"/>
    <cellStyle name="Normal 2 2 2 19 4" xfId="9924" xr:uid="{00000000-0005-0000-0000-0000B9260000}"/>
    <cellStyle name="Normal 2 2 2 19 4 10" xfId="9925" xr:uid="{00000000-0005-0000-0000-0000BA260000}"/>
    <cellStyle name="Normal 2 2 2 19 4 2" xfId="9926" xr:uid="{00000000-0005-0000-0000-0000BB260000}"/>
    <cellStyle name="Normal 2 2 2 19 4 3" xfId="9927" xr:uid="{00000000-0005-0000-0000-0000BC260000}"/>
    <cellStyle name="Normal 2 2 2 19 4 4" xfId="9928" xr:uid="{00000000-0005-0000-0000-0000BD260000}"/>
    <cellStyle name="Normal 2 2 2 19 4 5" xfId="9929" xr:uid="{00000000-0005-0000-0000-0000BE260000}"/>
    <cellStyle name="Normal 2 2 2 19 4 6" xfId="9930" xr:uid="{00000000-0005-0000-0000-0000BF260000}"/>
    <cellStyle name="Normal 2 2 2 19 4 7" xfId="9931" xr:uid="{00000000-0005-0000-0000-0000C0260000}"/>
    <cellStyle name="Normal 2 2 2 19 4 8" xfId="9932" xr:uid="{00000000-0005-0000-0000-0000C1260000}"/>
    <cellStyle name="Normal 2 2 2 19 4 9" xfId="9933" xr:uid="{00000000-0005-0000-0000-0000C2260000}"/>
    <cellStyle name="Normal 2 2 2 19 5" xfId="9934" xr:uid="{00000000-0005-0000-0000-0000C3260000}"/>
    <cellStyle name="Normal 2 2 2 19 5 10" xfId="9935" xr:uid="{00000000-0005-0000-0000-0000C4260000}"/>
    <cellStyle name="Normal 2 2 2 19 5 2" xfId="9936" xr:uid="{00000000-0005-0000-0000-0000C5260000}"/>
    <cellStyle name="Normal 2 2 2 19 5 3" xfId="9937" xr:uid="{00000000-0005-0000-0000-0000C6260000}"/>
    <cellStyle name="Normal 2 2 2 19 5 4" xfId="9938" xr:uid="{00000000-0005-0000-0000-0000C7260000}"/>
    <cellStyle name="Normal 2 2 2 19 5 5" xfId="9939" xr:uid="{00000000-0005-0000-0000-0000C8260000}"/>
    <cellStyle name="Normal 2 2 2 19 5 6" xfId="9940" xr:uid="{00000000-0005-0000-0000-0000C9260000}"/>
    <cellStyle name="Normal 2 2 2 19 5 7" xfId="9941" xr:uid="{00000000-0005-0000-0000-0000CA260000}"/>
    <cellStyle name="Normal 2 2 2 19 5 8" xfId="9942" xr:uid="{00000000-0005-0000-0000-0000CB260000}"/>
    <cellStyle name="Normal 2 2 2 19 5 9" xfId="9943" xr:uid="{00000000-0005-0000-0000-0000CC260000}"/>
    <cellStyle name="Normal 2 2 2 19 6" xfId="9944" xr:uid="{00000000-0005-0000-0000-0000CD260000}"/>
    <cellStyle name="Normal 2 2 2 19 7" xfId="9945" xr:uid="{00000000-0005-0000-0000-0000CE260000}"/>
    <cellStyle name="Normal 2 2 2 19 8" xfId="9946" xr:uid="{00000000-0005-0000-0000-0000CF260000}"/>
    <cellStyle name="Normal 2 2 2 19 9" xfId="9947" xr:uid="{00000000-0005-0000-0000-0000D0260000}"/>
    <cellStyle name="Normal 2 2 2 2" xfId="14" xr:uid="{00000000-0005-0000-0000-0000D1260000}"/>
    <cellStyle name="Normal 2 2 2 2 10" xfId="9948" xr:uid="{00000000-0005-0000-0000-0000D2260000}"/>
    <cellStyle name="Normal 2 2 2 2 11" xfId="9949" xr:uid="{00000000-0005-0000-0000-0000D3260000}"/>
    <cellStyle name="Normal 2 2 2 2 12" xfId="9950" xr:uid="{00000000-0005-0000-0000-0000D4260000}"/>
    <cellStyle name="Normal 2 2 2 2 13" xfId="9951" xr:uid="{00000000-0005-0000-0000-0000D5260000}"/>
    <cellStyle name="Normal 2 2 2 2 14" xfId="9952" xr:uid="{00000000-0005-0000-0000-0000D6260000}"/>
    <cellStyle name="Normal 2 2 2 2 15" xfId="9953" xr:uid="{00000000-0005-0000-0000-0000D7260000}"/>
    <cellStyle name="Normal 2 2 2 2 16" xfId="9954" xr:uid="{00000000-0005-0000-0000-0000D8260000}"/>
    <cellStyle name="Normal 2 2 2 2 17" xfId="9955" xr:uid="{00000000-0005-0000-0000-0000D9260000}"/>
    <cellStyle name="Normal 2 2 2 2 18" xfId="9956" xr:uid="{00000000-0005-0000-0000-0000DA260000}"/>
    <cellStyle name="Normal 2 2 2 2 19" xfId="9957" xr:uid="{00000000-0005-0000-0000-0000DB260000}"/>
    <cellStyle name="Normal 2 2 2 2 2" xfId="15" xr:uid="{00000000-0005-0000-0000-0000DC260000}"/>
    <cellStyle name="Normal 2 2 2 2 2 10" xfId="9958" xr:uid="{00000000-0005-0000-0000-0000DD260000}"/>
    <cellStyle name="Normal 2 2 2 2 2 10 10" xfId="9959" xr:uid="{00000000-0005-0000-0000-0000DE260000}"/>
    <cellStyle name="Normal 2 2 2 2 2 10 11" xfId="9960" xr:uid="{00000000-0005-0000-0000-0000DF260000}"/>
    <cellStyle name="Normal 2 2 2 2 2 10 12" xfId="9961" xr:uid="{00000000-0005-0000-0000-0000E0260000}"/>
    <cellStyle name="Normal 2 2 2 2 2 10 13" xfId="9962" xr:uid="{00000000-0005-0000-0000-0000E1260000}"/>
    <cellStyle name="Normal 2 2 2 2 2 10 14" xfId="9963" xr:uid="{00000000-0005-0000-0000-0000E2260000}"/>
    <cellStyle name="Normal 2 2 2 2 2 10 2" xfId="9964" xr:uid="{00000000-0005-0000-0000-0000E3260000}"/>
    <cellStyle name="Normal 2 2 2 2 2 10 2 10" xfId="9965" xr:uid="{00000000-0005-0000-0000-0000E4260000}"/>
    <cellStyle name="Normal 2 2 2 2 2 10 2 2" xfId="9966" xr:uid="{00000000-0005-0000-0000-0000E5260000}"/>
    <cellStyle name="Normal 2 2 2 2 2 10 2 3" xfId="9967" xr:uid="{00000000-0005-0000-0000-0000E6260000}"/>
    <cellStyle name="Normal 2 2 2 2 2 10 2 4" xfId="9968" xr:uid="{00000000-0005-0000-0000-0000E7260000}"/>
    <cellStyle name="Normal 2 2 2 2 2 10 2 5" xfId="9969" xr:uid="{00000000-0005-0000-0000-0000E8260000}"/>
    <cellStyle name="Normal 2 2 2 2 2 10 2 6" xfId="9970" xr:uid="{00000000-0005-0000-0000-0000E9260000}"/>
    <cellStyle name="Normal 2 2 2 2 2 10 2 7" xfId="9971" xr:uid="{00000000-0005-0000-0000-0000EA260000}"/>
    <cellStyle name="Normal 2 2 2 2 2 10 2 8" xfId="9972" xr:uid="{00000000-0005-0000-0000-0000EB260000}"/>
    <cellStyle name="Normal 2 2 2 2 2 10 2 9" xfId="9973" xr:uid="{00000000-0005-0000-0000-0000EC260000}"/>
    <cellStyle name="Normal 2 2 2 2 2 10 3" xfId="9974" xr:uid="{00000000-0005-0000-0000-0000ED260000}"/>
    <cellStyle name="Normal 2 2 2 2 2 10 3 10" xfId="9975" xr:uid="{00000000-0005-0000-0000-0000EE260000}"/>
    <cellStyle name="Normal 2 2 2 2 2 10 3 2" xfId="9976" xr:uid="{00000000-0005-0000-0000-0000EF260000}"/>
    <cellStyle name="Normal 2 2 2 2 2 10 3 3" xfId="9977" xr:uid="{00000000-0005-0000-0000-0000F0260000}"/>
    <cellStyle name="Normal 2 2 2 2 2 10 3 4" xfId="9978" xr:uid="{00000000-0005-0000-0000-0000F1260000}"/>
    <cellStyle name="Normal 2 2 2 2 2 10 3 5" xfId="9979" xr:uid="{00000000-0005-0000-0000-0000F2260000}"/>
    <cellStyle name="Normal 2 2 2 2 2 10 3 6" xfId="9980" xr:uid="{00000000-0005-0000-0000-0000F3260000}"/>
    <cellStyle name="Normal 2 2 2 2 2 10 3 7" xfId="9981" xr:uid="{00000000-0005-0000-0000-0000F4260000}"/>
    <cellStyle name="Normal 2 2 2 2 2 10 3 8" xfId="9982" xr:uid="{00000000-0005-0000-0000-0000F5260000}"/>
    <cellStyle name="Normal 2 2 2 2 2 10 3 9" xfId="9983" xr:uid="{00000000-0005-0000-0000-0000F6260000}"/>
    <cellStyle name="Normal 2 2 2 2 2 10 4" xfId="9984" xr:uid="{00000000-0005-0000-0000-0000F7260000}"/>
    <cellStyle name="Normal 2 2 2 2 2 10 4 10" xfId="9985" xr:uid="{00000000-0005-0000-0000-0000F8260000}"/>
    <cellStyle name="Normal 2 2 2 2 2 10 4 2" xfId="9986" xr:uid="{00000000-0005-0000-0000-0000F9260000}"/>
    <cellStyle name="Normal 2 2 2 2 2 10 4 3" xfId="9987" xr:uid="{00000000-0005-0000-0000-0000FA260000}"/>
    <cellStyle name="Normal 2 2 2 2 2 10 4 4" xfId="9988" xr:uid="{00000000-0005-0000-0000-0000FB260000}"/>
    <cellStyle name="Normal 2 2 2 2 2 10 4 5" xfId="9989" xr:uid="{00000000-0005-0000-0000-0000FC260000}"/>
    <cellStyle name="Normal 2 2 2 2 2 10 4 6" xfId="9990" xr:uid="{00000000-0005-0000-0000-0000FD260000}"/>
    <cellStyle name="Normal 2 2 2 2 2 10 4 7" xfId="9991" xr:uid="{00000000-0005-0000-0000-0000FE260000}"/>
    <cellStyle name="Normal 2 2 2 2 2 10 4 8" xfId="9992" xr:uid="{00000000-0005-0000-0000-0000FF260000}"/>
    <cellStyle name="Normal 2 2 2 2 2 10 4 9" xfId="9993" xr:uid="{00000000-0005-0000-0000-000000270000}"/>
    <cellStyle name="Normal 2 2 2 2 2 10 5" xfId="9994" xr:uid="{00000000-0005-0000-0000-000001270000}"/>
    <cellStyle name="Normal 2 2 2 2 2 10 5 10" xfId="9995" xr:uid="{00000000-0005-0000-0000-000002270000}"/>
    <cellStyle name="Normal 2 2 2 2 2 10 5 2" xfId="9996" xr:uid="{00000000-0005-0000-0000-000003270000}"/>
    <cellStyle name="Normal 2 2 2 2 2 10 5 3" xfId="9997" xr:uid="{00000000-0005-0000-0000-000004270000}"/>
    <cellStyle name="Normal 2 2 2 2 2 10 5 4" xfId="9998" xr:uid="{00000000-0005-0000-0000-000005270000}"/>
    <cellStyle name="Normal 2 2 2 2 2 10 5 5" xfId="9999" xr:uid="{00000000-0005-0000-0000-000006270000}"/>
    <cellStyle name="Normal 2 2 2 2 2 10 5 6" xfId="10000" xr:uid="{00000000-0005-0000-0000-000007270000}"/>
    <cellStyle name="Normal 2 2 2 2 2 10 5 7" xfId="10001" xr:uid="{00000000-0005-0000-0000-000008270000}"/>
    <cellStyle name="Normal 2 2 2 2 2 10 5 8" xfId="10002" xr:uid="{00000000-0005-0000-0000-000009270000}"/>
    <cellStyle name="Normal 2 2 2 2 2 10 5 9" xfId="10003" xr:uid="{00000000-0005-0000-0000-00000A270000}"/>
    <cellStyle name="Normal 2 2 2 2 2 10 6" xfId="10004" xr:uid="{00000000-0005-0000-0000-00000B270000}"/>
    <cellStyle name="Normal 2 2 2 2 2 10 7" xfId="10005" xr:uid="{00000000-0005-0000-0000-00000C270000}"/>
    <cellStyle name="Normal 2 2 2 2 2 10 8" xfId="10006" xr:uid="{00000000-0005-0000-0000-00000D270000}"/>
    <cellStyle name="Normal 2 2 2 2 2 10 9" xfId="10007" xr:uid="{00000000-0005-0000-0000-00000E270000}"/>
    <cellStyle name="Normal 2 2 2 2 2 11" xfId="10008" xr:uid="{00000000-0005-0000-0000-00000F270000}"/>
    <cellStyle name="Normal 2 2 2 2 2 11 10" xfId="10009" xr:uid="{00000000-0005-0000-0000-000010270000}"/>
    <cellStyle name="Normal 2 2 2 2 2 11 11" xfId="10010" xr:uid="{00000000-0005-0000-0000-000011270000}"/>
    <cellStyle name="Normal 2 2 2 2 2 11 12" xfId="10011" xr:uid="{00000000-0005-0000-0000-000012270000}"/>
    <cellStyle name="Normal 2 2 2 2 2 11 13" xfId="10012" xr:uid="{00000000-0005-0000-0000-000013270000}"/>
    <cellStyle name="Normal 2 2 2 2 2 11 14" xfId="10013" xr:uid="{00000000-0005-0000-0000-000014270000}"/>
    <cellStyle name="Normal 2 2 2 2 2 11 2" xfId="10014" xr:uid="{00000000-0005-0000-0000-000015270000}"/>
    <cellStyle name="Normal 2 2 2 2 2 11 2 10" xfId="10015" xr:uid="{00000000-0005-0000-0000-000016270000}"/>
    <cellStyle name="Normal 2 2 2 2 2 11 2 2" xfId="10016" xr:uid="{00000000-0005-0000-0000-000017270000}"/>
    <cellStyle name="Normal 2 2 2 2 2 11 2 3" xfId="10017" xr:uid="{00000000-0005-0000-0000-000018270000}"/>
    <cellStyle name="Normal 2 2 2 2 2 11 2 4" xfId="10018" xr:uid="{00000000-0005-0000-0000-000019270000}"/>
    <cellStyle name="Normal 2 2 2 2 2 11 2 5" xfId="10019" xr:uid="{00000000-0005-0000-0000-00001A270000}"/>
    <cellStyle name="Normal 2 2 2 2 2 11 2 6" xfId="10020" xr:uid="{00000000-0005-0000-0000-00001B270000}"/>
    <cellStyle name="Normal 2 2 2 2 2 11 2 7" xfId="10021" xr:uid="{00000000-0005-0000-0000-00001C270000}"/>
    <cellStyle name="Normal 2 2 2 2 2 11 2 8" xfId="10022" xr:uid="{00000000-0005-0000-0000-00001D270000}"/>
    <cellStyle name="Normal 2 2 2 2 2 11 2 9" xfId="10023" xr:uid="{00000000-0005-0000-0000-00001E270000}"/>
    <cellStyle name="Normal 2 2 2 2 2 11 3" xfId="10024" xr:uid="{00000000-0005-0000-0000-00001F270000}"/>
    <cellStyle name="Normal 2 2 2 2 2 11 3 10" xfId="10025" xr:uid="{00000000-0005-0000-0000-000020270000}"/>
    <cellStyle name="Normal 2 2 2 2 2 11 3 2" xfId="10026" xr:uid="{00000000-0005-0000-0000-000021270000}"/>
    <cellStyle name="Normal 2 2 2 2 2 11 3 3" xfId="10027" xr:uid="{00000000-0005-0000-0000-000022270000}"/>
    <cellStyle name="Normal 2 2 2 2 2 11 3 4" xfId="10028" xr:uid="{00000000-0005-0000-0000-000023270000}"/>
    <cellStyle name="Normal 2 2 2 2 2 11 3 5" xfId="10029" xr:uid="{00000000-0005-0000-0000-000024270000}"/>
    <cellStyle name="Normal 2 2 2 2 2 11 3 6" xfId="10030" xr:uid="{00000000-0005-0000-0000-000025270000}"/>
    <cellStyle name="Normal 2 2 2 2 2 11 3 7" xfId="10031" xr:uid="{00000000-0005-0000-0000-000026270000}"/>
    <cellStyle name="Normal 2 2 2 2 2 11 3 8" xfId="10032" xr:uid="{00000000-0005-0000-0000-000027270000}"/>
    <cellStyle name="Normal 2 2 2 2 2 11 3 9" xfId="10033" xr:uid="{00000000-0005-0000-0000-000028270000}"/>
    <cellStyle name="Normal 2 2 2 2 2 11 4" xfId="10034" xr:uid="{00000000-0005-0000-0000-000029270000}"/>
    <cellStyle name="Normal 2 2 2 2 2 11 4 10" xfId="10035" xr:uid="{00000000-0005-0000-0000-00002A270000}"/>
    <cellStyle name="Normal 2 2 2 2 2 11 4 2" xfId="10036" xr:uid="{00000000-0005-0000-0000-00002B270000}"/>
    <cellStyle name="Normal 2 2 2 2 2 11 4 3" xfId="10037" xr:uid="{00000000-0005-0000-0000-00002C270000}"/>
    <cellStyle name="Normal 2 2 2 2 2 11 4 4" xfId="10038" xr:uid="{00000000-0005-0000-0000-00002D270000}"/>
    <cellStyle name="Normal 2 2 2 2 2 11 4 5" xfId="10039" xr:uid="{00000000-0005-0000-0000-00002E270000}"/>
    <cellStyle name="Normal 2 2 2 2 2 11 4 6" xfId="10040" xr:uid="{00000000-0005-0000-0000-00002F270000}"/>
    <cellStyle name="Normal 2 2 2 2 2 11 4 7" xfId="10041" xr:uid="{00000000-0005-0000-0000-000030270000}"/>
    <cellStyle name="Normal 2 2 2 2 2 11 4 8" xfId="10042" xr:uid="{00000000-0005-0000-0000-000031270000}"/>
    <cellStyle name="Normal 2 2 2 2 2 11 4 9" xfId="10043" xr:uid="{00000000-0005-0000-0000-000032270000}"/>
    <cellStyle name="Normal 2 2 2 2 2 11 5" xfId="10044" xr:uid="{00000000-0005-0000-0000-000033270000}"/>
    <cellStyle name="Normal 2 2 2 2 2 11 5 10" xfId="10045" xr:uid="{00000000-0005-0000-0000-000034270000}"/>
    <cellStyle name="Normal 2 2 2 2 2 11 5 2" xfId="10046" xr:uid="{00000000-0005-0000-0000-000035270000}"/>
    <cellStyle name="Normal 2 2 2 2 2 11 5 3" xfId="10047" xr:uid="{00000000-0005-0000-0000-000036270000}"/>
    <cellStyle name="Normal 2 2 2 2 2 11 5 4" xfId="10048" xr:uid="{00000000-0005-0000-0000-000037270000}"/>
    <cellStyle name="Normal 2 2 2 2 2 11 5 5" xfId="10049" xr:uid="{00000000-0005-0000-0000-000038270000}"/>
    <cellStyle name="Normal 2 2 2 2 2 11 5 6" xfId="10050" xr:uid="{00000000-0005-0000-0000-000039270000}"/>
    <cellStyle name="Normal 2 2 2 2 2 11 5 7" xfId="10051" xr:uid="{00000000-0005-0000-0000-00003A270000}"/>
    <cellStyle name="Normal 2 2 2 2 2 11 5 8" xfId="10052" xr:uid="{00000000-0005-0000-0000-00003B270000}"/>
    <cellStyle name="Normal 2 2 2 2 2 11 5 9" xfId="10053" xr:uid="{00000000-0005-0000-0000-00003C270000}"/>
    <cellStyle name="Normal 2 2 2 2 2 11 6" xfId="10054" xr:uid="{00000000-0005-0000-0000-00003D270000}"/>
    <cellStyle name="Normal 2 2 2 2 2 11 7" xfId="10055" xr:uid="{00000000-0005-0000-0000-00003E270000}"/>
    <cellStyle name="Normal 2 2 2 2 2 11 8" xfId="10056" xr:uid="{00000000-0005-0000-0000-00003F270000}"/>
    <cellStyle name="Normal 2 2 2 2 2 11 9" xfId="10057" xr:uid="{00000000-0005-0000-0000-000040270000}"/>
    <cellStyle name="Normal 2 2 2 2 2 12" xfId="10058" xr:uid="{00000000-0005-0000-0000-000041270000}"/>
    <cellStyle name="Normal 2 2 2 2 2 12 10" xfId="10059" xr:uid="{00000000-0005-0000-0000-000042270000}"/>
    <cellStyle name="Normal 2 2 2 2 2 12 11" xfId="10060" xr:uid="{00000000-0005-0000-0000-000043270000}"/>
    <cellStyle name="Normal 2 2 2 2 2 12 12" xfId="10061" xr:uid="{00000000-0005-0000-0000-000044270000}"/>
    <cellStyle name="Normal 2 2 2 2 2 12 13" xfId="10062" xr:uid="{00000000-0005-0000-0000-000045270000}"/>
    <cellStyle name="Normal 2 2 2 2 2 12 14" xfId="10063" xr:uid="{00000000-0005-0000-0000-000046270000}"/>
    <cellStyle name="Normal 2 2 2 2 2 12 2" xfId="10064" xr:uid="{00000000-0005-0000-0000-000047270000}"/>
    <cellStyle name="Normal 2 2 2 2 2 12 2 10" xfId="10065" xr:uid="{00000000-0005-0000-0000-000048270000}"/>
    <cellStyle name="Normal 2 2 2 2 2 12 2 2" xfId="10066" xr:uid="{00000000-0005-0000-0000-000049270000}"/>
    <cellStyle name="Normal 2 2 2 2 2 12 2 3" xfId="10067" xr:uid="{00000000-0005-0000-0000-00004A270000}"/>
    <cellStyle name="Normal 2 2 2 2 2 12 2 4" xfId="10068" xr:uid="{00000000-0005-0000-0000-00004B270000}"/>
    <cellStyle name="Normal 2 2 2 2 2 12 2 5" xfId="10069" xr:uid="{00000000-0005-0000-0000-00004C270000}"/>
    <cellStyle name="Normal 2 2 2 2 2 12 2 6" xfId="10070" xr:uid="{00000000-0005-0000-0000-00004D270000}"/>
    <cellStyle name="Normal 2 2 2 2 2 12 2 7" xfId="10071" xr:uid="{00000000-0005-0000-0000-00004E270000}"/>
    <cellStyle name="Normal 2 2 2 2 2 12 2 8" xfId="10072" xr:uid="{00000000-0005-0000-0000-00004F270000}"/>
    <cellStyle name="Normal 2 2 2 2 2 12 2 9" xfId="10073" xr:uid="{00000000-0005-0000-0000-000050270000}"/>
    <cellStyle name="Normal 2 2 2 2 2 12 3" xfId="10074" xr:uid="{00000000-0005-0000-0000-000051270000}"/>
    <cellStyle name="Normal 2 2 2 2 2 12 3 10" xfId="10075" xr:uid="{00000000-0005-0000-0000-000052270000}"/>
    <cellStyle name="Normal 2 2 2 2 2 12 3 2" xfId="10076" xr:uid="{00000000-0005-0000-0000-000053270000}"/>
    <cellStyle name="Normal 2 2 2 2 2 12 3 3" xfId="10077" xr:uid="{00000000-0005-0000-0000-000054270000}"/>
    <cellStyle name="Normal 2 2 2 2 2 12 3 4" xfId="10078" xr:uid="{00000000-0005-0000-0000-000055270000}"/>
    <cellStyle name="Normal 2 2 2 2 2 12 3 5" xfId="10079" xr:uid="{00000000-0005-0000-0000-000056270000}"/>
    <cellStyle name="Normal 2 2 2 2 2 12 3 6" xfId="10080" xr:uid="{00000000-0005-0000-0000-000057270000}"/>
    <cellStyle name="Normal 2 2 2 2 2 12 3 7" xfId="10081" xr:uid="{00000000-0005-0000-0000-000058270000}"/>
    <cellStyle name="Normal 2 2 2 2 2 12 3 8" xfId="10082" xr:uid="{00000000-0005-0000-0000-000059270000}"/>
    <cellStyle name="Normal 2 2 2 2 2 12 3 9" xfId="10083" xr:uid="{00000000-0005-0000-0000-00005A270000}"/>
    <cellStyle name="Normal 2 2 2 2 2 12 4" xfId="10084" xr:uid="{00000000-0005-0000-0000-00005B270000}"/>
    <cellStyle name="Normal 2 2 2 2 2 12 4 10" xfId="10085" xr:uid="{00000000-0005-0000-0000-00005C270000}"/>
    <cellStyle name="Normal 2 2 2 2 2 12 4 2" xfId="10086" xr:uid="{00000000-0005-0000-0000-00005D270000}"/>
    <cellStyle name="Normal 2 2 2 2 2 12 4 3" xfId="10087" xr:uid="{00000000-0005-0000-0000-00005E270000}"/>
    <cellStyle name="Normal 2 2 2 2 2 12 4 4" xfId="10088" xr:uid="{00000000-0005-0000-0000-00005F270000}"/>
    <cellStyle name="Normal 2 2 2 2 2 12 4 5" xfId="10089" xr:uid="{00000000-0005-0000-0000-000060270000}"/>
    <cellStyle name="Normal 2 2 2 2 2 12 4 6" xfId="10090" xr:uid="{00000000-0005-0000-0000-000061270000}"/>
    <cellStyle name="Normal 2 2 2 2 2 12 4 7" xfId="10091" xr:uid="{00000000-0005-0000-0000-000062270000}"/>
    <cellStyle name="Normal 2 2 2 2 2 12 4 8" xfId="10092" xr:uid="{00000000-0005-0000-0000-000063270000}"/>
    <cellStyle name="Normal 2 2 2 2 2 12 4 9" xfId="10093" xr:uid="{00000000-0005-0000-0000-000064270000}"/>
    <cellStyle name="Normal 2 2 2 2 2 12 5" xfId="10094" xr:uid="{00000000-0005-0000-0000-000065270000}"/>
    <cellStyle name="Normal 2 2 2 2 2 12 5 10" xfId="10095" xr:uid="{00000000-0005-0000-0000-000066270000}"/>
    <cellStyle name="Normal 2 2 2 2 2 12 5 2" xfId="10096" xr:uid="{00000000-0005-0000-0000-000067270000}"/>
    <cellStyle name="Normal 2 2 2 2 2 12 5 3" xfId="10097" xr:uid="{00000000-0005-0000-0000-000068270000}"/>
    <cellStyle name="Normal 2 2 2 2 2 12 5 4" xfId="10098" xr:uid="{00000000-0005-0000-0000-000069270000}"/>
    <cellStyle name="Normal 2 2 2 2 2 12 5 5" xfId="10099" xr:uid="{00000000-0005-0000-0000-00006A270000}"/>
    <cellStyle name="Normal 2 2 2 2 2 12 5 6" xfId="10100" xr:uid="{00000000-0005-0000-0000-00006B270000}"/>
    <cellStyle name="Normal 2 2 2 2 2 12 5 7" xfId="10101" xr:uid="{00000000-0005-0000-0000-00006C270000}"/>
    <cellStyle name="Normal 2 2 2 2 2 12 5 8" xfId="10102" xr:uid="{00000000-0005-0000-0000-00006D270000}"/>
    <cellStyle name="Normal 2 2 2 2 2 12 5 9" xfId="10103" xr:uid="{00000000-0005-0000-0000-00006E270000}"/>
    <cellStyle name="Normal 2 2 2 2 2 12 6" xfId="10104" xr:uid="{00000000-0005-0000-0000-00006F270000}"/>
    <cellStyle name="Normal 2 2 2 2 2 12 7" xfId="10105" xr:uid="{00000000-0005-0000-0000-000070270000}"/>
    <cellStyle name="Normal 2 2 2 2 2 12 8" xfId="10106" xr:uid="{00000000-0005-0000-0000-000071270000}"/>
    <cellStyle name="Normal 2 2 2 2 2 12 9" xfId="10107" xr:uid="{00000000-0005-0000-0000-000072270000}"/>
    <cellStyle name="Normal 2 2 2 2 2 13" xfId="10108" xr:uid="{00000000-0005-0000-0000-000073270000}"/>
    <cellStyle name="Normal 2 2 2 2 2 13 10" xfId="10109" xr:uid="{00000000-0005-0000-0000-000074270000}"/>
    <cellStyle name="Normal 2 2 2 2 2 13 11" xfId="10110" xr:uid="{00000000-0005-0000-0000-000075270000}"/>
    <cellStyle name="Normal 2 2 2 2 2 13 12" xfId="10111" xr:uid="{00000000-0005-0000-0000-000076270000}"/>
    <cellStyle name="Normal 2 2 2 2 2 13 13" xfId="10112" xr:uid="{00000000-0005-0000-0000-000077270000}"/>
    <cellStyle name="Normal 2 2 2 2 2 13 14" xfId="10113" xr:uid="{00000000-0005-0000-0000-000078270000}"/>
    <cellStyle name="Normal 2 2 2 2 2 13 2" xfId="10114" xr:uid="{00000000-0005-0000-0000-000079270000}"/>
    <cellStyle name="Normal 2 2 2 2 2 13 2 10" xfId="10115" xr:uid="{00000000-0005-0000-0000-00007A270000}"/>
    <cellStyle name="Normal 2 2 2 2 2 13 2 2" xfId="10116" xr:uid="{00000000-0005-0000-0000-00007B270000}"/>
    <cellStyle name="Normal 2 2 2 2 2 13 2 3" xfId="10117" xr:uid="{00000000-0005-0000-0000-00007C270000}"/>
    <cellStyle name="Normal 2 2 2 2 2 13 2 4" xfId="10118" xr:uid="{00000000-0005-0000-0000-00007D270000}"/>
    <cellStyle name="Normal 2 2 2 2 2 13 2 5" xfId="10119" xr:uid="{00000000-0005-0000-0000-00007E270000}"/>
    <cellStyle name="Normal 2 2 2 2 2 13 2 6" xfId="10120" xr:uid="{00000000-0005-0000-0000-00007F270000}"/>
    <cellStyle name="Normal 2 2 2 2 2 13 2 7" xfId="10121" xr:uid="{00000000-0005-0000-0000-000080270000}"/>
    <cellStyle name="Normal 2 2 2 2 2 13 2 8" xfId="10122" xr:uid="{00000000-0005-0000-0000-000081270000}"/>
    <cellStyle name="Normal 2 2 2 2 2 13 2 9" xfId="10123" xr:uid="{00000000-0005-0000-0000-000082270000}"/>
    <cellStyle name="Normal 2 2 2 2 2 13 3" xfId="10124" xr:uid="{00000000-0005-0000-0000-000083270000}"/>
    <cellStyle name="Normal 2 2 2 2 2 13 3 10" xfId="10125" xr:uid="{00000000-0005-0000-0000-000084270000}"/>
    <cellStyle name="Normal 2 2 2 2 2 13 3 2" xfId="10126" xr:uid="{00000000-0005-0000-0000-000085270000}"/>
    <cellStyle name="Normal 2 2 2 2 2 13 3 3" xfId="10127" xr:uid="{00000000-0005-0000-0000-000086270000}"/>
    <cellStyle name="Normal 2 2 2 2 2 13 3 4" xfId="10128" xr:uid="{00000000-0005-0000-0000-000087270000}"/>
    <cellStyle name="Normal 2 2 2 2 2 13 3 5" xfId="10129" xr:uid="{00000000-0005-0000-0000-000088270000}"/>
    <cellStyle name="Normal 2 2 2 2 2 13 3 6" xfId="10130" xr:uid="{00000000-0005-0000-0000-000089270000}"/>
    <cellStyle name="Normal 2 2 2 2 2 13 3 7" xfId="10131" xr:uid="{00000000-0005-0000-0000-00008A270000}"/>
    <cellStyle name="Normal 2 2 2 2 2 13 3 8" xfId="10132" xr:uid="{00000000-0005-0000-0000-00008B270000}"/>
    <cellStyle name="Normal 2 2 2 2 2 13 3 9" xfId="10133" xr:uid="{00000000-0005-0000-0000-00008C270000}"/>
    <cellStyle name="Normal 2 2 2 2 2 13 4" xfId="10134" xr:uid="{00000000-0005-0000-0000-00008D270000}"/>
    <cellStyle name="Normal 2 2 2 2 2 13 4 10" xfId="10135" xr:uid="{00000000-0005-0000-0000-00008E270000}"/>
    <cellStyle name="Normal 2 2 2 2 2 13 4 2" xfId="10136" xr:uid="{00000000-0005-0000-0000-00008F270000}"/>
    <cellStyle name="Normal 2 2 2 2 2 13 4 3" xfId="10137" xr:uid="{00000000-0005-0000-0000-000090270000}"/>
    <cellStyle name="Normal 2 2 2 2 2 13 4 4" xfId="10138" xr:uid="{00000000-0005-0000-0000-000091270000}"/>
    <cellStyle name="Normal 2 2 2 2 2 13 4 5" xfId="10139" xr:uid="{00000000-0005-0000-0000-000092270000}"/>
    <cellStyle name="Normal 2 2 2 2 2 13 4 6" xfId="10140" xr:uid="{00000000-0005-0000-0000-000093270000}"/>
    <cellStyle name="Normal 2 2 2 2 2 13 4 7" xfId="10141" xr:uid="{00000000-0005-0000-0000-000094270000}"/>
    <cellStyle name="Normal 2 2 2 2 2 13 4 8" xfId="10142" xr:uid="{00000000-0005-0000-0000-000095270000}"/>
    <cellStyle name="Normal 2 2 2 2 2 13 4 9" xfId="10143" xr:uid="{00000000-0005-0000-0000-000096270000}"/>
    <cellStyle name="Normal 2 2 2 2 2 13 5" xfId="10144" xr:uid="{00000000-0005-0000-0000-000097270000}"/>
    <cellStyle name="Normal 2 2 2 2 2 13 5 10" xfId="10145" xr:uid="{00000000-0005-0000-0000-000098270000}"/>
    <cellStyle name="Normal 2 2 2 2 2 13 5 2" xfId="10146" xr:uid="{00000000-0005-0000-0000-000099270000}"/>
    <cellStyle name="Normal 2 2 2 2 2 13 5 3" xfId="10147" xr:uid="{00000000-0005-0000-0000-00009A270000}"/>
    <cellStyle name="Normal 2 2 2 2 2 13 5 4" xfId="10148" xr:uid="{00000000-0005-0000-0000-00009B270000}"/>
    <cellStyle name="Normal 2 2 2 2 2 13 5 5" xfId="10149" xr:uid="{00000000-0005-0000-0000-00009C270000}"/>
    <cellStyle name="Normal 2 2 2 2 2 13 5 6" xfId="10150" xr:uid="{00000000-0005-0000-0000-00009D270000}"/>
    <cellStyle name="Normal 2 2 2 2 2 13 5 7" xfId="10151" xr:uid="{00000000-0005-0000-0000-00009E270000}"/>
    <cellStyle name="Normal 2 2 2 2 2 13 5 8" xfId="10152" xr:uid="{00000000-0005-0000-0000-00009F270000}"/>
    <cellStyle name="Normal 2 2 2 2 2 13 5 9" xfId="10153" xr:uid="{00000000-0005-0000-0000-0000A0270000}"/>
    <cellStyle name="Normal 2 2 2 2 2 13 6" xfId="10154" xr:uid="{00000000-0005-0000-0000-0000A1270000}"/>
    <cellStyle name="Normal 2 2 2 2 2 13 7" xfId="10155" xr:uid="{00000000-0005-0000-0000-0000A2270000}"/>
    <cellStyle name="Normal 2 2 2 2 2 13 8" xfId="10156" xr:uid="{00000000-0005-0000-0000-0000A3270000}"/>
    <cellStyle name="Normal 2 2 2 2 2 13 9" xfId="10157" xr:uid="{00000000-0005-0000-0000-0000A4270000}"/>
    <cellStyle name="Normal 2 2 2 2 2 14" xfId="10158" xr:uid="{00000000-0005-0000-0000-0000A5270000}"/>
    <cellStyle name="Normal 2 2 2 2 2 14 10" xfId="10159" xr:uid="{00000000-0005-0000-0000-0000A6270000}"/>
    <cellStyle name="Normal 2 2 2 2 2 14 11" xfId="10160" xr:uid="{00000000-0005-0000-0000-0000A7270000}"/>
    <cellStyle name="Normal 2 2 2 2 2 14 12" xfId="10161" xr:uid="{00000000-0005-0000-0000-0000A8270000}"/>
    <cellStyle name="Normal 2 2 2 2 2 14 13" xfId="10162" xr:uid="{00000000-0005-0000-0000-0000A9270000}"/>
    <cellStyle name="Normal 2 2 2 2 2 14 14" xfId="10163" xr:uid="{00000000-0005-0000-0000-0000AA270000}"/>
    <cellStyle name="Normal 2 2 2 2 2 14 2" xfId="10164" xr:uid="{00000000-0005-0000-0000-0000AB270000}"/>
    <cellStyle name="Normal 2 2 2 2 2 14 2 10" xfId="10165" xr:uid="{00000000-0005-0000-0000-0000AC270000}"/>
    <cellStyle name="Normal 2 2 2 2 2 14 2 2" xfId="10166" xr:uid="{00000000-0005-0000-0000-0000AD270000}"/>
    <cellStyle name="Normal 2 2 2 2 2 14 2 3" xfId="10167" xr:uid="{00000000-0005-0000-0000-0000AE270000}"/>
    <cellStyle name="Normal 2 2 2 2 2 14 2 4" xfId="10168" xr:uid="{00000000-0005-0000-0000-0000AF270000}"/>
    <cellStyle name="Normal 2 2 2 2 2 14 2 5" xfId="10169" xr:uid="{00000000-0005-0000-0000-0000B0270000}"/>
    <cellStyle name="Normal 2 2 2 2 2 14 2 6" xfId="10170" xr:uid="{00000000-0005-0000-0000-0000B1270000}"/>
    <cellStyle name="Normal 2 2 2 2 2 14 2 7" xfId="10171" xr:uid="{00000000-0005-0000-0000-0000B2270000}"/>
    <cellStyle name="Normal 2 2 2 2 2 14 2 8" xfId="10172" xr:uid="{00000000-0005-0000-0000-0000B3270000}"/>
    <cellStyle name="Normal 2 2 2 2 2 14 2 9" xfId="10173" xr:uid="{00000000-0005-0000-0000-0000B4270000}"/>
    <cellStyle name="Normal 2 2 2 2 2 14 3" xfId="10174" xr:uid="{00000000-0005-0000-0000-0000B5270000}"/>
    <cellStyle name="Normal 2 2 2 2 2 14 3 10" xfId="10175" xr:uid="{00000000-0005-0000-0000-0000B6270000}"/>
    <cellStyle name="Normal 2 2 2 2 2 14 3 2" xfId="10176" xr:uid="{00000000-0005-0000-0000-0000B7270000}"/>
    <cellStyle name="Normal 2 2 2 2 2 14 3 3" xfId="10177" xr:uid="{00000000-0005-0000-0000-0000B8270000}"/>
    <cellStyle name="Normal 2 2 2 2 2 14 3 4" xfId="10178" xr:uid="{00000000-0005-0000-0000-0000B9270000}"/>
    <cellStyle name="Normal 2 2 2 2 2 14 3 5" xfId="10179" xr:uid="{00000000-0005-0000-0000-0000BA270000}"/>
    <cellStyle name="Normal 2 2 2 2 2 14 3 6" xfId="10180" xr:uid="{00000000-0005-0000-0000-0000BB270000}"/>
    <cellStyle name="Normal 2 2 2 2 2 14 3 7" xfId="10181" xr:uid="{00000000-0005-0000-0000-0000BC270000}"/>
    <cellStyle name="Normal 2 2 2 2 2 14 3 8" xfId="10182" xr:uid="{00000000-0005-0000-0000-0000BD270000}"/>
    <cellStyle name="Normal 2 2 2 2 2 14 3 9" xfId="10183" xr:uid="{00000000-0005-0000-0000-0000BE270000}"/>
    <cellStyle name="Normal 2 2 2 2 2 14 4" xfId="10184" xr:uid="{00000000-0005-0000-0000-0000BF270000}"/>
    <cellStyle name="Normal 2 2 2 2 2 14 4 10" xfId="10185" xr:uid="{00000000-0005-0000-0000-0000C0270000}"/>
    <cellStyle name="Normal 2 2 2 2 2 14 4 2" xfId="10186" xr:uid="{00000000-0005-0000-0000-0000C1270000}"/>
    <cellStyle name="Normal 2 2 2 2 2 14 4 3" xfId="10187" xr:uid="{00000000-0005-0000-0000-0000C2270000}"/>
    <cellStyle name="Normal 2 2 2 2 2 14 4 4" xfId="10188" xr:uid="{00000000-0005-0000-0000-0000C3270000}"/>
    <cellStyle name="Normal 2 2 2 2 2 14 4 5" xfId="10189" xr:uid="{00000000-0005-0000-0000-0000C4270000}"/>
    <cellStyle name="Normal 2 2 2 2 2 14 4 6" xfId="10190" xr:uid="{00000000-0005-0000-0000-0000C5270000}"/>
    <cellStyle name="Normal 2 2 2 2 2 14 4 7" xfId="10191" xr:uid="{00000000-0005-0000-0000-0000C6270000}"/>
    <cellStyle name="Normal 2 2 2 2 2 14 4 8" xfId="10192" xr:uid="{00000000-0005-0000-0000-0000C7270000}"/>
    <cellStyle name="Normal 2 2 2 2 2 14 4 9" xfId="10193" xr:uid="{00000000-0005-0000-0000-0000C8270000}"/>
    <cellStyle name="Normal 2 2 2 2 2 14 5" xfId="10194" xr:uid="{00000000-0005-0000-0000-0000C9270000}"/>
    <cellStyle name="Normal 2 2 2 2 2 14 5 10" xfId="10195" xr:uid="{00000000-0005-0000-0000-0000CA270000}"/>
    <cellStyle name="Normal 2 2 2 2 2 14 5 2" xfId="10196" xr:uid="{00000000-0005-0000-0000-0000CB270000}"/>
    <cellStyle name="Normal 2 2 2 2 2 14 5 3" xfId="10197" xr:uid="{00000000-0005-0000-0000-0000CC270000}"/>
    <cellStyle name="Normal 2 2 2 2 2 14 5 4" xfId="10198" xr:uid="{00000000-0005-0000-0000-0000CD270000}"/>
    <cellStyle name="Normal 2 2 2 2 2 14 5 5" xfId="10199" xr:uid="{00000000-0005-0000-0000-0000CE270000}"/>
    <cellStyle name="Normal 2 2 2 2 2 14 5 6" xfId="10200" xr:uid="{00000000-0005-0000-0000-0000CF270000}"/>
    <cellStyle name="Normal 2 2 2 2 2 14 5 7" xfId="10201" xr:uid="{00000000-0005-0000-0000-0000D0270000}"/>
    <cellStyle name="Normal 2 2 2 2 2 14 5 8" xfId="10202" xr:uid="{00000000-0005-0000-0000-0000D1270000}"/>
    <cellStyle name="Normal 2 2 2 2 2 14 5 9" xfId="10203" xr:uid="{00000000-0005-0000-0000-0000D2270000}"/>
    <cellStyle name="Normal 2 2 2 2 2 14 6" xfId="10204" xr:uid="{00000000-0005-0000-0000-0000D3270000}"/>
    <cellStyle name="Normal 2 2 2 2 2 14 7" xfId="10205" xr:uid="{00000000-0005-0000-0000-0000D4270000}"/>
    <cellStyle name="Normal 2 2 2 2 2 14 8" xfId="10206" xr:uid="{00000000-0005-0000-0000-0000D5270000}"/>
    <cellStyle name="Normal 2 2 2 2 2 14 9" xfId="10207" xr:uid="{00000000-0005-0000-0000-0000D6270000}"/>
    <cellStyle name="Normal 2 2 2 2 2 15" xfId="10208" xr:uid="{00000000-0005-0000-0000-0000D7270000}"/>
    <cellStyle name="Normal 2 2 2 2 2 15 10" xfId="10209" xr:uid="{00000000-0005-0000-0000-0000D8270000}"/>
    <cellStyle name="Normal 2 2 2 2 2 15 11" xfId="10210" xr:uid="{00000000-0005-0000-0000-0000D9270000}"/>
    <cellStyle name="Normal 2 2 2 2 2 15 12" xfId="10211" xr:uid="{00000000-0005-0000-0000-0000DA270000}"/>
    <cellStyle name="Normal 2 2 2 2 2 15 13" xfId="10212" xr:uid="{00000000-0005-0000-0000-0000DB270000}"/>
    <cellStyle name="Normal 2 2 2 2 2 15 14" xfId="10213" xr:uid="{00000000-0005-0000-0000-0000DC270000}"/>
    <cellStyle name="Normal 2 2 2 2 2 15 2" xfId="10214" xr:uid="{00000000-0005-0000-0000-0000DD270000}"/>
    <cellStyle name="Normal 2 2 2 2 2 15 2 10" xfId="10215" xr:uid="{00000000-0005-0000-0000-0000DE270000}"/>
    <cellStyle name="Normal 2 2 2 2 2 15 2 2" xfId="10216" xr:uid="{00000000-0005-0000-0000-0000DF270000}"/>
    <cellStyle name="Normal 2 2 2 2 2 15 2 3" xfId="10217" xr:uid="{00000000-0005-0000-0000-0000E0270000}"/>
    <cellStyle name="Normal 2 2 2 2 2 15 2 4" xfId="10218" xr:uid="{00000000-0005-0000-0000-0000E1270000}"/>
    <cellStyle name="Normal 2 2 2 2 2 15 2 5" xfId="10219" xr:uid="{00000000-0005-0000-0000-0000E2270000}"/>
    <cellStyle name="Normal 2 2 2 2 2 15 2 6" xfId="10220" xr:uid="{00000000-0005-0000-0000-0000E3270000}"/>
    <cellStyle name="Normal 2 2 2 2 2 15 2 7" xfId="10221" xr:uid="{00000000-0005-0000-0000-0000E4270000}"/>
    <cellStyle name="Normal 2 2 2 2 2 15 2 8" xfId="10222" xr:uid="{00000000-0005-0000-0000-0000E5270000}"/>
    <cellStyle name="Normal 2 2 2 2 2 15 2 9" xfId="10223" xr:uid="{00000000-0005-0000-0000-0000E6270000}"/>
    <cellStyle name="Normal 2 2 2 2 2 15 3" xfId="10224" xr:uid="{00000000-0005-0000-0000-0000E7270000}"/>
    <cellStyle name="Normal 2 2 2 2 2 15 3 10" xfId="10225" xr:uid="{00000000-0005-0000-0000-0000E8270000}"/>
    <cellStyle name="Normal 2 2 2 2 2 15 3 2" xfId="10226" xr:uid="{00000000-0005-0000-0000-0000E9270000}"/>
    <cellStyle name="Normal 2 2 2 2 2 15 3 3" xfId="10227" xr:uid="{00000000-0005-0000-0000-0000EA270000}"/>
    <cellStyle name="Normal 2 2 2 2 2 15 3 4" xfId="10228" xr:uid="{00000000-0005-0000-0000-0000EB270000}"/>
    <cellStyle name="Normal 2 2 2 2 2 15 3 5" xfId="10229" xr:uid="{00000000-0005-0000-0000-0000EC270000}"/>
    <cellStyle name="Normal 2 2 2 2 2 15 3 6" xfId="10230" xr:uid="{00000000-0005-0000-0000-0000ED270000}"/>
    <cellStyle name="Normal 2 2 2 2 2 15 3 7" xfId="10231" xr:uid="{00000000-0005-0000-0000-0000EE270000}"/>
    <cellStyle name="Normal 2 2 2 2 2 15 3 8" xfId="10232" xr:uid="{00000000-0005-0000-0000-0000EF270000}"/>
    <cellStyle name="Normal 2 2 2 2 2 15 3 9" xfId="10233" xr:uid="{00000000-0005-0000-0000-0000F0270000}"/>
    <cellStyle name="Normal 2 2 2 2 2 15 4" xfId="10234" xr:uid="{00000000-0005-0000-0000-0000F1270000}"/>
    <cellStyle name="Normal 2 2 2 2 2 15 4 10" xfId="10235" xr:uid="{00000000-0005-0000-0000-0000F2270000}"/>
    <cellStyle name="Normal 2 2 2 2 2 15 4 2" xfId="10236" xr:uid="{00000000-0005-0000-0000-0000F3270000}"/>
    <cellStyle name="Normal 2 2 2 2 2 15 4 3" xfId="10237" xr:uid="{00000000-0005-0000-0000-0000F4270000}"/>
    <cellStyle name="Normal 2 2 2 2 2 15 4 4" xfId="10238" xr:uid="{00000000-0005-0000-0000-0000F5270000}"/>
    <cellStyle name="Normal 2 2 2 2 2 15 4 5" xfId="10239" xr:uid="{00000000-0005-0000-0000-0000F6270000}"/>
    <cellStyle name="Normal 2 2 2 2 2 15 4 6" xfId="10240" xr:uid="{00000000-0005-0000-0000-0000F7270000}"/>
    <cellStyle name="Normal 2 2 2 2 2 15 4 7" xfId="10241" xr:uid="{00000000-0005-0000-0000-0000F8270000}"/>
    <cellStyle name="Normal 2 2 2 2 2 15 4 8" xfId="10242" xr:uid="{00000000-0005-0000-0000-0000F9270000}"/>
    <cellStyle name="Normal 2 2 2 2 2 15 4 9" xfId="10243" xr:uid="{00000000-0005-0000-0000-0000FA270000}"/>
    <cellStyle name="Normal 2 2 2 2 2 15 5" xfId="10244" xr:uid="{00000000-0005-0000-0000-0000FB270000}"/>
    <cellStyle name="Normal 2 2 2 2 2 15 5 10" xfId="10245" xr:uid="{00000000-0005-0000-0000-0000FC270000}"/>
    <cellStyle name="Normal 2 2 2 2 2 15 5 2" xfId="10246" xr:uid="{00000000-0005-0000-0000-0000FD270000}"/>
    <cellStyle name="Normal 2 2 2 2 2 15 5 3" xfId="10247" xr:uid="{00000000-0005-0000-0000-0000FE270000}"/>
    <cellStyle name="Normal 2 2 2 2 2 15 5 4" xfId="10248" xr:uid="{00000000-0005-0000-0000-0000FF270000}"/>
    <cellStyle name="Normal 2 2 2 2 2 15 5 5" xfId="10249" xr:uid="{00000000-0005-0000-0000-000000280000}"/>
    <cellStyle name="Normal 2 2 2 2 2 15 5 6" xfId="10250" xr:uid="{00000000-0005-0000-0000-000001280000}"/>
    <cellStyle name="Normal 2 2 2 2 2 15 5 7" xfId="10251" xr:uid="{00000000-0005-0000-0000-000002280000}"/>
    <cellStyle name="Normal 2 2 2 2 2 15 5 8" xfId="10252" xr:uid="{00000000-0005-0000-0000-000003280000}"/>
    <cellStyle name="Normal 2 2 2 2 2 15 5 9" xfId="10253" xr:uid="{00000000-0005-0000-0000-000004280000}"/>
    <cellStyle name="Normal 2 2 2 2 2 15 6" xfId="10254" xr:uid="{00000000-0005-0000-0000-000005280000}"/>
    <cellStyle name="Normal 2 2 2 2 2 15 7" xfId="10255" xr:uid="{00000000-0005-0000-0000-000006280000}"/>
    <cellStyle name="Normal 2 2 2 2 2 15 8" xfId="10256" xr:uid="{00000000-0005-0000-0000-000007280000}"/>
    <cellStyle name="Normal 2 2 2 2 2 15 9" xfId="10257" xr:uid="{00000000-0005-0000-0000-000008280000}"/>
    <cellStyle name="Normal 2 2 2 2 2 16" xfId="10258" xr:uid="{00000000-0005-0000-0000-000009280000}"/>
    <cellStyle name="Normal 2 2 2 2 2 16 10" xfId="10259" xr:uid="{00000000-0005-0000-0000-00000A280000}"/>
    <cellStyle name="Normal 2 2 2 2 2 16 11" xfId="10260" xr:uid="{00000000-0005-0000-0000-00000B280000}"/>
    <cellStyle name="Normal 2 2 2 2 2 16 12" xfId="10261" xr:uid="{00000000-0005-0000-0000-00000C280000}"/>
    <cellStyle name="Normal 2 2 2 2 2 16 13" xfId="10262" xr:uid="{00000000-0005-0000-0000-00000D280000}"/>
    <cellStyle name="Normal 2 2 2 2 2 16 14" xfId="10263" xr:uid="{00000000-0005-0000-0000-00000E280000}"/>
    <cellStyle name="Normal 2 2 2 2 2 16 2" xfId="10264" xr:uid="{00000000-0005-0000-0000-00000F280000}"/>
    <cellStyle name="Normal 2 2 2 2 2 16 2 10" xfId="10265" xr:uid="{00000000-0005-0000-0000-000010280000}"/>
    <cellStyle name="Normal 2 2 2 2 2 16 2 2" xfId="10266" xr:uid="{00000000-0005-0000-0000-000011280000}"/>
    <cellStyle name="Normal 2 2 2 2 2 16 2 3" xfId="10267" xr:uid="{00000000-0005-0000-0000-000012280000}"/>
    <cellStyle name="Normal 2 2 2 2 2 16 2 4" xfId="10268" xr:uid="{00000000-0005-0000-0000-000013280000}"/>
    <cellStyle name="Normal 2 2 2 2 2 16 2 5" xfId="10269" xr:uid="{00000000-0005-0000-0000-000014280000}"/>
    <cellStyle name="Normal 2 2 2 2 2 16 2 6" xfId="10270" xr:uid="{00000000-0005-0000-0000-000015280000}"/>
    <cellStyle name="Normal 2 2 2 2 2 16 2 7" xfId="10271" xr:uid="{00000000-0005-0000-0000-000016280000}"/>
    <cellStyle name="Normal 2 2 2 2 2 16 2 8" xfId="10272" xr:uid="{00000000-0005-0000-0000-000017280000}"/>
    <cellStyle name="Normal 2 2 2 2 2 16 2 9" xfId="10273" xr:uid="{00000000-0005-0000-0000-000018280000}"/>
    <cellStyle name="Normal 2 2 2 2 2 16 3" xfId="10274" xr:uid="{00000000-0005-0000-0000-000019280000}"/>
    <cellStyle name="Normal 2 2 2 2 2 16 3 10" xfId="10275" xr:uid="{00000000-0005-0000-0000-00001A280000}"/>
    <cellStyle name="Normal 2 2 2 2 2 16 3 2" xfId="10276" xr:uid="{00000000-0005-0000-0000-00001B280000}"/>
    <cellStyle name="Normal 2 2 2 2 2 16 3 3" xfId="10277" xr:uid="{00000000-0005-0000-0000-00001C280000}"/>
    <cellStyle name="Normal 2 2 2 2 2 16 3 4" xfId="10278" xr:uid="{00000000-0005-0000-0000-00001D280000}"/>
    <cellStyle name="Normal 2 2 2 2 2 16 3 5" xfId="10279" xr:uid="{00000000-0005-0000-0000-00001E280000}"/>
    <cellStyle name="Normal 2 2 2 2 2 16 3 6" xfId="10280" xr:uid="{00000000-0005-0000-0000-00001F280000}"/>
    <cellStyle name="Normal 2 2 2 2 2 16 3 7" xfId="10281" xr:uid="{00000000-0005-0000-0000-000020280000}"/>
    <cellStyle name="Normal 2 2 2 2 2 16 3 8" xfId="10282" xr:uid="{00000000-0005-0000-0000-000021280000}"/>
    <cellStyle name="Normal 2 2 2 2 2 16 3 9" xfId="10283" xr:uid="{00000000-0005-0000-0000-000022280000}"/>
    <cellStyle name="Normal 2 2 2 2 2 16 4" xfId="10284" xr:uid="{00000000-0005-0000-0000-000023280000}"/>
    <cellStyle name="Normal 2 2 2 2 2 16 4 10" xfId="10285" xr:uid="{00000000-0005-0000-0000-000024280000}"/>
    <cellStyle name="Normal 2 2 2 2 2 16 4 2" xfId="10286" xr:uid="{00000000-0005-0000-0000-000025280000}"/>
    <cellStyle name="Normal 2 2 2 2 2 16 4 3" xfId="10287" xr:uid="{00000000-0005-0000-0000-000026280000}"/>
    <cellStyle name="Normal 2 2 2 2 2 16 4 4" xfId="10288" xr:uid="{00000000-0005-0000-0000-000027280000}"/>
    <cellStyle name="Normal 2 2 2 2 2 16 4 5" xfId="10289" xr:uid="{00000000-0005-0000-0000-000028280000}"/>
    <cellStyle name="Normal 2 2 2 2 2 16 4 6" xfId="10290" xr:uid="{00000000-0005-0000-0000-000029280000}"/>
    <cellStyle name="Normal 2 2 2 2 2 16 4 7" xfId="10291" xr:uid="{00000000-0005-0000-0000-00002A280000}"/>
    <cellStyle name="Normal 2 2 2 2 2 16 4 8" xfId="10292" xr:uid="{00000000-0005-0000-0000-00002B280000}"/>
    <cellStyle name="Normal 2 2 2 2 2 16 4 9" xfId="10293" xr:uid="{00000000-0005-0000-0000-00002C280000}"/>
    <cellStyle name="Normal 2 2 2 2 2 16 5" xfId="10294" xr:uid="{00000000-0005-0000-0000-00002D280000}"/>
    <cellStyle name="Normal 2 2 2 2 2 16 5 10" xfId="10295" xr:uid="{00000000-0005-0000-0000-00002E280000}"/>
    <cellStyle name="Normal 2 2 2 2 2 16 5 2" xfId="10296" xr:uid="{00000000-0005-0000-0000-00002F280000}"/>
    <cellStyle name="Normal 2 2 2 2 2 16 5 3" xfId="10297" xr:uid="{00000000-0005-0000-0000-000030280000}"/>
    <cellStyle name="Normal 2 2 2 2 2 16 5 4" xfId="10298" xr:uid="{00000000-0005-0000-0000-000031280000}"/>
    <cellStyle name="Normal 2 2 2 2 2 16 5 5" xfId="10299" xr:uid="{00000000-0005-0000-0000-000032280000}"/>
    <cellStyle name="Normal 2 2 2 2 2 16 5 6" xfId="10300" xr:uid="{00000000-0005-0000-0000-000033280000}"/>
    <cellStyle name="Normal 2 2 2 2 2 16 5 7" xfId="10301" xr:uid="{00000000-0005-0000-0000-000034280000}"/>
    <cellStyle name="Normal 2 2 2 2 2 16 5 8" xfId="10302" xr:uid="{00000000-0005-0000-0000-000035280000}"/>
    <cellStyle name="Normal 2 2 2 2 2 16 5 9" xfId="10303" xr:uid="{00000000-0005-0000-0000-000036280000}"/>
    <cellStyle name="Normal 2 2 2 2 2 16 6" xfId="10304" xr:uid="{00000000-0005-0000-0000-000037280000}"/>
    <cellStyle name="Normal 2 2 2 2 2 16 7" xfId="10305" xr:uid="{00000000-0005-0000-0000-000038280000}"/>
    <cellStyle name="Normal 2 2 2 2 2 16 8" xfId="10306" xr:uid="{00000000-0005-0000-0000-000039280000}"/>
    <cellStyle name="Normal 2 2 2 2 2 16 9" xfId="10307" xr:uid="{00000000-0005-0000-0000-00003A280000}"/>
    <cellStyle name="Normal 2 2 2 2 2 17" xfId="10308" xr:uid="{00000000-0005-0000-0000-00003B280000}"/>
    <cellStyle name="Normal 2 2 2 2 2 17 10" xfId="10309" xr:uid="{00000000-0005-0000-0000-00003C280000}"/>
    <cellStyle name="Normal 2 2 2 2 2 17 11" xfId="10310" xr:uid="{00000000-0005-0000-0000-00003D280000}"/>
    <cellStyle name="Normal 2 2 2 2 2 17 12" xfId="10311" xr:uid="{00000000-0005-0000-0000-00003E280000}"/>
    <cellStyle name="Normal 2 2 2 2 2 17 13" xfId="10312" xr:uid="{00000000-0005-0000-0000-00003F280000}"/>
    <cellStyle name="Normal 2 2 2 2 2 17 14" xfId="10313" xr:uid="{00000000-0005-0000-0000-000040280000}"/>
    <cellStyle name="Normal 2 2 2 2 2 17 2" xfId="10314" xr:uid="{00000000-0005-0000-0000-000041280000}"/>
    <cellStyle name="Normal 2 2 2 2 2 17 2 10" xfId="10315" xr:uid="{00000000-0005-0000-0000-000042280000}"/>
    <cellStyle name="Normal 2 2 2 2 2 17 2 2" xfId="10316" xr:uid="{00000000-0005-0000-0000-000043280000}"/>
    <cellStyle name="Normal 2 2 2 2 2 17 2 3" xfId="10317" xr:uid="{00000000-0005-0000-0000-000044280000}"/>
    <cellStyle name="Normal 2 2 2 2 2 17 2 4" xfId="10318" xr:uid="{00000000-0005-0000-0000-000045280000}"/>
    <cellStyle name="Normal 2 2 2 2 2 17 2 5" xfId="10319" xr:uid="{00000000-0005-0000-0000-000046280000}"/>
    <cellStyle name="Normal 2 2 2 2 2 17 2 6" xfId="10320" xr:uid="{00000000-0005-0000-0000-000047280000}"/>
    <cellStyle name="Normal 2 2 2 2 2 17 2 7" xfId="10321" xr:uid="{00000000-0005-0000-0000-000048280000}"/>
    <cellStyle name="Normal 2 2 2 2 2 17 2 8" xfId="10322" xr:uid="{00000000-0005-0000-0000-000049280000}"/>
    <cellStyle name="Normal 2 2 2 2 2 17 2 9" xfId="10323" xr:uid="{00000000-0005-0000-0000-00004A280000}"/>
    <cellStyle name="Normal 2 2 2 2 2 17 3" xfId="10324" xr:uid="{00000000-0005-0000-0000-00004B280000}"/>
    <cellStyle name="Normal 2 2 2 2 2 17 3 10" xfId="10325" xr:uid="{00000000-0005-0000-0000-00004C280000}"/>
    <cellStyle name="Normal 2 2 2 2 2 17 3 2" xfId="10326" xr:uid="{00000000-0005-0000-0000-00004D280000}"/>
    <cellStyle name="Normal 2 2 2 2 2 17 3 3" xfId="10327" xr:uid="{00000000-0005-0000-0000-00004E280000}"/>
    <cellStyle name="Normal 2 2 2 2 2 17 3 4" xfId="10328" xr:uid="{00000000-0005-0000-0000-00004F280000}"/>
    <cellStyle name="Normal 2 2 2 2 2 17 3 5" xfId="10329" xr:uid="{00000000-0005-0000-0000-000050280000}"/>
    <cellStyle name="Normal 2 2 2 2 2 17 3 6" xfId="10330" xr:uid="{00000000-0005-0000-0000-000051280000}"/>
    <cellStyle name="Normal 2 2 2 2 2 17 3 7" xfId="10331" xr:uid="{00000000-0005-0000-0000-000052280000}"/>
    <cellStyle name="Normal 2 2 2 2 2 17 3 8" xfId="10332" xr:uid="{00000000-0005-0000-0000-000053280000}"/>
    <cellStyle name="Normal 2 2 2 2 2 17 3 9" xfId="10333" xr:uid="{00000000-0005-0000-0000-000054280000}"/>
    <cellStyle name="Normal 2 2 2 2 2 17 4" xfId="10334" xr:uid="{00000000-0005-0000-0000-000055280000}"/>
    <cellStyle name="Normal 2 2 2 2 2 17 4 10" xfId="10335" xr:uid="{00000000-0005-0000-0000-000056280000}"/>
    <cellStyle name="Normal 2 2 2 2 2 17 4 2" xfId="10336" xr:uid="{00000000-0005-0000-0000-000057280000}"/>
    <cellStyle name="Normal 2 2 2 2 2 17 4 3" xfId="10337" xr:uid="{00000000-0005-0000-0000-000058280000}"/>
    <cellStyle name="Normal 2 2 2 2 2 17 4 4" xfId="10338" xr:uid="{00000000-0005-0000-0000-000059280000}"/>
    <cellStyle name="Normal 2 2 2 2 2 17 4 5" xfId="10339" xr:uid="{00000000-0005-0000-0000-00005A280000}"/>
    <cellStyle name="Normal 2 2 2 2 2 17 4 6" xfId="10340" xr:uid="{00000000-0005-0000-0000-00005B280000}"/>
    <cellStyle name="Normal 2 2 2 2 2 17 4 7" xfId="10341" xr:uid="{00000000-0005-0000-0000-00005C280000}"/>
    <cellStyle name="Normal 2 2 2 2 2 17 4 8" xfId="10342" xr:uid="{00000000-0005-0000-0000-00005D280000}"/>
    <cellStyle name="Normal 2 2 2 2 2 17 4 9" xfId="10343" xr:uid="{00000000-0005-0000-0000-00005E280000}"/>
    <cellStyle name="Normal 2 2 2 2 2 17 5" xfId="10344" xr:uid="{00000000-0005-0000-0000-00005F280000}"/>
    <cellStyle name="Normal 2 2 2 2 2 17 5 10" xfId="10345" xr:uid="{00000000-0005-0000-0000-000060280000}"/>
    <cellStyle name="Normal 2 2 2 2 2 17 5 2" xfId="10346" xr:uid="{00000000-0005-0000-0000-000061280000}"/>
    <cellStyle name="Normal 2 2 2 2 2 17 5 3" xfId="10347" xr:uid="{00000000-0005-0000-0000-000062280000}"/>
    <cellStyle name="Normal 2 2 2 2 2 17 5 4" xfId="10348" xr:uid="{00000000-0005-0000-0000-000063280000}"/>
    <cellStyle name="Normal 2 2 2 2 2 17 5 5" xfId="10349" xr:uid="{00000000-0005-0000-0000-000064280000}"/>
    <cellStyle name="Normal 2 2 2 2 2 17 5 6" xfId="10350" xr:uid="{00000000-0005-0000-0000-000065280000}"/>
    <cellStyle name="Normal 2 2 2 2 2 17 5 7" xfId="10351" xr:uid="{00000000-0005-0000-0000-000066280000}"/>
    <cellStyle name="Normal 2 2 2 2 2 17 5 8" xfId="10352" xr:uid="{00000000-0005-0000-0000-000067280000}"/>
    <cellStyle name="Normal 2 2 2 2 2 17 5 9" xfId="10353" xr:uid="{00000000-0005-0000-0000-000068280000}"/>
    <cellStyle name="Normal 2 2 2 2 2 17 6" xfId="10354" xr:uid="{00000000-0005-0000-0000-000069280000}"/>
    <cellStyle name="Normal 2 2 2 2 2 17 7" xfId="10355" xr:uid="{00000000-0005-0000-0000-00006A280000}"/>
    <cellStyle name="Normal 2 2 2 2 2 17 8" xfId="10356" xr:uid="{00000000-0005-0000-0000-00006B280000}"/>
    <cellStyle name="Normal 2 2 2 2 2 17 9" xfId="10357" xr:uid="{00000000-0005-0000-0000-00006C280000}"/>
    <cellStyle name="Normal 2 2 2 2 2 18" xfId="10358" xr:uid="{00000000-0005-0000-0000-00006D280000}"/>
    <cellStyle name="Normal 2 2 2 2 2 18 10" xfId="10359" xr:uid="{00000000-0005-0000-0000-00006E280000}"/>
    <cellStyle name="Normal 2 2 2 2 2 18 11" xfId="10360" xr:uid="{00000000-0005-0000-0000-00006F280000}"/>
    <cellStyle name="Normal 2 2 2 2 2 18 12" xfId="10361" xr:uid="{00000000-0005-0000-0000-000070280000}"/>
    <cellStyle name="Normal 2 2 2 2 2 18 13" xfId="10362" xr:uid="{00000000-0005-0000-0000-000071280000}"/>
    <cellStyle name="Normal 2 2 2 2 2 18 14" xfId="10363" xr:uid="{00000000-0005-0000-0000-000072280000}"/>
    <cellStyle name="Normal 2 2 2 2 2 18 2" xfId="10364" xr:uid="{00000000-0005-0000-0000-000073280000}"/>
    <cellStyle name="Normal 2 2 2 2 2 18 2 10" xfId="10365" xr:uid="{00000000-0005-0000-0000-000074280000}"/>
    <cellStyle name="Normal 2 2 2 2 2 18 2 2" xfId="10366" xr:uid="{00000000-0005-0000-0000-000075280000}"/>
    <cellStyle name="Normal 2 2 2 2 2 18 2 3" xfId="10367" xr:uid="{00000000-0005-0000-0000-000076280000}"/>
    <cellStyle name="Normal 2 2 2 2 2 18 2 4" xfId="10368" xr:uid="{00000000-0005-0000-0000-000077280000}"/>
    <cellStyle name="Normal 2 2 2 2 2 18 2 5" xfId="10369" xr:uid="{00000000-0005-0000-0000-000078280000}"/>
    <cellStyle name="Normal 2 2 2 2 2 18 2 6" xfId="10370" xr:uid="{00000000-0005-0000-0000-000079280000}"/>
    <cellStyle name="Normal 2 2 2 2 2 18 2 7" xfId="10371" xr:uid="{00000000-0005-0000-0000-00007A280000}"/>
    <cellStyle name="Normal 2 2 2 2 2 18 2 8" xfId="10372" xr:uid="{00000000-0005-0000-0000-00007B280000}"/>
    <cellStyle name="Normal 2 2 2 2 2 18 2 9" xfId="10373" xr:uid="{00000000-0005-0000-0000-00007C280000}"/>
    <cellStyle name="Normal 2 2 2 2 2 18 3" xfId="10374" xr:uid="{00000000-0005-0000-0000-00007D280000}"/>
    <cellStyle name="Normal 2 2 2 2 2 18 3 10" xfId="10375" xr:uid="{00000000-0005-0000-0000-00007E280000}"/>
    <cellStyle name="Normal 2 2 2 2 2 18 3 2" xfId="10376" xr:uid="{00000000-0005-0000-0000-00007F280000}"/>
    <cellStyle name="Normal 2 2 2 2 2 18 3 3" xfId="10377" xr:uid="{00000000-0005-0000-0000-000080280000}"/>
    <cellStyle name="Normal 2 2 2 2 2 18 3 4" xfId="10378" xr:uid="{00000000-0005-0000-0000-000081280000}"/>
    <cellStyle name="Normal 2 2 2 2 2 18 3 5" xfId="10379" xr:uid="{00000000-0005-0000-0000-000082280000}"/>
    <cellStyle name="Normal 2 2 2 2 2 18 3 6" xfId="10380" xr:uid="{00000000-0005-0000-0000-000083280000}"/>
    <cellStyle name="Normal 2 2 2 2 2 18 3 7" xfId="10381" xr:uid="{00000000-0005-0000-0000-000084280000}"/>
    <cellStyle name="Normal 2 2 2 2 2 18 3 8" xfId="10382" xr:uid="{00000000-0005-0000-0000-000085280000}"/>
    <cellStyle name="Normal 2 2 2 2 2 18 3 9" xfId="10383" xr:uid="{00000000-0005-0000-0000-000086280000}"/>
    <cellStyle name="Normal 2 2 2 2 2 18 4" xfId="10384" xr:uid="{00000000-0005-0000-0000-000087280000}"/>
    <cellStyle name="Normal 2 2 2 2 2 18 4 10" xfId="10385" xr:uid="{00000000-0005-0000-0000-000088280000}"/>
    <cellStyle name="Normal 2 2 2 2 2 18 4 2" xfId="10386" xr:uid="{00000000-0005-0000-0000-000089280000}"/>
    <cellStyle name="Normal 2 2 2 2 2 18 4 3" xfId="10387" xr:uid="{00000000-0005-0000-0000-00008A280000}"/>
    <cellStyle name="Normal 2 2 2 2 2 18 4 4" xfId="10388" xr:uid="{00000000-0005-0000-0000-00008B280000}"/>
    <cellStyle name="Normal 2 2 2 2 2 18 4 5" xfId="10389" xr:uid="{00000000-0005-0000-0000-00008C280000}"/>
    <cellStyle name="Normal 2 2 2 2 2 18 4 6" xfId="10390" xr:uid="{00000000-0005-0000-0000-00008D280000}"/>
    <cellStyle name="Normal 2 2 2 2 2 18 4 7" xfId="10391" xr:uid="{00000000-0005-0000-0000-00008E280000}"/>
    <cellStyle name="Normal 2 2 2 2 2 18 4 8" xfId="10392" xr:uid="{00000000-0005-0000-0000-00008F280000}"/>
    <cellStyle name="Normal 2 2 2 2 2 18 4 9" xfId="10393" xr:uid="{00000000-0005-0000-0000-000090280000}"/>
    <cellStyle name="Normal 2 2 2 2 2 18 5" xfId="10394" xr:uid="{00000000-0005-0000-0000-000091280000}"/>
    <cellStyle name="Normal 2 2 2 2 2 18 5 10" xfId="10395" xr:uid="{00000000-0005-0000-0000-000092280000}"/>
    <cellStyle name="Normal 2 2 2 2 2 18 5 2" xfId="10396" xr:uid="{00000000-0005-0000-0000-000093280000}"/>
    <cellStyle name="Normal 2 2 2 2 2 18 5 3" xfId="10397" xr:uid="{00000000-0005-0000-0000-000094280000}"/>
    <cellStyle name="Normal 2 2 2 2 2 18 5 4" xfId="10398" xr:uid="{00000000-0005-0000-0000-000095280000}"/>
    <cellStyle name="Normal 2 2 2 2 2 18 5 5" xfId="10399" xr:uid="{00000000-0005-0000-0000-000096280000}"/>
    <cellStyle name="Normal 2 2 2 2 2 18 5 6" xfId="10400" xr:uid="{00000000-0005-0000-0000-000097280000}"/>
    <cellStyle name="Normal 2 2 2 2 2 18 5 7" xfId="10401" xr:uid="{00000000-0005-0000-0000-000098280000}"/>
    <cellStyle name="Normal 2 2 2 2 2 18 5 8" xfId="10402" xr:uid="{00000000-0005-0000-0000-000099280000}"/>
    <cellStyle name="Normal 2 2 2 2 2 18 5 9" xfId="10403" xr:uid="{00000000-0005-0000-0000-00009A280000}"/>
    <cellStyle name="Normal 2 2 2 2 2 18 6" xfId="10404" xr:uid="{00000000-0005-0000-0000-00009B280000}"/>
    <cellStyle name="Normal 2 2 2 2 2 18 7" xfId="10405" xr:uid="{00000000-0005-0000-0000-00009C280000}"/>
    <cellStyle name="Normal 2 2 2 2 2 18 8" xfId="10406" xr:uid="{00000000-0005-0000-0000-00009D280000}"/>
    <cellStyle name="Normal 2 2 2 2 2 18 9" xfId="10407" xr:uid="{00000000-0005-0000-0000-00009E280000}"/>
    <cellStyle name="Normal 2 2 2 2 2 19" xfId="10408" xr:uid="{00000000-0005-0000-0000-00009F280000}"/>
    <cellStyle name="Normal 2 2 2 2 2 19 10" xfId="10409" xr:uid="{00000000-0005-0000-0000-0000A0280000}"/>
    <cellStyle name="Normal 2 2 2 2 2 19 11" xfId="10410" xr:uid="{00000000-0005-0000-0000-0000A1280000}"/>
    <cellStyle name="Normal 2 2 2 2 2 19 12" xfId="10411" xr:uid="{00000000-0005-0000-0000-0000A2280000}"/>
    <cellStyle name="Normal 2 2 2 2 2 19 13" xfId="10412" xr:uid="{00000000-0005-0000-0000-0000A3280000}"/>
    <cellStyle name="Normal 2 2 2 2 2 19 14" xfId="10413" xr:uid="{00000000-0005-0000-0000-0000A4280000}"/>
    <cellStyle name="Normal 2 2 2 2 2 19 2" xfId="10414" xr:uid="{00000000-0005-0000-0000-0000A5280000}"/>
    <cellStyle name="Normal 2 2 2 2 2 19 2 10" xfId="10415" xr:uid="{00000000-0005-0000-0000-0000A6280000}"/>
    <cellStyle name="Normal 2 2 2 2 2 19 2 2" xfId="10416" xr:uid="{00000000-0005-0000-0000-0000A7280000}"/>
    <cellStyle name="Normal 2 2 2 2 2 19 2 3" xfId="10417" xr:uid="{00000000-0005-0000-0000-0000A8280000}"/>
    <cellStyle name="Normal 2 2 2 2 2 19 2 4" xfId="10418" xr:uid="{00000000-0005-0000-0000-0000A9280000}"/>
    <cellStyle name="Normal 2 2 2 2 2 19 2 5" xfId="10419" xr:uid="{00000000-0005-0000-0000-0000AA280000}"/>
    <cellStyle name="Normal 2 2 2 2 2 19 2 6" xfId="10420" xr:uid="{00000000-0005-0000-0000-0000AB280000}"/>
    <cellStyle name="Normal 2 2 2 2 2 19 2 7" xfId="10421" xr:uid="{00000000-0005-0000-0000-0000AC280000}"/>
    <cellStyle name="Normal 2 2 2 2 2 19 2 8" xfId="10422" xr:uid="{00000000-0005-0000-0000-0000AD280000}"/>
    <cellStyle name="Normal 2 2 2 2 2 19 2 9" xfId="10423" xr:uid="{00000000-0005-0000-0000-0000AE280000}"/>
    <cellStyle name="Normal 2 2 2 2 2 19 3" xfId="10424" xr:uid="{00000000-0005-0000-0000-0000AF280000}"/>
    <cellStyle name="Normal 2 2 2 2 2 19 3 10" xfId="10425" xr:uid="{00000000-0005-0000-0000-0000B0280000}"/>
    <cellStyle name="Normal 2 2 2 2 2 19 3 2" xfId="10426" xr:uid="{00000000-0005-0000-0000-0000B1280000}"/>
    <cellStyle name="Normal 2 2 2 2 2 19 3 3" xfId="10427" xr:uid="{00000000-0005-0000-0000-0000B2280000}"/>
    <cellStyle name="Normal 2 2 2 2 2 19 3 4" xfId="10428" xr:uid="{00000000-0005-0000-0000-0000B3280000}"/>
    <cellStyle name="Normal 2 2 2 2 2 19 3 5" xfId="10429" xr:uid="{00000000-0005-0000-0000-0000B4280000}"/>
    <cellStyle name="Normal 2 2 2 2 2 19 3 6" xfId="10430" xr:uid="{00000000-0005-0000-0000-0000B5280000}"/>
    <cellStyle name="Normal 2 2 2 2 2 19 3 7" xfId="10431" xr:uid="{00000000-0005-0000-0000-0000B6280000}"/>
    <cellStyle name="Normal 2 2 2 2 2 19 3 8" xfId="10432" xr:uid="{00000000-0005-0000-0000-0000B7280000}"/>
    <cellStyle name="Normal 2 2 2 2 2 19 3 9" xfId="10433" xr:uid="{00000000-0005-0000-0000-0000B8280000}"/>
    <cellStyle name="Normal 2 2 2 2 2 19 4" xfId="10434" xr:uid="{00000000-0005-0000-0000-0000B9280000}"/>
    <cellStyle name="Normal 2 2 2 2 2 19 4 10" xfId="10435" xr:uid="{00000000-0005-0000-0000-0000BA280000}"/>
    <cellStyle name="Normal 2 2 2 2 2 19 4 2" xfId="10436" xr:uid="{00000000-0005-0000-0000-0000BB280000}"/>
    <cellStyle name="Normal 2 2 2 2 2 19 4 3" xfId="10437" xr:uid="{00000000-0005-0000-0000-0000BC280000}"/>
    <cellStyle name="Normal 2 2 2 2 2 19 4 4" xfId="10438" xr:uid="{00000000-0005-0000-0000-0000BD280000}"/>
    <cellStyle name="Normal 2 2 2 2 2 19 4 5" xfId="10439" xr:uid="{00000000-0005-0000-0000-0000BE280000}"/>
    <cellStyle name="Normal 2 2 2 2 2 19 4 6" xfId="10440" xr:uid="{00000000-0005-0000-0000-0000BF280000}"/>
    <cellStyle name="Normal 2 2 2 2 2 19 4 7" xfId="10441" xr:uid="{00000000-0005-0000-0000-0000C0280000}"/>
    <cellStyle name="Normal 2 2 2 2 2 19 4 8" xfId="10442" xr:uid="{00000000-0005-0000-0000-0000C1280000}"/>
    <cellStyle name="Normal 2 2 2 2 2 19 4 9" xfId="10443" xr:uid="{00000000-0005-0000-0000-0000C2280000}"/>
    <cellStyle name="Normal 2 2 2 2 2 19 5" xfId="10444" xr:uid="{00000000-0005-0000-0000-0000C3280000}"/>
    <cellStyle name="Normal 2 2 2 2 2 19 5 10" xfId="10445" xr:uid="{00000000-0005-0000-0000-0000C4280000}"/>
    <cellStyle name="Normal 2 2 2 2 2 19 5 2" xfId="10446" xr:uid="{00000000-0005-0000-0000-0000C5280000}"/>
    <cellStyle name="Normal 2 2 2 2 2 19 5 3" xfId="10447" xr:uid="{00000000-0005-0000-0000-0000C6280000}"/>
    <cellStyle name="Normal 2 2 2 2 2 19 5 4" xfId="10448" xr:uid="{00000000-0005-0000-0000-0000C7280000}"/>
    <cellStyle name="Normal 2 2 2 2 2 19 5 5" xfId="10449" xr:uid="{00000000-0005-0000-0000-0000C8280000}"/>
    <cellStyle name="Normal 2 2 2 2 2 19 5 6" xfId="10450" xr:uid="{00000000-0005-0000-0000-0000C9280000}"/>
    <cellStyle name="Normal 2 2 2 2 2 19 5 7" xfId="10451" xr:uid="{00000000-0005-0000-0000-0000CA280000}"/>
    <cellStyle name="Normal 2 2 2 2 2 19 5 8" xfId="10452" xr:uid="{00000000-0005-0000-0000-0000CB280000}"/>
    <cellStyle name="Normal 2 2 2 2 2 19 5 9" xfId="10453" xr:uid="{00000000-0005-0000-0000-0000CC280000}"/>
    <cellStyle name="Normal 2 2 2 2 2 19 6" xfId="10454" xr:uid="{00000000-0005-0000-0000-0000CD280000}"/>
    <cellStyle name="Normal 2 2 2 2 2 19 7" xfId="10455" xr:uid="{00000000-0005-0000-0000-0000CE280000}"/>
    <cellStyle name="Normal 2 2 2 2 2 19 8" xfId="10456" xr:uid="{00000000-0005-0000-0000-0000CF280000}"/>
    <cellStyle name="Normal 2 2 2 2 2 19 9" xfId="10457" xr:uid="{00000000-0005-0000-0000-0000D0280000}"/>
    <cellStyle name="Normal 2 2 2 2 2 2" xfId="10458" xr:uid="{00000000-0005-0000-0000-0000D1280000}"/>
    <cellStyle name="Normal 2 2 2 2 2 2 10" xfId="10459" xr:uid="{00000000-0005-0000-0000-0000D2280000}"/>
    <cellStyle name="Normal 2 2 2 2 2 2 10 10" xfId="10460" xr:uid="{00000000-0005-0000-0000-0000D3280000}"/>
    <cellStyle name="Normal 2 2 2 2 2 2 10 11" xfId="10461" xr:uid="{00000000-0005-0000-0000-0000D4280000}"/>
    <cellStyle name="Normal 2 2 2 2 2 2 10 12" xfId="10462" xr:uid="{00000000-0005-0000-0000-0000D5280000}"/>
    <cellStyle name="Normal 2 2 2 2 2 2 10 13" xfId="10463" xr:uid="{00000000-0005-0000-0000-0000D6280000}"/>
    <cellStyle name="Normal 2 2 2 2 2 2 10 14" xfId="10464" xr:uid="{00000000-0005-0000-0000-0000D7280000}"/>
    <cellStyle name="Normal 2 2 2 2 2 2 10 2" xfId="10465" xr:uid="{00000000-0005-0000-0000-0000D8280000}"/>
    <cellStyle name="Normal 2 2 2 2 2 2 10 2 10" xfId="10466" xr:uid="{00000000-0005-0000-0000-0000D9280000}"/>
    <cellStyle name="Normal 2 2 2 2 2 2 10 2 2" xfId="10467" xr:uid="{00000000-0005-0000-0000-0000DA280000}"/>
    <cellStyle name="Normal 2 2 2 2 2 2 10 2 3" xfId="10468" xr:uid="{00000000-0005-0000-0000-0000DB280000}"/>
    <cellStyle name="Normal 2 2 2 2 2 2 10 2 4" xfId="10469" xr:uid="{00000000-0005-0000-0000-0000DC280000}"/>
    <cellStyle name="Normal 2 2 2 2 2 2 10 2 5" xfId="10470" xr:uid="{00000000-0005-0000-0000-0000DD280000}"/>
    <cellStyle name="Normal 2 2 2 2 2 2 10 2 6" xfId="10471" xr:uid="{00000000-0005-0000-0000-0000DE280000}"/>
    <cellStyle name="Normal 2 2 2 2 2 2 10 2 7" xfId="10472" xr:uid="{00000000-0005-0000-0000-0000DF280000}"/>
    <cellStyle name="Normal 2 2 2 2 2 2 10 2 8" xfId="10473" xr:uid="{00000000-0005-0000-0000-0000E0280000}"/>
    <cellStyle name="Normal 2 2 2 2 2 2 10 2 9" xfId="10474" xr:uid="{00000000-0005-0000-0000-0000E1280000}"/>
    <cellStyle name="Normal 2 2 2 2 2 2 10 3" xfId="10475" xr:uid="{00000000-0005-0000-0000-0000E2280000}"/>
    <cellStyle name="Normal 2 2 2 2 2 2 10 3 10" xfId="10476" xr:uid="{00000000-0005-0000-0000-0000E3280000}"/>
    <cellStyle name="Normal 2 2 2 2 2 2 10 3 2" xfId="10477" xr:uid="{00000000-0005-0000-0000-0000E4280000}"/>
    <cellStyle name="Normal 2 2 2 2 2 2 10 3 3" xfId="10478" xr:uid="{00000000-0005-0000-0000-0000E5280000}"/>
    <cellStyle name="Normal 2 2 2 2 2 2 10 3 4" xfId="10479" xr:uid="{00000000-0005-0000-0000-0000E6280000}"/>
    <cellStyle name="Normal 2 2 2 2 2 2 10 3 5" xfId="10480" xr:uid="{00000000-0005-0000-0000-0000E7280000}"/>
    <cellStyle name="Normal 2 2 2 2 2 2 10 3 6" xfId="10481" xr:uid="{00000000-0005-0000-0000-0000E8280000}"/>
    <cellStyle name="Normal 2 2 2 2 2 2 10 3 7" xfId="10482" xr:uid="{00000000-0005-0000-0000-0000E9280000}"/>
    <cellStyle name="Normal 2 2 2 2 2 2 10 3 8" xfId="10483" xr:uid="{00000000-0005-0000-0000-0000EA280000}"/>
    <cellStyle name="Normal 2 2 2 2 2 2 10 3 9" xfId="10484" xr:uid="{00000000-0005-0000-0000-0000EB280000}"/>
    <cellStyle name="Normal 2 2 2 2 2 2 10 4" xfId="10485" xr:uid="{00000000-0005-0000-0000-0000EC280000}"/>
    <cellStyle name="Normal 2 2 2 2 2 2 10 4 10" xfId="10486" xr:uid="{00000000-0005-0000-0000-0000ED280000}"/>
    <cellStyle name="Normal 2 2 2 2 2 2 10 4 2" xfId="10487" xr:uid="{00000000-0005-0000-0000-0000EE280000}"/>
    <cellStyle name="Normal 2 2 2 2 2 2 10 4 3" xfId="10488" xr:uid="{00000000-0005-0000-0000-0000EF280000}"/>
    <cellStyle name="Normal 2 2 2 2 2 2 10 4 4" xfId="10489" xr:uid="{00000000-0005-0000-0000-0000F0280000}"/>
    <cellStyle name="Normal 2 2 2 2 2 2 10 4 5" xfId="10490" xr:uid="{00000000-0005-0000-0000-0000F1280000}"/>
    <cellStyle name="Normal 2 2 2 2 2 2 10 4 6" xfId="10491" xr:uid="{00000000-0005-0000-0000-0000F2280000}"/>
    <cellStyle name="Normal 2 2 2 2 2 2 10 4 7" xfId="10492" xr:uid="{00000000-0005-0000-0000-0000F3280000}"/>
    <cellStyle name="Normal 2 2 2 2 2 2 10 4 8" xfId="10493" xr:uid="{00000000-0005-0000-0000-0000F4280000}"/>
    <cellStyle name="Normal 2 2 2 2 2 2 10 4 9" xfId="10494" xr:uid="{00000000-0005-0000-0000-0000F5280000}"/>
    <cellStyle name="Normal 2 2 2 2 2 2 10 5" xfId="10495" xr:uid="{00000000-0005-0000-0000-0000F6280000}"/>
    <cellStyle name="Normal 2 2 2 2 2 2 10 5 10" xfId="10496" xr:uid="{00000000-0005-0000-0000-0000F7280000}"/>
    <cellStyle name="Normal 2 2 2 2 2 2 10 5 2" xfId="10497" xr:uid="{00000000-0005-0000-0000-0000F8280000}"/>
    <cellStyle name="Normal 2 2 2 2 2 2 10 5 3" xfId="10498" xr:uid="{00000000-0005-0000-0000-0000F9280000}"/>
    <cellStyle name="Normal 2 2 2 2 2 2 10 5 4" xfId="10499" xr:uid="{00000000-0005-0000-0000-0000FA280000}"/>
    <cellStyle name="Normal 2 2 2 2 2 2 10 5 5" xfId="10500" xr:uid="{00000000-0005-0000-0000-0000FB280000}"/>
    <cellStyle name="Normal 2 2 2 2 2 2 10 5 6" xfId="10501" xr:uid="{00000000-0005-0000-0000-0000FC280000}"/>
    <cellStyle name="Normal 2 2 2 2 2 2 10 5 7" xfId="10502" xr:uid="{00000000-0005-0000-0000-0000FD280000}"/>
    <cellStyle name="Normal 2 2 2 2 2 2 10 5 8" xfId="10503" xr:uid="{00000000-0005-0000-0000-0000FE280000}"/>
    <cellStyle name="Normal 2 2 2 2 2 2 10 5 9" xfId="10504" xr:uid="{00000000-0005-0000-0000-0000FF280000}"/>
    <cellStyle name="Normal 2 2 2 2 2 2 10 6" xfId="10505" xr:uid="{00000000-0005-0000-0000-000000290000}"/>
    <cellStyle name="Normal 2 2 2 2 2 2 10 7" xfId="10506" xr:uid="{00000000-0005-0000-0000-000001290000}"/>
    <cellStyle name="Normal 2 2 2 2 2 2 10 8" xfId="10507" xr:uid="{00000000-0005-0000-0000-000002290000}"/>
    <cellStyle name="Normal 2 2 2 2 2 2 10 9" xfId="10508" xr:uid="{00000000-0005-0000-0000-000003290000}"/>
    <cellStyle name="Normal 2 2 2 2 2 2 11" xfId="10509" xr:uid="{00000000-0005-0000-0000-000004290000}"/>
    <cellStyle name="Normal 2 2 2 2 2 2 11 10" xfId="10510" xr:uid="{00000000-0005-0000-0000-000005290000}"/>
    <cellStyle name="Normal 2 2 2 2 2 2 11 11" xfId="10511" xr:uid="{00000000-0005-0000-0000-000006290000}"/>
    <cellStyle name="Normal 2 2 2 2 2 2 11 12" xfId="10512" xr:uid="{00000000-0005-0000-0000-000007290000}"/>
    <cellStyle name="Normal 2 2 2 2 2 2 11 13" xfId="10513" xr:uid="{00000000-0005-0000-0000-000008290000}"/>
    <cellStyle name="Normal 2 2 2 2 2 2 11 14" xfId="10514" xr:uid="{00000000-0005-0000-0000-000009290000}"/>
    <cellStyle name="Normal 2 2 2 2 2 2 11 2" xfId="10515" xr:uid="{00000000-0005-0000-0000-00000A290000}"/>
    <cellStyle name="Normal 2 2 2 2 2 2 11 2 10" xfId="10516" xr:uid="{00000000-0005-0000-0000-00000B290000}"/>
    <cellStyle name="Normal 2 2 2 2 2 2 11 2 2" xfId="10517" xr:uid="{00000000-0005-0000-0000-00000C290000}"/>
    <cellStyle name="Normal 2 2 2 2 2 2 11 2 3" xfId="10518" xr:uid="{00000000-0005-0000-0000-00000D290000}"/>
    <cellStyle name="Normal 2 2 2 2 2 2 11 2 4" xfId="10519" xr:uid="{00000000-0005-0000-0000-00000E290000}"/>
    <cellStyle name="Normal 2 2 2 2 2 2 11 2 5" xfId="10520" xr:uid="{00000000-0005-0000-0000-00000F290000}"/>
    <cellStyle name="Normal 2 2 2 2 2 2 11 2 6" xfId="10521" xr:uid="{00000000-0005-0000-0000-000010290000}"/>
    <cellStyle name="Normal 2 2 2 2 2 2 11 2 7" xfId="10522" xr:uid="{00000000-0005-0000-0000-000011290000}"/>
    <cellStyle name="Normal 2 2 2 2 2 2 11 2 8" xfId="10523" xr:uid="{00000000-0005-0000-0000-000012290000}"/>
    <cellStyle name="Normal 2 2 2 2 2 2 11 2 9" xfId="10524" xr:uid="{00000000-0005-0000-0000-000013290000}"/>
    <cellStyle name="Normal 2 2 2 2 2 2 11 3" xfId="10525" xr:uid="{00000000-0005-0000-0000-000014290000}"/>
    <cellStyle name="Normal 2 2 2 2 2 2 11 3 10" xfId="10526" xr:uid="{00000000-0005-0000-0000-000015290000}"/>
    <cellStyle name="Normal 2 2 2 2 2 2 11 3 2" xfId="10527" xr:uid="{00000000-0005-0000-0000-000016290000}"/>
    <cellStyle name="Normal 2 2 2 2 2 2 11 3 3" xfId="10528" xr:uid="{00000000-0005-0000-0000-000017290000}"/>
    <cellStyle name="Normal 2 2 2 2 2 2 11 3 4" xfId="10529" xr:uid="{00000000-0005-0000-0000-000018290000}"/>
    <cellStyle name="Normal 2 2 2 2 2 2 11 3 5" xfId="10530" xr:uid="{00000000-0005-0000-0000-000019290000}"/>
    <cellStyle name="Normal 2 2 2 2 2 2 11 3 6" xfId="10531" xr:uid="{00000000-0005-0000-0000-00001A290000}"/>
    <cellStyle name="Normal 2 2 2 2 2 2 11 3 7" xfId="10532" xr:uid="{00000000-0005-0000-0000-00001B290000}"/>
    <cellStyle name="Normal 2 2 2 2 2 2 11 3 8" xfId="10533" xr:uid="{00000000-0005-0000-0000-00001C290000}"/>
    <cellStyle name="Normal 2 2 2 2 2 2 11 3 9" xfId="10534" xr:uid="{00000000-0005-0000-0000-00001D290000}"/>
    <cellStyle name="Normal 2 2 2 2 2 2 11 4" xfId="10535" xr:uid="{00000000-0005-0000-0000-00001E290000}"/>
    <cellStyle name="Normal 2 2 2 2 2 2 11 4 10" xfId="10536" xr:uid="{00000000-0005-0000-0000-00001F290000}"/>
    <cellStyle name="Normal 2 2 2 2 2 2 11 4 2" xfId="10537" xr:uid="{00000000-0005-0000-0000-000020290000}"/>
    <cellStyle name="Normal 2 2 2 2 2 2 11 4 3" xfId="10538" xr:uid="{00000000-0005-0000-0000-000021290000}"/>
    <cellStyle name="Normal 2 2 2 2 2 2 11 4 4" xfId="10539" xr:uid="{00000000-0005-0000-0000-000022290000}"/>
    <cellStyle name="Normal 2 2 2 2 2 2 11 4 5" xfId="10540" xr:uid="{00000000-0005-0000-0000-000023290000}"/>
    <cellStyle name="Normal 2 2 2 2 2 2 11 4 6" xfId="10541" xr:uid="{00000000-0005-0000-0000-000024290000}"/>
    <cellStyle name="Normal 2 2 2 2 2 2 11 4 7" xfId="10542" xr:uid="{00000000-0005-0000-0000-000025290000}"/>
    <cellStyle name="Normal 2 2 2 2 2 2 11 4 8" xfId="10543" xr:uid="{00000000-0005-0000-0000-000026290000}"/>
    <cellStyle name="Normal 2 2 2 2 2 2 11 4 9" xfId="10544" xr:uid="{00000000-0005-0000-0000-000027290000}"/>
    <cellStyle name="Normal 2 2 2 2 2 2 11 5" xfId="10545" xr:uid="{00000000-0005-0000-0000-000028290000}"/>
    <cellStyle name="Normal 2 2 2 2 2 2 11 5 10" xfId="10546" xr:uid="{00000000-0005-0000-0000-000029290000}"/>
    <cellStyle name="Normal 2 2 2 2 2 2 11 5 2" xfId="10547" xr:uid="{00000000-0005-0000-0000-00002A290000}"/>
    <cellStyle name="Normal 2 2 2 2 2 2 11 5 3" xfId="10548" xr:uid="{00000000-0005-0000-0000-00002B290000}"/>
    <cellStyle name="Normal 2 2 2 2 2 2 11 5 4" xfId="10549" xr:uid="{00000000-0005-0000-0000-00002C290000}"/>
    <cellStyle name="Normal 2 2 2 2 2 2 11 5 5" xfId="10550" xr:uid="{00000000-0005-0000-0000-00002D290000}"/>
    <cellStyle name="Normal 2 2 2 2 2 2 11 5 6" xfId="10551" xr:uid="{00000000-0005-0000-0000-00002E290000}"/>
    <cellStyle name="Normal 2 2 2 2 2 2 11 5 7" xfId="10552" xr:uid="{00000000-0005-0000-0000-00002F290000}"/>
    <cellStyle name="Normal 2 2 2 2 2 2 11 5 8" xfId="10553" xr:uid="{00000000-0005-0000-0000-000030290000}"/>
    <cellStyle name="Normal 2 2 2 2 2 2 11 5 9" xfId="10554" xr:uid="{00000000-0005-0000-0000-000031290000}"/>
    <cellStyle name="Normal 2 2 2 2 2 2 11 6" xfId="10555" xr:uid="{00000000-0005-0000-0000-000032290000}"/>
    <cellStyle name="Normal 2 2 2 2 2 2 11 7" xfId="10556" xr:uid="{00000000-0005-0000-0000-000033290000}"/>
    <cellStyle name="Normal 2 2 2 2 2 2 11 8" xfId="10557" xr:uid="{00000000-0005-0000-0000-000034290000}"/>
    <cellStyle name="Normal 2 2 2 2 2 2 11 9" xfId="10558" xr:uid="{00000000-0005-0000-0000-000035290000}"/>
    <cellStyle name="Normal 2 2 2 2 2 2 12" xfId="10559" xr:uid="{00000000-0005-0000-0000-000036290000}"/>
    <cellStyle name="Normal 2 2 2 2 2 2 12 10" xfId="10560" xr:uid="{00000000-0005-0000-0000-000037290000}"/>
    <cellStyle name="Normal 2 2 2 2 2 2 12 11" xfId="10561" xr:uid="{00000000-0005-0000-0000-000038290000}"/>
    <cellStyle name="Normal 2 2 2 2 2 2 12 12" xfId="10562" xr:uid="{00000000-0005-0000-0000-000039290000}"/>
    <cellStyle name="Normal 2 2 2 2 2 2 12 13" xfId="10563" xr:uid="{00000000-0005-0000-0000-00003A290000}"/>
    <cellStyle name="Normal 2 2 2 2 2 2 12 14" xfId="10564" xr:uid="{00000000-0005-0000-0000-00003B290000}"/>
    <cellStyle name="Normal 2 2 2 2 2 2 12 2" xfId="10565" xr:uid="{00000000-0005-0000-0000-00003C290000}"/>
    <cellStyle name="Normal 2 2 2 2 2 2 12 2 10" xfId="10566" xr:uid="{00000000-0005-0000-0000-00003D290000}"/>
    <cellStyle name="Normal 2 2 2 2 2 2 12 2 2" xfId="10567" xr:uid="{00000000-0005-0000-0000-00003E290000}"/>
    <cellStyle name="Normal 2 2 2 2 2 2 12 2 3" xfId="10568" xr:uid="{00000000-0005-0000-0000-00003F290000}"/>
    <cellStyle name="Normal 2 2 2 2 2 2 12 2 4" xfId="10569" xr:uid="{00000000-0005-0000-0000-000040290000}"/>
    <cellStyle name="Normal 2 2 2 2 2 2 12 2 5" xfId="10570" xr:uid="{00000000-0005-0000-0000-000041290000}"/>
    <cellStyle name="Normal 2 2 2 2 2 2 12 2 6" xfId="10571" xr:uid="{00000000-0005-0000-0000-000042290000}"/>
    <cellStyle name="Normal 2 2 2 2 2 2 12 2 7" xfId="10572" xr:uid="{00000000-0005-0000-0000-000043290000}"/>
    <cellStyle name="Normal 2 2 2 2 2 2 12 2 8" xfId="10573" xr:uid="{00000000-0005-0000-0000-000044290000}"/>
    <cellStyle name="Normal 2 2 2 2 2 2 12 2 9" xfId="10574" xr:uid="{00000000-0005-0000-0000-000045290000}"/>
    <cellStyle name="Normal 2 2 2 2 2 2 12 3" xfId="10575" xr:uid="{00000000-0005-0000-0000-000046290000}"/>
    <cellStyle name="Normal 2 2 2 2 2 2 12 3 10" xfId="10576" xr:uid="{00000000-0005-0000-0000-000047290000}"/>
    <cellStyle name="Normal 2 2 2 2 2 2 12 3 2" xfId="10577" xr:uid="{00000000-0005-0000-0000-000048290000}"/>
    <cellStyle name="Normal 2 2 2 2 2 2 12 3 3" xfId="10578" xr:uid="{00000000-0005-0000-0000-000049290000}"/>
    <cellStyle name="Normal 2 2 2 2 2 2 12 3 4" xfId="10579" xr:uid="{00000000-0005-0000-0000-00004A290000}"/>
    <cellStyle name="Normal 2 2 2 2 2 2 12 3 5" xfId="10580" xr:uid="{00000000-0005-0000-0000-00004B290000}"/>
    <cellStyle name="Normal 2 2 2 2 2 2 12 3 6" xfId="10581" xr:uid="{00000000-0005-0000-0000-00004C290000}"/>
    <cellStyle name="Normal 2 2 2 2 2 2 12 3 7" xfId="10582" xr:uid="{00000000-0005-0000-0000-00004D290000}"/>
    <cellStyle name="Normal 2 2 2 2 2 2 12 3 8" xfId="10583" xr:uid="{00000000-0005-0000-0000-00004E290000}"/>
    <cellStyle name="Normal 2 2 2 2 2 2 12 3 9" xfId="10584" xr:uid="{00000000-0005-0000-0000-00004F290000}"/>
    <cellStyle name="Normal 2 2 2 2 2 2 12 4" xfId="10585" xr:uid="{00000000-0005-0000-0000-000050290000}"/>
    <cellStyle name="Normal 2 2 2 2 2 2 12 4 10" xfId="10586" xr:uid="{00000000-0005-0000-0000-000051290000}"/>
    <cellStyle name="Normal 2 2 2 2 2 2 12 4 2" xfId="10587" xr:uid="{00000000-0005-0000-0000-000052290000}"/>
    <cellStyle name="Normal 2 2 2 2 2 2 12 4 3" xfId="10588" xr:uid="{00000000-0005-0000-0000-000053290000}"/>
    <cellStyle name="Normal 2 2 2 2 2 2 12 4 4" xfId="10589" xr:uid="{00000000-0005-0000-0000-000054290000}"/>
    <cellStyle name="Normal 2 2 2 2 2 2 12 4 5" xfId="10590" xr:uid="{00000000-0005-0000-0000-000055290000}"/>
    <cellStyle name="Normal 2 2 2 2 2 2 12 4 6" xfId="10591" xr:uid="{00000000-0005-0000-0000-000056290000}"/>
    <cellStyle name="Normal 2 2 2 2 2 2 12 4 7" xfId="10592" xr:uid="{00000000-0005-0000-0000-000057290000}"/>
    <cellStyle name="Normal 2 2 2 2 2 2 12 4 8" xfId="10593" xr:uid="{00000000-0005-0000-0000-000058290000}"/>
    <cellStyle name="Normal 2 2 2 2 2 2 12 4 9" xfId="10594" xr:uid="{00000000-0005-0000-0000-000059290000}"/>
    <cellStyle name="Normal 2 2 2 2 2 2 12 5" xfId="10595" xr:uid="{00000000-0005-0000-0000-00005A290000}"/>
    <cellStyle name="Normal 2 2 2 2 2 2 12 5 10" xfId="10596" xr:uid="{00000000-0005-0000-0000-00005B290000}"/>
    <cellStyle name="Normal 2 2 2 2 2 2 12 5 2" xfId="10597" xr:uid="{00000000-0005-0000-0000-00005C290000}"/>
    <cellStyle name="Normal 2 2 2 2 2 2 12 5 3" xfId="10598" xr:uid="{00000000-0005-0000-0000-00005D290000}"/>
    <cellStyle name="Normal 2 2 2 2 2 2 12 5 4" xfId="10599" xr:uid="{00000000-0005-0000-0000-00005E290000}"/>
    <cellStyle name="Normal 2 2 2 2 2 2 12 5 5" xfId="10600" xr:uid="{00000000-0005-0000-0000-00005F290000}"/>
    <cellStyle name="Normal 2 2 2 2 2 2 12 5 6" xfId="10601" xr:uid="{00000000-0005-0000-0000-000060290000}"/>
    <cellStyle name="Normal 2 2 2 2 2 2 12 5 7" xfId="10602" xr:uid="{00000000-0005-0000-0000-000061290000}"/>
    <cellStyle name="Normal 2 2 2 2 2 2 12 5 8" xfId="10603" xr:uid="{00000000-0005-0000-0000-000062290000}"/>
    <cellStyle name="Normal 2 2 2 2 2 2 12 5 9" xfId="10604" xr:uid="{00000000-0005-0000-0000-000063290000}"/>
    <cellStyle name="Normal 2 2 2 2 2 2 12 6" xfId="10605" xr:uid="{00000000-0005-0000-0000-000064290000}"/>
    <cellStyle name="Normal 2 2 2 2 2 2 12 7" xfId="10606" xr:uid="{00000000-0005-0000-0000-000065290000}"/>
    <cellStyle name="Normal 2 2 2 2 2 2 12 8" xfId="10607" xr:uid="{00000000-0005-0000-0000-000066290000}"/>
    <cellStyle name="Normal 2 2 2 2 2 2 12 9" xfId="10608" xr:uid="{00000000-0005-0000-0000-000067290000}"/>
    <cellStyle name="Normal 2 2 2 2 2 2 13" xfId="10609" xr:uid="{00000000-0005-0000-0000-000068290000}"/>
    <cellStyle name="Normal 2 2 2 2 2 2 13 10" xfId="10610" xr:uid="{00000000-0005-0000-0000-000069290000}"/>
    <cellStyle name="Normal 2 2 2 2 2 2 13 11" xfId="10611" xr:uid="{00000000-0005-0000-0000-00006A290000}"/>
    <cellStyle name="Normal 2 2 2 2 2 2 13 12" xfId="10612" xr:uid="{00000000-0005-0000-0000-00006B290000}"/>
    <cellStyle name="Normal 2 2 2 2 2 2 13 13" xfId="10613" xr:uid="{00000000-0005-0000-0000-00006C290000}"/>
    <cellStyle name="Normal 2 2 2 2 2 2 13 14" xfId="10614" xr:uid="{00000000-0005-0000-0000-00006D290000}"/>
    <cellStyle name="Normal 2 2 2 2 2 2 13 2" xfId="10615" xr:uid="{00000000-0005-0000-0000-00006E290000}"/>
    <cellStyle name="Normal 2 2 2 2 2 2 13 2 10" xfId="10616" xr:uid="{00000000-0005-0000-0000-00006F290000}"/>
    <cellStyle name="Normal 2 2 2 2 2 2 13 2 2" xfId="10617" xr:uid="{00000000-0005-0000-0000-000070290000}"/>
    <cellStyle name="Normal 2 2 2 2 2 2 13 2 3" xfId="10618" xr:uid="{00000000-0005-0000-0000-000071290000}"/>
    <cellStyle name="Normal 2 2 2 2 2 2 13 2 4" xfId="10619" xr:uid="{00000000-0005-0000-0000-000072290000}"/>
    <cellStyle name="Normal 2 2 2 2 2 2 13 2 5" xfId="10620" xr:uid="{00000000-0005-0000-0000-000073290000}"/>
    <cellStyle name="Normal 2 2 2 2 2 2 13 2 6" xfId="10621" xr:uid="{00000000-0005-0000-0000-000074290000}"/>
    <cellStyle name="Normal 2 2 2 2 2 2 13 2 7" xfId="10622" xr:uid="{00000000-0005-0000-0000-000075290000}"/>
    <cellStyle name="Normal 2 2 2 2 2 2 13 2 8" xfId="10623" xr:uid="{00000000-0005-0000-0000-000076290000}"/>
    <cellStyle name="Normal 2 2 2 2 2 2 13 2 9" xfId="10624" xr:uid="{00000000-0005-0000-0000-000077290000}"/>
    <cellStyle name="Normal 2 2 2 2 2 2 13 3" xfId="10625" xr:uid="{00000000-0005-0000-0000-000078290000}"/>
    <cellStyle name="Normal 2 2 2 2 2 2 13 3 10" xfId="10626" xr:uid="{00000000-0005-0000-0000-000079290000}"/>
    <cellStyle name="Normal 2 2 2 2 2 2 13 3 2" xfId="10627" xr:uid="{00000000-0005-0000-0000-00007A290000}"/>
    <cellStyle name="Normal 2 2 2 2 2 2 13 3 3" xfId="10628" xr:uid="{00000000-0005-0000-0000-00007B290000}"/>
    <cellStyle name="Normal 2 2 2 2 2 2 13 3 4" xfId="10629" xr:uid="{00000000-0005-0000-0000-00007C290000}"/>
    <cellStyle name="Normal 2 2 2 2 2 2 13 3 5" xfId="10630" xr:uid="{00000000-0005-0000-0000-00007D290000}"/>
    <cellStyle name="Normal 2 2 2 2 2 2 13 3 6" xfId="10631" xr:uid="{00000000-0005-0000-0000-00007E290000}"/>
    <cellStyle name="Normal 2 2 2 2 2 2 13 3 7" xfId="10632" xr:uid="{00000000-0005-0000-0000-00007F290000}"/>
    <cellStyle name="Normal 2 2 2 2 2 2 13 3 8" xfId="10633" xr:uid="{00000000-0005-0000-0000-000080290000}"/>
    <cellStyle name="Normal 2 2 2 2 2 2 13 3 9" xfId="10634" xr:uid="{00000000-0005-0000-0000-000081290000}"/>
    <cellStyle name="Normal 2 2 2 2 2 2 13 4" xfId="10635" xr:uid="{00000000-0005-0000-0000-000082290000}"/>
    <cellStyle name="Normal 2 2 2 2 2 2 13 4 10" xfId="10636" xr:uid="{00000000-0005-0000-0000-000083290000}"/>
    <cellStyle name="Normal 2 2 2 2 2 2 13 4 2" xfId="10637" xr:uid="{00000000-0005-0000-0000-000084290000}"/>
    <cellStyle name="Normal 2 2 2 2 2 2 13 4 3" xfId="10638" xr:uid="{00000000-0005-0000-0000-000085290000}"/>
    <cellStyle name="Normal 2 2 2 2 2 2 13 4 4" xfId="10639" xr:uid="{00000000-0005-0000-0000-000086290000}"/>
    <cellStyle name="Normal 2 2 2 2 2 2 13 4 5" xfId="10640" xr:uid="{00000000-0005-0000-0000-000087290000}"/>
    <cellStyle name="Normal 2 2 2 2 2 2 13 4 6" xfId="10641" xr:uid="{00000000-0005-0000-0000-000088290000}"/>
    <cellStyle name="Normal 2 2 2 2 2 2 13 4 7" xfId="10642" xr:uid="{00000000-0005-0000-0000-000089290000}"/>
    <cellStyle name="Normal 2 2 2 2 2 2 13 4 8" xfId="10643" xr:uid="{00000000-0005-0000-0000-00008A290000}"/>
    <cellStyle name="Normal 2 2 2 2 2 2 13 4 9" xfId="10644" xr:uid="{00000000-0005-0000-0000-00008B290000}"/>
    <cellStyle name="Normal 2 2 2 2 2 2 13 5" xfId="10645" xr:uid="{00000000-0005-0000-0000-00008C290000}"/>
    <cellStyle name="Normal 2 2 2 2 2 2 13 5 10" xfId="10646" xr:uid="{00000000-0005-0000-0000-00008D290000}"/>
    <cellStyle name="Normal 2 2 2 2 2 2 13 5 2" xfId="10647" xr:uid="{00000000-0005-0000-0000-00008E290000}"/>
    <cellStyle name="Normal 2 2 2 2 2 2 13 5 3" xfId="10648" xr:uid="{00000000-0005-0000-0000-00008F290000}"/>
    <cellStyle name="Normal 2 2 2 2 2 2 13 5 4" xfId="10649" xr:uid="{00000000-0005-0000-0000-000090290000}"/>
    <cellStyle name="Normal 2 2 2 2 2 2 13 5 5" xfId="10650" xr:uid="{00000000-0005-0000-0000-000091290000}"/>
    <cellStyle name="Normal 2 2 2 2 2 2 13 5 6" xfId="10651" xr:uid="{00000000-0005-0000-0000-000092290000}"/>
    <cellStyle name="Normal 2 2 2 2 2 2 13 5 7" xfId="10652" xr:uid="{00000000-0005-0000-0000-000093290000}"/>
    <cellStyle name="Normal 2 2 2 2 2 2 13 5 8" xfId="10653" xr:uid="{00000000-0005-0000-0000-000094290000}"/>
    <cellStyle name="Normal 2 2 2 2 2 2 13 5 9" xfId="10654" xr:uid="{00000000-0005-0000-0000-000095290000}"/>
    <cellStyle name="Normal 2 2 2 2 2 2 13 6" xfId="10655" xr:uid="{00000000-0005-0000-0000-000096290000}"/>
    <cellStyle name="Normal 2 2 2 2 2 2 13 7" xfId="10656" xr:uid="{00000000-0005-0000-0000-000097290000}"/>
    <cellStyle name="Normal 2 2 2 2 2 2 13 8" xfId="10657" xr:uid="{00000000-0005-0000-0000-000098290000}"/>
    <cellStyle name="Normal 2 2 2 2 2 2 13 9" xfId="10658" xr:uid="{00000000-0005-0000-0000-000099290000}"/>
    <cellStyle name="Normal 2 2 2 2 2 2 14" xfId="10659" xr:uid="{00000000-0005-0000-0000-00009A290000}"/>
    <cellStyle name="Normal 2 2 2 2 2 2 14 10" xfId="10660" xr:uid="{00000000-0005-0000-0000-00009B290000}"/>
    <cellStyle name="Normal 2 2 2 2 2 2 14 11" xfId="10661" xr:uid="{00000000-0005-0000-0000-00009C290000}"/>
    <cellStyle name="Normal 2 2 2 2 2 2 14 12" xfId="10662" xr:uid="{00000000-0005-0000-0000-00009D290000}"/>
    <cellStyle name="Normal 2 2 2 2 2 2 14 13" xfId="10663" xr:uid="{00000000-0005-0000-0000-00009E290000}"/>
    <cellStyle name="Normal 2 2 2 2 2 2 14 14" xfId="10664" xr:uid="{00000000-0005-0000-0000-00009F290000}"/>
    <cellStyle name="Normal 2 2 2 2 2 2 14 2" xfId="10665" xr:uid="{00000000-0005-0000-0000-0000A0290000}"/>
    <cellStyle name="Normal 2 2 2 2 2 2 14 2 10" xfId="10666" xr:uid="{00000000-0005-0000-0000-0000A1290000}"/>
    <cellStyle name="Normal 2 2 2 2 2 2 14 2 2" xfId="10667" xr:uid="{00000000-0005-0000-0000-0000A2290000}"/>
    <cellStyle name="Normal 2 2 2 2 2 2 14 2 3" xfId="10668" xr:uid="{00000000-0005-0000-0000-0000A3290000}"/>
    <cellStyle name="Normal 2 2 2 2 2 2 14 2 4" xfId="10669" xr:uid="{00000000-0005-0000-0000-0000A4290000}"/>
    <cellStyle name="Normal 2 2 2 2 2 2 14 2 5" xfId="10670" xr:uid="{00000000-0005-0000-0000-0000A5290000}"/>
    <cellStyle name="Normal 2 2 2 2 2 2 14 2 6" xfId="10671" xr:uid="{00000000-0005-0000-0000-0000A6290000}"/>
    <cellStyle name="Normal 2 2 2 2 2 2 14 2 7" xfId="10672" xr:uid="{00000000-0005-0000-0000-0000A7290000}"/>
    <cellStyle name="Normal 2 2 2 2 2 2 14 2 8" xfId="10673" xr:uid="{00000000-0005-0000-0000-0000A8290000}"/>
    <cellStyle name="Normal 2 2 2 2 2 2 14 2 9" xfId="10674" xr:uid="{00000000-0005-0000-0000-0000A9290000}"/>
    <cellStyle name="Normal 2 2 2 2 2 2 14 3" xfId="10675" xr:uid="{00000000-0005-0000-0000-0000AA290000}"/>
    <cellStyle name="Normal 2 2 2 2 2 2 14 3 10" xfId="10676" xr:uid="{00000000-0005-0000-0000-0000AB290000}"/>
    <cellStyle name="Normal 2 2 2 2 2 2 14 3 2" xfId="10677" xr:uid="{00000000-0005-0000-0000-0000AC290000}"/>
    <cellStyle name="Normal 2 2 2 2 2 2 14 3 3" xfId="10678" xr:uid="{00000000-0005-0000-0000-0000AD290000}"/>
    <cellStyle name="Normal 2 2 2 2 2 2 14 3 4" xfId="10679" xr:uid="{00000000-0005-0000-0000-0000AE290000}"/>
    <cellStyle name="Normal 2 2 2 2 2 2 14 3 5" xfId="10680" xr:uid="{00000000-0005-0000-0000-0000AF290000}"/>
    <cellStyle name="Normal 2 2 2 2 2 2 14 3 6" xfId="10681" xr:uid="{00000000-0005-0000-0000-0000B0290000}"/>
    <cellStyle name="Normal 2 2 2 2 2 2 14 3 7" xfId="10682" xr:uid="{00000000-0005-0000-0000-0000B1290000}"/>
    <cellStyle name="Normal 2 2 2 2 2 2 14 3 8" xfId="10683" xr:uid="{00000000-0005-0000-0000-0000B2290000}"/>
    <cellStyle name="Normal 2 2 2 2 2 2 14 3 9" xfId="10684" xr:uid="{00000000-0005-0000-0000-0000B3290000}"/>
    <cellStyle name="Normal 2 2 2 2 2 2 14 4" xfId="10685" xr:uid="{00000000-0005-0000-0000-0000B4290000}"/>
    <cellStyle name="Normal 2 2 2 2 2 2 14 4 10" xfId="10686" xr:uid="{00000000-0005-0000-0000-0000B5290000}"/>
    <cellStyle name="Normal 2 2 2 2 2 2 14 4 2" xfId="10687" xr:uid="{00000000-0005-0000-0000-0000B6290000}"/>
    <cellStyle name="Normal 2 2 2 2 2 2 14 4 3" xfId="10688" xr:uid="{00000000-0005-0000-0000-0000B7290000}"/>
    <cellStyle name="Normal 2 2 2 2 2 2 14 4 4" xfId="10689" xr:uid="{00000000-0005-0000-0000-0000B8290000}"/>
    <cellStyle name="Normal 2 2 2 2 2 2 14 4 5" xfId="10690" xr:uid="{00000000-0005-0000-0000-0000B9290000}"/>
    <cellStyle name="Normal 2 2 2 2 2 2 14 4 6" xfId="10691" xr:uid="{00000000-0005-0000-0000-0000BA290000}"/>
    <cellStyle name="Normal 2 2 2 2 2 2 14 4 7" xfId="10692" xr:uid="{00000000-0005-0000-0000-0000BB290000}"/>
    <cellStyle name="Normal 2 2 2 2 2 2 14 4 8" xfId="10693" xr:uid="{00000000-0005-0000-0000-0000BC290000}"/>
    <cellStyle name="Normal 2 2 2 2 2 2 14 4 9" xfId="10694" xr:uid="{00000000-0005-0000-0000-0000BD290000}"/>
    <cellStyle name="Normal 2 2 2 2 2 2 14 5" xfId="10695" xr:uid="{00000000-0005-0000-0000-0000BE290000}"/>
    <cellStyle name="Normal 2 2 2 2 2 2 14 5 10" xfId="10696" xr:uid="{00000000-0005-0000-0000-0000BF290000}"/>
    <cellStyle name="Normal 2 2 2 2 2 2 14 5 2" xfId="10697" xr:uid="{00000000-0005-0000-0000-0000C0290000}"/>
    <cellStyle name="Normal 2 2 2 2 2 2 14 5 3" xfId="10698" xr:uid="{00000000-0005-0000-0000-0000C1290000}"/>
    <cellStyle name="Normal 2 2 2 2 2 2 14 5 4" xfId="10699" xr:uid="{00000000-0005-0000-0000-0000C2290000}"/>
    <cellStyle name="Normal 2 2 2 2 2 2 14 5 5" xfId="10700" xr:uid="{00000000-0005-0000-0000-0000C3290000}"/>
    <cellStyle name="Normal 2 2 2 2 2 2 14 5 6" xfId="10701" xr:uid="{00000000-0005-0000-0000-0000C4290000}"/>
    <cellStyle name="Normal 2 2 2 2 2 2 14 5 7" xfId="10702" xr:uid="{00000000-0005-0000-0000-0000C5290000}"/>
    <cellStyle name="Normal 2 2 2 2 2 2 14 5 8" xfId="10703" xr:uid="{00000000-0005-0000-0000-0000C6290000}"/>
    <cellStyle name="Normal 2 2 2 2 2 2 14 5 9" xfId="10704" xr:uid="{00000000-0005-0000-0000-0000C7290000}"/>
    <cellStyle name="Normal 2 2 2 2 2 2 14 6" xfId="10705" xr:uid="{00000000-0005-0000-0000-0000C8290000}"/>
    <cellStyle name="Normal 2 2 2 2 2 2 14 7" xfId="10706" xr:uid="{00000000-0005-0000-0000-0000C9290000}"/>
    <cellStyle name="Normal 2 2 2 2 2 2 14 8" xfId="10707" xr:uid="{00000000-0005-0000-0000-0000CA290000}"/>
    <cellStyle name="Normal 2 2 2 2 2 2 14 9" xfId="10708" xr:uid="{00000000-0005-0000-0000-0000CB290000}"/>
    <cellStyle name="Normal 2 2 2 2 2 2 15" xfId="10709" xr:uid="{00000000-0005-0000-0000-0000CC290000}"/>
    <cellStyle name="Normal 2 2 2 2 2 2 15 10" xfId="10710" xr:uid="{00000000-0005-0000-0000-0000CD290000}"/>
    <cellStyle name="Normal 2 2 2 2 2 2 15 11" xfId="10711" xr:uid="{00000000-0005-0000-0000-0000CE290000}"/>
    <cellStyle name="Normal 2 2 2 2 2 2 15 12" xfId="10712" xr:uid="{00000000-0005-0000-0000-0000CF290000}"/>
    <cellStyle name="Normal 2 2 2 2 2 2 15 13" xfId="10713" xr:uid="{00000000-0005-0000-0000-0000D0290000}"/>
    <cellStyle name="Normal 2 2 2 2 2 2 15 14" xfId="10714" xr:uid="{00000000-0005-0000-0000-0000D1290000}"/>
    <cellStyle name="Normal 2 2 2 2 2 2 15 2" xfId="10715" xr:uid="{00000000-0005-0000-0000-0000D2290000}"/>
    <cellStyle name="Normal 2 2 2 2 2 2 15 2 10" xfId="10716" xr:uid="{00000000-0005-0000-0000-0000D3290000}"/>
    <cellStyle name="Normal 2 2 2 2 2 2 15 2 2" xfId="10717" xr:uid="{00000000-0005-0000-0000-0000D4290000}"/>
    <cellStyle name="Normal 2 2 2 2 2 2 15 2 3" xfId="10718" xr:uid="{00000000-0005-0000-0000-0000D5290000}"/>
    <cellStyle name="Normal 2 2 2 2 2 2 15 2 4" xfId="10719" xr:uid="{00000000-0005-0000-0000-0000D6290000}"/>
    <cellStyle name="Normal 2 2 2 2 2 2 15 2 5" xfId="10720" xr:uid="{00000000-0005-0000-0000-0000D7290000}"/>
    <cellStyle name="Normal 2 2 2 2 2 2 15 2 6" xfId="10721" xr:uid="{00000000-0005-0000-0000-0000D8290000}"/>
    <cellStyle name="Normal 2 2 2 2 2 2 15 2 7" xfId="10722" xr:uid="{00000000-0005-0000-0000-0000D9290000}"/>
    <cellStyle name="Normal 2 2 2 2 2 2 15 2 8" xfId="10723" xr:uid="{00000000-0005-0000-0000-0000DA290000}"/>
    <cellStyle name="Normal 2 2 2 2 2 2 15 2 9" xfId="10724" xr:uid="{00000000-0005-0000-0000-0000DB290000}"/>
    <cellStyle name="Normal 2 2 2 2 2 2 15 3" xfId="10725" xr:uid="{00000000-0005-0000-0000-0000DC290000}"/>
    <cellStyle name="Normal 2 2 2 2 2 2 15 3 10" xfId="10726" xr:uid="{00000000-0005-0000-0000-0000DD290000}"/>
    <cellStyle name="Normal 2 2 2 2 2 2 15 3 2" xfId="10727" xr:uid="{00000000-0005-0000-0000-0000DE290000}"/>
    <cellStyle name="Normal 2 2 2 2 2 2 15 3 3" xfId="10728" xr:uid="{00000000-0005-0000-0000-0000DF290000}"/>
    <cellStyle name="Normal 2 2 2 2 2 2 15 3 4" xfId="10729" xr:uid="{00000000-0005-0000-0000-0000E0290000}"/>
    <cellStyle name="Normal 2 2 2 2 2 2 15 3 5" xfId="10730" xr:uid="{00000000-0005-0000-0000-0000E1290000}"/>
    <cellStyle name="Normal 2 2 2 2 2 2 15 3 6" xfId="10731" xr:uid="{00000000-0005-0000-0000-0000E2290000}"/>
    <cellStyle name="Normal 2 2 2 2 2 2 15 3 7" xfId="10732" xr:uid="{00000000-0005-0000-0000-0000E3290000}"/>
    <cellStyle name="Normal 2 2 2 2 2 2 15 3 8" xfId="10733" xr:uid="{00000000-0005-0000-0000-0000E4290000}"/>
    <cellStyle name="Normal 2 2 2 2 2 2 15 3 9" xfId="10734" xr:uid="{00000000-0005-0000-0000-0000E5290000}"/>
    <cellStyle name="Normal 2 2 2 2 2 2 15 4" xfId="10735" xr:uid="{00000000-0005-0000-0000-0000E6290000}"/>
    <cellStyle name="Normal 2 2 2 2 2 2 15 4 10" xfId="10736" xr:uid="{00000000-0005-0000-0000-0000E7290000}"/>
    <cellStyle name="Normal 2 2 2 2 2 2 15 4 2" xfId="10737" xr:uid="{00000000-0005-0000-0000-0000E8290000}"/>
    <cellStyle name="Normal 2 2 2 2 2 2 15 4 3" xfId="10738" xr:uid="{00000000-0005-0000-0000-0000E9290000}"/>
    <cellStyle name="Normal 2 2 2 2 2 2 15 4 4" xfId="10739" xr:uid="{00000000-0005-0000-0000-0000EA290000}"/>
    <cellStyle name="Normal 2 2 2 2 2 2 15 4 5" xfId="10740" xr:uid="{00000000-0005-0000-0000-0000EB290000}"/>
    <cellStyle name="Normal 2 2 2 2 2 2 15 4 6" xfId="10741" xr:uid="{00000000-0005-0000-0000-0000EC290000}"/>
    <cellStyle name="Normal 2 2 2 2 2 2 15 4 7" xfId="10742" xr:uid="{00000000-0005-0000-0000-0000ED290000}"/>
    <cellStyle name="Normal 2 2 2 2 2 2 15 4 8" xfId="10743" xr:uid="{00000000-0005-0000-0000-0000EE290000}"/>
    <cellStyle name="Normal 2 2 2 2 2 2 15 4 9" xfId="10744" xr:uid="{00000000-0005-0000-0000-0000EF290000}"/>
    <cellStyle name="Normal 2 2 2 2 2 2 15 5" xfId="10745" xr:uid="{00000000-0005-0000-0000-0000F0290000}"/>
    <cellStyle name="Normal 2 2 2 2 2 2 15 5 10" xfId="10746" xr:uid="{00000000-0005-0000-0000-0000F1290000}"/>
    <cellStyle name="Normal 2 2 2 2 2 2 15 5 2" xfId="10747" xr:uid="{00000000-0005-0000-0000-0000F2290000}"/>
    <cellStyle name="Normal 2 2 2 2 2 2 15 5 3" xfId="10748" xr:uid="{00000000-0005-0000-0000-0000F3290000}"/>
    <cellStyle name="Normal 2 2 2 2 2 2 15 5 4" xfId="10749" xr:uid="{00000000-0005-0000-0000-0000F4290000}"/>
    <cellStyle name="Normal 2 2 2 2 2 2 15 5 5" xfId="10750" xr:uid="{00000000-0005-0000-0000-0000F5290000}"/>
    <cellStyle name="Normal 2 2 2 2 2 2 15 5 6" xfId="10751" xr:uid="{00000000-0005-0000-0000-0000F6290000}"/>
    <cellStyle name="Normal 2 2 2 2 2 2 15 5 7" xfId="10752" xr:uid="{00000000-0005-0000-0000-0000F7290000}"/>
    <cellStyle name="Normal 2 2 2 2 2 2 15 5 8" xfId="10753" xr:uid="{00000000-0005-0000-0000-0000F8290000}"/>
    <cellStyle name="Normal 2 2 2 2 2 2 15 5 9" xfId="10754" xr:uid="{00000000-0005-0000-0000-0000F9290000}"/>
    <cellStyle name="Normal 2 2 2 2 2 2 15 6" xfId="10755" xr:uid="{00000000-0005-0000-0000-0000FA290000}"/>
    <cellStyle name="Normal 2 2 2 2 2 2 15 7" xfId="10756" xr:uid="{00000000-0005-0000-0000-0000FB290000}"/>
    <cellStyle name="Normal 2 2 2 2 2 2 15 8" xfId="10757" xr:uid="{00000000-0005-0000-0000-0000FC290000}"/>
    <cellStyle name="Normal 2 2 2 2 2 2 15 9" xfId="10758" xr:uid="{00000000-0005-0000-0000-0000FD290000}"/>
    <cellStyle name="Normal 2 2 2 2 2 2 16" xfId="10759" xr:uid="{00000000-0005-0000-0000-0000FE290000}"/>
    <cellStyle name="Normal 2 2 2 2 2 2 16 10" xfId="10760" xr:uid="{00000000-0005-0000-0000-0000FF290000}"/>
    <cellStyle name="Normal 2 2 2 2 2 2 16 11" xfId="10761" xr:uid="{00000000-0005-0000-0000-0000002A0000}"/>
    <cellStyle name="Normal 2 2 2 2 2 2 16 12" xfId="10762" xr:uid="{00000000-0005-0000-0000-0000012A0000}"/>
    <cellStyle name="Normal 2 2 2 2 2 2 16 13" xfId="10763" xr:uid="{00000000-0005-0000-0000-0000022A0000}"/>
    <cellStyle name="Normal 2 2 2 2 2 2 16 14" xfId="10764" xr:uid="{00000000-0005-0000-0000-0000032A0000}"/>
    <cellStyle name="Normal 2 2 2 2 2 2 16 2" xfId="10765" xr:uid="{00000000-0005-0000-0000-0000042A0000}"/>
    <cellStyle name="Normal 2 2 2 2 2 2 16 2 10" xfId="10766" xr:uid="{00000000-0005-0000-0000-0000052A0000}"/>
    <cellStyle name="Normal 2 2 2 2 2 2 16 2 2" xfId="10767" xr:uid="{00000000-0005-0000-0000-0000062A0000}"/>
    <cellStyle name="Normal 2 2 2 2 2 2 16 2 3" xfId="10768" xr:uid="{00000000-0005-0000-0000-0000072A0000}"/>
    <cellStyle name="Normal 2 2 2 2 2 2 16 2 4" xfId="10769" xr:uid="{00000000-0005-0000-0000-0000082A0000}"/>
    <cellStyle name="Normal 2 2 2 2 2 2 16 2 5" xfId="10770" xr:uid="{00000000-0005-0000-0000-0000092A0000}"/>
    <cellStyle name="Normal 2 2 2 2 2 2 16 2 6" xfId="10771" xr:uid="{00000000-0005-0000-0000-00000A2A0000}"/>
    <cellStyle name="Normal 2 2 2 2 2 2 16 2 7" xfId="10772" xr:uid="{00000000-0005-0000-0000-00000B2A0000}"/>
    <cellStyle name="Normal 2 2 2 2 2 2 16 2 8" xfId="10773" xr:uid="{00000000-0005-0000-0000-00000C2A0000}"/>
    <cellStyle name="Normal 2 2 2 2 2 2 16 2 9" xfId="10774" xr:uid="{00000000-0005-0000-0000-00000D2A0000}"/>
    <cellStyle name="Normal 2 2 2 2 2 2 16 3" xfId="10775" xr:uid="{00000000-0005-0000-0000-00000E2A0000}"/>
    <cellStyle name="Normal 2 2 2 2 2 2 16 3 10" xfId="10776" xr:uid="{00000000-0005-0000-0000-00000F2A0000}"/>
    <cellStyle name="Normal 2 2 2 2 2 2 16 3 2" xfId="10777" xr:uid="{00000000-0005-0000-0000-0000102A0000}"/>
    <cellStyle name="Normal 2 2 2 2 2 2 16 3 3" xfId="10778" xr:uid="{00000000-0005-0000-0000-0000112A0000}"/>
    <cellStyle name="Normal 2 2 2 2 2 2 16 3 4" xfId="10779" xr:uid="{00000000-0005-0000-0000-0000122A0000}"/>
    <cellStyle name="Normal 2 2 2 2 2 2 16 3 5" xfId="10780" xr:uid="{00000000-0005-0000-0000-0000132A0000}"/>
    <cellStyle name="Normal 2 2 2 2 2 2 16 3 6" xfId="10781" xr:uid="{00000000-0005-0000-0000-0000142A0000}"/>
    <cellStyle name="Normal 2 2 2 2 2 2 16 3 7" xfId="10782" xr:uid="{00000000-0005-0000-0000-0000152A0000}"/>
    <cellStyle name="Normal 2 2 2 2 2 2 16 3 8" xfId="10783" xr:uid="{00000000-0005-0000-0000-0000162A0000}"/>
    <cellStyle name="Normal 2 2 2 2 2 2 16 3 9" xfId="10784" xr:uid="{00000000-0005-0000-0000-0000172A0000}"/>
    <cellStyle name="Normal 2 2 2 2 2 2 16 4" xfId="10785" xr:uid="{00000000-0005-0000-0000-0000182A0000}"/>
    <cellStyle name="Normal 2 2 2 2 2 2 16 4 10" xfId="10786" xr:uid="{00000000-0005-0000-0000-0000192A0000}"/>
    <cellStyle name="Normal 2 2 2 2 2 2 16 4 2" xfId="10787" xr:uid="{00000000-0005-0000-0000-00001A2A0000}"/>
    <cellStyle name="Normal 2 2 2 2 2 2 16 4 3" xfId="10788" xr:uid="{00000000-0005-0000-0000-00001B2A0000}"/>
    <cellStyle name="Normal 2 2 2 2 2 2 16 4 4" xfId="10789" xr:uid="{00000000-0005-0000-0000-00001C2A0000}"/>
    <cellStyle name="Normal 2 2 2 2 2 2 16 4 5" xfId="10790" xr:uid="{00000000-0005-0000-0000-00001D2A0000}"/>
    <cellStyle name="Normal 2 2 2 2 2 2 16 4 6" xfId="10791" xr:uid="{00000000-0005-0000-0000-00001E2A0000}"/>
    <cellStyle name="Normal 2 2 2 2 2 2 16 4 7" xfId="10792" xr:uid="{00000000-0005-0000-0000-00001F2A0000}"/>
    <cellStyle name="Normal 2 2 2 2 2 2 16 4 8" xfId="10793" xr:uid="{00000000-0005-0000-0000-0000202A0000}"/>
    <cellStyle name="Normal 2 2 2 2 2 2 16 4 9" xfId="10794" xr:uid="{00000000-0005-0000-0000-0000212A0000}"/>
    <cellStyle name="Normal 2 2 2 2 2 2 16 5" xfId="10795" xr:uid="{00000000-0005-0000-0000-0000222A0000}"/>
    <cellStyle name="Normal 2 2 2 2 2 2 16 5 10" xfId="10796" xr:uid="{00000000-0005-0000-0000-0000232A0000}"/>
    <cellStyle name="Normal 2 2 2 2 2 2 16 5 2" xfId="10797" xr:uid="{00000000-0005-0000-0000-0000242A0000}"/>
    <cellStyle name="Normal 2 2 2 2 2 2 16 5 3" xfId="10798" xr:uid="{00000000-0005-0000-0000-0000252A0000}"/>
    <cellStyle name="Normal 2 2 2 2 2 2 16 5 4" xfId="10799" xr:uid="{00000000-0005-0000-0000-0000262A0000}"/>
    <cellStyle name="Normal 2 2 2 2 2 2 16 5 5" xfId="10800" xr:uid="{00000000-0005-0000-0000-0000272A0000}"/>
    <cellStyle name="Normal 2 2 2 2 2 2 16 5 6" xfId="10801" xr:uid="{00000000-0005-0000-0000-0000282A0000}"/>
    <cellStyle name="Normal 2 2 2 2 2 2 16 5 7" xfId="10802" xr:uid="{00000000-0005-0000-0000-0000292A0000}"/>
    <cellStyle name="Normal 2 2 2 2 2 2 16 5 8" xfId="10803" xr:uid="{00000000-0005-0000-0000-00002A2A0000}"/>
    <cellStyle name="Normal 2 2 2 2 2 2 16 5 9" xfId="10804" xr:uid="{00000000-0005-0000-0000-00002B2A0000}"/>
    <cellStyle name="Normal 2 2 2 2 2 2 16 6" xfId="10805" xr:uid="{00000000-0005-0000-0000-00002C2A0000}"/>
    <cellStyle name="Normal 2 2 2 2 2 2 16 7" xfId="10806" xr:uid="{00000000-0005-0000-0000-00002D2A0000}"/>
    <cellStyle name="Normal 2 2 2 2 2 2 16 8" xfId="10807" xr:uid="{00000000-0005-0000-0000-00002E2A0000}"/>
    <cellStyle name="Normal 2 2 2 2 2 2 16 9" xfId="10808" xr:uid="{00000000-0005-0000-0000-00002F2A0000}"/>
    <cellStyle name="Normal 2 2 2 2 2 2 17" xfId="10809" xr:uid="{00000000-0005-0000-0000-0000302A0000}"/>
    <cellStyle name="Normal 2 2 2 2 2 2 17 10" xfId="10810" xr:uid="{00000000-0005-0000-0000-0000312A0000}"/>
    <cellStyle name="Normal 2 2 2 2 2 2 17 11" xfId="10811" xr:uid="{00000000-0005-0000-0000-0000322A0000}"/>
    <cellStyle name="Normal 2 2 2 2 2 2 17 12" xfId="10812" xr:uid="{00000000-0005-0000-0000-0000332A0000}"/>
    <cellStyle name="Normal 2 2 2 2 2 2 17 13" xfId="10813" xr:uid="{00000000-0005-0000-0000-0000342A0000}"/>
    <cellStyle name="Normal 2 2 2 2 2 2 17 14" xfId="10814" xr:uid="{00000000-0005-0000-0000-0000352A0000}"/>
    <cellStyle name="Normal 2 2 2 2 2 2 17 2" xfId="10815" xr:uid="{00000000-0005-0000-0000-0000362A0000}"/>
    <cellStyle name="Normal 2 2 2 2 2 2 17 2 10" xfId="10816" xr:uid="{00000000-0005-0000-0000-0000372A0000}"/>
    <cellStyle name="Normal 2 2 2 2 2 2 17 2 2" xfId="10817" xr:uid="{00000000-0005-0000-0000-0000382A0000}"/>
    <cellStyle name="Normal 2 2 2 2 2 2 17 2 3" xfId="10818" xr:uid="{00000000-0005-0000-0000-0000392A0000}"/>
    <cellStyle name="Normal 2 2 2 2 2 2 17 2 4" xfId="10819" xr:uid="{00000000-0005-0000-0000-00003A2A0000}"/>
    <cellStyle name="Normal 2 2 2 2 2 2 17 2 5" xfId="10820" xr:uid="{00000000-0005-0000-0000-00003B2A0000}"/>
    <cellStyle name="Normal 2 2 2 2 2 2 17 2 6" xfId="10821" xr:uid="{00000000-0005-0000-0000-00003C2A0000}"/>
    <cellStyle name="Normal 2 2 2 2 2 2 17 2 7" xfId="10822" xr:uid="{00000000-0005-0000-0000-00003D2A0000}"/>
    <cellStyle name="Normal 2 2 2 2 2 2 17 2 8" xfId="10823" xr:uid="{00000000-0005-0000-0000-00003E2A0000}"/>
    <cellStyle name="Normal 2 2 2 2 2 2 17 2 9" xfId="10824" xr:uid="{00000000-0005-0000-0000-00003F2A0000}"/>
    <cellStyle name="Normal 2 2 2 2 2 2 17 3" xfId="10825" xr:uid="{00000000-0005-0000-0000-0000402A0000}"/>
    <cellStyle name="Normal 2 2 2 2 2 2 17 3 10" xfId="10826" xr:uid="{00000000-0005-0000-0000-0000412A0000}"/>
    <cellStyle name="Normal 2 2 2 2 2 2 17 3 2" xfId="10827" xr:uid="{00000000-0005-0000-0000-0000422A0000}"/>
    <cellStyle name="Normal 2 2 2 2 2 2 17 3 3" xfId="10828" xr:uid="{00000000-0005-0000-0000-0000432A0000}"/>
    <cellStyle name="Normal 2 2 2 2 2 2 17 3 4" xfId="10829" xr:uid="{00000000-0005-0000-0000-0000442A0000}"/>
    <cellStyle name="Normal 2 2 2 2 2 2 17 3 5" xfId="10830" xr:uid="{00000000-0005-0000-0000-0000452A0000}"/>
    <cellStyle name="Normal 2 2 2 2 2 2 17 3 6" xfId="10831" xr:uid="{00000000-0005-0000-0000-0000462A0000}"/>
    <cellStyle name="Normal 2 2 2 2 2 2 17 3 7" xfId="10832" xr:uid="{00000000-0005-0000-0000-0000472A0000}"/>
    <cellStyle name="Normal 2 2 2 2 2 2 17 3 8" xfId="10833" xr:uid="{00000000-0005-0000-0000-0000482A0000}"/>
    <cellStyle name="Normal 2 2 2 2 2 2 17 3 9" xfId="10834" xr:uid="{00000000-0005-0000-0000-0000492A0000}"/>
    <cellStyle name="Normal 2 2 2 2 2 2 17 4" xfId="10835" xr:uid="{00000000-0005-0000-0000-00004A2A0000}"/>
    <cellStyle name="Normal 2 2 2 2 2 2 17 4 10" xfId="10836" xr:uid="{00000000-0005-0000-0000-00004B2A0000}"/>
    <cellStyle name="Normal 2 2 2 2 2 2 17 4 2" xfId="10837" xr:uid="{00000000-0005-0000-0000-00004C2A0000}"/>
    <cellStyle name="Normal 2 2 2 2 2 2 17 4 3" xfId="10838" xr:uid="{00000000-0005-0000-0000-00004D2A0000}"/>
    <cellStyle name="Normal 2 2 2 2 2 2 17 4 4" xfId="10839" xr:uid="{00000000-0005-0000-0000-00004E2A0000}"/>
    <cellStyle name="Normal 2 2 2 2 2 2 17 4 5" xfId="10840" xr:uid="{00000000-0005-0000-0000-00004F2A0000}"/>
    <cellStyle name="Normal 2 2 2 2 2 2 17 4 6" xfId="10841" xr:uid="{00000000-0005-0000-0000-0000502A0000}"/>
    <cellStyle name="Normal 2 2 2 2 2 2 17 4 7" xfId="10842" xr:uid="{00000000-0005-0000-0000-0000512A0000}"/>
    <cellStyle name="Normal 2 2 2 2 2 2 17 4 8" xfId="10843" xr:uid="{00000000-0005-0000-0000-0000522A0000}"/>
    <cellStyle name="Normal 2 2 2 2 2 2 17 4 9" xfId="10844" xr:uid="{00000000-0005-0000-0000-0000532A0000}"/>
    <cellStyle name="Normal 2 2 2 2 2 2 17 5" xfId="10845" xr:uid="{00000000-0005-0000-0000-0000542A0000}"/>
    <cellStyle name="Normal 2 2 2 2 2 2 17 5 10" xfId="10846" xr:uid="{00000000-0005-0000-0000-0000552A0000}"/>
    <cellStyle name="Normal 2 2 2 2 2 2 17 5 2" xfId="10847" xr:uid="{00000000-0005-0000-0000-0000562A0000}"/>
    <cellStyle name="Normal 2 2 2 2 2 2 17 5 3" xfId="10848" xr:uid="{00000000-0005-0000-0000-0000572A0000}"/>
    <cellStyle name="Normal 2 2 2 2 2 2 17 5 4" xfId="10849" xr:uid="{00000000-0005-0000-0000-0000582A0000}"/>
    <cellStyle name="Normal 2 2 2 2 2 2 17 5 5" xfId="10850" xr:uid="{00000000-0005-0000-0000-0000592A0000}"/>
    <cellStyle name="Normal 2 2 2 2 2 2 17 5 6" xfId="10851" xr:uid="{00000000-0005-0000-0000-00005A2A0000}"/>
    <cellStyle name="Normal 2 2 2 2 2 2 17 5 7" xfId="10852" xr:uid="{00000000-0005-0000-0000-00005B2A0000}"/>
    <cellStyle name="Normal 2 2 2 2 2 2 17 5 8" xfId="10853" xr:uid="{00000000-0005-0000-0000-00005C2A0000}"/>
    <cellStyle name="Normal 2 2 2 2 2 2 17 5 9" xfId="10854" xr:uid="{00000000-0005-0000-0000-00005D2A0000}"/>
    <cellStyle name="Normal 2 2 2 2 2 2 17 6" xfId="10855" xr:uid="{00000000-0005-0000-0000-00005E2A0000}"/>
    <cellStyle name="Normal 2 2 2 2 2 2 17 7" xfId="10856" xr:uid="{00000000-0005-0000-0000-00005F2A0000}"/>
    <cellStyle name="Normal 2 2 2 2 2 2 17 8" xfId="10857" xr:uid="{00000000-0005-0000-0000-0000602A0000}"/>
    <cellStyle name="Normal 2 2 2 2 2 2 17 9" xfId="10858" xr:uid="{00000000-0005-0000-0000-0000612A0000}"/>
    <cellStyle name="Normal 2 2 2 2 2 2 18" xfId="10859" xr:uid="{00000000-0005-0000-0000-0000622A0000}"/>
    <cellStyle name="Normal 2 2 2 2 2 2 18 10" xfId="10860" xr:uid="{00000000-0005-0000-0000-0000632A0000}"/>
    <cellStyle name="Normal 2 2 2 2 2 2 18 11" xfId="10861" xr:uid="{00000000-0005-0000-0000-0000642A0000}"/>
    <cellStyle name="Normal 2 2 2 2 2 2 18 12" xfId="10862" xr:uid="{00000000-0005-0000-0000-0000652A0000}"/>
    <cellStyle name="Normal 2 2 2 2 2 2 18 13" xfId="10863" xr:uid="{00000000-0005-0000-0000-0000662A0000}"/>
    <cellStyle name="Normal 2 2 2 2 2 2 18 14" xfId="10864" xr:uid="{00000000-0005-0000-0000-0000672A0000}"/>
    <cellStyle name="Normal 2 2 2 2 2 2 18 2" xfId="10865" xr:uid="{00000000-0005-0000-0000-0000682A0000}"/>
    <cellStyle name="Normal 2 2 2 2 2 2 18 2 10" xfId="10866" xr:uid="{00000000-0005-0000-0000-0000692A0000}"/>
    <cellStyle name="Normal 2 2 2 2 2 2 18 2 2" xfId="10867" xr:uid="{00000000-0005-0000-0000-00006A2A0000}"/>
    <cellStyle name="Normal 2 2 2 2 2 2 18 2 3" xfId="10868" xr:uid="{00000000-0005-0000-0000-00006B2A0000}"/>
    <cellStyle name="Normal 2 2 2 2 2 2 18 2 4" xfId="10869" xr:uid="{00000000-0005-0000-0000-00006C2A0000}"/>
    <cellStyle name="Normal 2 2 2 2 2 2 18 2 5" xfId="10870" xr:uid="{00000000-0005-0000-0000-00006D2A0000}"/>
    <cellStyle name="Normal 2 2 2 2 2 2 18 2 6" xfId="10871" xr:uid="{00000000-0005-0000-0000-00006E2A0000}"/>
    <cellStyle name="Normal 2 2 2 2 2 2 18 2 7" xfId="10872" xr:uid="{00000000-0005-0000-0000-00006F2A0000}"/>
    <cellStyle name="Normal 2 2 2 2 2 2 18 2 8" xfId="10873" xr:uid="{00000000-0005-0000-0000-0000702A0000}"/>
    <cellStyle name="Normal 2 2 2 2 2 2 18 2 9" xfId="10874" xr:uid="{00000000-0005-0000-0000-0000712A0000}"/>
    <cellStyle name="Normal 2 2 2 2 2 2 18 3" xfId="10875" xr:uid="{00000000-0005-0000-0000-0000722A0000}"/>
    <cellStyle name="Normal 2 2 2 2 2 2 18 3 10" xfId="10876" xr:uid="{00000000-0005-0000-0000-0000732A0000}"/>
    <cellStyle name="Normal 2 2 2 2 2 2 18 3 2" xfId="10877" xr:uid="{00000000-0005-0000-0000-0000742A0000}"/>
    <cellStyle name="Normal 2 2 2 2 2 2 18 3 3" xfId="10878" xr:uid="{00000000-0005-0000-0000-0000752A0000}"/>
    <cellStyle name="Normal 2 2 2 2 2 2 18 3 4" xfId="10879" xr:uid="{00000000-0005-0000-0000-0000762A0000}"/>
    <cellStyle name="Normal 2 2 2 2 2 2 18 3 5" xfId="10880" xr:uid="{00000000-0005-0000-0000-0000772A0000}"/>
    <cellStyle name="Normal 2 2 2 2 2 2 18 3 6" xfId="10881" xr:uid="{00000000-0005-0000-0000-0000782A0000}"/>
    <cellStyle name="Normal 2 2 2 2 2 2 18 3 7" xfId="10882" xr:uid="{00000000-0005-0000-0000-0000792A0000}"/>
    <cellStyle name="Normal 2 2 2 2 2 2 18 3 8" xfId="10883" xr:uid="{00000000-0005-0000-0000-00007A2A0000}"/>
    <cellStyle name="Normal 2 2 2 2 2 2 18 3 9" xfId="10884" xr:uid="{00000000-0005-0000-0000-00007B2A0000}"/>
    <cellStyle name="Normal 2 2 2 2 2 2 18 4" xfId="10885" xr:uid="{00000000-0005-0000-0000-00007C2A0000}"/>
    <cellStyle name="Normal 2 2 2 2 2 2 18 4 10" xfId="10886" xr:uid="{00000000-0005-0000-0000-00007D2A0000}"/>
    <cellStyle name="Normal 2 2 2 2 2 2 18 4 2" xfId="10887" xr:uid="{00000000-0005-0000-0000-00007E2A0000}"/>
    <cellStyle name="Normal 2 2 2 2 2 2 18 4 3" xfId="10888" xr:uid="{00000000-0005-0000-0000-00007F2A0000}"/>
    <cellStyle name="Normal 2 2 2 2 2 2 18 4 4" xfId="10889" xr:uid="{00000000-0005-0000-0000-0000802A0000}"/>
    <cellStyle name="Normal 2 2 2 2 2 2 18 4 5" xfId="10890" xr:uid="{00000000-0005-0000-0000-0000812A0000}"/>
    <cellStyle name="Normal 2 2 2 2 2 2 18 4 6" xfId="10891" xr:uid="{00000000-0005-0000-0000-0000822A0000}"/>
    <cellStyle name="Normal 2 2 2 2 2 2 18 4 7" xfId="10892" xr:uid="{00000000-0005-0000-0000-0000832A0000}"/>
    <cellStyle name="Normal 2 2 2 2 2 2 18 4 8" xfId="10893" xr:uid="{00000000-0005-0000-0000-0000842A0000}"/>
    <cellStyle name="Normal 2 2 2 2 2 2 18 4 9" xfId="10894" xr:uid="{00000000-0005-0000-0000-0000852A0000}"/>
    <cellStyle name="Normal 2 2 2 2 2 2 18 5" xfId="10895" xr:uid="{00000000-0005-0000-0000-0000862A0000}"/>
    <cellStyle name="Normal 2 2 2 2 2 2 18 5 10" xfId="10896" xr:uid="{00000000-0005-0000-0000-0000872A0000}"/>
    <cellStyle name="Normal 2 2 2 2 2 2 18 5 2" xfId="10897" xr:uid="{00000000-0005-0000-0000-0000882A0000}"/>
    <cellStyle name="Normal 2 2 2 2 2 2 18 5 3" xfId="10898" xr:uid="{00000000-0005-0000-0000-0000892A0000}"/>
    <cellStyle name="Normal 2 2 2 2 2 2 18 5 4" xfId="10899" xr:uid="{00000000-0005-0000-0000-00008A2A0000}"/>
    <cellStyle name="Normal 2 2 2 2 2 2 18 5 5" xfId="10900" xr:uid="{00000000-0005-0000-0000-00008B2A0000}"/>
    <cellStyle name="Normal 2 2 2 2 2 2 18 5 6" xfId="10901" xr:uid="{00000000-0005-0000-0000-00008C2A0000}"/>
    <cellStyle name="Normal 2 2 2 2 2 2 18 5 7" xfId="10902" xr:uid="{00000000-0005-0000-0000-00008D2A0000}"/>
    <cellStyle name="Normal 2 2 2 2 2 2 18 5 8" xfId="10903" xr:uid="{00000000-0005-0000-0000-00008E2A0000}"/>
    <cellStyle name="Normal 2 2 2 2 2 2 18 5 9" xfId="10904" xr:uid="{00000000-0005-0000-0000-00008F2A0000}"/>
    <cellStyle name="Normal 2 2 2 2 2 2 18 6" xfId="10905" xr:uid="{00000000-0005-0000-0000-0000902A0000}"/>
    <cellStyle name="Normal 2 2 2 2 2 2 18 7" xfId="10906" xr:uid="{00000000-0005-0000-0000-0000912A0000}"/>
    <cellStyle name="Normal 2 2 2 2 2 2 18 8" xfId="10907" xr:uid="{00000000-0005-0000-0000-0000922A0000}"/>
    <cellStyle name="Normal 2 2 2 2 2 2 18 9" xfId="10908" xr:uid="{00000000-0005-0000-0000-0000932A0000}"/>
    <cellStyle name="Normal 2 2 2 2 2 2 19" xfId="10909" xr:uid="{00000000-0005-0000-0000-0000942A0000}"/>
    <cellStyle name="Normal 2 2 2 2 2 2 19 10" xfId="10910" xr:uid="{00000000-0005-0000-0000-0000952A0000}"/>
    <cellStyle name="Normal 2 2 2 2 2 2 19 11" xfId="10911" xr:uid="{00000000-0005-0000-0000-0000962A0000}"/>
    <cellStyle name="Normal 2 2 2 2 2 2 19 12" xfId="10912" xr:uid="{00000000-0005-0000-0000-0000972A0000}"/>
    <cellStyle name="Normal 2 2 2 2 2 2 19 13" xfId="10913" xr:uid="{00000000-0005-0000-0000-0000982A0000}"/>
    <cellStyle name="Normal 2 2 2 2 2 2 19 14" xfId="10914" xr:uid="{00000000-0005-0000-0000-0000992A0000}"/>
    <cellStyle name="Normal 2 2 2 2 2 2 19 2" xfId="10915" xr:uid="{00000000-0005-0000-0000-00009A2A0000}"/>
    <cellStyle name="Normal 2 2 2 2 2 2 19 2 10" xfId="10916" xr:uid="{00000000-0005-0000-0000-00009B2A0000}"/>
    <cellStyle name="Normal 2 2 2 2 2 2 19 2 2" xfId="10917" xr:uid="{00000000-0005-0000-0000-00009C2A0000}"/>
    <cellStyle name="Normal 2 2 2 2 2 2 19 2 3" xfId="10918" xr:uid="{00000000-0005-0000-0000-00009D2A0000}"/>
    <cellStyle name="Normal 2 2 2 2 2 2 19 2 4" xfId="10919" xr:uid="{00000000-0005-0000-0000-00009E2A0000}"/>
    <cellStyle name="Normal 2 2 2 2 2 2 19 2 5" xfId="10920" xr:uid="{00000000-0005-0000-0000-00009F2A0000}"/>
    <cellStyle name="Normal 2 2 2 2 2 2 19 2 6" xfId="10921" xr:uid="{00000000-0005-0000-0000-0000A02A0000}"/>
    <cellStyle name="Normal 2 2 2 2 2 2 19 2 7" xfId="10922" xr:uid="{00000000-0005-0000-0000-0000A12A0000}"/>
    <cellStyle name="Normal 2 2 2 2 2 2 19 2 8" xfId="10923" xr:uid="{00000000-0005-0000-0000-0000A22A0000}"/>
    <cellStyle name="Normal 2 2 2 2 2 2 19 2 9" xfId="10924" xr:uid="{00000000-0005-0000-0000-0000A32A0000}"/>
    <cellStyle name="Normal 2 2 2 2 2 2 19 3" xfId="10925" xr:uid="{00000000-0005-0000-0000-0000A42A0000}"/>
    <cellStyle name="Normal 2 2 2 2 2 2 19 3 10" xfId="10926" xr:uid="{00000000-0005-0000-0000-0000A52A0000}"/>
    <cellStyle name="Normal 2 2 2 2 2 2 19 3 2" xfId="10927" xr:uid="{00000000-0005-0000-0000-0000A62A0000}"/>
    <cellStyle name="Normal 2 2 2 2 2 2 19 3 3" xfId="10928" xr:uid="{00000000-0005-0000-0000-0000A72A0000}"/>
    <cellStyle name="Normal 2 2 2 2 2 2 19 3 4" xfId="10929" xr:uid="{00000000-0005-0000-0000-0000A82A0000}"/>
    <cellStyle name="Normal 2 2 2 2 2 2 19 3 5" xfId="10930" xr:uid="{00000000-0005-0000-0000-0000A92A0000}"/>
    <cellStyle name="Normal 2 2 2 2 2 2 19 3 6" xfId="10931" xr:uid="{00000000-0005-0000-0000-0000AA2A0000}"/>
    <cellStyle name="Normal 2 2 2 2 2 2 19 3 7" xfId="10932" xr:uid="{00000000-0005-0000-0000-0000AB2A0000}"/>
    <cellStyle name="Normal 2 2 2 2 2 2 19 3 8" xfId="10933" xr:uid="{00000000-0005-0000-0000-0000AC2A0000}"/>
    <cellStyle name="Normal 2 2 2 2 2 2 19 3 9" xfId="10934" xr:uid="{00000000-0005-0000-0000-0000AD2A0000}"/>
    <cellStyle name="Normal 2 2 2 2 2 2 19 4" xfId="10935" xr:uid="{00000000-0005-0000-0000-0000AE2A0000}"/>
    <cellStyle name="Normal 2 2 2 2 2 2 19 4 10" xfId="10936" xr:uid="{00000000-0005-0000-0000-0000AF2A0000}"/>
    <cellStyle name="Normal 2 2 2 2 2 2 19 4 2" xfId="10937" xr:uid="{00000000-0005-0000-0000-0000B02A0000}"/>
    <cellStyle name="Normal 2 2 2 2 2 2 19 4 3" xfId="10938" xr:uid="{00000000-0005-0000-0000-0000B12A0000}"/>
    <cellStyle name="Normal 2 2 2 2 2 2 19 4 4" xfId="10939" xr:uid="{00000000-0005-0000-0000-0000B22A0000}"/>
    <cellStyle name="Normal 2 2 2 2 2 2 19 4 5" xfId="10940" xr:uid="{00000000-0005-0000-0000-0000B32A0000}"/>
    <cellStyle name="Normal 2 2 2 2 2 2 19 4 6" xfId="10941" xr:uid="{00000000-0005-0000-0000-0000B42A0000}"/>
    <cellStyle name="Normal 2 2 2 2 2 2 19 4 7" xfId="10942" xr:uid="{00000000-0005-0000-0000-0000B52A0000}"/>
    <cellStyle name="Normal 2 2 2 2 2 2 19 4 8" xfId="10943" xr:uid="{00000000-0005-0000-0000-0000B62A0000}"/>
    <cellStyle name="Normal 2 2 2 2 2 2 19 4 9" xfId="10944" xr:uid="{00000000-0005-0000-0000-0000B72A0000}"/>
    <cellStyle name="Normal 2 2 2 2 2 2 19 5" xfId="10945" xr:uid="{00000000-0005-0000-0000-0000B82A0000}"/>
    <cellStyle name="Normal 2 2 2 2 2 2 19 5 10" xfId="10946" xr:uid="{00000000-0005-0000-0000-0000B92A0000}"/>
    <cellStyle name="Normal 2 2 2 2 2 2 19 5 2" xfId="10947" xr:uid="{00000000-0005-0000-0000-0000BA2A0000}"/>
    <cellStyle name="Normal 2 2 2 2 2 2 19 5 3" xfId="10948" xr:uid="{00000000-0005-0000-0000-0000BB2A0000}"/>
    <cellStyle name="Normal 2 2 2 2 2 2 19 5 4" xfId="10949" xr:uid="{00000000-0005-0000-0000-0000BC2A0000}"/>
    <cellStyle name="Normal 2 2 2 2 2 2 19 5 5" xfId="10950" xr:uid="{00000000-0005-0000-0000-0000BD2A0000}"/>
    <cellStyle name="Normal 2 2 2 2 2 2 19 5 6" xfId="10951" xr:uid="{00000000-0005-0000-0000-0000BE2A0000}"/>
    <cellStyle name="Normal 2 2 2 2 2 2 19 5 7" xfId="10952" xr:uid="{00000000-0005-0000-0000-0000BF2A0000}"/>
    <cellStyle name="Normal 2 2 2 2 2 2 19 5 8" xfId="10953" xr:uid="{00000000-0005-0000-0000-0000C02A0000}"/>
    <cellStyle name="Normal 2 2 2 2 2 2 19 5 9" xfId="10954" xr:uid="{00000000-0005-0000-0000-0000C12A0000}"/>
    <cellStyle name="Normal 2 2 2 2 2 2 19 6" xfId="10955" xr:uid="{00000000-0005-0000-0000-0000C22A0000}"/>
    <cellStyle name="Normal 2 2 2 2 2 2 19 7" xfId="10956" xr:uid="{00000000-0005-0000-0000-0000C32A0000}"/>
    <cellStyle name="Normal 2 2 2 2 2 2 19 8" xfId="10957" xr:uid="{00000000-0005-0000-0000-0000C42A0000}"/>
    <cellStyle name="Normal 2 2 2 2 2 2 19 9" xfId="10958" xr:uid="{00000000-0005-0000-0000-0000C52A0000}"/>
    <cellStyle name="Normal 2 2 2 2 2 2 2" xfId="10959" xr:uid="{00000000-0005-0000-0000-0000C62A0000}"/>
    <cellStyle name="Normal 2 2 2 2 2 2 2 10" xfId="10960" xr:uid="{00000000-0005-0000-0000-0000C72A0000}"/>
    <cellStyle name="Normal 2 2 2 2 2 2 2 11" xfId="10961" xr:uid="{00000000-0005-0000-0000-0000C82A0000}"/>
    <cellStyle name="Normal 2 2 2 2 2 2 2 12" xfId="10962" xr:uid="{00000000-0005-0000-0000-0000C92A0000}"/>
    <cellStyle name="Normal 2 2 2 2 2 2 2 13" xfId="10963" xr:uid="{00000000-0005-0000-0000-0000CA2A0000}"/>
    <cellStyle name="Normal 2 2 2 2 2 2 2 14" xfId="10964" xr:uid="{00000000-0005-0000-0000-0000CB2A0000}"/>
    <cellStyle name="Normal 2 2 2 2 2 2 2 15" xfId="10965" xr:uid="{00000000-0005-0000-0000-0000CC2A0000}"/>
    <cellStyle name="Normal 2 2 2 2 2 2 2 16" xfId="10966" xr:uid="{00000000-0005-0000-0000-0000CD2A0000}"/>
    <cellStyle name="Normal 2 2 2 2 2 2 2 2" xfId="10967" xr:uid="{00000000-0005-0000-0000-0000CE2A0000}"/>
    <cellStyle name="Normal 2 2 2 2 2 2 2 2 10" xfId="10968" xr:uid="{00000000-0005-0000-0000-0000CF2A0000}"/>
    <cellStyle name="Normal 2 2 2 2 2 2 2 2 11" xfId="10969" xr:uid="{00000000-0005-0000-0000-0000D02A0000}"/>
    <cellStyle name="Normal 2 2 2 2 2 2 2 2 12" xfId="10970" xr:uid="{00000000-0005-0000-0000-0000D12A0000}"/>
    <cellStyle name="Normal 2 2 2 2 2 2 2 2 2" xfId="10971" xr:uid="{00000000-0005-0000-0000-0000D22A0000}"/>
    <cellStyle name="Normal 2 2 2 2 2 2 2 2 3" xfId="10972" xr:uid="{00000000-0005-0000-0000-0000D32A0000}"/>
    <cellStyle name="Normal 2 2 2 2 2 2 2 2 4" xfId="10973" xr:uid="{00000000-0005-0000-0000-0000D42A0000}"/>
    <cellStyle name="Normal 2 2 2 2 2 2 2 2 5" xfId="10974" xr:uid="{00000000-0005-0000-0000-0000D52A0000}"/>
    <cellStyle name="Normal 2 2 2 2 2 2 2 2 6" xfId="10975" xr:uid="{00000000-0005-0000-0000-0000D62A0000}"/>
    <cellStyle name="Normal 2 2 2 2 2 2 2 2 7" xfId="10976" xr:uid="{00000000-0005-0000-0000-0000D72A0000}"/>
    <cellStyle name="Normal 2 2 2 2 2 2 2 2 8" xfId="10977" xr:uid="{00000000-0005-0000-0000-0000D82A0000}"/>
    <cellStyle name="Normal 2 2 2 2 2 2 2 2 9" xfId="10978" xr:uid="{00000000-0005-0000-0000-0000D92A0000}"/>
    <cellStyle name="Normal 2 2 2 2 2 2 2 3" xfId="10979" xr:uid="{00000000-0005-0000-0000-0000DA2A0000}"/>
    <cellStyle name="Normal 2 2 2 2 2 2 2 3 10" xfId="10980" xr:uid="{00000000-0005-0000-0000-0000DB2A0000}"/>
    <cellStyle name="Normal 2 2 2 2 2 2 2 3 2" xfId="10981" xr:uid="{00000000-0005-0000-0000-0000DC2A0000}"/>
    <cellStyle name="Normal 2 2 2 2 2 2 2 3 3" xfId="10982" xr:uid="{00000000-0005-0000-0000-0000DD2A0000}"/>
    <cellStyle name="Normal 2 2 2 2 2 2 2 3 4" xfId="10983" xr:uid="{00000000-0005-0000-0000-0000DE2A0000}"/>
    <cellStyle name="Normal 2 2 2 2 2 2 2 3 5" xfId="10984" xr:uid="{00000000-0005-0000-0000-0000DF2A0000}"/>
    <cellStyle name="Normal 2 2 2 2 2 2 2 3 6" xfId="10985" xr:uid="{00000000-0005-0000-0000-0000E02A0000}"/>
    <cellStyle name="Normal 2 2 2 2 2 2 2 3 7" xfId="10986" xr:uid="{00000000-0005-0000-0000-0000E12A0000}"/>
    <cellStyle name="Normal 2 2 2 2 2 2 2 3 8" xfId="10987" xr:uid="{00000000-0005-0000-0000-0000E22A0000}"/>
    <cellStyle name="Normal 2 2 2 2 2 2 2 3 9" xfId="10988" xr:uid="{00000000-0005-0000-0000-0000E32A0000}"/>
    <cellStyle name="Normal 2 2 2 2 2 2 2 4" xfId="10989" xr:uid="{00000000-0005-0000-0000-0000E42A0000}"/>
    <cellStyle name="Normal 2 2 2 2 2 2 2 4 10" xfId="10990" xr:uid="{00000000-0005-0000-0000-0000E52A0000}"/>
    <cellStyle name="Normal 2 2 2 2 2 2 2 4 2" xfId="10991" xr:uid="{00000000-0005-0000-0000-0000E62A0000}"/>
    <cellStyle name="Normal 2 2 2 2 2 2 2 4 3" xfId="10992" xr:uid="{00000000-0005-0000-0000-0000E72A0000}"/>
    <cellStyle name="Normal 2 2 2 2 2 2 2 4 4" xfId="10993" xr:uid="{00000000-0005-0000-0000-0000E82A0000}"/>
    <cellStyle name="Normal 2 2 2 2 2 2 2 4 5" xfId="10994" xr:uid="{00000000-0005-0000-0000-0000E92A0000}"/>
    <cellStyle name="Normal 2 2 2 2 2 2 2 4 6" xfId="10995" xr:uid="{00000000-0005-0000-0000-0000EA2A0000}"/>
    <cellStyle name="Normal 2 2 2 2 2 2 2 4 7" xfId="10996" xr:uid="{00000000-0005-0000-0000-0000EB2A0000}"/>
    <cellStyle name="Normal 2 2 2 2 2 2 2 4 8" xfId="10997" xr:uid="{00000000-0005-0000-0000-0000EC2A0000}"/>
    <cellStyle name="Normal 2 2 2 2 2 2 2 4 9" xfId="10998" xr:uid="{00000000-0005-0000-0000-0000ED2A0000}"/>
    <cellStyle name="Normal 2 2 2 2 2 2 2 5" xfId="10999" xr:uid="{00000000-0005-0000-0000-0000EE2A0000}"/>
    <cellStyle name="Normal 2 2 2 2 2 2 2 5 10" xfId="11000" xr:uid="{00000000-0005-0000-0000-0000EF2A0000}"/>
    <cellStyle name="Normal 2 2 2 2 2 2 2 5 2" xfId="11001" xr:uid="{00000000-0005-0000-0000-0000F02A0000}"/>
    <cellStyle name="Normal 2 2 2 2 2 2 2 5 3" xfId="11002" xr:uid="{00000000-0005-0000-0000-0000F12A0000}"/>
    <cellStyle name="Normal 2 2 2 2 2 2 2 5 4" xfId="11003" xr:uid="{00000000-0005-0000-0000-0000F22A0000}"/>
    <cellStyle name="Normal 2 2 2 2 2 2 2 5 5" xfId="11004" xr:uid="{00000000-0005-0000-0000-0000F32A0000}"/>
    <cellStyle name="Normal 2 2 2 2 2 2 2 5 6" xfId="11005" xr:uid="{00000000-0005-0000-0000-0000F42A0000}"/>
    <cellStyle name="Normal 2 2 2 2 2 2 2 5 7" xfId="11006" xr:uid="{00000000-0005-0000-0000-0000F52A0000}"/>
    <cellStyle name="Normal 2 2 2 2 2 2 2 5 8" xfId="11007" xr:uid="{00000000-0005-0000-0000-0000F62A0000}"/>
    <cellStyle name="Normal 2 2 2 2 2 2 2 5 9" xfId="11008" xr:uid="{00000000-0005-0000-0000-0000F72A0000}"/>
    <cellStyle name="Normal 2 2 2 2 2 2 2 6" xfId="11009" xr:uid="{00000000-0005-0000-0000-0000F82A0000}"/>
    <cellStyle name="Normal 2 2 2 2 2 2 2 7" xfId="11010" xr:uid="{00000000-0005-0000-0000-0000F92A0000}"/>
    <cellStyle name="Normal 2 2 2 2 2 2 2 8" xfId="11011" xr:uid="{00000000-0005-0000-0000-0000FA2A0000}"/>
    <cellStyle name="Normal 2 2 2 2 2 2 2 9" xfId="11012" xr:uid="{00000000-0005-0000-0000-0000FB2A0000}"/>
    <cellStyle name="Normal 2 2 2 2 2 2 20" xfId="11013" xr:uid="{00000000-0005-0000-0000-0000FC2A0000}"/>
    <cellStyle name="Normal 2 2 2 2 2 2 20 10" xfId="11014" xr:uid="{00000000-0005-0000-0000-0000FD2A0000}"/>
    <cellStyle name="Normal 2 2 2 2 2 2 20 11" xfId="11015" xr:uid="{00000000-0005-0000-0000-0000FE2A0000}"/>
    <cellStyle name="Normal 2 2 2 2 2 2 20 12" xfId="11016" xr:uid="{00000000-0005-0000-0000-0000FF2A0000}"/>
    <cellStyle name="Normal 2 2 2 2 2 2 20 13" xfId="11017" xr:uid="{00000000-0005-0000-0000-0000002B0000}"/>
    <cellStyle name="Normal 2 2 2 2 2 2 20 14" xfId="11018" xr:uid="{00000000-0005-0000-0000-0000012B0000}"/>
    <cellStyle name="Normal 2 2 2 2 2 2 20 2" xfId="11019" xr:uid="{00000000-0005-0000-0000-0000022B0000}"/>
    <cellStyle name="Normal 2 2 2 2 2 2 20 2 10" xfId="11020" xr:uid="{00000000-0005-0000-0000-0000032B0000}"/>
    <cellStyle name="Normal 2 2 2 2 2 2 20 2 2" xfId="11021" xr:uid="{00000000-0005-0000-0000-0000042B0000}"/>
    <cellStyle name="Normal 2 2 2 2 2 2 20 2 3" xfId="11022" xr:uid="{00000000-0005-0000-0000-0000052B0000}"/>
    <cellStyle name="Normal 2 2 2 2 2 2 20 2 4" xfId="11023" xr:uid="{00000000-0005-0000-0000-0000062B0000}"/>
    <cellStyle name="Normal 2 2 2 2 2 2 20 2 5" xfId="11024" xr:uid="{00000000-0005-0000-0000-0000072B0000}"/>
    <cellStyle name="Normal 2 2 2 2 2 2 20 2 6" xfId="11025" xr:uid="{00000000-0005-0000-0000-0000082B0000}"/>
    <cellStyle name="Normal 2 2 2 2 2 2 20 2 7" xfId="11026" xr:uid="{00000000-0005-0000-0000-0000092B0000}"/>
    <cellStyle name="Normal 2 2 2 2 2 2 20 2 8" xfId="11027" xr:uid="{00000000-0005-0000-0000-00000A2B0000}"/>
    <cellStyle name="Normal 2 2 2 2 2 2 20 2 9" xfId="11028" xr:uid="{00000000-0005-0000-0000-00000B2B0000}"/>
    <cellStyle name="Normal 2 2 2 2 2 2 20 3" xfId="11029" xr:uid="{00000000-0005-0000-0000-00000C2B0000}"/>
    <cellStyle name="Normal 2 2 2 2 2 2 20 3 10" xfId="11030" xr:uid="{00000000-0005-0000-0000-00000D2B0000}"/>
    <cellStyle name="Normal 2 2 2 2 2 2 20 3 2" xfId="11031" xr:uid="{00000000-0005-0000-0000-00000E2B0000}"/>
    <cellStyle name="Normal 2 2 2 2 2 2 20 3 3" xfId="11032" xr:uid="{00000000-0005-0000-0000-00000F2B0000}"/>
    <cellStyle name="Normal 2 2 2 2 2 2 20 3 4" xfId="11033" xr:uid="{00000000-0005-0000-0000-0000102B0000}"/>
    <cellStyle name="Normal 2 2 2 2 2 2 20 3 5" xfId="11034" xr:uid="{00000000-0005-0000-0000-0000112B0000}"/>
    <cellStyle name="Normal 2 2 2 2 2 2 20 3 6" xfId="11035" xr:uid="{00000000-0005-0000-0000-0000122B0000}"/>
    <cellStyle name="Normal 2 2 2 2 2 2 20 3 7" xfId="11036" xr:uid="{00000000-0005-0000-0000-0000132B0000}"/>
    <cellStyle name="Normal 2 2 2 2 2 2 20 3 8" xfId="11037" xr:uid="{00000000-0005-0000-0000-0000142B0000}"/>
    <cellStyle name="Normal 2 2 2 2 2 2 20 3 9" xfId="11038" xr:uid="{00000000-0005-0000-0000-0000152B0000}"/>
    <cellStyle name="Normal 2 2 2 2 2 2 20 4" xfId="11039" xr:uid="{00000000-0005-0000-0000-0000162B0000}"/>
    <cellStyle name="Normal 2 2 2 2 2 2 20 4 10" xfId="11040" xr:uid="{00000000-0005-0000-0000-0000172B0000}"/>
    <cellStyle name="Normal 2 2 2 2 2 2 20 4 2" xfId="11041" xr:uid="{00000000-0005-0000-0000-0000182B0000}"/>
    <cellStyle name="Normal 2 2 2 2 2 2 20 4 3" xfId="11042" xr:uid="{00000000-0005-0000-0000-0000192B0000}"/>
    <cellStyle name="Normal 2 2 2 2 2 2 20 4 4" xfId="11043" xr:uid="{00000000-0005-0000-0000-00001A2B0000}"/>
    <cellStyle name="Normal 2 2 2 2 2 2 20 4 5" xfId="11044" xr:uid="{00000000-0005-0000-0000-00001B2B0000}"/>
    <cellStyle name="Normal 2 2 2 2 2 2 20 4 6" xfId="11045" xr:uid="{00000000-0005-0000-0000-00001C2B0000}"/>
    <cellStyle name="Normal 2 2 2 2 2 2 20 4 7" xfId="11046" xr:uid="{00000000-0005-0000-0000-00001D2B0000}"/>
    <cellStyle name="Normal 2 2 2 2 2 2 20 4 8" xfId="11047" xr:uid="{00000000-0005-0000-0000-00001E2B0000}"/>
    <cellStyle name="Normal 2 2 2 2 2 2 20 4 9" xfId="11048" xr:uid="{00000000-0005-0000-0000-00001F2B0000}"/>
    <cellStyle name="Normal 2 2 2 2 2 2 20 5" xfId="11049" xr:uid="{00000000-0005-0000-0000-0000202B0000}"/>
    <cellStyle name="Normal 2 2 2 2 2 2 20 5 10" xfId="11050" xr:uid="{00000000-0005-0000-0000-0000212B0000}"/>
    <cellStyle name="Normal 2 2 2 2 2 2 20 5 2" xfId="11051" xr:uid="{00000000-0005-0000-0000-0000222B0000}"/>
    <cellStyle name="Normal 2 2 2 2 2 2 20 5 3" xfId="11052" xr:uid="{00000000-0005-0000-0000-0000232B0000}"/>
    <cellStyle name="Normal 2 2 2 2 2 2 20 5 4" xfId="11053" xr:uid="{00000000-0005-0000-0000-0000242B0000}"/>
    <cellStyle name="Normal 2 2 2 2 2 2 20 5 5" xfId="11054" xr:uid="{00000000-0005-0000-0000-0000252B0000}"/>
    <cellStyle name="Normal 2 2 2 2 2 2 20 5 6" xfId="11055" xr:uid="{00000000-0005-0000-0000-0000262B0000}"/>
    <cellStyle name="Normal 2 2 2 2 2 2 20 5 7" xfId="11056" xr:uid="{00000000-0005-0000-0000-0000272B0000}"/>
    <cellStyle name="Normal 2 2 2 2 2 2 20 5 8" xfId="11057" xr:uid="{00000000-0005-0000-0000-0000282B0000}"/>
    <cellStyle name="Normal 2 2 2 2 2 2 20 5 9" xfId="11058" xr:uid="{00000000-0005-0000-0000-0000292B0000}"/>
    <cellStyle name="Normal 2 2 2 2 2 2 20 6" xfId="11059" xr:uid="{00000000-0005-0000-0000-00002A2B0000}"/>
    <cellStyle name="Normal 2 2 2 2 2 2 20 7" xfId="11060" xr:uid="{00000000-0005-0000-0000-00002B2B0000}"/>
    <cellStyle name="Normal 2 2 2 2 2 2 20 8" xfId="11061" xr:uid="{00000000-0005-0000-0000-00002C2B0000}"/>
    <cellStyle name="Normal 2 2 2 2 2 2 20 9" xfId="11062" xr:uid="{00000000-0005-0000-0000-00002D2B0000}"/>
    <cellStyle name="Normal 2 2 2 2 2 2 21" xfId="11063" xr:uid="{00000000-0005-0000-0000-00002E2B0000}"/>
    <cellStyle name="Normal 2 2 2 2 2 2 21 10" xfId="11064" xr:uid="{00000000-0005-0000-0000-00002F2B0000}"/>
    <cellStyle name="Normal 2 2 2 2 2 2 21 11" xfId="11065" xr:uid="{00000000-0005-0000-0000-0000302B0000}"/>
    <cellStyle name="Normal 2 2 2 2 2 2 21 12" xfId="11066" xr:uid="{00000000-0005-0000-0000-0000312B0000}"/>
    <cellStyle name="Normal 2 2 2 2 2 2 21 13" xfId="11067" xr:uid="{00000000-0005-0000-0000-0000322B0000}"/>
    <cellStyle name="Normal 2 2 2 2 2 2 21 14" xfId="11068" xr:uid="{00000000-0005-0000-0000-0000332B0000}"/>
    <cellStyle name="Normal 2 2 2 2 2 2 21 2" xfId="11069" xr:uid="{00000000-0005-0000-0000-0000342B0000}"/>
    <cellStyle name="Normal 2 2 2 2 2 2 21 2 10" xfId="11070" xr:uid="{00000000-0005-0000-0000-0000352B0000}"/>
    <cellStyle name="Normal 2 2 2 2 2 2 21 2 2" xfId="11071" xr:uid="{00000000-0005-0000-0000-0000362B0000}"/>
    <cellStyle name="Normal 2 2 2 2 2 2 21 2 3" xfId="11072" xr:uid="{00000000-0005-0000-0000-0000372B0000}"/>
    <cellStyle name="Normal 2 2 2 2 2 2 21 2 4" xfId="11073" xr:uid="{00000000-0005-0000-0000-0000382B0000}"/>
    <cellStyle name="Normal 2 2 2 2 2 2 21 2 5" xfId="11074" xr:uid="{00000000-0005-0000-0000-0000392B0000}"/>
    <cellStyle name="Normal 2 2 2 2 2 2 21 2 6" xfId="11075" xr:uid="{00000000-0005-0000-0000-00003A2B0000}"/>
    <cellStyle name="Normal 2 2 2 2 2 2 21 2 7" xfId="11076" xr:uid="{00000000-0005-0000-0000-00003B2B0000}"/>
    <cellStyle name="Normal 2 2 2 2 2 2 21 2 8" xfId="11077" xr:uid="{00000000-0005-0000-0000-00003C2B0000}"/>
    <cellStyle name="Normal 2 2 2 2 2 2 21 2 9" xfId="11078" xr:uid="{00000000-0005-0000-0000-00003D2B0000}"/>
    <cellStyle name="Normal 2 2 2 2 2 2 21 3" xfId="11079" xr:uid="{00000000-0005-0000-0000-00003E2B0000}"/>
    <cellStyle name="Normal 2 2 2 2 2 2 21 3 10" xfId="11080" xr:uid="{00000000-0005-0000-0000-00003F2B0000}"/>
    <cellStyle name="Normal 2 2 2 2 2 2 21 3 2" xfId="11081" xr:uid="{00000000-0005-0000-0000-0000402B0000}"/>
    <cellStyle name="Normal 2 2 2 2 2 2 21 3 3" xfId="11082" xr:uid="{00000000-0005-0000-0000-0000412B0000}"/>
    <cellStyle name="Normal 2 2 2 2 2 2 21 3 4" xfId="11083" xr:uid="{00000000-0005-0000-0000-0000422B0000}"/>
    <cellStyle name="Normal 2 2 2 2 2 2 21 3 5" xfId="11084" xr:uid="{00000000-0005-0000-0000-0000432B0000}"/>
    <cellStyle name="Normal 2 2 2 2 2 2 21 3 6" xfId="11085" xr:uid="{00000000-0005-0000-0000-0000442B0000}"/>
    <cellStyle name="Normal 2 2 2 2 2 2 21 3 7" xfId="11086" xr:uid="{00000000-0005-0000-0000-0000452B0000}"/>
    <cellStyle name="Normal 2 2 2 2 2 2 21 3 8" xfId="11087" xr:uid="{00000000-0005-0000-0000-0000462B0000}"/>
    <cellStyle name="Normal 2 2 2 2 2 2 21 3 9" xfId="11088" xr:uid="{00000000-0005-0000-0000-0000472B0000}"/>
    <cellStyle name="Normal 2 2 2 2 2 2 21 4" xfId="11089" xr:uid="{00000000-0005-0000-0000-0000482B0000}"/>
    <cellStyle name="Normal 2 2 2 2 2 2 21 4 10" xfId="11090" xr:uid="{00000000-0005-0000-0000-0000492B0000}"/>
    <cellStyle name="Normal 2 2 2 2 2 2 21 4 2" xfId="11091" xr:uid="{00000000-0005-0000-0000-00004A2B0000}"/>
    <cellStyle name="Normal 2 2 2 2 2 2 21 4 3" xfId="11092" xr:uid="{00000000-0005-0000-0000-00004B2B0000}"/>
    <cellStyle name="Normal 2 2 2 2 2 2 21 4 4" xfId="11093" xr:uid="{00000000-0005-0000-0000-00004C2B0000}"/>
    <cellStyle name="Normal 2 2 2 2 2 2 21 4 5" xfId="11094" xr:uid="{00000000-0005-0000-0000-00004D2B0000}"/>
    <cellStyle name="Normal 2 2 2 2 2 2 21 4 6" xfId="11095" xr:uid="{00000000-0005-0000-0000-00004E2B0000}"/>
    <cellStyle name="Normal 2 2 2 2 2 2 21 4 7" xfId="11096" xr:uid="{00000000-0005-0000-0000-00004F2B0000}"/>
    <cellStyle name="Normal 2 2 2 2 2 2 21 4 8" xfId="11097" xr:uid="{00000000-0005-0000-0000-0000502B0000}"/>
    <cellStyle name="Normal 2 2 2 2 2 2 21 4 9" xfId="11098" xr:uid="{00000000-0005-0000-0000-0000512B0000}"/>
    <cellStyle name="Normal 2 2 2 2 2 2 21 5" xfId="11099" xr:uid="{00000000-0005-0000-0000-0000522B0000}"/>
    <cellStyle name="Normal 2 2 2 2 2 2 21 5 10" xfId="11100" xr:uid="{00000000-0005-0000-0000-0000532B0000}"/>
    <cellStyle name="Normal 2 2 2 2 2 2 21 5 2" xfId="11101" xr:uid="{00000000-0005-0000-0000-0000542B0000}"/>
    <cellStyle name="Normal 2 2 2 2 2 2 21 5 3" xfId="11102" xr:uid="{00000000-0005-0000-0000-0000552B0000}"/>
    <cellStyle name="Normal 2 2 2 2 2 2 21 5 4" xfId="11103" xr:uid="{00000000-0005-0000-0000-0000562B0000}"/>
    <cellStyle name="Normal 2 2 2 2 2 2 21 5 5" xfId="11104" xr:uid="{00000000-0005-0000-0000-0000572B0000}"/>
    <cellStyle name="Normal 2 2 2 2 2 2 21 5 6" xfId="11105" xr:uid="{00000000-0005-0000-0000-0000582B0000}"/>
    <cellStyle name="Normal 2 2 2 2 2 2 21 5 7" xfId="11106" xr:uid="{00000000-0005-0000-0000-0000592B0000}"/>
    <cellStyle name="Normal 2 2 2 2 2 2 21 5 8" xfId="11107" xr:uid="{00000000-0005-0000-0000-00005A2B0000}"/>
    <cellStyle name="Normal 2 2 2 2 2 2 21 5 9" xfId="11108" xr:uid="{00000000-0005-0000-0000-00005B2B0000}"/>
    <cellStyle name="Normal 2 2 2 2 2 2 21 6" xfId="11109" xr:uid="{00000000-0005-0000-0000-00005C2B0000}"/>
    <cellStyle name="Normal 2 2 2 2 2 2 21 7" xfId="11110" xr:uid="{00000000-0005-0000-0000-00005D2B0000}"/>
    <cellStyle name="Normal 2 2 2 2 2 2 21 8" xfId="11111" xr:uid="{00000000-0005-0000-0000-00005E2B0000}"/>
    <cellStyle name="Normal 2 2 2 2 2 2 21 9" xfId="11112" xr:uid="{00000000-0005-0000-0000-00005F2B0000}"/>
    <cellStyle name="Normal 2 2 2 2 2 2 22" xfId="11113" xr:uid="{00000000-0005-0000-0000-0000602B0000}"/>
    <cellStyle name="Normal 2 2 2 2 2 2 22 10" xfId="11114" xr:uid="{00000000-0005-0000-0000-0000612B0000}"/>
    <cellStyle name="Normal 2 2 2 2 2 2 22 11" xfId="11115" xr:uid="{00000000-0005-0000-0000-0000622B0000}"/>
    <cellStyle name="Normal 2 2 2 2 2 2 22 12" xfId="11116" xr:uid="{00000000-0005-0000-0000-0000632B0000}"/>
    <cellStyle name="Normal 2 2 2 2 2 2 22 13" xfId="11117" xr:uid="{00000000-0005-0000-0000-0000642B0000}"/>
    <cellStyle name="Normal 2 2 2 2 2 2 22 14" xfId="11118" xr:uid="{00000000-0005-0000-0000-0000652B0000}"/>
    <cellStyle name="Normal 2 2 2 2 2 2 22 2" xfId="11119" xr:uid="{00000000-0005-0000-0000-0000662B0000}"/>
    <cellStyle name="Normal 2 2 2 2 2 2 22 2 10" xfId="11120" xr:uid="{00000000-0005-0000-0000-0000672B0000}"/>
    <cellStyle name="Normal 2 2 2 2 2 2 22 2 2" xfId="11121" xr:uid="{00000000-0005-0000-0000-0000682B0000}"/>
    <cellStyle name="Normal 2 2 2 2 2 2 22 2 3" xfId="11122" xr:uid="{00000000-0005-0000-0000-0000692B0000}"/>
    <cellStyle name="Normal 2 2 2 2 2 2 22 2 4" xfId="11123" xr:uid="{00000000-0005-0000-0000-00006A2B0000}"/>
    <cellStyle name="Normal 2 2 2 2 2 2 22 2 5" xfId="11124" xr:uid="{00000000-0005-0000-0000-00006B2B0000}"/>
    <cellStyle name="Normal 2 2 2 2 2 2 22 2 6" xfId="11125" xr:uid="{00000000-0005-0000-0000-00006C2B0000}"/>
    <cellStyle name="Normal 2 2 2 2 2 2 22 2 7" xfId="11126" xr:uid="{00000000-0005-0000-0000-00006D2B0000}"/>
    <cellStyle name="Normal 2 2 2 2 2 2 22 2 8" xfId="11127" xr:uid="{00000000-0005-0000-0000-00006E2B0000}"/>
    <cellStyle name="Normal 2 2 2 2 2 2 22 2 9" xfId="11128" xr:uid="{00000000-0005-0000-0000-00006F2B0000}"/>
    <cellStyle name="Normal 2 2 2 2 2 2 22 3" xfId="11129" xr:uid="{00000000-0005-0000-0000-0000702B0000}"/>
    <cellStyle name="Normal 2 2 2 2 2 2 22 3 10" xfId="11130" xr:uid="{00000000-0005-0000-0000-0000712B0000}"/>
    <cellStyle name="Normal 2 2 2 2 2 2 22 3 2" xfId="11131" xr:uid="{00000000-0005-0000-0000-0000722B0000}"/>
    <cellStyle name="Normal 2 2 2 2 2 2 22 3 3" xfId="11132" xr:uid="{00000000-0005-0000-0000-0000732B0000}"/>
    <cellStyle name="Normal 2 2 2 2 2 2 22 3 4" xfId="11133" xr:uid="{00000000-0005-0000-0000-0000742B0000}"/>
    <cellStyle name="Normal 2 2 2 2 2 2 22 3 5" xfId="11134" xr:uid="{00000000-0005-0000-0000-0000752B0000}"/>
    <cellStyle name="Normal 2 2 2 2 2 2 22 3 6" xfId="11135" xr:uid="{00000000-0005-0000-0000-0000762B0000}"/>
    <cellStyle name="Normal 2 2 2 2 2 2 22 3 7" xfId="11136" xr:uid="{00000000-0005-0000-0000-0000772B0000}"/>
    <cellStyle name="Normal 2 2 2 2 2 2 22 3 8" xfId="11137" xr:uid="{00000000-0005-0000-0000-0000782B0000}"/>
    <cellStyle name="Normal 2 2 2 2 2 2 22 3 9" xfId="11138" xr:uid="{00000000-0005-0000-0000-0000792B0000}"/>
    <cellStyle name="Normal 2 2 2 2 2 2 22 4" xfId="11139" xr:uid="{00000000-0005-0000-0000-00007A2B0000}"/>
    <cellStyle name="Normal 2 2 2 2 2 2 22 4 10" xfId="11140" xr:uid="{00000000-0005-0000-0000-00007B2B0000}"/>
    <cellStyle name="Normal 2 2 2 2 2 2 22 4 2" xfId="11141" xr:uid="{00000000-0005-0000-0000-00007C2B0000}"/>
    <cellStyle name="Normal 2 2 2 2 2 2 22 4 3" xfId="11142" xr:uid="{00000000-0005-0000-0000-00007D2B0000}"/>
    <cellStyle name="Normal 2 2 2 2 2 2 22 4 4" xfId="11143" xr:uid="{00000000-0005-0000-0000-00007E2B0000}"/>
    <cellStyle name="Normal 2 2 2 2 2 2 22 4 5" xfId="11144" xr:uid="{00000000-0005-0000-0000-00007F2B0000}"/>
    <cellStyle name="Normal 2 2 2 2 2 2 22 4 6" xfId="11145" xr:uid="{00000000-0005-0000-0000-0000802B0000}"/>
    <cellStyle name="Normal 2 2 2 2 2 2 22 4 7" xfId="11146" xr:uid="{00000000-0005-0000-0000-0000812B0000}"/>
    <cellStyle name="Normal 2 2 2 2 2 2 22 4 8" xfId="11147" xr:uid="{00000000-0005-0000-0000-0000822B0000}"/>
    <cellStyle name="Normal 2 2 2 2 2 2 22 4 9" xfId="11148" xr:uid="{00000000-0005-0000-0000-0000832B0000}"/>
    <cellStyle name="Normal 2 2 2 2 2 2 22 5" xfId="11149" xr:uid="{00000000-0005-0000-0000-0000842B0000}"/>
    <cellStyle name="Normal 2 2 2 2 2 2 22 5 10" xfId="11150" xr:uid="{00000000-0005-0000-0000-0000852B0000}"/>
    <cellStyle name="Normal 2 2 2 2 2 2 22 5 2" xfId="11151" xr:uid="{00000000-0005-0000-0000-0000862B0000}"/>
    <cellStyle name="Normal 2 2 2 2 2 2 22 5 3" xfId="11152" xr:uid="{00000000-0005-0000-0000-0000872B0000}"/>
    <cellStyle name="Normal 2 2 2 2 2 2 22 5 4" xfId="11153" xr:uid="{00000000-0005-0000-0000-0000882B0000}"/>
    <cellStyle name="Normal 2 2 2 2 2 2 22 5 5" xfId="11154" xr:uid="{00000000-0005-0000-0000-0000892B0000}"/>
    <cellStyle name="Normal 2 2 2 2 2 2 22 5 6" xfId="11155" xr:uid="{00000000-0005-0000-0000-00008A2B0000}"/>
    <cellStyle name="Normal 2 2 2 2 2 2 22 5 7" xfId="11156" xr:uid="{00000000-0005-0000-0000-00008B2B0000}"/>
    <cellStyle name="Normal 2 2 2 2 2 2 22 5 8" xfId="11157" xr:uid="{00000000-0005-0000-0000-00008C2B0000}"/>
    <cellStyle name="Normal 2 2 2 2 2 2 22 5 9" xfId="11158" xr:uid="{00000000-0005-0000-0000-00008D2B0000}"/>
    <cellStyle name="Normal 2 2 2 2 2 2 22 6" xfId="11159" xr:uid="{00000000-0005-0000-0000-00008E2B0000}"/>
    <cellStyle name="Normal 2 2 2 2 2 2 22 7" xfId="11160" xr:uid="{00000000-0005-0000-0000-00008F2B0000}"/>
    <cellStyle name="Normal 2 2 2 2 2 2 22 8" xfId="11161" xr:uid="{00000000-0005-0000-0000-0000902B0000}"/>
    <cellStyle name="Normal 2 2 2 2 2 2 22 9" xfId="11162" xr:uid="{00000000-0005-0000-0000-0000912B0000}"/>
    <cellStyle name="Normal 2 2 2 2 2 2 23" xfId="11163" xr:uid="{00000000-0005-0000-0000-0000922B0000}"/>
    <cellStyle name="Normal 2 2 2 2 2 2 23 10" xfId="11164" xr:uid="{00000000-0005-0000-0000-0000932B0000}"/>
    <cellStyle name="Normal 2 2 2 2 2 2 23 11" xfId="11165" xr:uid="{00000000-0005-0000-0000-0000942B0000}"/>
    <cellStyle name="Normal 2 2 2 2 2 2 23 12" xfId="11166" xr:uid="{00000000-0005-0000-0000-0000952B0000}"/>
    <cellStyle name="Normal 2 2 2 2 2 2 23 13" xfId="11167" xr:uid="{00000000-0005-0000-0000-0000962B0000}"/>
    <cellStyle name="Normal 2 2 2 2 2 2 23 14" xfId="11168" xr:uid="{00000000-0005-0000-0000-0000972B0000}"/>
    <cellStyle name="Normal 2 2 2 2 2 2 23 2" xfId="11169" xr:uid="{00000000-0005-0000-0000-0000982B0000}"/>
    <cellStyle name="Normal 2 2 2 2 2 2 23 2 10" xfId="11170" xr:uid="{00000000-0005-0000-0000-0000992B0000}"/>
    <cellStyle name="Normal 2 2 2 2 2 2 23 2 2" xfId="11171" xr:uid="{00000000-0005-0000-0000-00009A2B0000}"/>
    <cellStyle name="Normal 2 2 2 2 2 2 23 2 3" xfId="11172" xr:uid="{00000000-0005-0000-0000-00009B2B0000}"/>
    <cellStyle name="Normal 2 2 2 2 2 2 23 2 4" xfId="11173" xr:uid="{00000000-0005-0000-0000-00009C2B0000}"/>
    <cellStyle name="Normal 2 2 2 2 2 2 23 2 5" xfId="11174" xr:uid="{00000000-0005-0000-0000-00009D2B0000}"/>
    <cellStyle name="Normal 2 2 2 2 2 2 23 2 6" xfId="11175" xr:uid="{00000000-0005-0000-0000-00009E2B0000}"/>
    <cellStyle name="Normal 2 2 2 2 2 2 23 2 7" xfId="11176" xr:uid="{00000000-0005-0000-0000-00009F2B0000}"/>
    <cellStyle name="Normal 2 2 2 2 2 2 23 2 8" xfId="11177" xr:uid="{00000000-0005-0000-0000-0000A02B0000}"/>
    <cellStyle name="Normal 2 2 2 2 2 2 23 2 9" xfId="11178" xr:uid="{00000000-0005-0000-0000-0000A12B0000}"/>
    <cellStyle name="Normal 2 2 2 2 2 2 23 3" xfId="11179" xr:uid="{00000000-0005-0000-0000-0000A22B0000}"/>
    <cellStyle name="Normal 2 2 2 2 2 2 23 3 10" xfId="11180" xr:uid="{00000000-0005-0000-0000-0000A32B0000}"/>
    <cellStyle name="Normal 2 2 2 2 2 2 23 3 2" xfId="11181" xr:uid="{00000000-0005-0000-0000-0000A42B0000}"/>
    <cellStyle name="Normal 2 2 2 2 2 2 23 3 3" xfId="11182" xr:uid="{00000000-0005-0000-0000-0000A52B0000}"/>
    <cellStyle name="Normal 2 2 2 2 2 2 23 3 4" xfId="11183" xr:uid="{00000000-0005-0000-0000-0000A62B0000}"/>
    <cellStyle name="Normal 2 2 2 2 2 2 23 3 5" xfId="11184" xr:uid="{00000000-0005-0000-0000-0000A72B0000}"/>
    <cellStyle name="Normal 2 2 2 2 2 2 23 3 6" xfId="11185" xr:uid="{00000000-0005-0000-0000-0000A82B0000}"/>
    <cellStyle name="Normal 2 2 2 2 2 2 23 3 7" xfId="11186" xr:uid="{00000000-0005-0000-0000-0000A92B0000}"/>
    <cellStyle name="Normal 2 2 2 2 2 2 23 3 8" xfId="11187" xr:uid="{00000000-0005-0000-0000-0000AA2B0000}"/>
    <cellStyle name="Normal 2 2 2 2 2 2 23 3 9" xfId="11188" xr:uid="{00000000-0005-0000-0000-0000AB2B0000}"/>
    <cellStyle name="Normal 2 2 2 2 2 2 23 4" xfId="11189" xr:uid="{00000000-0005-0000-0000-0000AC2B0000}"/>
    <cellStyle name="Normal 2 2 2 2 2 2 23 4 10" xfId="11190" xr:uid="{00000000-0005-0000-0000-0000AD2B0000}"/>
    <cellStyle name="Normal 2 2 2 2 2 2 23 4 2" xfId="11191" xr:uid="{00000000-0005-0000-0000-0000AE2B0000}"/>
    <cellStyle name="Normal 2 2 2 2 2 2 23 4 3" xfId="11192" xr:uid="{00000000-0005-0000-0000-0000AF2B0000}"/>
    <cellStyle name="Normal 2 2 2 2 2 2 23 4 4" xfId="11193" xr:uid="{00000000-0005-0000-0000-0000B02B0000}"/>
    <cellStyle name="Normal 2 2 2 2 2 2 23 4 5" xfId="11194" xr:uid="{00000000-0005-0000-0000-0000B12B0000}"/>
    <cellStyle name="Normal 2 2 2 2 2 2 23 4 6" xfId="11195" xr:uid="{00000000-0005-0000-0000-0000B22B0000}"/>
    <cellStyle name="Normal 2 2 2 2 2 2 23 4 7" xfId="11196" xr:uid="{00000000-0005-0000-0000-0000B32B0000}"/>
    <cellStyle name="Normal 2 2 2 2 2 2 23 4 8" xfId="11197" xr:uid="{00000000-0005-0000-0000-0000B42B0000}"/>
    <cellStyle name="Normal 2 2 2 2 2 2 23 4 9" xfId="11198" xr:uid="{00000000-0005-0000-0000-0000B52B0000}"/>
    <cellStyle name="Normal 2 2 2 2 2 2 23 5" xfId="11199" xr:uid="{00000000-0005-0000-0000-0000B62B0000}"/>
    <cellStyle name="Normal 2 2 2 2 2 2 23 5 10" xfId="11200" xr:uid="{00000000-0005-0000-0000-0000B72B0000}"/>
    <cellStyle name="Normal 2 2 2 2 2 2 23 5 2" xfId="11201" xr:uid="{00000000-0005-0000-0000-0000B82B0000}"/>
    <cellStyle name="Normal 2 2 2 2 2 2 23 5 3" xfId="11202" xr:uid="{00000000-0005-0000-0000-0000B92B0000}"/>
    <cellStyle name="Normal 2 2 2 2 2 2 23 5 4" xfId="11203" xr:uid="{00000000-0005-0000-0000-0000BA2B0000}"/>
    <cellStyle name="Normal 2 2 2 2 2 2 23 5 5" xfId="11204" xr:uid="{00000000-0005-0000-0000-0000BB2B0000}"/>
    <cellStyle name="Normal 2 2 2 2 2 2 23 5 6" xfId="11205" xr:uid="{00000000-0005-0000-0000-0000BC2B0000}"/>
    <cellStyle name="Normal 2 2 2 2 2 2 23 5 7" xfId="11206" xr:uid="{00000000-0005-0000-0000-0000BD2B0000}"/>
    <cellStyle name="Normal 2 2 2 2 2 2 23 5 8" xfId="11207" xr:uid="{00000000-0005-0000-0000-0000BE2B0000}"/>
    <cellStyle name="Normal 2 2 2 2 2 2 23 5 9" xfId="11208" xr:uid="{00000000-0005-0000-0000-0000BF2B0000}"/>
    <cellStyle name="Normal 2 2 2 2 2 2 23 6" xfId="11209" xr:uid="{00000000-0005-0000-0000-0000C02B0000}"/>
    <cellStyle name="Normal 2 2 2 2 2 2 23 7" xfId="11210" xr:uid="{00000000-0005-0000-0000-0000C12B0000}"/>
    <cellStyle name="Normal 2 2 2 2 2 2 23 8" xfId="11211" xr:uid="{00000000-0005-0000-0000-0000C22B0000}"/>
    <cellStyle name="Normal 2 2 2 2 2 2 23 9" xfId="11212" xr:uid="{00000000-0005-0000-0000-0000C32B0000}"/>
    <cellStyle name="Normal 2 2 2 2 2 2 24" xfId="11213" xr:uid="{00000000-0005-0000-0000-0000C42B0000}"/>
    <cellStyle name="Normal 2 2 2 2 2 2 24 10" xfId="11214" xr:uid="{00000000-0005-0000-0000-0000C52B0000}"/>
    <cellStyle name="Normal 2 2 2 2 2 2 24 11" xfId="11215" xr:uid="{00000000-0005-0000-0000-0000C62B0000}"/>
    <cellStyle name="Normal 2 2 2 2 2 2 24 12" xfId="11216" xr:uid="{00000000-0005-0000-0000-0000C72B0000}"/>
    <cellStyle name="Normal 2 2 2 2 2 2 24 13" xfId="11217" xr:uid="{00000000-0005-0000-0000-0000C82B0000}"/>
    <cellStyle name="Normal 2 2 2 2 2 2 24 14" xfId="11218" xr:uid="{00000000-0005-0000-0000-0000C92B0000}"/>
    <cellStyle name="Normal 2 2 2 2 2 2 24 2" xfId="11219" xr:uid="{00000000-0005-0000-0000-0000CA2B0000}"/>
    <cellStyle name="Normal 2 2 2 2 2 2 24 2 10" xfId="11220" xr:uid="{00000000-0005-0000-0000-0000CB2B0000}"/>
    <cellStyle name="Normal 2 2 2 2 2 2 24 2 2" xfId="11221" xr:uid="{00000000-0005-0000-0000-0000CC2B0000}"/>
    <cellStyle name="Normal 2 2 2 2 2 2 24 2 3" xfId="11222" xr:uid="{00000000-0005-0000-0000-0000CD2B0000}"/>
    <cellStyle name="Normal 2 2 2 2 2 2 24 2 4" xfId="11223" xr:uid="{00000000-0005-0000-0000-0000CE2B0000}"/>
    <cellStyle name="Normal 2 2 2 2 2 2 24 2 5" xfId="11224" xr:uid="{00000000-0005-0000-0000-0000CF2B0000}"/>
    <cellStyle name="Normal 2 2 2 2 2 2 24 2 6" xfId="11225" xr:uid="{00000000-0005-0000-0000-0000D02B0000}"/>
    <cellStyle name="Normal 2 2 2 2 2 2 24 2 7" xfId="11226" xr:uid="{00000000-0005-0000-0000-0000D12B0000}"/>
    <cellStyle name="Normal 2 2 2 2 2 2 24 2 8" xfId="11227" xr:uid="{00000000-0005-0000-0000-0000D22B0000}"/>
    <cellStyle name="Normal 2 2 2 2 2 2 24 2 9" xfId="11228" xr:uid="{00000000-0005-0000-0000-0000D32B0000}"/>
    <cellStyle name="Normal 2 2 2 2 2 2 24 3" xfId="11229" xr:uid="{00000000-0005-0000-0000-0000D42B0000}"/>
    <cellStyle name="Normal 2 2 2 2 2 2 24 3 10" xfId="11230" xr:uid="{00000000-0005-0000-0000-0000D52B0000}"/>
    <cellStyle name="Normal 2 2 2 2 2 2 24 3 2" xfId="11231" xr:uid="{00000000-0005-0000-0000-0000D62B0000}"/>
    <cellStyle name="Normal 2 2 2 2 2 2 24 3 3" xfId="11232" xr:uid="{00000000-0005-0000-0000-0000D72B0000}"/>
    <cellStyle name="Normal 2 2 2 2 2 2 24 3 4" xfId="11233" xr:uid="{00000000-0005-0000-0000-0000D82B0000}"/>
    <cellStyle name="Normal 2 2 2 2 2 2 24 3 5" xfId="11234" xr:uid="{00000000-0005-0000-0000-0000D92B0000}"/>
    <cellStyle name="Normal 2 2 2 2 2 2 24 3 6" xfId="11235" xr:uid="{00000000-0005-0000-0000-0000DA2B0000}"/>
    <cellStyle name="Normal 2 2 2 2 2 2 24 3 7" xfId="11236" xr:uid="{00000000-0005-0000-0000-0000DB2B0000}"/>
    <cellStyle name="Normal 2 2 2 2 2 2 24 3 8" xfId="11237" xr:uid="{00000000-0005-0000-0000-0000DC2B0000}"/>
    <cellStyle name="Normal 2 2 2 2 2 2 24 3 9" xfId="11238" xr:uid="{00000000-0005-0000-0000-0000DD2B0000}"/>
    <cellStyle name="Normal 2 2 2 2 2 2 24 4" xfId="11239" xr:uid="{00000000-0005-0000-0000-0000DE2B0000}"/>
    <cellStyle name="Normal 2 2 2 2 2 2 24 4 10" xfId="11240" xr:uid="{00000000-0005-0000-0000-0000DF2B0000}"/>
    <cellStyle name="Normal 2 2 2 2 2 2 24 4 2" xfId="11241" xr:uid="{00000000-0005-0000-0000-0000E02B0000}"/>
    <cellStyle name="Normal 2 2 2 2 2 2 24 4 3" xfId="11242" xr:uid="{00000000-0005-0000-0000-0000E12B0000}"/>
    <cellStyle name="Normal 2 2 2 2 2 2 24 4 4" xfId="11243" xr:uid="{00000000-0005-0000-0000-0000E22B0000}"/>
    <cellStyle name="Normal 2 2 2 2 2 2 24 4 5" xfId="11244" xr:uid="{00000000-0005-0000-0000-0000E32B0000}"/>
    <cellStyle name="Normal 2 2 2 2 2 2 24 4 6" xfId="11245" xr:uid="{00000000-0005-0000-0000-0000E42B0000}"/>
    <cellStyle name="Normal 2 2 2 2 2 2 24 4 7" xfId="11246" xr:uid="{00000000-0005-0000-0000-0000E52B0000}"/>
    <cellStyle name="Normal 2 2 2 2 2 2 24 4 8" xfId="11247" xr:uid="{00000000-0005-0000-0000-0000E62B0000}"/>
    <cellStyle name="Normal 2 2 2 2 2 2 24 4 9" xfId="11248" xr:uid="{00000000-0005-0000-0000-0000E72B0000}"/>
    <cellStyle name="Normal 2 2 2 2 2 2 24 5" xfId="11249" xr:uid="{00000000-0005-0000-0000-0000E82B0000}"/>
    <cellStyle name="Normal 2 2 2 2 2 2 24 5 10" xfId="11250" xr:uid="{00000000-0005-0000-0000-0000E92B0000}"/>
    <cellStyle name="Normal 2 2 2 2 2 2 24 5 2" xfId="11251" xr:uid="{00000000-0005-0000-0000-0000EA2B0000}"/>
    <cellStyle name="Normal 2 2 2 2 2 2 24 5 3" xfId="11252" xr:uid="{00000000-0005-0000-0000-0000EB2B0000}"/>
    <cellStyle name="Normal 2 2 2 2 2 2 24 5 4" xfId="11253" xr:uid="{00000000-0005-0000-0000-0000EC2B0000}"/>
    <cellStyle name="Normal 2 2 2 2 2 2 24 5 5" xfId="11254" xr:uid="{00000000-0005-0000-0000-0000ED2B0000}"/>
    <cellStyle name="Normal 2 2 2 2 2 2 24 5 6" xfId="11255" xr:uid="{00000000-0005-0000-0000-0000EE2B0000}"/>
    <cellStyle name="Normal 2 2 2 2 2 2 24 5 7" xfId="11256" xr:uid="{00000000-0005-0000-0000-0000EF2B0000}"/>
    <cellStyle name="Normal 2 2 2 2 2 2 24 5 8" xfId="11257" xr:uid="{00000000-0005-0000-0000-0000F02B0000}"/>
    <cellStyle name="Normal 2 2 2 2 2 2 24 5 9" xfId="11258" xr:uid="{00000000-0005-0000-0000-0000F12B0000}"/>
    <cellStyle name="Normal 2 2 2 2 2 2 24 6" xfId="11259" xr:uid="{00000000-0005-0000-0000-0000F22B0000}"/>
    <cellStyle name="Normal 2 2 2 2 2 2 24 7" xfId="11260" xr:uid="{00000000-0005-0000-0000-0000F32B0000}"/>
    <cellStyle name="Normal 2 2 2 2 2 2 24 8" xfId="11261" xr:uid="{00000000-0005-0000-0000-0000F42B0000}"/>
    <cellStyle name="Normal 2 2 2 2 2 2 24 9" xfId="11262" xr:uid="{00000000-0005-0000-0000-0000F52B0000}"/>
    <cellStyle name="Normal 2 2 2 2 2 2 25" xfId="11263" xr:uid="{00000000-0005-0000-0000-0000F62B0000}"/>
    <cellStyle name="Normal 2 2 2 2 2 2 25 10" xfId="11264" xr:uid="{00000000-0005-0000-0000-0000F72B0000}"/>
    <cellStyle name="Normal 2 2 2 2 2 2 25 11" xfId="11265" xr:uid="{00000000-0005-0000-0000-0000F82B0000}"/>
    <cellStyle name="Normal 2 2 2 2 2 2 25 12" xfId="11266" xr:uid="{00000000-0005-0000-0000-0000F92B0000}"/>
    <cellStyle name="Normal 2 2 2 2 2 2 25 13" xfId="11267" xr:uid="{00000000-0005-0000-0000-0000FA2B0000}"/>
    <cellStyle name="Normal 2 2 2 2 2 2 25 14" xfId="11268" xr:uid="{00000000-0005-0000-0000-0000FB2B0000}"/>
    <cellStyle name="Normal 2 2 2 2 2 2 25 2" xfId="11269" xr:uid="{00000000-0005-0000-0000-0000FC2B0000}"/>
    <cellStyle name="Normal 2 2 2 2 2 2 25 2 10" xfId="11270" xr:uid="{00000000-0005-0000-0000-0000FD2B0000}"/>
    <cellStyle name="Normal 2 2 2 2 2 2 25 2 2" xfId="11271" xr:uid="{00000000-0005-0000-0000-0000FE2B0000}"/>
    <cellStyle name="Normal 2 2 2 2 2 2 25 2 3" xfId="11272" xr:uid="{00000000-0005-0000-0000-0000FF2B0000}"/>
    <cellStyle name="Normal 2 2 2 2 2 2 25 2 4" xfId="11273" xr:uid="{00000000-0005-0000-0000-0000002C0000}"/>
    <cellStyle name="Normal 2 2 2 2 2 2 25 2 5" xfId="11274" xr:uid="{00000000-0005-0000-0000-0000012C0000}"/>
    <cellStyle name="Normal 2 2 2 2 2 2 25 2 6" xfId="11275" xr:uid="{00000000-0005-0000-0000-0000022C0000}"/>
    <cellStyle name="Normal 2 2 2 2 2 2 25 2 7" xfId="11276" xr:uid="{00000000-0005-0000-0000-0000032C0000}"/>
    <cellStyle name="Normal 2 2 2 2 2 2 25 2 8" xfId="11277" xr:uid="{00000000-0005-0000-0000-0000042C0000}"/>
    <cellStyle name="Normal 2 2 2 2 2 2 25 2 9" xfId="11278" xr:uid="{00000000-0005-0000-0000-0000052C0000}"/>
    <cellStyle name="Normal 2 2 2 2 2 2 25 3" xfId="11279" xr:uid="{00000000-0005-0000-0000-0000062C0000}"/>
    <cellStyle name="Normal 2 2 2 2 2 2 25 3 10" xfId="11280" xr:uid="{00000000-0005-0000-0000-0000072C0000}"/>
    <cellStyle name="Normal 2 2 2 2 2 2 25 3 2" xfId="11281" xr:uid="{00000000-0005-0000-0000-0000082C0000}"/>
    <cellStyle name="Normal 2 2 2 2 2 2 25 3 3" xfId="11282" xr:uid="{00000000-0005-0000-0000-0000092C0000}"/>
    <cellStyle name="Normal 2 2 2 2 2 2 25 3 4" xfId="11283" xr:uid="{00000000-0005-0000-0000-00000A2C0000}"/>
    <cellStyle name="Normal 2 2 2 2 2 2 25 3 5" xfId="11284" xr:uid="{00000000-0005-0000-0000-00000B2C0000}"/>
    <cellStyle name="Normal 2 2 2 2 2 2 25 3 6" xfId="11285" xr:uid="{00000000-0005-0000-0000-00000C2C0000}"/>
    <cellStyle name="Normal 2 2 2 2 2 2 25 3 7" xfId="11286" xr:uid="{00000000-0005-0000-0000-00000D2C0000}"/>
    <cellStyle name="Normal 2 2 2 2 2 2 25 3 8" xfId="11287" xr:uid="{00000000-0005-0000-0000-00000E2C0000}"/>
    <cellStyle name="Normal 2 2 2 2 2 2 25 3 9" xfId="11288" xr:uid="{00000000-0005-0000-0000-00000F2C0000}"/>
    <cellStyle name="Normal 2 2 2 2 2 2 25 4" xfId="11289" xr:uid="{00000000-0005-0000-0000-0000102C0000}"/>
    <cellStyle name="Normal 2 2 2 2 2 2 25 4 10" xfId="11290" xr:uid="{00000000-0005-0000-0000-0000112C0000}"/>
    <cellStyle name="Normal 2 2 2 2 2 2 25 4 2" xfId="11291" xr:uid="{00000000-0005-0000-0000-0000122C0000}"/>
    <cellStyle name="Normal 2 2 2 2 2 2 25 4 3" xfId="11292" xr:uid="{00000000-0005-0000-0000-0000132C0000}"/>
    <cellStyle name="Normal 2 2 2 2 2 2 25 4 4" xfId="11293" xr:uid="{00000000-0005-0000-0000-0000142C0000}"/>
    <cellStyle name="Normal 2 2 2 2 2 2 25 4 5" xfId="11294" xr:uid="{00000000-0005-0000-0000-0000152C0000}"/>
    <cellStyle name="Normal 2 2 2 2 2 2 25 4 6" xfId="11295" xr:uid="{00000000-0005-0000-0000-0000162C0000}"/>
    <cellStyle name="Normal 2 2 2 2 2 2 25 4 7" xfId="11296" xr:uid="{00000000-0005-0000-0000-0000172C0000}"/>
    <cellStyle name="Normal 2 2 2 2 2 2 25 4 8" xfId="11297" xr:uid="{00000000-0005-0000-0000-0000182C0000}"/>
    <cellStyle name="Normal 2 2 2 2 2 2 25 4 9" xfId="11298" xr:uid="{00000000-0005-0000-0000-0000192C0000}"/>
    <cellStyle name="Normal 2 2 2 2 2 2 25 5" xfId="11299" xr:uid="{00000000-0005-0000-0000-00001A2C0000}"/>
    <cellStyle name="Normal 2 2 2 2 2 2 25 5 10" xfId="11300" xr:uid="{00000000-0005-0000-0000-00001B2C0000}"/>
    <cellStyle name="Normal 2 2 2 2 2 2 25 5 2" xfId="11301" xr:uid="{00000000-0005-0000-0000-00001C2C0000}"/>
    <cellStyle name="Normal 2 2 2 2 2 2 25 5 3" xfId="11302" xr:uid="{00000000-0005-0000-0000-00001D2C0000}"/>
    <cellStyle name="Normal 2 2 2 2 2 2 25 5 4" xfId="11303" xr:uid="{00000000-0005-0000-0000-00001E2C0000}"/>
    <cellStyle name="Normal 2 2 2 2 2 2 25 5 5" xfId="11304" xr:uid="{00000000-0005-0000-0000-00001F2C0000}"/>
    <cellStyle name="Normal 2 2 2 2 2 2 25 5 6" xfId="11305" xr:uid="{00000000-0005-0000-0000-0000202C0000}"/>
    <cellStyle name="Normal 2 2 2 2 2 2 25 5 7" xfId="11306" xr:uid="{00000000-0005-0000-0000-0000212C0000}"/>
    <cellStyle name="Normal 2 2 2 2 2 2 25 5 8" xfId="11307" xr:uid="{00000000-0005-0000-0000-0000222C0000}"/>
    <cellStyle name="Normal 2 2 2 2 2 2 25 5 9" xfId="11308" xr:uid="{00000000-0005-0000-0000-0000232C0000}"/>
    <cellStyle name="Normal 2 2 2 2 2 2 25 6" xfId="11309" xr:uid="{00000000-0005-0000-0000-0000242C0000}"/>
    <cellStyle name="Normal 2 2 2 2 2 2 25 7" xfId="11310" xr:uid="{00000000-0005-0000-0000-0000252C0000}"/>
    <cellStyle name="Normal 2 2 2 2 2 2 25 8" xfId="11311" xr:uid="{00000000-0005-0000-0000-0000262C0000}"/>
    <cellStyle name="Normal 2 2 2 2 2 2 25 9" xfId="11312" xr:uid="{00000000-0005-0000-0000-0000272C0000}"/>
    <cellStyle name="Normal 2 2 2 2 2 2 26" xfId="11313" xr:uid="{00000000-0005-0000-0000-0000282C0000}"/>
    <cellStyle name="Normal 2 2 2 2 2 2 26 10" xfId="11314" xr:uid="{00000000-0005-0000-0000-0000292C0000}"/>
    <cellStyle name="Normal 2 2 2 2 2 2 26 11" xfId="11315" xr:uid="{00000000-0005-0000-0000-00002A2C0000}"/>
    <cellStyle name="Normal 2 2 2 2 2 2 26 12" xfId="11316" xr:uid="{00000000-0005-0000-0000-00002B2C0000}"/>
    <cellStyle name="Normal 2 2 2 2 2 2 26 13" xfId="11317" xr:uid="{00000000-0005-0000-0000-00002C2C0000}"/>
    <cellStyle name="Normal 2 2 2 2 2 2 26 14" xfId="11318" xr:uid="{00000000-0005-0000-0000-00002D2C0000}"/>
    <cellStyle name="Normal 2 2 2 2 2 2 26 2" xfId="11319" xr:uid="{00000000-0005-0000-0000-00002E2C0000}"/>
    <cellStyle name="Normal 2 2 2 2 2 2 26 2 10" xfId="11320" xr:uid="{00000000-0005-0000-0000-00002F2C0000}"/>
    <cellStyle name="Normal 2 2 2 2 2 2 26 2 2" xfId="11321" xr:uid="{00000000-0005-0000-0000-0000302C0000}"/>
    <cellStyle name="Normal 2 2 2 2 2 2 26 2 3" xfId="11322" xr:uid="{00000000-0005-0000-0000-0000312C0000}"/>
    <cellStyle name="Normal 2 2 2 2 2 2 26 2 4" xfId="11323" xr:uid="{00000000-0005-0000-0000-0000322C0000}"/>
    <cellStyle name="Normal 2 2 2 2 2 2 26 2 5" xfId="11324" xr:uid="{00000000-0005-0000-0000-0000332C0000}"/>
    <cellStyle name="Normal 2 2 2 2 2 2 26 2 6" xfId="11325" xr:uid="{00000000-0005-0000-0000-0000342C0000}"/>
    <cellStyle name="Normal 2 2 2 2 2 2 26 2 7" xfId="11326" xr:uid="{00000000-0005-0000-0000-0000352C0000}"/>
    <cellStyle name="Normal 2 2 2 2 2 2 26 2 8" xfId="11327" xr:uid="{00000000-0005-0000-0000-0000362C0000}"/>
    <cellStyle name="Normal 2 2 2 2 2 2 26 2 9" xfId="11328" xr:uid="{00000000-0005-0000-0000-0000372C0000}"/>
    <cellStyle name="Normal 2 2 2 2 2 2 26 3" xfId="11329" xr:uid="{00000000-0005-0000-0000-0000382C0000}"/>
    <cellStyle name="Normal 2 2 2 2 2 2 26 3 10" xfId="11330" xr:uid="{00000000-0005-0000-0000-0000392C0000}"/>
    <cellStyle name="Normal 2 2 2 2 2 2 26 3 2" xfId="11331" xr:uid="{00000000-0005-0000-0000-00003A2C0000}"/>
    <cellStyle name="Normal 2 2 2 2 2 2 26 3 3" xfId="11332" xr:uid="{00000000-0005-0000-0000-00003B2C0000}"/>
    <cellStyle name="Normal 2 2 2 2 2 2 26 3 4" xfId="11333" xr:uid="{00000000-0005-0000-0000-00003C2C0000}"/>
    <cellStyle name="Normal 2 2 2 2 2 2 26 3 5" xfId="11334" xr:uid="{00000000-0005-0000-0000-00003D2C0000}"/>
    <cellStyle name="Normal 2 2 2 2 2 2 26 3 6" xfId="11335" xr:uid="{00000000-0005-0000-0000-00003E2C0000}"/>
    <cellStyle name="Normal 2 2 2 2 2 2 26 3 7" xfId="11336" xr:uid="{00000000-0005-0000-0000-00003F2C0000}"/>
    <cellStyle name="Normal 2 2 2 2 2 2 26 3 8" xfId="11337" xr:uid="{00000000-0005-0000-0000-0000402C0000}"/>
    <cellStyle name="Normal 2 2 2 2 2 2 26 3 9" xfId="11338" xr:uid="{00000000-0005-0000-0000-0000412C0000}"/>
    <cellStyle name="Normal 2 2 2 2 2 2 26 4" xfId="11339" xr:uid="{00000000-0005-0000-0000-0000422C0000}"/>
    <cellStyle name="Normal 2 2 2 2 2 2 26 4 10" xfId="11340" xr:uid="{00000000-0005-0000-0000-0000432C0000}"/>
    <cellStyle name="Normal 2 2 2 2 2 2 26 4 2" xfId="11341" xr:uid="{00000000-0005-0000-0000-0000442C0000}"/>
    <cellStyle name="Normal 2 2 2 2 2 2 26 4 3" xfId="11342" xr:uid="{00000000-0005-0000-0000-0000452C0000}"/>
    <cellStyle name="Normal 2 2 2 2 2 2 26 4 4" xfId="11343" xr:uid="{00000000-0005-0000-0000-0000462C0000}"/>
    <cellStyle name="Normal 2 2 2 2 2 2 26 4 5" xfId="11344" xr:uid="{00000000-0005-0000-0000-0000472C0000}"/>
    <cellStyle name="Normal 2 2 2 2 2 2 26 4 6" xfId="11345" xr:uid="{00000000-0005-0000-0000-0000482C0000}"/>
    <cellStyle name="Normal 2 2 2 2 2 2 26 4 7" xfId="11346" xr:uid="{00000000-0005-0000-0000-0000492C0000}"/>
    <cellStyle name="Normal 2 2 2 2 2 2 26 4 8" xfId="11347" xr:uid="{00000000-0005-0000-0000-00004A2C0000}"/>
    <cellStyle name="Normal 2 2 2 2 2 2 26 4 9" xfId="11348" xr:uid="{00000000-0005-0000-0000-00004B2C0000}"/>
    <cellStyle name="Normal 2 2 2 2 2 2 26 5" xfId="11349" xr:uid="{00000000-0005-0000-0000-00004C2C0000}"/>
    <cellStyle name="Normal 2 2 2 2 2 2 26 5 10" xfId="11350" xr:uid="{00000000-0005-0000-0000-00004D2C0000}"/>
    <cellStyle name="Normal 2 2 2 2 2 2 26 5 2" xfId="11351" xr:uid="{00000000-0005-0000-0000-00004E2C0000}"/>
    <cellStyle name="Normal 2 2 2 2 2 2 26 5 3" xfId="11352" xr:uid="{00000000-0005-0000-0000-00004F2C0000}"/>
    <cellStyle name="Normal 2 2 2 2 2 2 26 5 4" xfId="11353" xr:uid="{00000000-0005-0000-0000-0000502C0000}"/>
    <cellStyle name="Normal 2 2 2 2 2 2 26 5 5" xfId="11354" xr:uid="{00000000-0005-0000-0000-0000512C0000}"/>
    <cellStyle name="Normal 2 2 2 2 2 2 26 5 6" xfId="11355" xr:uid="{00000000-0005-0000-0000-0000522C0000}"/>
    <cellStyle name="Normal 2 2 2 2 2 2 26 5 7" xfId="11356" xr:uid="{00000000-0005-0000-0000-0000532C0000}"/>
    <cellStyle name="Normal 2 2 2 2 2 2 26 5 8" xfId="11357" xr:uid="{00000000-0005-0000-0000-0000542C0000}"/>
    <cellStyle name="Normal 2 2 2 2 2 2 26 5 9" xfId="11358" xr:uid="{00000000-0005-0000-0000-0000552C0000}"/>
    <cellStyle name="Normal 2 2 2 2 2 2 26 6" xfId="11359" xr:uid="{00000000-0005-0000-0000-0000562C0000}"/>
    <cellStyle name="Normal 2 2 2 2 2 2 26 7" xfId="11360" xr:uid="{00000000-0005-0000-0000-0000572C0000}"/>
    <cellStyle name="Normal 2 2 2 2 2 2 26 8" xfId="11361" xr:uid="{00000000-0005-0000-0000-0000582C0000}"/>
    <cellStyle name="Normal 2 2 2 2 2 2 26 9" xfId="11362" xr:uid="{00000000-0005-0000-0000-0000592C0000}"/>
    <cellStyle name="Normal 2 2 2 2 2 2 27" xfId="11363" xr:uid="{00000000-0005-0000-0000-00005A2C0000}"/>
    <cellStyle name="Normal 2 2 2 2 2 2 27 10" xfId="11364" xr:uid="{00000000-0005-0000-0000-00005B2C0000}"/>
    <cellStyle name="Normal 2 2 2 2 2 2 27 11" xfId="11365" xr:uid="{00000000-0005-0000-0000-00005C2C0000}"/>
    <cellStyle name="Normal 2 2 2 2 2 2 27 12" xfId="11366" xr:uid="{00000000-0005-0000-0000-00005D2C0000}"/>
    <cellStyle name="Normal 2 2 2 2 2 2 27 13" xfId="11367" xr:uid="{00000000-0005-0000-0000-00005E2C0000}"/>
    <cellStyle name="Normal 2 2 2 2 2 2 27 14" xfId="11368" xr:uid="{00000000-0005-0000-0000-00005F2C0000}"/>
    <cellStyle name="Normal 2 2 2 2 2 2 27 2" xfId="11369" xr:uid="{00000000-0005-0000-0000-0000602C0000}"/>
    <cellStyle name="Normal 2 2 2 2 2 2 27 2 10" xfId="11370" xr:uid="{00000000-0005-0000-0000-0000612C0000}"/>
    <cellStyle name="Normal 2 2 2 2 2 2 27 2 2" xfId="11371" xr:uid="{00000000-0005-0000-0000-0000622C0000}"/>
    <cellStyle name="Normal 2 2 2 2 2 2 27 2 3" xfId="11372" xr:uid="{00000000-0005-0000-0000-0000632C0000}"/>
    <cellStyle name="Normal 2 2 2 2 2 2 27 2 4" xfId="11373" xr:uid="{00000000-0005-0000-0000-0000642C0000}"/>
    <cellStyle name="Normal 2 2 2 2 2 2 27 2 5" xfId="11374" xr:uid="{00000000-0005-0000-0000-0000652C0000}"/>
    <cellStyle name="Normal 2 2 2 2 2 2 27 2 6" xfId="11375" xr:uid="{00000000-0005-0000-0000-0000662C0000}"/>
    <cellStyle name="Normal 2 2 2 2 2 2 27 2 7" xfId="11376" xr:uid="{00000000-0005-0000-0000-0000672C0000}"/>
    <cellStyle name="Normal 2 2 2 2 2 2 27 2 8" xfId="11377" xr:uid="{00000000-0005-0000-0000-0000682C0000}"/>
    <cellStyle name="Normal 2 2 2 2 2 2 27 2 9" xfId="11378" xr:uid="{00000000-0005-0000-0000-0000692C0000}"/>
    <cellStyle name="Normal 2 2 2 2 2 2 27 3" xfId="11379" xr:uid="{00000000-0005-0000-0000-00006A2C0000}"/>
    <cellStyle name="Normal 2 2 2 2 2 2 27 3 10" xfId="11380" xr:uid="{00000000-0005-0000-0000-00006B2C0000}"/>
    <cellStyle name="Normal 2 2 2 2 2 2 27 3 2" xfId="11381" xr:uid="{00000000-0005-0000-0000-00006C2C0000}"/>
    <cellStyle name="Normal 2 2 2 2 2 2 27 3 3" xfId="11382" xr:uid="{00000000-0005-0000-0000-00006D2C0000}"/>
    <cellStyle name="Normal 2 2 2 2 2 2 27 3 4" xfId="11383" xr:uid="{00000000-0005-0000-0000-00006E2C0000}"/>
    <cellStyle name="Normal 2 2 2 2 2 2 27 3 5" xfId="11384" xr:uid="{00000000-0005-0000-0000-00006F2C0000}"/>
    <cellStyle name="Normal 2 2 2 2 2 2 27 3 6" xfId="11385" xr:uid="{00000000-0005-0000-0000-0000702C0000}"/>
    <cellStyle name="Normal 2 2 2 2 2 2 27 3 7" xfId="11386" xr:uid="{00000000-0005-0000-0000-0000712C0000}"/>
    <cellStyle name="Normal 2 2 2 2 2 2 27 3 8" xfId="11387" xr:uid="{00000000-0005-0000-0000-0000722C0000}"/>
    <cellStyle name="Normal 2 2 2 2 2 2 27 3 9" xfId="11388" xr:uid="{00000000-0005-0000-0000-0000732C0000}"/>
    <cellStyle name="Normal 2 2 2 2 2 2 27 4" xfId="11389" xr:uid="{00000000-0005-0000-0000-0000742C0000}"/>
    <cellStyle name="Normal 2 2 2 2 2 2 27 4 10" xfId="11390" xr:uid="{00000000-0005-0000-0000-0000752C0000}"/>
    <cellStyle name="Normal 2 2 2 2 2 2 27 4 2" xfId="11391" xr:uid="{00000000-0005-0000-0000-0000762C0000}"/>
    <cellStyle name="Normal 2 2 2 2 2 2 27 4 3" xfId="11392" xr:uid="{00000000-0005-0000-0000-0000772C0000}"/>
    <cellStyle name="Normal 2 2 2 2 2 2 27 4 4" xfId="11393" xr:uid="{00000000-0005-0000-0000-0000782C0000}"/>
    <cellStyle name="Normal 2 2 2 2 2 2 27 4 5" xfId="11394" xr:uid="{00000000-0005-0000-0000-0000792C0000}"/>
    <cellStyle name="Normal 2 2 2 2 2 2 27 4 6" xfId="11395" xr:uid="{00000000-0005-0000-0000-00007A2C0000}"/>
    <cellStyle name="Normal 2 2 2 2 2 2 27 4 7" xfId="11396" xr:uid="{00000000-0005-0000-0000-00007B2C0000}"/>
    <cellStyle name="Normal 2 2 2 2 2 2 27 4 8" xfId="11397" xr:uid="{00000000-0005-0000-0000-00007C2C0000}"/>
    <cellStyle name="Normal 2 2 2 2 2 2 27 4 9" xfId="11398" xr:uid="{00000000-0005-0000-0000-00007D2C0000}"/>
    <cellStyle name="Normal 2 2 2 2 2 2 27 5" xfId="11399" xr:uid="{00000000-0005-0000-0000-00007E2C0000}"/>
    <cellStyle name="Normal 2 2 2 2 2 2 27 5 10" xfId="11400" xr:uid="{00000000-0005-0000-0000-00007F2C0000}"/>
    <cellStyle name="Normal 2 2 2 2 2 2 27 5 2" xfId="11401" xr:uid="{00000000-0005-0000-0000-0000802C0000}"/>
    <cellStyle name="Normal 2 2 2 2 2 2 27 5 3" xfId="11402" xr:uid="{00000000-0005-0000-0000-0000812C0000}"/>
    <cellStyle name="Normal 2 2 2 2 2 2 27 5 4" xfId="11403" xr:uid="{00000000-0005-0000-0000-0000822C0000}"/>
    <cellStyle name="Normal 2 2 2 2 2 2 27 5 5" xfId="11404" xr:uid="{00000000-0005-0000-0000-0000832C0000}"/>
    <cellStyle name="Normal 2 2 2 2 2 2 27 5 6" xfId="11405" xr:uid="{00000000-0005-0000-0000-0000842C0000}"/>
    <cellStyle name="Normal 2 2 2 2 2 2 27 5 7" xfId="11406" xr:uid="{00000000-0005-0000-0000-0000852C0000}"/>
    <cellStyle name="Normal 2 2 2 2 2 2 27 5 8" xfId="11407" xr:uid="{00000000-0005-0000-0000-0000862C0000}"/>
    <cellStyle name="Normal 2 2 2 2 2 2 27 5 9" xfId="11408" xr:uid="{00000000-0005-0000-0000-0000872C0000}"/>
    <cellStyle name="Normal 2 2 2 2 2 2 27 6" xfId="11409" xr:uid="{00000000-0005-0000-0000-0000882C0000}"/>
    <cellStyle name="Normal 2 2 2 2 2 2 27 7" xfId="11410" xr:uid="{00000000-0005-0000-0000-0000892C0000}"/>
    <cellStyle name="Normal 2 2 2 2 2 2 27 8" xfId="11411" xr:uid="{00000000-0005-0000-0000-00008A2C0000}"/>
    <cellStyle name="Normal 2 2 2 2 2 2 27 9" xfId="11412" xr:uid="{00000000-0005-0000-0000-00008B2C0000}"/>
    <cellStyle name="Normal 2 2 2 2 2 2 28" xfId="11413" xr:uid="{00000000-0005-0000-0000-00008C2C0000}"/>
    <cellStyle name="Normal 2 2 2 2 2 2 28 10" xfId="11414" xr:uid="{00000000-0005-0000-0000-00008D2C0000}"/>
    <cellStyle name="Normal 2 2 2 2 2 2 28 11" xfId="11415" xr:uid="{00000000-0005-0000-0000-00008E2C0000}"/>
    <cellStyle name="Normal 2 2 2 2 2 2 28 12" xfId="11416" xr:uid="{00000000-0005-0000-0000-00008F2C0000}"/>
    <cellStyle name="Normal 2 2 2 2 2 2 28 13" xfId="11417" xr:uid="{00000000-0005-0000-0000-0000902C0000}"/>
    <cellStyle name="Normal 2 2 2 2 2 2 28 14" xfId="11418" xr:uid="{00000000-0005-0000-0000-0000912C0000}"/>
    <cellStyle name="Normal 2 2 2 2 2 2 28 2" xfId="11419" xr:uid="{00000000-0005-0000-0000-0000922C0000}"/>
    <cellStyle name="Normal 2 2 2 2 2 2 28 2 10" xfId="11420" xr:uid="{00000000-0005-0000-0000-0000932C0000}"/>
    <cellStyle name="Normal 2 2 2 2 2 2 28 2 2" xfId="11421" xr:uid="{00000000-0005-0000-0000-0000942C0000}"/>
    <cellStyle name="Normal 2 2 2 2 2 2 28 2 3" xfId="11422" xr:uid="{00000000-0005-0000-0000-0000952C0000}"/>
    <cellStyle name="Normal 2 2 2 2 2 2 28 2 4" xfId="11423" xr:uid="{00000000-0005-0000-0000-0000962C0000}"/>
    <cellStyle name="Normal 2 2 2 2 2 2 28 2 5" xfId="11424" xr:uid="{00000000-0005-0000-0000-0000972C0000}"/>
    <cellStyle name="Normal 2 2 2 2 2 2 28 2 6" xfId="11425" xr:uid="{00000000-0005-0000-0000-0000982C0000}"/>
    <cellStyle name="Normal 2 2 2 2 2 2 28 2 7" xfId="11426" xr:uid="{00000000-0005-0000-0000-0000992C0000}"/>
    <cellStyle name="Normal 2 2 2 2 2 2 28 2 8" xfId="11427" xr:uid="{00000000-0005-0000-0000-00009A2C0000}"/>
    <cellStyle name="Normal 2 2 2 2 2 2 28 2 9" xfId="11428" xr:uid="{00000000-0005-0000-0000-00009B2C0000}"/>
    <cellStyle name="Normal 2 2 2 2 2 2 28 3" xfId="11429" xr:uid="{00000000-0005-0000-0000-00009C2C0000}"/>
    <cellStyle name="Normal 2 2 2 2 2 2 28 3 10" xfId="11430" xr:uid="{00000000-0005-0000-0000-00009D2C0000}"/>
    <cellStyle name="Normal 2 2 2 2 2 2 28 3 2" xfId="11431" xr:uid="{00000000-0005-0000-0000-00009E2C0000}"/>
    <cellStyle name="Normal 2 2 2 2 2 2 28 3 3" xfId="11432" xr:uid="{00000000-0005-0000-0000-00009F2C0000}"/>
    <cellStyle name="Normal 2 2 2 2 2 2 28 3 4" xfId="11433" xr:uid="{00000000-0005-0000-0000-0000A02C0000}"/>
    <cellStyle name="Normal 2 2 2 2 2 2 28 3 5" xfId="11434" xr:uid="{00000000-0005-0000-0000-0000A12C0000}"/>
    <cellStyle name="Normal 2 2 2 2 2 2 28 3 6" xfId="11435" xr:uid="{00000000-0005-0000-0000-0000A22C0000}"/>
    <cellStyle name="Normal 2 2 2 2 2 2 28 3 7" xfId="11436" xr:uid="{00000000-0005-0000-0000-0000A32C0000}"/>
    <cellStyle name="Normal 2 2 2 2 2 2 28 3 8" xfId="11437" xr:uid="{00000000-0005-0000-0000-0000A42C0000}"/>
    <cellStyle name="Normal 2 2 2 2 2 2 28 3 9" xfId="11438" xr:uid="{00000000-0005-0000-0000-0000A52C0000}"/>
    <cellStyle name="Normal 2 2 2 2 2 2 28 4" xfId="11439" xr:uid="{00000000-0005-0000-0000-0000A62C0000}"/>
    <cellStyle name="Normal 2 2 2 2 2 2 28 4 10" xfId="11440" xr:uid="{00000000-0005-0000-0000-0000A72C0000}"/>
    <cellStyle name="Normal 2 2 2 2 2 2 28 4 2" xfId="11441" xr:uid="{00000000-0005-0000-0000-0000A82C0000}"/>
    <cellStyle name="Normal 2 2 2 2 2 2 28 4 3" xfId="11442" xr:uid="{00000000-0005-0000-0000-0000A92C0000}"/>
    <cellStyle name="Normal 2 2 2 2 2 2 28 4 4" xfId="11443" xr:uid="{00000000-0005-0000-0000-0000AA2C0000}"/>
    <cellStyle name="Normal 2 2 2 2 2 2 28 4 5" xfId="11444" xr:uid="{00000000-0005-0000-0000-0000AB2C0000}"/>
    <cellStyle name="Normal 2 2 2 2 2 2 28 4 6" xfId="11445" xr:uid="{00000000-0005-0000-0000-0000AC2C0000}"/>
    <cellStyle name="Normal 2 2 2 2 2 2 28 4 7" xfId="11446" xr:uid="{00000000-0005-0000-0000-0000AD2C0000}"/>
    <cellStyle name="Normal 2 2 2 2 2 2 28 4 8" xfId="11447" xr:uid="{00000000-0005-0000-0000-0000AE2C0000}"/>
    <cellStyle name="Normal 2 2 2 2 2 2 28 4 9" xfId="11448" xr:uid="{00000000-0005-0000-0000-0000AF2C0000}"/>
    <cellStyle name="Normal 2 2 2 2 2 2 28 5" xfId="11449" xr:uid="{00000000-0005-0000-0000-0000B02C0000}"/>
    <cellStyle name="Normal 2 2 2 2 2 2 28 5 10" xfId="11450" xr:uid="{00000000-0005-0000-0000-0000B12C0000}"/>
    <cellStyle name="Normal 2 2 2 2 2 2 28 5 2" xfId="11451" xr:uid="{00000000-0005-0000-0000-0000B22C0000}"/>
    <cellStyle name="Normal 2 2 2 2 2 2 28 5 3" xfId="11452" xr:uid="{00000000-0005-0000-0000-0000B32C0000}"/>
    <cellStyle name="Normal 2 2 2 2 2 2 28 5 4" xfId="11453" xr:uid="{00000000-0005-0000-0000-0000B42C0000}"/>
    <cellStyle name="Normal 2 2 2 2 2 2 28 5 5" xfId="11454" xr:uid="{00000000-0005-0000-0000-0000B52C0000}"/>
    <cellStyle name="Normal 2 2 2 2 2 2 28 5 6" xfId="11455" xr:uid="{00000000-0005-0000-0000-0000B62C0000}"/>
    <cellStyle name="Normal 2 2 2 2 2 2 28 5 7" xfId="11456" xr:uid="{00000000-0005-0000-0000-0000B72C0000}"/>
    <cellStyle name="Normal 2 2 2 2 2 2 28 5 8" xfId="11457" xr:uid="{00000000-0005-0000-0000-0000B82C0000}"/>
    <cellStyle name="Normal 2 2 2 2 2 2 28 5 9" xfId="11458" xr:uid="{00000000-0005-0000-0000-0000B92C0000}"/>
    <cellStyle name="Normal 2 2 2 2 2 2 28 6" xfId="11459" xr:uid="{00000000-0005-0000-0000-0000BA2C0000}"/>
    <cellStyle name="Normal 2 2 2 2 2 2 28 7" xfId="11460" xr:uid="{00000000-0005-0000-0000-0000BB2C0000}"/>
    <cellStyle name="Normal 2 2 2 2 2 2 28 8" xfId="11461" xr:uid="{00000000-0005-0000-0000-0000BC2C0000}"/>
    <cellStyle name="Normal 2 2 2 2 2 2 28 9" xfId="11462" xr:uid="{00000000-0005-0000-0000-0000BD2C0000}"/>
    <cellStyle name="Normal 2 2 2 2 2 2 29" xfId="11463" xr:uid="{00000000-0005-0000-0000-0000BE2C0000}"/>
    <cellStyle name="Normal 2 2 2 2 2 2 29 10" xfId="11464" xr:uid="{00000000-0005-0000-0000-0000BF2C0000}"/>
    <cellStyle name="Normal 2 2 2 2 2 2 29 11" xfId="11465" xr:uid="{00000000-0005-0000-0000-0000C02C0000}"/>
    <cellStyle name="Normal 2 2 2 2 2 2 29 12" xfId="11466" xr:uid="{00000000-0005-0000-0000-0000C12C0000}"/>
    <cellStyle name="Normal 2 2 2 2 2 2 29 13" xfId="11467" xr:uid="{00000000-0005-0000-0000-0000C22C0000}"/>
    <cellStyle name="Normal 2 2 2 2 2 2 29 14" xfId="11468" xr:uid="{00000000-0005-0000-0000-0000C32C0000}"/>
    <cellStyle name="Normal 2 2 2 2 2 2 29 2" xfId="11469" xr:uid="{00000000-0005-0000-0000-0000C42C0000}"/>
    <cellStyle name="Normal 2 2 2 2 2 2 29 2 10" xfId="11470" xr:uid="{00000000-0005-0000-0000-0000C52C0000}"/>
    <cellStyle name="Normal 2 2 2 2 2 2 29 2 2" xfId="11471" xr:uid="{00000000-0005-0000-0000-0000C62C0000}"/>
    <cellStyle name="Normal 2 2 2 2 2 2 29 2 3" xfId="11472" xr:uid="{00000000-0005-0000-0000-0000C72C0000}"/>
    <cellStyle name="Normal 2 2 2 2 2 2 29 2 4" xfId="11473" xr:uid="{00000000-0005-0000-0000-0000C82C0000}"/>
    <cellStyle name="Normal 2 2 2 2 2 2 29 2 5" xfId="11474" xr:uid="{00000000-0005-0000-0000-0000C92C0000}"/>
    <cellStyle name="Normal 2 2 2 2 2 2 29 2 6" xfId="11475" xr:uid="{00000000-0005-0000-0000-0000CA2C0000}"/>
    <cellStyle name="Normal 2 2 2 2 2 2 29 2 7" xfId="11476" xr:uid="{00000000-0005-0000-0000-0000CB2C0000}"/>
    <cellStyle name="Normal 2 2 2 2 2 2 29 2 8" xfId="11477" xr:uid="{00000000-0005-0000-0000-0000CC2C0000}"/>
    <cellStyle name="Normal 2 2 2 2 2 2 29 2 9" xfId="11478" xr:uid="{00000000-0005-0000-0000-0000CD2C0000}"/>
    <cellStyle name="Normal 2 2 2 2 2 2 29 3" xfId="11479" xr:uid="{00000000-0005-0000-0000-0000CE2C0000}"/>
    <cellStyle name="Normal 2 2 2 2 2 2 29 3 10" xfId="11480" xr:uid="{00000000-0005-0000-0000-0000CF2C0000}"/>
    <cellStyle name="Normal 2 2 2 2 2 2 29 3 2" xfId="11481" xr:uid="{00000000-0005-0000-0000-0000D02C0000}"/>
    <cellStyle name="Normal 2 2 2 2 2 2 29 3 3" xfId="11482" xr:uid="{00000000-0005-0000-0000-0000D12C0000}"/>
    <cellStyle name="Normal 2 2 2 2 2 2 29 3 4" xfId="11483" xr:uid="{00000000-0005-0000-0000-0000D22C0000}"/>
    <cellStyle name="Normal 2 2 2 2 2 2 29 3 5" xfId="11484" xr:uid="{00000000-0005-0000-0000-0000D32C0000}"/>
    <cellStyle name="Normal 2 2 2 2 2 2 29 3 6" xfId="11485" xr:uid="{00000000-0005-0000-0000-0000D42C0000}"/>
    <cellStyle name="Normal 2 2 2 2 2 2 29 3 7" xfId="11486" xr:uid="{00000000-0005-0000-0000-0000D52C0000}"/>
    <cellStyle name="Normal 2 2 2 2 2 2 29 3 8" xfId="11487" xr:uid="{00000000-0005-0000-0000-0000D62C0000}"/>
    <cellStyle name="Normal 2 2 2 2 2 2 29 3 9" xfId="11488" xr:uid="{00000000-0005-0000-0000-0000D72C0000}"/>
    <cellStyle name="Normal 2 2 2 2 2 2 29 4" xfId="11489" xr:uid="{00000000-0005-0000-0000-0000D82C0000}"/>
    <cellStyle name="Normal 2 2 2 2 2 2 29 4 10" xfId="11490" xr:uid="{00000000-0005-0000-0000-0000D92C0000}"/>
    <cellStyle name="Normal 2 2 2 2 2 2 29 4 2" xfId="11491" xr:uid="{00000000-0005-0000-0000-0000DA2C0000}"/>
    <cellStyle name="Normal 2 2 2 2 2 2 29 4 3" xfId="11492" xr:uid="{00000000-0005-0000-0000-0000DB2C0000}"/>
    <cellStyle name="Normal 2 2 2 2 2 2 29 4 4" xfId="11493" xr:uid="{00000000-0005-0000-0000-0000DC2C0000}"/>
    <cellStyle name="Normal 2 2 2 2 2 2 29 4 5" xfId="11494" xr:uid="{00000000-0005-0000-0000-0000DD2C0000}"/>
    <cellStyle name="Normal 2 2 2 2 2 2 29 4 6" xfId="11495" xr:uid="{00000000-0005-0000-0000-0000DE2C0000}"/>
    <cellStyle name="Normal 2 2 2 2 2 2 29 4 7" xfId="11496" xr:uid="{00000000-0005-0000-0000-0000DF2C0000}"/>
    <cellStyle name="Normal 2 2 2 2 2 2 29 4 8" xfId="11497" xr:uid="{00000000-0005-0000-0000-0000E02C0000}"/>
    <cellStyle name="Normal 2 2 2 2 2 2 29 4 9" xfId="11498" xr:uid="{00000000-0005-0000-0000-0000E12C0000}"/>
    <cellStyle name="Normal 2 2 2 2 2 2 29 5" xfId="11499" xr:uid="{00000000-0005-0000-0000-0000E22C0000}"/>
    <cellStyle name="Normal 2 2 2 2 2 2 29 5 10" xfId="11500" xr:uid="{00000000-0005-0000-0000-0000E32C0000}"/>
    <cellStyle name="Normal 2 2 2 2 2 2 29 5 2" xfId="11501" xr:uid="{00000000-0005-0000-0000-0000E42C0000}"/>
    <cellStyle name="Normal 2 2 2 2 2 2 29 5 3" xfId="11502" xr:uid="{00000000-0005-0000-0000-0000E52C0000}"/>
    <cellStyle name="Normal 2 2 2 2 2 2 29 5 4" xfId="11503" xr:uid="{00000000-0005-0000-0000-0000E62C0000}"/>
    <cellStyle name="Normal 2 2 2 2 2 2 29 5 5" xfId="11504" xr:uid="{00000000-0005-0000-0000-0000E72C0000}"/>
    <cellStyle name="Normal 2 2 2 2 2 2 29 5 6" xfId="11505" xr:uid="{00000000-0005-0000-0000-0000E82C0000}"/>
    <cellStyle name="Normal 2 2 2 2 2 2 29 5 7" xfId="11506" xr:uid="{00000000-0005-0000-0000-0000E92C0000}"/>
    <cellStyle name="Normal 2 2 2 2 2 2 29 5 8" xfId="11507" xr:uid="{00000000-0005-0000-0000-0000EA2C0000}"/>
    <cellStyle name="Normal 2 2 2 2 2 2 29 5 9" xfId="11508" xr:uid="{00000000-0005-0000-0000-0000EB2C0000}"/>
    <cellStyle name="Normal 2 2 2 2 2 2 29 6" xfId="11509" xr:uid="{00000000-0005-0000-0000-0000EC2C0000}"/>
    <cellStyle name="Normal 2 2 2 2 2 2 29 7" xfId="11510" xr:uid="{00000000-0005-0000-0000-0000ED2C0000}"/>
    <cellStyle name="Normal 2 2 2 2 2 2 29 8" xfId="11511" xr:uid="{00000000-0005-0000-0000-0000EE2C0000}"/>
    <cellStyle name="Normal 2 2 2 2 2 2 29 9" xfId="11512" xr:uid="{00000000-0005-0000-0000-0000EF2C0000}"/>
    <cellStyle name="Normal 2 2 2 2 2 2 3" xfId="11513" xr:uid="{00000000-0005-0000-0000-0000F02C0000}"/>
    <cellStyle name="Normal 2 2 2 2 2 2 3 10" xfId="11514" xr:uid="{00000000-0005-0000-0000-0000F12C0000}"/>
    <cellStyle name="Normal 2 2 2 2 2 2 3 11" xfId="11515" xr:uid="{00000000-0005-0000-0000-0000F22C0000}"/>
    <cellStyle name="Normal 2 2 2 2 2 2 3 12" xfId="11516" xr:uid="{00000000-0005-0000-0000-0000F32C0000}"/>
    <cellStyle name="Normal 2 2 2 2 2 2 3 13" xfId="11517" xr:uid="{00000000-0005-0000-0000-0000F42C0000}"/>
    <cellStyle name="Normal 2 2 2 2 2 2 3 14" xfId="11518" xr:uid="{00000000-0005-0000-0000-0000F52C0000}"/>
    <cellStyle name="Normal 2 2 2 2 2 2 3 15" xfId="11519" xr:uid="{00000000-0005-0000-0000-0000F62C0000}"/>
    <cellStyle name="Normal 2 2 2 2 2 2 3 16" xfId="11520" xr:uid="{00000000-0005-0000-0000-0000F72C0000}"/>
    <cellStyle name="Normal 2 2 2 2 2 2 3 2" xfId="11521" xr:uid="{00000000-0005-0000-0000-0000F82C0000}"/>
    <cellStyle name="Normal 2 2 2 2 2 2 3 2 10" xfId="11522" xr:uid="{00000000-0005-0000-0000-0000F92C0000}"/>
    <cellStyle name="Normal 2 2 2 2 2 2 3 2 2" xfId="11523" xr:uid="{00000000-0005-0000-0000-0000FA2C0000}"/>
    <cellStyle name="Normal 2 2 2 2 2 2 3 2 3" xfId="11524" xr:uid="{00000000-0005-0000-0000-0000FB2C0000}"/>
    <cellStyle name="Normal 2 2 2 2 2 2 3 2 4" xfId="11525" xr:uid="{00000000-0005-0000-0000-0000FC2C0000}"/>
    <cellStyle name="Normal 2 2 2 2 2 2 3 2 5" xfId="11526" xr:uid="{00000000-0005-0000-0000-0000FD2C0000}"/>
    <cellStyle name="Normal 2 2 2 2 2 2 3 2 6" xfId="11527" xr:uid="{00000000-0005-0000-0000-0000FE2C0000}"/>
    <cellStyle name="Normal 2 2 2 2 2 2 3 2 7" xfId="11528" xr:uid="{00000000-0005-0000-0000-0000FF2C0000}"/>
    <cellStyle name="Normal 2 2 2 2 2 2 3 2 8" xfId="11529" xr:uid="{00000000-0005-0000-0000-0000002D0000}"/>
    <cellStyle name="Normal 2 2 2 2 2 2 3 2 9" xfId="11530" xr:uid="{00000000-0005-0000-0000-0000012D0000}"/>
    <cellStyle name="Normal 2 2 2 2 2 2 3 3" xfId="11531" xr:uid="{00000000-0005-0000-0000-0000022D0000}"/>
    <cellStyle name="Normal 2 2 2 2 2 2 3 3 10" xfId="11532" xr:uid="{00000000-0005-0000-0000-0000032D0000}"/>
    <cellStyle name="Normal 2 2 2 2 2 2 3 3 2" xfId="11533" xr:uid="{00000000-0005-0000-0000-0000042D0000}"/>
    <cellStyle name="Normal 2 2 2 2 2 2 3 3 3" xfId="11534" xr:uid="{00000000-0005-0000-0000-0000052D0000}"/>
    <cellStyle name="Normal 2 2 2 2 2 2 3 3 4" xfId="11535" xr:uid="{00000000-0005-0000-0000-0000062D0000}"/>
    <cellStyle name="Normal 2 2 2 2 2 2 3 3 5" xfId="11536" xr:uid="{00000000-0005-0000-0000-0000072D0000}"/>
    <cellStyle name="Normal 2 2 2 2 2 2 3 3 6" xfId="11537" xr:uid="{00000000-0005-0000-0000-0000082D0000}"/>
    <cellStyle name="Normal 2 2 2 2 2 2 3 3 7" xfId="11538" xr:uid="{00000000-0005-0000-0000-0000092D0000}"/>
    <cellStyle name="Normal 2 2 2 2 2 2 3 3 8" xfId="11539" xr:uid="{00000000-0005-0000-0000-00000A2D0000}"/>
    <cellStyle name="Normal 2 2 2 2 2 2 3 3 9" xfId="11540" xr:uid="{00000000-0005-0000-0000-00000B2D0000}"/>
    <cellStyle name="Normal 2 2 2 2 2 2 3 4" xfId="11541" xr:uid="{00000000-0005-0000-0000-00000C2D0000}"/>
    <cellStyle name="Normal 2 2 2 2 2 2 3 4 10" xfId="11542" xr:uid="{00000000-0005-0000-0000-00000D2D0000}"/>
    <cellStyle name="Normal 2 2 2 2 2 2 3 4 2" xfId="11543" xr:uid="{00000000-0005-0000-0000-00000E2D0000}"/>
    <cellStyle name="Normal 2 2 2 2 2 2 3 4 3" xfId="11544" xr:uid="{00000000-0005-0000-0000-00000F2D0000}"/>
    <cellStyle name="Normal 2 2 2 2 2 2 3 4 4" xfId="11545" xr:uid="{00000000-0005-0000-0000-0000102D0000}"/>
    <cellStyle name="Normal 2 2 2 2 2 2 3 4 5" xfId="11546" xr:uid="{00000000-0005-0000-0000-0000112D0000}"/>
    <cellStyle name="Normal 2 2 2 2 2 2 3 4 6" xfId="11547" xr:uid="{00000000-0005-0000-0000-0000122D0000}"/>
    <cellStyle name="Normal 2 2 2 2 2 2 3 4 7" xfId="11548" xr:uid="{00000000-0005-0000-0000-0000132D0000}"/>
    <cellStyle name="Normal 2 2 2 2 2 2 3 4 8" xfId="11549" xr:uid="{00000000-0005-0000-0000-0000142D0000}"/>
    <cellStyle name="Normal 2 2 2 2 2 2 3 4 9" xfId="11550" xr:uid="{00000000-0005-0000-0000-0000152D0000}"/>
    <cellStyle name="Normal 2 2 2 2 2 2 3 5" xfId="11551" xr:uid="{00000000-0005-0000-0000-0000162D0000}"/>
    <cellStyle name="Normal 2 2 2 2 2 2 3 5 10" xfId="11552" xr:uid="{00000000-0005-0000-0000-0000172D0000}"/>
    <cellStyle name="Normal 2 2 2 2 2 2 3 5 2" xfId="11553" xr:uid="{00000000-0005-0000-0000-0000182D0000}"/>
    <cellStyle name="Normal 2 2 2 2 2 2 3 5 3" xfId="11554" xr:uid="{00000000-0005-0000-0000-0000192D0000}"/>
    <cellStyle name="Normal 2 2 2 2 2 2 3 5 4" xfId="11555" xr:uid="{00000000-0005-0000-0000-00001A2D0000}"/>
    <cellStyle name="Normal 2 2 2 2 2 2 3 5 5" xfId="11556" xr:uid="{00000000-0005-0000-0000-00001B2D0000}"/>
    <cellStyle name="Normal 2 2 2 2 2 2 3 5 6" xfId="11557" xr:uid="{00000000-0005-0000-0000-00001C2D0000}"/>
    <cellStyle name="Normal 2 2 2 2 2 2 3 5 7" xfId="11558" xr:uid="{00000000-0005-0000-0000-00001D2D0000}"/>
    <cellStyle name="Normal 2 2 2 2 2 2 3 5 8" xfId="11559" xr:uid="{00000000-0005-0000-0000-00001E2D0000}"/>
    <cellStyle name="Normal 2 2 2 2 2 2 3 5 9" xfId="11560" xr:uid="{00000000-0005-0000-0000-00001F2D0000}"/>
    <cellStyle name="Normal 2 2 2 2 2 2 3 6" xfId="11561" xr:uid="{00000000-0005-0000-0000-0000202D0000}"/>
    <cellStyle name="Normal 2 2 2 2 2 2 3 7" xfId="11562" xr:uid="{00000000-0005-0000-0000-0000212D0000}"/>
    <cellStyle name="Normal 2 2 2 2 2 2 3 8" xfId="11563" xr:uid="{00000000-0005-0000-0000-0000222D0000}"/>
    <cellStyle name="Normal 2 2 2 2 2 2 3 9" xfId="11564" xr:uid="{00000000-0005-0000-0000-0000232D0000}"/>
    <cellStyle name="Normal 2 2 2 2 2 2 30" xfId="11565" xr:uid="{00000000-0005-0000-0000-0000242D0000}"/>
    <cellStyle name="Normal 2 2 2 2 2 2 30 10" xfId="11566" xr:uid="{00000000-0005-0000-0000-0000252D0000}"/>
    <cellStyle name="Normal 2 2 2 2 2 2 30 11" xfId="11567" xr:uid="{00000000-0005-0000-0000-0000262D0000}"/>
    <cellStyle name="Normal 2 2 2 2 2 2 30 12" xfId="11568" xr:uid="{00000000-0005-0000-0000-0000272D0000}"/>
    <cellStyle name="Normal 2 2 2 2 2 2 30 13" xfId="11569" xr:uid="{00000000-0005-0000-0000-0000282D0000}"/>
    <cellStyle name="Normal 2 2 2 2 2 2 30 14" xfId="11570" xr:uid="{00000000-0005-0000-0000-0000292D0000}"/>
    <cellStyle name="Normal 2 2 2 2 2 2 30 2" xfId="11571" xr:uid="{00000000-0005-0000-0000-00002A2D0000}"/>
    <cellStyle name="Normal 2 2 2 2 2 2 30 2 10" xfId="11572" xr:uid="{00000000-0005-0000-0000-00002B2D0000}"/>
    <cellStyle name="Normal 2 2 2 2 2 2 30 2 2" xfId="11573" xr:uid="{00000000-0005-0000-0000-00002C2D0000}"/>
    <cellStyle name="Normal 2 2 2 2 2 2 30 2 3" xfId="11574" xr:uid="{00000000-0005-0000-0000-00002D2D0000}"/>
    <cellStyle name="Normal 2 2 2 2 2 2 30 2 4" xfId="11575" xr:uid="{00000000-0005-0000-0000-00002E2D0000}"/>
    <cellStyle name="Normal 2 2 2 2 2 2 30 2 5" xfId="11576" xr:uid="{00000000-0005-0000-0000-00002F2D0000}"/>
    <cellStyle name="Normal 2 2 2 2 2 2 30 2 6" xfId="11577" xr:uid="{00000000-0005-0000-0000-0000302D0000}"/>
    <cellStyle name="Normal 2 2 2 2 2 2 30 2 7" xfId="11578" xr:uid="{00000000-0005-0000-0000-0000312D0000}"/>
    <cellStyle name="Normal 2 2 2 2 2 2 30 2 8" xfId="11579" xr:uid="{00000000-0005-0000-0000-0000322D0000}"/>
    <cellStyle name="Normal 2 2 2 2 2 2 30 2 9" xfId="11580" xr:uid="{00000000-0005-0000-0000-0000332D0000}"/>
    <cellStyle name="Normal 2 2 2 2 2 2 30 3" xfId="11581" xr:uid="{00000000-0005-0000-0000-0000342D0000}"/>
    <cellStyle name="Normal 2 2 2 2 2 2 30 3 10" xfId="11582" xr:uid="{00000000-0005-0000-0000-0000352D0000}"/>
    <cellStyle name="Normal 2 2 2 2 2 2 30 3 2" xfId="11583" xr:uid="{00000000-0005-0000-0000-0000362D0000}"/>
    <cellStyle name="Normal 2 2 2 2 2 2 30 3 3" xfId="11584" xr:uid="{00000000-0005-0000-0000-0000372D0000}"/>
    <cellStyle name="Normal 2 2 2 2 2 2 30 3 4" xfId="11585" xr:uid="{00000000-0005-0000-0000-0000382D0000}"/>
    <cellStyle name="Normal 2 2 2 2 2 2 30 3 5" xfId="11586" xr:uid="{00000000-0005-0000-0000-0000392D0000}"/>
    <cellStyle name="Normal 2 2 2 2 2 2 30 3 6" xfId="11587" xr:uid="{00000000-0005-0000-0000-00003A2D0000}"/>
    <cellStyle name="Normal 2 2 2 2 2 2 30 3 7" xfId="11588" xr:uid="{00000000-0005-0000-0000-00003B2D0000}"/>
    <cellStyle name="Normal 2 2 2 2 2 2 30 3 8" xfId="11589" xr:uid="{00000000-0005-0000-0000-00003C2D0000}"/>
    <cellStyle name="Normal 2 2 2 2 2 2 30 3 9" xfId="11590" xr:uid="{00000000-0005-0000-0000-00003D2D0000}"/>
    <cellStyle name="Normal 2 2 2 2 2 2 30 4" xfId="11591" xr:uid="{00000000-0005-0000-0000-00003E2D0000}"/>
    <cellStyle name="Normal 2 2 2 2 2 2 30 4 10" xfId="11592" xr:uid="{00000000-0005-0000-0000-00003F2D0000}"/>
    <cellStyle name="Normal 2 2 2 2 2 2 30 4 2" xfId="11593" xr:uid="{00000000-0005-0000-0000-0000402D0000}"/>
    <cellStyle name="Normal 2 2 2 2 2 2 30 4 3" xfId="11594" xr:uid="{00000000-0005-0000-0000-0000412D0000}"/>
    <cellStyle name="Normal 2 2 2 2 2 2 30 4 4" xfId="11595" xr:uid="{00000000-0005-0000-0000-0000422D0000}"/>
    <cellStyle name="Normal 2 2 2 2 2 2 30 4 5" xfId="11596" xr:uid="{00000000-0005-0000-0000-0000432D0000}"/>
    <cellStyle name="Normal 2 2 2 2 2 2 30 4 6" xfId="11597" xr:uid="{00000000-0005-0000-0000-0000442D0000}"/>
    <cellStyle name="Normal 2 2 2 2 2 2 30 4 7" xfId="11598" xr:uid="{00000000-0005-0000-0000-0000452D0000}"/>
    <cellStyle name="Normal 2 2 2 2 2 2 30 4 8" xfId="11599" xr:uid="{00000000-0005-0000-0000-0000462D0000}"/>
    <cellStyle name="Normal 2 2 2 2 2 2 30 4 9" xfId="11600" xr:uid="{00000000-0005-0000-0000-0000472D0000}"/>
    <cellStyle name="Normal 2 2 2 2 2 2 30 5" xfId="11601" xr:uid="{00000000-0005-0000-0000-0000482D0000}"/>
    <cellStyle name="Normal 2 2 2 2 2 2 30 5 10" xfId="11602" xr:uid="{00000000-0005-0000-0000-0000492D0000}"/>
    <cellStyle name="Normal 2 2 2 2 2 2 30 5 2" xfId="11603" xr:uid="{00000000-0005-0000-0000-00004A2D0000}"/>
    <cellStyle name="Normal 2 2 2 2 2 2 30 5 3" xfId="11604" xr:uid="{00000000-0005-0000-0000-00004B2D0000}"/>
    <cellStyle name="Normal 2 2 2 2 2 2 30 5 4" xfId="11605" xr:uid="{00000000-0005-0000-0000-00004C2D0000}"/>
    <cellStyle name="Normal 2 2 2 2 2 2 30 5 5" xfId="11606" xr:uid="{00000000-0005-0000-0000-00004D2D0000}"/>
    <cellStyle name="Normal 2 2 2 2 2 2 30 5 6" xfId="11607" xr:uid="{00000000-0005-0000-0000-00004E2D0000}"/>
    <cellStyle name="Normal 2 2 2 2 2 2 30 5 7" xfId="11608" xr:uid="{00000000-0005-0000-0000-00004F2D0000}"/>
    <cellStyle name="Normal 2 2 2 2 2 2 30 5 8" xfId="11609" xr:uid="{00000000-0005-0000-0000-0000502D0000}"/>
    <cellStyle name="Normal 2 2 2 2 2 2 30 5 9" xfId="11610" xr:uid="{00000000-0005-0000-0000-0000512D0000}"/>
    <cellStyle name="Normal 2 2 2 2 2 2 30 6" xfId="11611" xr:uid="{00000000-0005-0000-0000-0000522D0000}"/>
    <cellStyle name="Normal 2 2 2 2 2 2 30 7" xfId="11612" xr:uid="{00000000-0005-0000-0000-0000532D0000}"/>
    <cellStyle name="Normal 2 2 2 2 2 2 30 8" xfId="11613" xr:uid="{00000000-0005-0000-0000-0000542D0000}"/>
    <cellStyle name="Normal 2 2 2 2 2 2 30 9" xfId="11614" xr:uid="{00000000-0005-0000-0000-0000552D0000}"/>
    <cellStyle name="Normal 2 2 2 2 2 2 31" xfId="11615" xr:uid="{00000000-0005-0000-0000-0000562D0000}"/>
    <cellStyle name="Normal 2 2 2 2 2 2 31 10" xfId="11616" xr:uid="{00000000-0005-0000-0000-0000572D0000}"/>
    <cellStyle name="Normal 2 2 2 2 2 2 31 11" xfId="11617" xr:uid="{00000000-0005-0000-0000-0000582D0000}"/>
    <cellStyle name="Normal 2 2 2 2 2 2 31 12" xfId="11618" xr:uid="{00000000-0005-0000-0000-0000592D0000}"/>
    <cellStyle name="Normal 2 2 2 2 2 2 31 13" xfId="11619" xr:uid="{00000000-0005-0000-0000-00005A2D0000}"/>
    <cellStyle name="Normal 2 2 2 2 2 2 31 14" xfId="11620" xr:uid="{00000000-0005-0000-0000-00005B2D0000}"/>
    <cellStyle name="Normal 2 2 2 2 2 2 31 2" xfId="11621" xr:uid="{00000000-0005-0000-0000-00005C2D0000}"/>
    <cellStyle name="Normal 2 2 2 2 2 2 31 2 10" xfId="11622" xr:uid="{00000000-0005-0000-0000-00005D2D0000}"/>
    <cellStyle name="Normal 2 2 2 2 2 2 31 2 2" xfId="11623" xr:uid="{00000000-0005-0000-0000-00005E2D0000}"/>
    <cellStyle name="Normal 2 2 2 2 2 2 31 2 3" xfId="11624" xr:uid="{00000000-0005-0000-0000-00005F2D0000}"/>
    <cellStyle name="Normal 2 2 2 2 2 2 31 2 4" xfId="11625" xr:uid="{00000000-0005-0000-0000-0000602D0000}"/>
    <cellStyle name="Normal 2 2 2 2 2 2 31 2 5" xfId="11626" xr:uid="{00000000-0005-0000-0000-0000612D0000}"/>
    <cellStyle name="Normal 2 2 2 2 2 2 31 2 6" xfId="11627" xr:uid="{00000000-0005-0000-0000-0000622D0000}"/>
    <cellStyle name="Normal 2 2 2 2 2 2 31 2 7" xfId="11628" xr:uid="{00000000-0005-0000-0000-0000632D0000}"/>
    <cellStyle name="Normal 2 2 2 2 2 2 31 2 8" xfId="11629" xr:uid="{00000000-0005-0000-0000-0000642D0000}"/>
    <cellStyle name="Normal 2 2 2 2 2 2 31 2 9" xfId="11630" xr:uid="{00000000-0005-0000-0000-0000652D0000}"/>
    <cellStyle name="Normal 2 2 2 2 2 2 31 3" xfId="11631" xr:uid="{00000000-0005-0000-0000-0000662D0000}"/>
    <cellStyle name="Normal 2 2 2 2 2 2 31 3 10" xfId="11632" xr:uid="{00000000-0005-0000-0000-0000672D0000}"/>
    <cellStyle name="Normal 2 2 2 2 2 2 31 3 2" xfId="11633" xr:uid="{00000000-0005-0000-0000-0000682D0000}"/>
    <cellStyle name="Normal 2 2 2 2 2 2 31 3 3" xfId="11634" xr:uid="{00000000-0005-0000-0000-0000692D0000}"/>
    <cellStyle name="Normal 2 2 2 2 2 2 31 3 4" xfId="11635" xr:uid="{00000000-0005-0000-0000-00006A2D0000}"/>
    <cellStyle name="Normal 2 2 2 2 2 2 31 3 5" xfId="11636" xr:uid="{00000000-0005-0000-0000-00006B2D0000}"/>
    <cellStyle name="Normal 2 2 2 2 2 2 31 3 6" xfId="11637" xr:uid="{00000000-0005-0000-0000-00006C2D0000}"/>
    <cellStyle name="Normal 2 2 2 2 2 2 31 3 7" xfId="11638" xr:uid="{00000000-0005-0000-0000-00006D2D0000}"/>
    <cellStyle name="Normal 2 2 2 2 2 2 31 3 8" xfId="11639" xr:uid="{00000000-0005-0000-0000-00006E2D0000}"/>
    <cellStyle name="Normal 2 2 2 2 2 2 31 3 9" xfId="11640" xr:uid="{00000000-0005-0000-0000-00006F2D0000}"/>
    <cellStyle name="Normal 2 2 2 2 2 2 31 4" xfId="11641" xr:uid="{00000000-0005-0000-0000-0000702D0000}"/>
    <cellStyle name="Normal 2 2 2 2 2 2 31 4 10" xfId="11642" xr:uid="{00000000-0005-0000-0000-0000712D0000}"/>
    <cellStyle name="Normal 2 2 2 2 2 2 31 4 2" xfId="11643" xr:uid="{00000000-0005-0000-0000-0000722D0000}"/>
    <cellStyle name="Normal 2 2 2 2 2 2 31 4 3" xfId="11644" xr:uid="{00000000-0005-0000-0000-0000732D0000}"/>
    <cellStyle name="Normal 2 2 2 2 2 2 31 4 4" xfId="11645" xr:uid="{00000000-0005-0000-0000-0000742D0000}"/>
    <cellStyle name="Normal 2 2 2 2 2 2 31 4 5" xfId="11646" xr:uid="{00000000-0005-0000-0000-0000752D0000}"/>
    <cellStyle name="Normal 2 2 2 2 2 2 31 4 6" xfId="11647" xr:uid="{00000000-0005-0000-0000-0000762D0000}"/>
    <cellStyle name="Normal 2 2 2 2 2 2 31 4 7" xfId="11648" xr:uid="{00000000-0005-0000-0000-0000772D0000}"/>
    <cellStyle name="Normal 2 2 2 2 2 2 31 4 8" xfId="11649" xr:uid="{00000000-0005-0000-0000-0000782D0000}"/>
    <cellStyle name="Normal 2 2 2 2 2 2 31 4 9" xfId="11650" xr:uid="{00000000-0005-0000-0000-0000792D0000}"/>
    <cellStyle name="Normal 2 2 2 2 2 2 31 5" xfId="11651" xr:uid="{00000000-0005-0000-0000-00007A2D0000}"/>
    <cellStyle name="Normal 2 2 2 2 2 2 31 5 10" xfId="11652" xr:uid="{00000000-0005-0000-0000-00007B2D0000}"/>
    <cellStyle name="Normal 2 2 2 2 2 2 31 5 2" xfId="11653" xr:uid="{00000000-0005-0000-0000-00007C2D0000}"/>
    <cellStyle name="Normal 2 2 2 2 2 2 31 5 3" xfId="11654" xr:uid="{00000000-0005-0000-0000-00007D2D0000}"/>
    <cellStyle name="Normal 2 2 2 2 2 2 31 5 4" xfId="11655" xr:uid="{00000000-0005-0000-0000-00007E2D0000}"/>
    <cellStyle name="Normal 2 2 2 2 2 2 31 5 5" xfId="11656" xr:uid="{00000000-0005-0000-0000-00007F2D0000}"/>
    <cellStyle name="Normal 2 2 2 2 2 2 31 5 6" xfId="11657" xr:uid="{00000000-0005-0000-0000-0000802D0000}"/>
    <cellStyle name="Normal 2 2 2 2 2 2 31 5 7" xfId="11658" xr:uid="{00000000-0005-0000-0000-0000812D0000}"/>
    <cellStyle name="Normal 2 2 2 2 2 2 31 5 8" xfId="11659" xr:uid="{00000000-0005-0000-0000-0000822D0000}"/>
    <cellStyle name="Normal 2 2 2 2 2 2 31 5 9" xfId="11660" xr:uid="{00000000-0005-0000-0000-0000832D0000}"/>
    <cellStyle name="Normal 2 2 2 2 2 2 31 6" xfId="11661" xr:uid="{00000000-0005-0000-0000-0000842D0000}"/>
    <cellStyle name="Normal 2 2 2 2 2 2 31 7" xfId="11662" xr:uid="{00000000-0005-0000-0000-0000852D0000}"/>
    <cellStyle name="Normal 2 2 2 2 2 2 31 8" xfId="11663" xr:uid="{00000000-0005-0000-0000-0000862D0000}"/>
    <cellStyle name="Normal 2 2 2 2 2 2 31 9" xfId="11664" xr:uid="{00000000-0005-0000-0000-0000872D0000}"/>
    <cellStyle name="Normal 2 2 2 2 2 2 32" xfId="11665" xr:uid="{00000000-0005-0000-0000-0000882D0000}"/>
    <cellStyle name="Normal 2 2 2 2 2 2 32 10" xfId="11666" xr:uid="{00000000-0005-0000-0000-0000892D0000}"/>
    <cellStyle name="Normal 2 2 2 2 2 2 32 11" xfId="11667" xr:uid="{00000000-0005-0000-0000-00008A2D0000}"/>
    <cellStyle name="Normal 2 2 2 2 2 2 32 12" xfId="11668" xr:uid="{00000000-0005-0000-0000-00008B2D0000}"/>
    <cellStyle name="Normal 2 2 2 2 2 2 32 13" xfId="11669" xr:uid="{00000000-0005-0000-0000-00008C2D0000}"/>
    <cellStyle name="Normal 2 2 2 2 2 2 32 14" xfId="11670" xr:uid="{00000000-0005-0000-0000-00008D2D0000}"/>
    <cellStyle name="Normal 2 2 2 2 2 2 32 2" xfId="11671" xr:uid="{00000000-0005-0000-0000-00008E2D0000}"/>
    <cellStyle name="Normal 2 2 2 2 2 2 32 2 10" xfId="11672" xr:uid="{00000000-0005-0000-0000-00008F2D0000}"/>
    <cellStyle name="Normal 2 2 2 2 2 2 32 2 2" xfId="11673" xr:uid="{00000000-0005-0000-0000-0000902D0000}"/>
    <cellStyle name="Normal 2 2 2 2 2 2 32 2 3" xfId="11674" xr:uid="{00000000-0005-0000-0000-0000912D0000}"/>
    <cellStyle name="Normal 2 2 2 2 2 2 32 2 4" xfId="11675" xr:uid="{00000000-0005-0000-0000-0000922D0000}"/>
    <cellStyle name="Normal 2 2 2 2 2 2 32 2 5" xfId="11676" xr:uid="{00000000-0005-0000-0000-0000932D0000}"/>
    <cellStyle name="Normal 2 2 2 2 2 2 32 2 6" xfId="11677" xr:uid="{00000000-0005-0000-0000-0000942D0000}"/>
    <cellStyle name="Normal 2 2 2 2 2 2 32 2 7" xfId="11678" xr:uid="{00000000-0005-0000-0000-0000952D0000}"/>
    <cellStyle name="Normal 2 2 2 2 2 2 32 2 8" xfId="11679" xr:uid="{00000000-0005-0000-0000-0000962D0000}"/>
    <cellStyle name="Normal 2 2 2 2 2 2 32 2 9" xfId="11680" xr:uid="{00000000-0005-0000-0000-0000972D0000}"/>
    <cellStyle name="Normal 2 2 2 2 2 2 32 3" xfId="11681" xr:uid="{00000000-0005-0000-0000-0000982D0000}"/>
    <cellStyle name="Normal 2 2 2 2 2 2 32 3 10" xfId="11682" xr:uid="{00000000-0005-0000-0000-0000992D0000}"/>
    <cellStyle name="Normal 2 2 2 2 2 2 32 3 2" xfId="11683" xr:uid="{00000000-0005-0000-0000-00009A2D0000}"/>
    <cellStyle name="Normal 2 2 2 2 2 2 32 3 3" xfId="11684" xr:uid="{00000000-0005-0000-0000-00009B2D0000}"/>
    <cellStyle name="Normal 2 2 2 2 2 2 32 3 4" xfId="11685" xr:uid="{00000000-0005-0000-0000-00009C2D0000}"/>
    <cellStyle name="Normal 2 2 2 2 2 2 32 3 5" xfId="11686" xr:uid="{00000000-0005-0000-0000-00009D2D0000}"/>
    <cellStyle name="Normal 2 2 2 2 2 2 32 3 6" xfId="11687" xr:uid="{00000000-0005-0000-0000-00009E2D0000}"/>
    <cellStyle name="Normal 2 2 2 2 2 2 32 3 7" xfId="11688" xr:uid="{00000000-0005-0000-0000-00009F2D0000}"/>
    <cellStyle name="Normal 2 2 2 2 2 2 32 3 8" xfId="11689" xr:uid="{00000000-0005-0000-0000-0000A02D0000}"/>
    <cellStyle name="Normal 2 2 2 2 2 2 32 3 9" xfId="11690" xr:uid="{00000000-0005-0000-0000-0000A12D0000}"/>
    <cellStyle name="Normal 2 2 2 2 2 2 32 4" xfId="11691" xr:uid="{00000000-0005-0000-0000-0000A22D0000}"/>
    <cellStyle name="Normal 2 2 2 2 2 2 32 4 10" xfId="11692" xr:uid="{00000000-0005-0000-0000-0000A32D0000}"/>
    <cellStyle name="Normal 2 2 2 2 2 2 32 4 2" xfId="11693" xr:uid="{00000000-0005-0000-0000-0000A42D0000}"/>
    <cellStyle name="Normal 2 2 2 2 2 2 32 4 3" xfId="11694" xr:uid="{00000000-0005-0000-0000-0000A52D0000}"/>
    <cellStyle name="Normal 2 2 2 2 2 2 32 4 4" xfId="11695" xr:uid="{00000000-0005-0000-0000-0000A62D0000}"/>
    <cellStyle name="Normal 2 2 2 2 2 2 32 4 5" xfId="11696" xr:uid="{00000000-0005-0000-0000-0000A72D0000}"/>
    <cellStyle name="Normal 2 2 2 2 2 2 32 4 6" xfId="11697" xr:uid="{00000000-0005-0000-0000-0000A82D0000}"/>
    <cellStyle name="Normal 2 2 2 2 2 2 32 4 7" xfId="11698" xr:uid="{00000000-0005-0000-0000-0000A92D0000}"/>
    <cellStyle name="Normal 2 2 2 2 2 2 32 4 8" xfId="11699" xr:uid="{00000000-0005-0000-0000-0000AA2D0000}"/>
    <cellStyle name="Normal 2 2 2 2 2 2 32 4 9" xfId="11700" xr:uid="{00000000-0005-0000-0000-0000AB2D0000}"/>
    <cellStyle name="Normal 2 2 2 2 2 2 32 5" xfId="11701" xr:uid="{00000000-0005-0000-0000-0000AC2D0000}"/>
    <cellStyle name="Normal 2 2 2 2 2 2 32 5 10" xfId="11702" xr:uid="{00000000-0005-0000-0000-0000AD2D0000}"/>
    <cellStyle name="Normal 2 2 2 2 2 2 32 5 2" xfId="11703" xr:uid="{00000000-0005-0000-0000-0000AE2D0000}"/>
    <cellStyle name="Normal 2 2 2 2 2 2 32 5 3" xfId="11704" xr:uid="{00000000-0005-0000-0000-0000AF2D0000}"/>
    <cellStyle name="Normal 2 2 2 2 2 2 32 5 4" xfId="11705" xr:uid="{00000000-0005-0000-0000-0000B02D0000}"/>
    <cellStyle name="Normal 2 2 2 2 2 2 32 5 5" xfId="11706" xr:uid="{00000000-0005-0000-0000-0000B12D0000}"/>
    <cellStyle name="Normal 2 2 2 2 2 2 32 5 6" xfId="11707" xr:uid="{00000000-0005-0000-0000-0000B22D0000}"/>
    <cellStyle name="Normal 2 2 2 2 2 2 32 5 7" xfId="11708" xr:uid="{00000000-0005-0000-0000-0000B32D0000}"/>
    <cellStyle name="Normal 2 2 2 2 2 2 32 5 8" xfId="11709" xr:uid="{00000000-0005-0000-0000-0000B42D0000}"/>
    <cellStyle name="Normal 2 2 2 2 2 2 32 5 9" xfId="11710" xr:uid="{00000000-0005-0000-0000-0000B52D0000}"/>
    <cellStyle name="Normal 2 2 2 2 2 2 32 6" xfId="11711" xr:uid="{00000000-0005-0000-0000-0000B62D0000}"/>
    <cellStyle name="Normal 2 2 2 2 2 2 32 7" xfId="11712" xr:uid="{00000000-0005-0000-0000-0000B72D0000}"/>
    <cellStyle name="Normal 2 2 2 2 2 2 32 8" xfId="11713" xr:uid="{00000000-0005-0000-0000-0000B82D0000}"/>
    <cellStyle name="Normal 2 2 2 2 2 2 32 9" xfId="11714" xr:uid="{00000000-0005-0000-0000-0000B92D0000}"/>
    <cellStyle name="Normal 2 2 2 2 2 2 33" xfId="11715" xr:uid="{00000000-0005-0000-0000-0000BA2D0000}"/>
    <cellStyle name="Normal 2 2 2 2 2 2 33 10" xfId="11716" xr:uid="{00000000-0005-0000-0000-0000BB2D0000}"/>
    <cellStyle name="Normal 2 2 2 2 2 2 33 11" xfId="11717" xr:uid="{00000000-0005-0000-0000-0000BC2D0000}"/>
    <cellStyle name="Normal 2 2 2 2 2 2 33 12" xfId="11718" xr:uid="{00000000-0005-0000-0000-0000BD2D0000}"/>
    <cellStyle name="Normal 2 2 2 2 2 2 33 13" xfId="11719" xr:uid="{00000000-0005-0000-0000-0000BE2D0000}"/>
    <cellStyle name="Normal 2 2 2 2 2 2 33 14" xfId="11720" xr:uid="{00000000-0005-0000-0000-0000BF2D0000}"/>
    <cellStyle name="Normal 2 2 2 2 2 2 33 2" xfId="11721" xr:uid="{00000000-0005-0000-0000-0000C02D0000}"/>
    <cellStyle name="Normal 2 2 2 2 2 2 33 2 10" xfId="11722" xr:uid="{00000000-0005-0000-0000-0000C12D0000}"/>
    <cellStyle name="Normal 2 2 2 2 2 2 33 2 2" xfId="11723" xr:uid="{00000000-0005-0000-0000-0000C22D0000}"/>
    <cellStyle name="Normal 2 2 2 2 2 2 33 2 3" xfId="11724" xr:uid="{00000000-0005-0000-0000-0000C32D0000}"/>
    <cellStyle name="Normal 2 2 2 2 2 2 33 2 4" xfId="11725" xr:uid="{00000000-0005-0000-0000-0000C42D0000}"/>
    <cellStyle name="Normal 2 2 2 2 2 2 33 2 5" xfId="11726" xr:uid="{00000000-0005-0000-0000-0000C52D0000}"/>
    <cellStyle name="Normal 2 2 2 2 2 2 33 2 6" xfId="11727" xr:uid="{00000000-0005-0000-0000-0000C62D0000}"/>
    <cellStyle name="Normal 2 2 2 2 2 2 33 2 7" xfId="11728" xr:uid="{00000000-0005-0000-0000-0000C72D0000}"/>
    <cellStyle name="Normal 2 2 2 2 2 2 33 2 8" xfId="11729" xr:uid="{00000000-0005-0000-0000-0000C82D0000}"/>
    <cellStyle name="Normal 2 2 2 2 2 2 33 2 9" xfId="11730" xr:uid="{00000000-0005-0000-0000-0000C92D0000}"/>
    <cellStyle name="Normal 2 2 2 2 2 2 33 3" xfId="11731" xr:uid="{00000000-0005-0000-0000-0000CA2D0000}"/>
    <cellStyle name="Normal 2 2 2 2 2 2 33 3 10" xfId="11732" xr:uid="{00000000-0005-0000-0000-0000CB2D0000}"/>
    <cellStyle name="Normal 2 2 2 2 2 2 33 3 2" xfId="11733" xr:uid="{00000000-0005-0000-0000-0000CC2D0000}"/>
    <cellStyle name="Normal 2 2 2 2 2 2 33 3 3" xfId="11734" xr:uid="{00000000-0005-0000-0000-0000CD2D0000}"/>
    <cellStyle name="Normal 2 2 2 2 2 2 33 3 4" xfId="11735" xr:uid="{00000000-0005-0000-0000-0000CE2D0000}"/>
    <cellStyle name="Normal 2 2 2 2 2 2 33 3 5" xfId="11736" xr:uid="{00000000-0005-0000-0000-0000CF2D0000}"/>
    <cellStyle name="Normal 2 2 2 2 2 2 33 3 6" xfId="11737" xr:uid="{00000000-0005-0000-0000-0000D02D0000}"/>
    <cellStyle name="Normal 2 2 2 2 2 2 33 3 7" xfId="11738" xr:uid="{00000000-0005-0000-0000-0000D12D0000}"/>
    <cellStyle name="Normal 2 2 2 2 2 2 33 3 8" xfId="11739" xr:uid="{00000000-0005-0000-0000-0000D22D0000}"/>
    <cellStyle name="Normal 2 2 2 2 2 2 33 3 9" xfId="11740" xr:uid="{00000000-0005-0000-0000-0000D32D0000}"/>
    <cellStyle name="Normal 2 2 2 2 2 2 33 4" xfId="11741" xr:uid="{00000000-0005-0000-0000-0000D42D0000}"/>
    <cellStyle name="Normal 2 2 2 2 2 2 33 4 10" xfId="11742" xr:uid="{00000000-0005-0000-0000-0000D52D0000}"/>
    <cellStyle name="Normal 2 2 2 2 2 2 33 4 2" xfId="11743" xr:uid="{00000000-0005-0000-0000-0000D62D0000}"/>
    <cellStyle name="Normal 2 2 2 2 2 2 33 4 3" xfId="11744" xr:uid="{00000000-0005-0000-0000-0000D72D0000}"/>
    <cellStyle name="Normal 2 2 2 2 2 2 33 4 4" xfId="11745" xr:uid="{00000000-0005-0000-0000-0000D82D0000}"/>
    <cellStyle name="Normal 2 2 2 2 2 2 33 4 5" xfId="11746" xr:uid="{00000000-0005-0000-0000-0000D92D0000}"/>
    <cellStyle name="Normal 2 2 2 2 2 2 33 4 6" xfId="11747" xr:uid="{00000000-0005-0000-0000-0000DA2D0000}"/>
    <cellStyle name="Normal 2 2 2 2 2 2 33 4 7" xfId="11748" xr:uid="{00000000-0005-0000-0000-0000DB2D0000}"/>
    <cellStyle name="Normal 2 2 2 2 2 2 33 4 8" xfId="11749" xr:uid="{00000000-0005-0000-0000-0000DC2D0000}"/>
    <cellStyle name="Normal 2 2 2 2 2 2 33 4 9" xfId="11750" xr:uid="{00000000-0005-0000-0000-0000DD2D0000}"/>
    <cellStyle name="Normal 2 2 2 2 2 2 33 5" xfId="11751" xr:uid="{00000000-0005-0000-0000-0000DE2D0000}"/>
    <cellStyle name="Normal 2 2 2 2 2 2 33 5 10" xfId="11752" xr:uid="{00000000-0005-0000-0000-0000DF2D0000}"/>
    <cellStyle name="Normal 2 2 2 2 2 2 33 5 2" xfId="11753" xr:uid="{00000000-0005-0000-0000-0000E02D0000}"/>
    <cellStyle name="Normal 2 2 2 2 2 2 33 5 3" xfId="11754" xr:uid="{00000000-0005-0000-0000-0000E12D0000}"/>
    <cellStyle name="Normal 2 2 2 2 2 2 33 5 4" xfId="11755" xr:uid="{00000000-0005-0000-0000-0000E22D0000}"/>
    <cellStyle name="Normal 2 2 2 2 2 2 33 5 5" xfId="11756" xr:uid="{00000000-0005-0000-0000-0000E32D0000}"/>
    <cellStyle name="Normal 2 2 2 2 2 2 33 5 6" xfId="11757" xr:uid="{00000000-0005-0000-0000-0000E42D0000}"/>
    <cellStyle name="Normal 2 2 2 2 2 2 33 5 7" xfId="11758" xr:uid="{00000000-0005-0000-0000-0000E52D0000}"/>
    <cellStyle name="Normal 2 2 2 2 2 2 33 5 8" xfId="11759" xr:uid="{00000000-0005-0000-0000-0000E62D0000}"/>
    <cellStyle name="Normal 2 2 2 2 2 2 33 5 9" xfId="11760" xr:uid="{00000000-0005-0000-0000-0000E72D0000}"/>
    <cellStyle name="Normal 2 2 2 2 2 2 33 6" xfId="11761" xr:uid="{00000000-0005-0000-0000-0000E82D0000}"/>
    <cellStyle name="Normal 2 2 2 2 2 2 33 7" xfId="11762" xr:uid="{00000000-0005-0000-0000-0000E92D0000}"/>
    <cellStyle name="Normal 2 2 2 2 2 2 33 8" xfId="11763" xr:uid="{00000000-0005-0000-0000-0000EA2D0000}"/>
    <cellStyle name="Normal 2 2 2 2 2 2 33 9" xfId="11764" xr:uid="{00000000-0005-0000-0000-0000EB2D0000}"/>
    <cellStyle name="Normal 2 2 2 2 2 2 34" xfId="11765" xr:uid="{00000000-0005-0000-0000-0000EC2D0000}"/>
    <cellStyle name="Normal 2 2 2 2 2 2 34 10" xfId="11766" xr:uid="{00000000-0005-0000-0000-0000ED2D0000}"/>
    <cellStyle name="Normal 2 2 2 2 2 2 34 2" xfId="11767" xr:uid="{00000000-0005-0000-0000-0000EE2D0000}"/>
    <cellStyle name="Normal 2 2 2 2 2 2 34 3" xfId="11768" xr:uid="{00000000-0005-0000-0000-0000EF2D0000}"/>
    <cellStyle name="Normal 2 2 2 2 2 2 34 4" xfId="11769" xr:uid="{00000000-0005-0000-0000-0000F02D0000}"/>
    <cellStyle name="Normal 2 2 2 2 2 2 34 5" xfId="11770" xr:uid="{00000000-0005-0000-0000-0000F12D0000}"/>
    <cellStyle name="Normal 2 2 2 2 2 2 34 6" xfId="11771" xr:uid="{00000000-0005-0000-0000-0000F22D0000}"/>
    <cellStyle name="Normal 2 2 2 2 2 2 34 7" xfId="11772" xr:uid="{00000000-0005-0000-0000-0000F32D0000}"/>
    <cellStyle name="Normal 2 2 2 2 2 2 34 8" xfId="11773" xr:uid="{00000000-0005-0000-0000-0000F42D0000}"/>
    <cellStyle name="Normal 2 2 2 2 2 2 34 9" xfId="11774" xr:uid="{00000000-0005-0000-0000-0000F52D0000}"/>
    <cellStyle name="Normal 2 2 2 2 2 2 35" xfId="11775" xr:uid="{00000000-0005-0000-0000-0000F62D0000}"/>
    <cellStyle name="Normal 2 2 2 2 2 2 35 10" xfId="11776" xr:uid="{00000000-0005-0000-0000-0000F72D0000}"/>
    <cellStyle name="Normal 2 2 2 2 2 2 35 2" xfId="11777" xr:uid="{00000000-0005-0000-0000-0000F82D0000}"/>
    <cellStyle name="Normal 2 2 2 2 2 2 35 3" xfId="11778" xr:uid="{00000000-0005-0000-0000-0000F92D0000}"/>
    <cellStyle name="Normal 2 2 2 2 2 2 35 4" xfId="11779" xr:uid="{00000000-0005-0000-0000-0000FA2D0000}"/>
    <cellStyle name="Normal 2 2 2 2 2 2 35 5" xfId="11780" xr:uid="{00000000-0005-0000-0000-0000FB2D0000}"/>
    <cellStyle name="Normal 2 2 2 2 2 2 35 6" xfId="11781" xr:uid="{00000000-0005-0000-0000-0000FC2D0000}"/>
    <cellStyle name="Normal 2 2 2 2 2 2 35 7" xfId="11782" xr:uid="{00000000-0005-0000-0000-0000FD2D0000}"/>
    <cellStyle name="Normal 2 2 2 2 2 2 35 8" xfId="11783" xr:uid="{00000000-0005-0000-0000-0000FE2D0000}"/>
    <cellStyle name="Normal 2 2 2 2 2 2 35 9" xfId="11784" xr:uid="{00000000-0005-0000-0000-0000FF2D0000}"/>
    <cellStyle name="Normal 2 2 2 2 2 2 36" xfId="11785" xr:uid="{00000000-0005-0000-0000-0000002E0000}"/>
    <cellStyle name="Normal 2 2 2 2 2 2 36 10" xfId="11786" xr:uid="{00000000-0005-0000-0000-0000012E0000}"/>
    <cellStyle name="Normal 2 2 2 2 2 2 36 2" xfId="11787" xr:uid="{00000000-0005-0000-0000-0000022E0000}"/>
    <cellStyle name="Normal 2 2 2 2 2 2 36 3" xfId="11788" xr:uid="{00000000-0005-0000-0000-0000032E0000}"/>
    <cellStyle name="Normal 2 2 2 2 2 2 36 4" xfId="11789" xr:uid="{00000000-0005-0000-0000-0000042E0000}"/>
    <cellStyle name="Normal 2 2 2 2 2 2 36 5" xfId="11790" xr:uid="{00000000-0005-0000-0000-0000052E0000}"/>
    <cellStyle name="Normal 2 2 2 2 2 2 36 6" xfId="11791" xr:uid="{00000000-0005-0000-0000-0000062E0000}"/>
    <cellStyle name="Normal 2 2 2 2 2 2 36 7" xfId="11792" xr:uid="{00000000-0005-0000-0000-0000072E0000}"/>
    <cellStyle name="Normal 2 2 2 2 2 2 36 8" xfId="11793" xr:uid="{00000000-0005-0000-0000-0000082E0000}"/>
    <cellStyle name="Normal 2 2 2 2 2 2 36 9" xfId="11794" xr:uid="{00000000-0005-0000-0000-0000092E0000}"/>
    <cellStyle name="Normal 2 2 2 2 2 2 37" xfId="11795" xr:uid="{00000000-0005-0000-0000-00000A2E0000}"/>
    <cellStyle name="Normal 2 2 2 2 2 2 37 10" xfId="11796" xr:uid="{00000000-0005-0000-0000-00000B2E0000}"/>
    <cellStyle name="Normal 2 2 2 2 2 2 37 2" xfId="11797" xr:uid="{00000000-0005-0000-0000-00000C2E0000}"/>
    <cellStyle name="Normal 2 2 2 2 2 2 37 3" xfId="11798" xr:uid="{00000000-0005-0000-0000-00000D2E0000}"/>
    <cellStyle name="Normal 2 2 2 2 2 2 37 4" xfId="11799" xr:uid="{00000000-0005-0000-0000-00000E2E0000}"/>
    <cellStyle name="Normal 2 2 2 2 2 2 37 5" xfId="11800" xr:uid="{00000000-0005-0000-0000-00000F2E0000}"/>
    <cellStyle name="Normal 2 2 2 2 2 2 37 6" xfId="11801" xr:uid="{00000000-0005-0000-0000-0000102E0000}"/>
    <cellStyle name="Normal 2 2 2 2 2 2 37 7" xfId="11802" xr:uid="{00000000-0005-0000-0000-0000112E0000}"/>
    <cellStyle name="Normal 2 2 2 2 2 2 37 8" xfId="11803" xr:uid="{00000000-0005-0000-0000-0000122E0000}"/>
    <cellStyle name="Normal 2 2 2 2 2 2 37 9" xfId="11804" xr:uid="{00000000-0005-0000-0000-0000132E0000}"/>
    <cellStyle name="Normal 2 2 2 2 2 2 38" xfId="11805" xr:uid="{00000000-0005-0000-0000-0000142E0000}"/>
    <cellStyle name="Normal 2 2 2 2 2 2 39" xfId="11806" xr:uid="{00000000-0005-0000-0000-0000152E0000}"/>
    <cellStyle name="Normal 2 2 2 2 2 2 4" xfId="11807" xr:uid="{00000000-0005-0000-0000-0000162E0000}"/>
    <cellStyle name="Normal 2 2 2 2 2 2 4 10" xfId="11808" xr:uid="{00000000-0005-0000-0000-0000172E0000}"/>
    <cellStyle name="Normal 2 2 2 2 2 2 4 11" xfId="11809" xr:uid="{00000000-0005-0000-0000-0000182E0000}"/>
    <cellStyle name="Normal 2 2 2 2 2 2 4 12" xfId="11810" xr:uid="{00000000-0005-0000-0000-0000192E0000}"/>
    <cellStyle name="Normal 2 2 2 2 2 2 4 13" xfId="11811" xr:uid="{00000000-0005-0000-0000-00001A2E0000}"/>
    <cellStyle name="Normal 2 2 2 2 2 2 4 14" xfId="11812" xr:uid="{00000000-0005-0000-0000-00001B2E0000}"/>
    <cellStyle name="Normal 2 2 2 2 2 2 4 2" xfId="11813" xr:uid="{00000000-0005-0000-0000-00001C2E0000}"/>
    <cellStyle name="Normal 2 2 2 2 2 2 4 2 10" xfId="11814" xr:uid="{00000000-0005-0000-0000-00001D2E0000}"/>
    <cellStyle name="Normal 2 2 2 2 2 2 4 2 2" xfId="11815" xr:uid="{00000000-0005-0000-0000-00001E2E0000}"/>
    <cellStyle name="Normal 2 2 2 2 2 2 4 2 3" xfId="11816" xr:uid="{00000000-0005-0000-0000-00001F2E0000}"/>
    <cellStyle name="Normal 2 2 2 2 2 2 4 2 4" xfId="11817" xr:uid="{00000000-0005-0000-0000-0000202E0000}"/>
    <cellStyle name="Normal 2 2 2 2 2 2 4 2 5" xfId="11818" xr:uid="{00000000-0005-0000-0000-0000212E0000}"/>
    <cellStyle name="Normal 2 2 2 2 2 2 4 2 6" xfId="11819" xr:uid="{00000000-0005-0000-0000-0000222E0000}"/>
    <cellStyle name="Normal 2 2 2 2 2 2 4 2 7" xfId="11820" xr:uid="{00000000-0005-0000-0000-0000232E0000}"/>
    <cellStyle name="Normal 2 2 2 2 2 2 4 2 8" xfId="11821" xr:uid="{00000000-0005-0000-0000-0000242E0000}"/>
    <cellStyle name="Normal 2 2 2 2 2 2 4 2 9" xfId="11822" xr:uid="{00000000-0005-0000-0000-0000252E0000}"/>
    <cellStyle name="Normal 2 2 2 2 2 2 4 3" xfId="11823" xr:uid="{00000000-0005-0000-0000-0000262E0000}"/>
    <cellStyle name="Normal 2 2 2 2 2 2 4 3 10" xfId="11824" xr:uid="{00000000-0005-0000-0000-0000272E0000}"/>
    <cellStyle name="Normal 2 2 2 2 2 2 4 3 2" xfId="11825" xr:uid="{00000000-0005-0000-0000-0000282E0000}"/>
    <cellStyle name="Normal 2 2 2 2 2 2 4 3 3" xfId="11826" xr:uid="{00000000-0005-0000-0000-0000292E0000}"/>
    <cellStyle name="Normal 2 2 2 2 2 2 4 3 4" xfId="11827" xr:uid="{00000000-0005-0000-0000-00002A2E0000}"/>
    <cellStyle name="Normal 2 2 2 2 2 2 4 3 5" xfId="11828" xr:uid="{00000000-0005-0000-0000-00002B2E0000}"/>
    <cellStyle name="Normal 2 2 2 2 2 2 4 3 6" xfId="11829" xr:uid="{00000000-0005-0000-0000-00002C2E0000}"/>
    <cellStyle name="Normal 2 2 2 2 2 2 4 3 7" xfId="11830" xr:uid="{00000000-0005-0000-0000-00002D2E0000}"/>
    <cellStyle name="Normal 2 2 2 2 2 2 4 3 8" xfId="11831" xr:uid="{00000000-0005-0000-0000-00002E2E0000}"/>
    <cellStyle name="Normal 2 2 2 2 2 2 4 3 9" xfId="11832" xr:uid="{00000000-0005-0000-0000-00002F2E0000}"/>
    <cellStyle name="Normal 2 2 2 2 2 2 4 4" xfId="11833" xr:uid="{00000000-0005-0000-0000-0000302E0000}"/>
    <cellStyle name="Normal 2 2 2 2 2 2 4 4 10" xfId="11834" xr:uid="{00000000-0005-0000-0000-0000312E0000}"/>
    <cellStyle name="Normal 2 2 2 2 2 2 4 4 2" xfId="11835" xr:uid="{00000000-0005-0000-0000-0000322E0000}"/>
    <cellStyle name="Normal 2 2 2 2 2 2 4 4 3" xfId="11836" xr:uid="{00000000-0005-0000-0000-0000332E0000}"/>
    <cellStyle name="Normal 2 2 2 2 2 2 4 4 4" xfId="11837" xr:uid="{00000000-0005-0000-0000-0000342E0000}"/>
    <cellStyle name="Normal 2 2 2 2 2 2 4 4 5" xfId="11838" xr:uid="{00000000-0005-0000-0000-0000352E0000}"/>
    <cellStyle name="Normal 2 2 2 2 2 2 4 4 6" xfId="11839" xr:uid="{00000000-0005-0000-0000-0000362E0000}"/>
    <cellStyle name="Normal 2 2 2 2 2 2 4 4 7" xfId="11840" xr:uid="{00000000-0005-0000-0000-0000372E0000}"/>
    <cellStyle name="Normal 2 2 2 2 2 2 4 4 8" xfId="11841" xr:uid="{00000000-0005-0000-0000-0000382E0000}"/>
    <cellStyle name="Normal 2 2 2 2 2 2 4 4 9" xfId="11842" xr:uid="{00000000-0005-0000-0000-0000392E0000}"/>
    <cellStyle name="Normal 2 2 2 2 2 2 4 5" xfId="11843" xr:uid="{00000000-0005-0000-0000-00003A2E0000}"/>
    <cellStyle name="Normal 2 2 2 2 2 2 4 5 10" xfId="11844" xr:uid="{00000000-0005-0000-0000-00003B2E0000}"/>
    <cellStyle name="Normal 2 2 2 2 2 2 4 5 2" xfId="11845" xr:uid="{00000000-0005-0000-0000-00003C2E0000}"/>
    <cellStyle name="Normal 2 2 2 2 2 2 4 5 3" xfId="11846" xr:uid="{00000000-0005-0000-0000-00003D2E0000}"/>
    <cellStyle name="Normal 2 2 2 2 2 2 4 5 4" xfId="11847" xr:uid="{00000000-0005-0000-0000-00003E2E0000}"/>
    <cellStyle name="Normal 2 2 2 2 2 2 4 5 5" xfId="11848" xr:uid="{00000000-0005-0000-0000-00003F2E0000}"/>
    <cellStyle name="Normal 2 2 2 2 2 2 4 5 6" xfId="11849" xr:uid="{00000000-0005-0000-0000-0000402E0000}"/>
    <cellStyle name="Normal 2 2 2 2 2 2 4 5 7" xfId="11850" xr:uid="{00000000-0005-0000-0000-0000412E0000}"/>
    <cellStyle name="Normal 2 2 2 2 2 2 4 5 8" xfId="11851" xr:uid="{00000000-0005-0000-0000-0000422E0000}"/>
    <cellStyle name="Normal 2 2 2 2 2 2 4 5 9" xfId="11852" xr:uid="{00000000-0005-0000-0000-0000432E0000}"/>
    <cellStyle name="Normal 2 2 2 2 2 2 4 6" xfId="11853" xr:uid="{00000000-0005-0000-0000-0000442E0000}"/>
    <cellStyle name="Normal 2 2 2 2 2 2 4 7" xfId="11854" xr:uid="{00000000-0005-0000-0000-0000452E0000}"/>
    <cellStyle name="Normal 2 2 2 2 2 2 4 8" xfId="11855" xr:uid="{00000000-0005-0000-0000-0000462E0000}"/>
    <cellStyle name="Normal 2 2 2 2 2 2 4 9" xfId="11856" xr:uid="{00000000-0005-0000-0000-0000472E0000}"/>
    <cellStyle name="Normal 2 2 2 2 2 2 40" xfId="11857" xr:uid="{00000000-0005-0000-0000-0000482E0000}"/>
    <cellStyle name="Normal 2 2 2 2 2 2 41" xfId="11858" xr:uid="{00000000-0005-0000-0000-0000492E0000}"/>
    <cellStyle name="Normal 2 2 2 2 2 2 42" xfId="11859" xr:uid="{00000000-0005-0000-0000-00004A2E0000}"/>
    <cellStyle name="Normal 2 2 2 2 2 2 43" xfId="11860" xr:uid="{00000000-0005-0000-0000-00004B2E0000}"/>
    <cellStyle name="Normal 2 2 2 2 2 2 44" xfId="11861" xr:uid="{00000000-0005-0000-0000-00004C2E0000}"/>
    <cellStyle name="Normal 2 2 2 2 2 2 45" xfId="11862" xr:uid="{00000000-0005-0000-0000-00004D2E0000}"/>
    <cellStyle name="Normal 2 2 2 2 2 2 46" xfId="11863" xr:uid="{00000000-0005-0000-0000-00004E2E0000}"/>
    <cellStyle name="Normal 2 2 2 2 2 2 47" xfId="11864" xr:uid="{00000000-0005-0000-0000-00004F2E0000}"/>
    <cellStyle name="Normal 2 2 2 2 2 2 48" xfId="11865" xr:uid="{00000000-0005-0000-0000-0000502E0000}"/>
    <cellStyle name="Normal 2 2 2 2 2 2 5" xfId="11866" xr:uid="{00000000-0005-0000-0000-0000512E0000}"/>
    <cellStyle name="Normal 2 2 2 2 2 2 5 10" xfId="11867" xr:uid="{00000000-0005-0000-0000-0000522E0000}"/>
    <cellStyle name="Normal 2 2 2 2 2 2 5 11" xfId="11868" xr:uid="{00000000-0005-0000-0000-0000532E0000}"/>
    <cellStyle name="Normal 2 2 2 2 2 2 5 12" xfId="11869" xr:uid="{00000000-0005-0000-0000-0000542E0000}"/>
    <cellStyle name="Normal 2 2 2 2 2 2 5 13" xfId="11870" xr:uid="{00000000-0005-0000-0000-0000552E0000}"/>
    <cellStyle name="Normal 2 2 2 2 2 2 5 14" xfId="11871" xr:uid="{00000000-0005-0000-0000-0000562E0000}"/>
    <cellStyle name="Normal 2 2 2 2 2 2 5 2" xfId="11872" xr:uid="{00000000-0005-0000-0000-0000572E0000}"/>
    <cellStyle name="Normal 2 2 2 2 2 2 5 2 10" xfId="11873" xr:uid="{00000000-0005-0000-0000-0000582E0000}"/>
    <cellStyle name="Normal 2 2 2 2 2 2 5 2 2" xfId="11874" xr:uid="{00000000-0005-0000-0000-0000592E0000}"/>
    <cellStyle name="Normal 2 2 2 2 2 2 5 2 3" xfId="11875" xr:uid="{00000000-0005-0000-0000-00005A2E0000}"/>
    <cellStyle name="Normal 2 2 2 2 2 2 5 2 4" xfId="11876" xr:uid="{00000000-0005-0000-0000-00005B2E0000}"/>
    <cellStyle name="Normal 2 2 2 2 2 2 5 2 5" xfId="11877" xr:uid="{00000000-0005-0000-0000-00005C2E0000}"/>
    <cellStyle name="Normal 2 2 2 2 2 2 5 2 6" xfId="11878" xr:uid="{00000000-0005-0000-0000-00005D2E0000}"/>
    <cellStyle name="Normal 2 2 2 2 2 2 5 2 7" xfId="11879" xr:uid="{00000000-0005-0000-0000-00005E2E0000}"/>
    <cellStyle name="Normal 2 2 2 2 2 2 5 2 8" xfId="11880" xr:uid="{00000000-0005-0000-0000-00005F2E0000}"/>
    <cellStyle name="Normal 2 2 2 2 2 2 5 2 9" xfId="11881" xr:uid="{00000000-0005-0000-0000-0000602E0000}"/>
    <cellStyle name="Normal 2 2 2 2 2 2 5 3" xfId="11882" xr:uid="{00000000-0005-0000-0000-0000612E0000}"/>
    <cellStyle name="Normal 2 2 2 2 2 2 5 3 10" xfId="11883" xr:uid="{00000000-0005-0000-0000-0000622E0000}"/>
    <cellStyle name="Normal 2 2 2 2 2 2 5 3 2" xfId="11884" xr:uid="{00000000-0005-0000-0000-0000632E0000}"/>
    <cellStyle name="Normal 2 2 2 2 2 2 5 3 3" xfId="11885" xr:uid="{00000000-0005-0000-0000-0000642E0000}"/>
    <cellStyle name="Normal 2 2 2 2 2 2 5 3 4" xfId="11886" xr:uid="{00000000-0005-0000-0000-0000652E0000}"/>
    <cellStyle name="Normal 2 2 2 2 2 2 5 3 5" xfId="11887" xr:uid="{00000000-0005-0000-0000-0000662E0000}"/>
    <cellStyle name="Normal 2 2 2 2 2 2 5 3 6" xfId="11888" xr:uid="{00000000-0005-0000-0000-0000672E0000}"/>
    <cellStyle name="Normal 2 2 2 2 2 2 5 3 7" xfId="11889" xr:uid="{00000000-0005-0000-0000-0000682E0000}"/>
    <cellStyle name="Normal 2 2 2 2 2 2 5 3 8" xfId="11890" xr:uid="{00000000-0005-0000-0000-0000692E0000}"/>
    <cellStyle name="Normal 2 2 2 2 2 2 5 3 9" xfId="11891" xr:uid="{00000000-0005-0000-0000-00006A2E0000}"/>
    <cellStyle name="Normal 2 2 2 2 2 2 5 4" xfId="11892" xr:uid="{00000000-0005-0000-0000-00006B2E0000}"/>
    <cellStyle name="Normal 2 2 2 2 2 2 5 4 10" xfId="11893" xr:uid="{00000000-0005-0000-0000-00006C2E0000}"/>
    <cellStyle name="Normal 2 2 2 2 2 2 5 4 2" xfId="11894" xr:uid="{00000000-0005-0000-0000-00006D2E0000}"/>
    <cellStyle name="Normal 2 2 2 2 2 2 5 4 3" xfId="11895" xr:uid="{00000000-0005-0000-0000-00006E2E0000}"/>
    <cellStyle name="Normal 2 2 2 2 2 2 5 4 4" xfId="11896" xr:uid="{00000000-0005-0000-0000-00006F2E0000}"/>
    <cellStyle name="Normal 2 2 2 2 2 2 5 4 5" xfId="11897" xr:uid="{00000000-0005-0000-0000-0000702E0000}"/>
    <cellStyle name="Normal 2 2 2 2 2 2 5 4 6" xfId="11898" xr:uid="{00000000-0005-0000-0000-0000712E0000}"/>
    <cellStyle name="Normal 2 2 2 2 2 2 5 4 7" xfId="11899" xr:uid="{00000000-0005-0000-0000-0000722E0000}"/>
    <cellStyle name="Normal 2 2 2 2 2 2 5 4 8" xfId="11900" xr:uid="{00000000-0005-0000-0000-0000732E0000}"/>
    <cellStyle name="Normal 2 2 2 2 2 2 5 4 9" xfId="11901" xr:uid="{00000000-0005-0000-0000-0000742E0000}"/>
    <cellStyle name="Normal 2 2 2 2 2 2 5 5" xfId="11902" xr:uid="{00000000-0005-0000-0000-0000752E0000}"/>
    <cellStyle name="Normal 2 2 2 2 2 2 5 5 10" xfId="11903" xr:uid="{00000000-0005-0000-0000-0000762E0000}"/>
    <cellStyle name="Normal 2 2 2 2 2 2 5 5 2" xfId="11904" xr:uid="{00000000-0005-0000-0000-0000772E0000}"/>
    <cellStyle name="Normal 2 2 2 2 2 2 5 5 3" xfId="11905" xr:uid="{00000000-0005-0000-0000-0000782E0000}"/>
    <cellStyle name="Normal 2 2 2 2 2 2 5 5 4" xfId="11906" xr:uid="{00000000-0005-0000-0000-0000792E0000}"/>
    <cellStyle name="Normal 2 2 2 2 2 2 5 5 5" xfId="11907" xr:uid="{00000000-0005-0000-0000-00007A2E0000}"/>
    <cellStyle name="Normal 2 2 2 2 2 2 5 5 6" xfId="11908" xr:uid="{00000000-0005-0000-0000-00007B2E0000}"/>
    <cellStyle name="Normal 2 2 2 2 2 2 5 5 7" xfId="11909" xr:uid="{00000000-0005-0000-0000-00007C2E0000}"/>
    <cellStyle name="Normal 2 2 2 2 2 2 5 5 8" xfId="11910" xr:uid="{00000000-0005-0000-0000-00007D2E0000}"/>
    <cellStyle name="Normal 2 2 2 2 2 2 5 5 9" xfId="11911" xr:uid="{00000000-0005-0000-0000-00007E2E0000}"/>
    <cellStyle name="Normal 2 2 2 2 2 2 5 6" xfId="11912" xr:uid="{00000000-0005-0000-0000-00007F2E0000}"/>
    <cellStyle name="Normal 2 2 2 2 2 2 5 7" xfId="11913" xr:uid="{00000000-0005-0000-0000-0000802E0000}"/>
    <cellStyle name="Normal 2 2 2 2 2 2 5 8" xfId="11914" xr:uid="{00000000-0005-0000-0000-0000812E0000}"/>
    <cellStyle name="Normal 2 2 2 2 2 2 5 9" xfId="11915" xr:uid="{00000000-0005-0000-0000-0000822E0000}"/>
    <cellStyle name="Normal 2 2 2 2 2 2 6" xfId="11916" xr:uid="{00000000-0005-0000-0000-0000832E0000}"/>
    <cellStyle name="Normal 2 2 2 2 2 2 6 10" xfId="11917" xr:uid="{00000000-0005-0000-0000-0000842E0000}"/>
    <cellStyle name="Normal 2 2 2 2 2 2 6 11" xfId="11918" xr:uid="{00000000-0005-0000-0000-0000852E0000}"/>
    <cellStyle name="Normal 2 2 2 2 2 2 6 12" xfId="11919" xr:uid="{00000000-0005-0000-0000-0000862E0000}"/>
    <cellStyle name="Normal 2 2 2 2 2 2 6 13" xfId="11920" xr:uid="{00000000-0005-0000-0000-0000872E0000}"/>
    <cellStyle name="Normal 2 2 2 2 2 2 6 14" xfId="11921" xr:uid="{00000000-0005-0000-0000-0000882E0000}"/>
    <cellStyle name="Normal 2 2 2 2 2 2 6 2" xfId="11922" xr:uid="{00000000-0005-0000-0000-0000892E0000}"/>
    <cellStyle name="Normal 2 2 2 2 2 2 6 2 10" xfId="11923" xr:uid="{00000000-0005-0000-0000-00008A2E0000}"/>
    <cellStyle name="Normal 2 2 2 2 2 2 6 2 2" xfId="11924" xr:uid="{00000000-0005-0000-0000-00008B2E0000}"/>
    <cellStyle name="Normal 2 2 2 2 2 2 6 2 3" xfId="11925" xr:uid="{00000000-0005-0000-0000-00008C2E0000}"/>
    <cellStyle name="Normal 2 2 2 2 2 2 6 2 4" xfId="11926" xr:uid="{00000000-0005-0000-0000-00008D2E0000}"/>
    <cellStyle name="Normal 2 2 2 2 2 2 6 2 5" xfId="11927" xr:uid="{00000000-0005-0000-0000-00008E2E0000}"/>
    <cellStyle name="Normal 2 2 2 2 2 2 6 2 6" xfId="11928" xr:uid="{00000000-0005-0000-0000-00008F2E0000}"/>
    <cellStyle name="Normal 2 2 2 2 2 2 6 2 7" xfId="11929" xr:uid="{00000000-0005-0000-0000-0000902E0000}"/>
    <cellStyle name="Normal 2 2 2 2 2 2 6 2 8" xfId="11930" xr:uid="{00000000-0005-0000-0000-0000912E0000}"/>
    <cellStyle name="Normal 2 2 2 2 2 2 6 2 9" xfId="11931" xr:uid="{00000000-0005-0000-0000-0000922E0000}"/>
    <cellStyle name="Normal 2 2 2 2 2 2 6 3" xfId="11932" xr:uid="{00000000-0005-0000-0000-0000932E0000}"/>
    <cellStyle name="Normal 2 2 2 2 2 2 6 3 10" xfId="11933" xr:uid="{00000000-0005-0000-0000-0000942E0000}"/>
    <cellStyle name="Normal 2 2 2 2 2 2 6 3 2" xfId="11934" xr:uid="{00000000-0005-0000-0000-0000952E0000}"/>
    <cellStyle name="Normal 2 2 2 2 2 2 6 3 3" xfId="11935" xr:uid="{00000000-0005-0000-0000-0000962E0000}"/>
    <cellStyle name="Normal 2 2 2 2 2 2 6 3 4" xfId="11936" xr:uid="{00000000-0005-0000-0000-0000972E0000}"/>
    <cellStyle name="Normal 2 2 2 2 2 2 6 3 5" xfId="11937" xr:uid="{00000000-0005-0000-0000-0000982E0000}"/>
    <cellStyle name="Normal 2 2 2 2 2 2 6 3 6" xfId="11938" xr:uid="{00000000-0005-0000-0000-0000992E0000}"/>
    <cellStyle name="Normal 2 2 2 2 2 2 6 3 7" xfId="11939" xr:uid="{00000000-0005-0000-0000-00009A2E0000}"/>
    <cellStyle name="Normal 2 2 2 2 2 2 6 3 8" xfId="11940" xr:uid="{00000000-0005-0000-0000-00009B2E0000}"/>
    <cellStyle name="Normal 2 2 2 2 2 2 6 3 9" xfId="11941" xr:uid="{00000000-0005-0000-0000-00009C2E0000}"/>
    <cellStyle name="Normal 2 2 2 2 2 2 6 4" xfId="11942" xr:uid="{00000000-0005-0000-0000-00009D2E0000}"/>
    <cellStyle name="Normal 2 2 2 2 2 2 6 4 10" xfId="11943" xr:uid="{00000000-0005-0000-0000-00009E2E0000}"/>
    <cellStyle name="Normal 2 2 2 2 2 2 6 4 2" xfId="11944" xr:uid="{00000000-0005-0000-0000-00009F2E0000}"/>
    <cellStyle name="Normal 2 2 2 2 2 2 6 4 3" xfId="11945" xr:uid="{00000000-0005-0000-0000-0000A02E0000}"/>
    <cellStyle name="Normal 2 2 2 2 2 2 6 4 4" xfId="11946" xr:uid="{00000000-0005-0000-0000-0000A12E0000}"/>
    <cellStyle name="Normal 2 2 2 2 2 2 6 4 5" xfId="11947" xr:uid="{00000000-0005-0000-0000-0000A22E0000}"/>
    <cellStyle name="Normal 2 2 2 2 2 2 6 4 6" xfId="11948" xr:uid="{00000000-0005-0000-0000-0000A32E0000}"/>
    <cellStyle name="Normal 2 2 2 2 2 2 6 4 7" xfId="11949" xr:uid="{00000000-0005-0000-0000-0000A42E0000}"/>
    <cellStyle name="Normal 2 2 2 2 2 2 6 4 8" xfId="11950" xr:uid="{00000000-0005-0000-0000-0000A52E0000}"/>
    <cellStyle name="Normal 2 2 2 2 2 2 6 4 9" xfId="11951" xr:uid="{00000000-0005-0000-0000-0000A62E0000}"/>
    <cellStyle name="Normal 2 2 2 2 2 2 6 5" xfId="11952" xr:uid="{00000000-0005-0000-0000-0000A72E0000}"/>
    <cellStyle name="Normal 2 2 2 2 2 2 6 5 10" xfId="11953" xr:uid="{00000000-0005-0000-0000-0000A82E0000}"/>
    <cellStyle name="Normal 2 2 2 2 2 2 6 5 2" xfId="11954" xr:uid="{00000000-0005-0000-0000-0000A92E0000}"/>
    <cellStyle name="Normal 2 2 2 2 2 2 6 5 3" xfId="11955" xr:uid="{00000000-0005-0000-0000-0000AA2E0000}"/>
    <cellStyle name="Normal 2 2 2 2 2 2 6 5 4" xfId="11956" xr:uid="{00000000-0005-0000-0000-0000AB2E0000}"/>
    <cellStyle name="Normal 2 2 2 2 2 2 6 5 5" xfId="11957" xr:uid="{00000000-0005-0000-0000-0000AC2E0000}"/>
    <cellStyle name="Normal 2 2 2 2 2 2 6 5 6" xfId="11958" xr:uid="{00000000-0005-0000-0000-0000AD2E0000}"/>
    <cellStyle name="Normal 2 2 2 2 2 2 6 5 7" xfId="11959" xr:uid="{00000000-0005-0000-0000-0000AE2E0000}"/>
    <cellStyle name="Normal 2 2 2 2 2 2 6 5 8" xfId="11960" xr:uid="{00000000-0005-0000-0000-0000AF2E0000}"/>
    <cellStyle name="Normal 2 2 2 2 2 2 6 5 9" xfId="11961" xr:uid="{00000000-0005-0000-0000-0000B02E0000}"/>
    <cellStyle name="Normal 2 2 2 2 2 2 6 6" xfId="11962" xr:uid="{00000000-0005-0000-0000-0000B12E0000}"/>
    <cellStyle name="Normal 2 2 2 2 2 2 6 7" xfId="11963" xr:uid="{00000000-0005-0000-0000-0000B22E0000}"/>
    <cellStyle name="Normal 2 2 2 2 2 2 6 8" xfId="11964" xr:uid="{00000000-0005-0000-0000-0000B32E0000}"/>
    <cellStyle name="Normal 2 2 2 2 2 2 6 9" xfId="11965" xr:uid="{00000000-0005-0000-0000-0000B42E0000}"/>
    <cellStyle name="Normal 2 2 2 2 2 2 7" xfId="11966" xr:uid="{00000000-0005-0000-0000-0000B52E0000}"/>
    <cellStyle name="Normal 2 2 2 2 2 2 7 10" xfId="11967" xr:uid="{00000000-0005-0000-0000-0000B62E0000}"/>
    <cellStyle name="Normal 2 2 2 2 2 2 7 11" xfId="11968" xr:uid="{00000000-0005-0000-0000-0000B72E0000}"/>
    <cellStyle name="Normal 2 2 2 2 2 2 7 12" xfId="11969" xr:uid="{00000000-0005-0000-0000-0000B82E0000}"/>
    <cellStyle name="Normal 2 2 2 2 2 2 7 13" xfId="11970" xr:uid="{00000000-0005-0000-0000-0000B92E0000}"/>
    <cellStyle name="Normal 2 2 2 2 2 2 7 14" xfId="11971" xr:uid="{00000000-0005-0000-0000-0000BA2E0000}"/>
    <cellStyle name="Normal 2 2 2 2 2 2 7 2" xfId="11972" xr:uid="{00000000-0005-0000-0000-0000BB2E0000}"/>
    <cellStyle name="Normal 2 2 2 2 2 2 7 2 10" xfId="11973" xr:uid="{00000000-0005-0000-0000-0000BC2E0000}"/>
    <cellStyle name="Normal 2 2 2 2 2 2 7 2 2" xfId="11974" xr:uid="{00000000-0005-0000-0000-0000BD2E0000}"/>
    <cellStyle name="Normal 2 2 2 2 2 2 7 2 3" xfId="11975" xr:uid="{00000000-0005-0000-0000-0000BE2E0000}"/>
    <cellStyle name="Normal 2 2 2 2 2 2 7 2 4" xfId="11976" xr:uid="{00000000-0005-0000-0000-0000BF2E0000}"/>
    <cellStyle name="Normal 2 2 2 2 2 2 7 2 5" xfId="11977" xr:uid="{00000000-0005-0000-0000-0000C02E0000}"/>
    <cellStyle name="Normal 2 2 2 2 2 2 7 2 6" xfId="11978" xr:uid="{00000000-0005-0000-0000-0000C12E0000}"/>
    <cellStyle name="Normal 2 2 2 2 2 2 7 2 7" xfId="11979" xr:uid="{00000000-0005-0000-0000-0000C22E0000}"/>
    <cellStyle name="Normal 2 2 2 2 2 2 7 2 8" xfId="11980" xr:uid="{00000000-0005-0000-0000-0000C32E0000}"/>
    <cellStyle name="Normal 2 2 2 2 2 2 7 2 9" xfId="11981" xr:uid="{00000000-0005-0000-0000-0000C42E0000}"/>
    <cellStyle name="Normal 2 2 2 2 2 2 7 3" xfId="11982" xr:uid="{00000000-0005-0000-0000-0000C52E0000}"/>
    <cellStyle name="Normal 2 2 2 2 2 2 7 3 10" xfId="11983" xr:uid="{00000000-0005-0000-0000-0000C62E0000}"/>
    <cellStyle name="Normal 2 2 2 2 2 2 7 3 2" xfId="11984" xr:uid="{00000000-0005-0000-0000-0000C72E0000}"/>
    <cellStyle name="Normal 2 2 2 2 2 2 7 3 3" xfId="11985" xr:uid="{00000000-0005-0000-0000-0000C82E0000}"/>
    <cellStyle name="Normal 2 2 2 2 2 2 7 3 4" xfId="11986" xr:uid="{00000000-0005-0000-0000-0000C92E0000}"/>
    <cellStyle name="Normal 2 2 2 2 2 2 7 3 5" xfId="11987" xr:uid="{00000000-0005-0000-0000-0000CA2E0000}"/>
    <cellStyle name="Normal 2 2 2 2 2 2 7 3 6" xfId="11988" xr:uid="{00000000-0005-0000-0000-0000CB2E0000}"/>
    <cellStyle name="Normal 2 2 2 2 2 2 7 3 7" xfId="11989" xr:uid="{00000000-0005-0000-0000-0000CC2E0000}"/>
    <cellStyle name="Normal 2 2 2 2 2 2 7 3 8" xfId="11990" xr:uid="{00000000-0005-0000-0000-0000CD2E0000}"/>
    <cellStyle name="Normal 2 2 2 2 2 2 7 3 9" xfId="11991" xr:uid="{00000000-0005-0000-0000-0000CE2E0000}"/>
    <cellStyle name="Normal 2 2 2 2 2 2 7 4" xfId="11992" xr:uid="{00000000-0005-0000-0000-0000CF2E0000}"/>
    <cellStyle name="Normal 2 2 2 2 2 2 7 4 10" xfId="11993" xr:uid="{00000000-0005-0000-0000-0000D02E0000}"/>
    <cellStyle name="Normal 2 2 2 2 2 2 7 4 2" xfId="11994" xr:uid="{00000000-0005-0000-0000-0000D12E0000}"/>
    <cellStyle name="Normal 2 2 2 2 2 2 7 4 3" xfId="11995" xr:uid="{00000000-0005-0000-0000-0000D22E0000}"/>
    <cellStyle name="Normal 2 2 2 2 2 2 7 4 4" xfId="11996" xr:uid="{00000000-0005-0000-0000-0000D32E0000}"/>
    <cellStyle name="Normal 2 2 2 2 2 2 7 4 5" xfId="11997" xr:uid="{00000000-0005-0000-0000-0000D42E0000}"/>
    <cellStyle name="Normal 2 2 2 2 2 2 7 4 6" xfId="11998" xr:uid="{00000000-0005-0000-0000-0000D52E0000}"/>
    <cellStyle name="Normal 2 2 2 2 2 2 7 4 7" xfId="11999" xr:uid="{00000000-0005-0000-0000-0000D62E0000}"/>
    <cellStyle name="Normal 2 2 2 2 2 2 7 4 8" xfId="12000" xr:uid="{00000000-0005-0000-0000-0000D72E0000}"/>
    <cellStyle name="Normal 2 2 2 2 2 2 7 4 9" xfId="12001" xr:uid="{00000000-0005-0000-0000-0000D82E0000}"/>
    <cellStyle name="Normal 2 2 2 2 2 2 7 5" xfId="12002" xr:uid="{00000000-0005-0000-0000-0000D92E0000}"/>
    <cellStyle name="Normal 2 2 2 2 2 2 7 5 10" xfId="12003" xr:uid="{00000000-0005-0000-0000-0000DA2E0000}"/>
    <cellStyle name="Normal 2 2 2 2 2 2 7 5 2" xfId="12004" xr:uid="{00000000-0005-0000-0000-0000DB2E0000}"/>
    <cellStyle name="Normal 2 2 2 2 2 2 7 5 3" xfId="12005" xr:uid="{00000000-0005-0000-0000-0000DC2E0000}"/>
    <cellStyle name="Normal 2 2 2 2 2 2 7 5 4" xfId="12006" xr:uid="{00000000-0005-0000-0000-0000DD2E0000}"/>
    <cellStyle name="Normal 2 2 2 2 2 2 7 5 5" xfId="12007" xr:uid="{00000000-0005-0000-0000-0000DE2E0000}"/>
    <cellStyle name="Normal 2 2 2 2 2 2 7 5 6" xfId="12008" xr:uid="{00000000-0005-0000-0000-0000DF2E0000}"/>
    <cellStyle name="Normal 2 2 2 2 2 2 7 5 7" xfId="12009" xr:uid="{00000000-0005-0000-0000-0000E02E0000}"/>
    <cellStyle name="Normal 2 2 2 2 2 2 7 5 8" xfId="12010" xr:uid="{00000000-0005-0000-0000-0000E12E0000}"/>
    <cellStyle name="Normal 2 2 2 2 2 2 7 5 9" xfId="12011" xr:uid="{00000000-0005-0000-0000-0000E22E0000}"/>
    <cellStyle name="Normal 2 2 2 2 2 2 7 6" xfId="12012" xr:uid="{00000000-0005-0000-0000-0000E32E0000}"/>
    <cellStyle name="Normal 2 2 2 2 2 2 7 7" xfId="12013" xr:uid="{00000000-0005-0000-0000-0000E42E0000}"/>
    <cellStyle name="Normal 2 2 2 2 2 2 7 8" xfId="12014" xr:uid="{00000000-0005-0000-0000-0000E52E0000}"/>
    <cellStyle name="Normal 2 2 2 2 2 2 7 9" xfId="12015" xr:uid="{00000000-0005-0000-0000-0000E62E0000}"/>
    <cellStyle name="Normal 2 2 2 2 2 2 8" xfId="12016" xr:uid="{00000000-0005-0000-0000-0000E72E0000}"/>
    <cellStyle name="Normal 2 2 2 2 2 2 8 10" xfId="12017" xr:uid="{00000000-0005-0000-0000-0000E82E0000}"/>
    <cellStyle name="Normal 2 2 2 2 2 2 8 11" xfId="12018" xr:uid="{00000000-0005-0000-0000-0000E92E0000}"/>
    <cellStyle name="Normal 2 2 2 2 2 2 8 12" xfId="12019" xr:uid="{00000000-0005-0000-0000-0000EA2E0000}"/>
    <cellStyle name="Normal 2 2 2 2 2 2 8 13" xfId="12020" xr:uid="{00000000-0005-0000-0000-0000EB2E0000}"/>
    <cellStyle name="Normal 2 2 2 2 2 2 8 14" xfId="12021" xr:uid="{00000000-0005-0000-0000-0000EC2E0000}"/>
    <cellStyle name="Normal 2 2 2 2 2 2 8 2" xfId="12022" xr:uid="{00000000-0005-0000-0000-0000ED2E0000}"/>
    <cellStyle name="Normal 2 2 2 2 2 2 8 2 10" xfId="12023" xr:uid="{00000000-0005-0000-0000-0000EE2E0000}"/>
    <cellStyle name="Normal 2 2 2 2 2 2 8 2 2" xfId="12024" xr:uid="{00000000-0005-0000-0000-0000EF2E0000}"/>
    <cellStyle name="Normal 2 2 2 2 2 2 8 2 3" xfId="12025" xr:uid="{00000000-0005-0000-0000-0000F02E0000}"/>
    <cellStyle name="Normal 2 2 2 2 2 2 8 2 4" xfId="12026" xr:uid="{00000000-0005-0000-0000-0000F12E0000}"/>
    <cellStyle name="Normal 2 2 2 2 2 2 8 2 5" xfId="12027" xr:uid="{00000000-0005-0000-0000-0000F22E0000}"/>
    <cellStyle name="Normal 2 2 2 2 2 2 8 2 6" xfId="12028" xr:uid="{00000000-0005-0000-0000-0000F32E0000}"/>
    <cellStyle name="Normal 2 2 2 2 2 2 8 2 7" xfId="12029" xr:uid="{00000000-0005-0000-0000-0000F42E0000}"/>
    <cellStyle name="Normal 2 2 2 2 2 2 8 2 8" xfId="12030" xr:uid="{00000000-0005-0000-0000-0000F52E0000}"/>
    <cellStyle name="Normal 2 2 2 2 2 2 8 2 9" xfId="12031" xr:uid="{00000000-0005-0000-0000-0000F62E0000}"/>
    <cellStyle name="Normal 2 2 2 2 2 2 8 3" xfId="12032" xr:uid="{00000000-0005-0000-0000-0000F72E0000}"/>
    <cellStyle name="Normal 2 2 2 2 2 2 8 3 10" xfId="12033" xr:uid="{00000000-0005-0000-0000-0000F82E0000}"/>
    <cellStyle name="Normal 2 2 2 2 2 2 8 3 2" xfId="12034" xr:uid="{00000000-0005-0000-0000-0000F92E0000}"/>
    <cellStyle name="Normal 2 2 2 2 2 2 8 3 3" xfId="12035" xr:uid="{00000000-0005-0000-0000-0000FA2E0000}"/>
    <cellStyle name="Normal 2 2 2 2 2 2 8 3 4" xfId="12036" xr:uid="{00000000-0005-0000-0000-0000FB2E0000}"/>
    <cellStyle name="Normal 2 2 2 2 2 2 8 3 5" xfId="12037" xr:uid="{00000000-0005-0000-0000-0000FC2E0000}"/>
    <cellStyle name="Normal 2 2 2 2 2 2 8 3 6" xfId="12038" xr:uid="{00000000-0005-0000-0000-0000FD2E0000}"/>
    <cellStyle name="Normal 2 2 2 2 2 2 8 3 7" xfId="12039" xr:uid="{00000000-0005-0000-0000-0000FE2E0000}"/>
    <cellStyle name="Normal 2 2 2 2 2 2 8 3 8" xfId="12040" xr:uid="{00000000-0005-0000-0000-0000FF2E0000}"/>
    <cellStyle name="Normal 2 2 2 2 2 2 8 3 9" xfId="12041" xr:uid="{00000000-0005-0000-0000-0000002F0000}"/>
    <cellStyle name="Normal 2 2 2 2 2 2 8 4" xfId="12042" xr:uid="{00000000-0005-0000-0000-0000012F0000}"/>
    <cellStyle name="Normal 2 2 2 2 2 2 8 4 10" xfId="12043" xr:uid="{00000000-0005-0000-0000-0000022F0000}"/>
    <cellStyle name="Normal 2 2 2 2 2 2 8 4 2" xfId="12044" xr:uid="{00000000-0005-0000-0000-0000032F0000}"/>
    <cellStyle name="Normal 2 2 2 2 2 2 8 4 3" xfId="12045" xr:uid="{00000000-0005-0000-0000-0000042F0000}"/>
    <cellStyle name="Normal 2 2 2 2 2 2 8 4 4" xfId="12046" xr:uid="{00000000-0005-0000-0000-0000052F0000}"/>
    <cellStyle name="Normal 2 2 2 2 2 2 8 4 5" xfId="12047" xr:uid="{00000000-0005-0000-0000-0000062F0000}"/>
    <cellStyle name="Normal 2 2 2 2 2 2 8 4 6" xfId="12048" xr:uid="{00000000-0005-0000-0000-0000072F0000}"/>
    <cellStyle name="Normal 2 2 2 2 2 2 8 4 7" xfId="12049" xr:uid="{00000000-0005-0000-0000-0000082F0000}"/>
    <cellStyle name="Normal 2 2 2 2 2 2 8 4 8" xfId="12050" xr:uid="{00000000-0005-0000-0000-0000092F0000}"/>
    <cellStyle name="Normal 2 2 2 2 2 2 8 4 9" xfId="12051" xr:uid="{00000000-0005-0000-0000-00000A2F0000}"/>
    <cellStyle name="Normal 2 2 2 2 2 2 8 5" xfId="12052" xr:uid="{00000000-0005-0000-0000-00000B2F0000}"/>
    <cellStyle name="Normal 2 2 2 2 2 2 8 5 10" xfId="12053" xr:uid="{00000000-0005-0000-0000-00000C2F0000}"/>
    <cellStyle name="Normal 2 2 2 2 2 2 8 5 2" xfId="12054" xr:uid="{00000000-0005-0000-0000-00000D2F0000}"/>
    <cellStyle name="Normal 2 2 2 2 2 2 8 5 3" xfId="12055" xr:uid="{00000000-0005-0000-0000-00000E2F0000}"/>
    <cellStyle name="Normal 2 2 2 2 2 2 8 5 4" xfId="12056" xr:uid="{00000000-0005-0000-0000-00000F2F0000}"/>
    <cellStyle name="Normal 2 2 2 2 2 2 8 5 5" xfId="12057" xr:uid="{00000000-0005-0000-0000-0000102F0000}"/>
    <cellStyle name="Normal 2 2 2 2 2 2 8 5 6" xfId="12058" xr:uid="{00000000-0005-0000-0000-0000112F0000}"/>
    <cellStyle name="Normal 2 2 2 2 2 2 8 5 7" xfId="12059" xr:uid="{00000000-0005-0000-0000-0000122F0000}"/>
    <cellStyle name="Normal 2 2 2 2 2 2 8 5 8" xfId="12060" xr:uid="{00000000-0005-0000-0000-0000132F0000}"/>
    <cellStyle name="Normal 2 2 2 2 2 2 8 5 9" xfId="12061" xr:uid="{00000000-0005-0000-0000-0000142F0000}"/>
    <cellStyle name="Normal 2 2 2 2 2 2 8 6" xfId="12062" xr:uid="{00000000-0005-0000-0000-0000152F0000}"/>
    <cellStyle name="Normal 2 2 2 2 2 2 8 7" xfId="12063" xr:uid="{00000000-0005-0000-0000-0000162F0000}"/>
    <cellStyle name="Normal 2 2 2 2 2 2 8 8" xfId="12064" xr:uid="{00000000-0005-0000-0000-0000172F0000}"/>
    <cellStyle name="Normal 2 2 2 2 2 2 8 9" xfId="12065" xr:uid="{00000000-0005-0000-0000-0000182F0000}"/>
    <cellStyle name="Normal 2 2 2 2 2 2 9" xfId="12066" xr:uid="{00000000-0005-0000-0000-0000192F0000}"/>
    <cellStyle name="Normal 2 2 2 2 2 2 9 10" xfId="12067" xr:uid="{00000000-0005-0000-0000-00001A2F0000}"/>
    <cellStyle name="Normal 2 2 2 2 2 2 9 11" xfId="12068" xr:uid="{00000000-0005-0000-0000-00001B2F0000}"/>
    <cellStyle name="Normal 2 2 2 2 2 2 9 12" xfId="12069" xr:uid="{00000000-0005-0000-0000-00001C2F0000}"/>
    <cellStyle name="Normal 2 2 2 2 2 2 9 13" xfId="12070" xr:uid="{00000000-0005-0000-0000-00001D2F0000}"/>
    <cellStyle name="Normal 2 2 2 2 2 2 9 14" xfId="12071" xr:uid="{00000000-0005-0000-0000-00001E2F0000}"/>
    <cellStyle name="Normal 2 2 2 2 2 2 9 2" xfId="12072" xr:uid="{00000000-0005-0000-0000-00001F2F0000}"/>
    <cellStyle name="Normal 2 2 2 2 2 2 9 2 10" xfId="12073" xr:uid="{00000000-0005-0000-0000-0000202F0000}"/>
    <cellStyle name="Normal 2 2 2 2 2 2 9 2 2" xfId="12074" xr:uid="{00000000-0005-0000-0000-0000212F0000}"/>
    <cellStyle name="Normal 2 2 2 2 2 2 9 2 3" xfId="12075" xr:uid="{00000000-0005-0000-0000-0000222F0000}"/>
    <cellStyle name="Normal 2 2 2 2 2 2 9 2 4" xfId="12076" xr:uid="{00000000-0005-0000-0000-0000232F0000}"/>
    <cellStyle name="Normal 2 2 2 2 2 2 9 2 5" xfId="12077" xr:uid="{00000000-0005-0000-0000-0000242F0000}"/>
    <cellStyle name="Normal 2 2 2 2 2 2 9 2 6" xfId="12078" xr:uid="{00000000-0005-0000-0000-0000252F0000}"/>
    <cellStyle name="Normal 2 2 2 2 2 2 9 2 7" xfId="12079" xr:uid="{00000000-0005-0000-0000-0000262F0000}"/>
    <cellStyle name="Normal 2 2 2 2 2 2 9 2 8" xfId="12080" xr:uid="{00000000-0005-0000-0000-0000272F0000}"/>
    <cellStyle name="Normal 2 2 2 2 2 2 9 2 9" xfId="12081" xr:uid="{00000000-0005-0000-0000-0000282F0000}"/>
    <cellStyle name="Normal 2 2 2 2 2 2 9 3" xfId="12082" xr:uid="{00000000-0005-0000-0000-0000292F0000}"/>
    <cellStyle name="Normal 2 2 2 2 2 2 9 3 10" xfId="12083" xr:uid="{00000000-0005-0000-0000-00002A2F0000}"/>
    <cellStyle name="Normal 2 2 2 2 2 2 9 3 2" xfId="12084" xr:uid="{00000000-0005-0000-0000-00002B2F0000}"/>
    <cellStyle name="Normal 2 2 2 2 2 2 9 3 3" xfId="12085" xr:uid="{00000000-0005-0000-0000-00002C2F0000}"/>
    <cellStyle name="Normal 2 2 2 2 2 2 9 3 4" xfId="12086" xr:uid="{00000000-0005-0000-0000-00002D2F0000}"/>
    <cellStyle name="Normal 2 2 2 2 2 2 9 3 5" xfId="12087" xr:uid="{00000000-0005-0000-0000-00002E2F0000}"/>
    <cellStyle name="Normal 2 2 2 2 2 2 9 3 6" xfId="12088" xr:uid="{00000000-0005-0000-0000-00002F2F0000}"/>
    <cellStyle name="Normal 2 2 2 2 2 2 9 3 7" xfId="12089" xr:uid="{00000000-0005-0000-0000-0000302F0000}"/>
    <cellStyle name="Normal 2 2 2 2 2 2 9 3 8" xfId="12090" xr:uid="{00000000-0005-0000-0000-0000312F0000}"/>
    <cellStyle name="Normal 2 2 2 2 2 2 9 3 9" xfId="12091" xr:uid="{00000000-0005-0000-0000-0000322F0000}"/>
    <cellStyle name="Normal 2 2 2 2 2 2 9 4" xfId="12092" xr:uid="{00000000-0005-0000-0000-0000332F0000}"/>
    <cellStyle name="Normal 2 2 2 2 2 2 9 4 10" xfId="12093" xr:uid="{00000000-0005-0000-0000-0000342F0000}"/>
    <cellStyle name="Normal 2 2 2 2 2 2 9 4 2" xfId="12094" xr:uid="{00000000-0005-0000-0000-0000352F0000}"/>
    <cellStyle name="Normal 2 2 2 2 2 2 9 4 3" xfId="12095" xr:uid="{00000000-0005-0000-0000-0000362F0000}"/>
    <cellStyle name="Normal 2 2 2 2 2 2 9 4 4" xfId="12096" xr:uid="{00000000-0005-0000-0000-0000372F0000}"/>
    <cellStyle name="Normal 2 2 2 2 2 2 9 4 5" xfId="12097" xr:uid="{00000000-0005-0000-0000-0000382F0000}"/>
    <cellStyle name="Normal 2 2 2 2 2 2 9 4 6" xfId="12098" xr:uid="{00000000-0005-0000-0000-0000392F0000}"/>
    <cellStyle name="Normal 2 2 2 2 2 2 9 4 7" xfId="12099" xr:uid="{00000000-0005-0000-0000-00003A2F0000}"/>
    <cellStyle name="Normal 2 2 2 2 2 2 9 4 8" xfId="12100" xr:uid="{00000000-0005-0000-0000-00003B2F0000}"/>
    <cellStyle name="Normal 2 2 2 2 2 2 9 4 9" xfId="12101" xr:uid="{00000000-0005-0000-0000-00003C2F0000}"/>
    <cellStyle name="Normal 2 2 2 2 2 2 9 5" xfId="12102" xr:uid="{00000000-0005-0000-0000-00003D2F0000}"/>
    <cellStyle name="Normal 2 2 2 2 2 2 9 5 10" xfId="12103" xr:uid="{00000000-0005-0000-0000-00003E2F0000}"/>
    <cellStyle name="Normal 2 2 2 2 2 2 9 5 2" xfId="12104" xr:uid="{00000000-0005-0000-0000-00003F2F0000}"/>
    <cellStyle name="Normal 2 2 2 2 2 2 9 5 3" xfId="12105" xr:uid="{00000000-0005-0000-0000-0000402F0000}"/>
    <cellStyle name="Normal 2 2 2 2 2 2 9 5 4" xfId="12106" xr:uid="{00000000-0005-0000-0000-0000412F0000}"/>
    <cellStyle name="Normal 2 2 2 2 2 2 9 5 5" xfId="12107" xr:uid="{00000000-0005-0000-0000-0000422F0000}"/>
    <cellStyle name="Normal 2 2 2 2 2 2 9 5 6" xfId="12108" xr:uid="{00000000-0005-0000-0000-0000432F0000}"/>
    <cellStyle name="Normal 2 2 2 2 2 2 9 5 7" xfId="12109" xr:uid="{00000000-0005-0000-0000-0000442F0000}"/>
    <cellStyle name="Normal 2 2 2 2 2 2 9 5 8" xfId="12110" xr:uid="{00000000-0005-0000-0000-0000452F0000}"/>
    <cellStyle name="Normal 2 2 2 2 2 2 9 5 9" xfId="12111" xr:uid="{00000000-0005-0000-0000-0000462F0000}"/>
    <cellStyle name="Normal 2 2 2 2 2 2 9 6" xfId="12112" xr:uid="{00000000-0005-0000-0000-0000472F0000}"/>
    <cellStyle name="Normal 2 2 2 2 2 2 9 7" xfId="12113" xr:uid="{00000000-0005-0000-0000-0000482F0000}"/>
    <cellStyle name="Normal 2 2 2 2 2 2 9 8" xfId="12114" xr:uid="{00000000-0005-0000-0000-0000492F0000}"/>
    <cellStyle name="Normal 2 2 2 2 2 2 9 9" xfId="12115" xr:uid="{00000000-0005-0000-0000-00004A2F0000}"/>
    <cellStyle name="Normal 2 2 2 2 2 20" xfId="12116" xr:uid="{00000000-0005-0000-0000-00004B2F0000}"/>
    <cellStyle name="Normal 2 2 2 2 2 20 10" xfId="12117" xr:uid="{00000000-0005-0000-0000-00004C2F0000}"/>
    <cellStyle name="Normal 2 2 2 2 2 20 11" xfId="12118" xr:uid="{00000000-0005-0000-0000-00004D2F0000}"/>
    <cellStyle name="Normal 2 2 2 2 2 20 12" xfId="12119" xr:uid="{00000000-0005-0000-0000-00004E2F0000}"/>
    <cellStyle name="Normal 2 2 2 2 2 20 13" xfId="12120" xr:uid="{00000000-0005-0000-0000-00004F2F0000}"/>
    <cellStyle name="Normal 2 2 2 2 2 20 14" xfId="12121" xr:uid="{00000000-0005-0000-0000-0000502F0000}"/>
    <cellStyle name="Normal 2 2 2 2 2 20 2" xfId="12122" xr:uid="{00000000-0005-0000-0000-0000512F0000}"/>
    <cellStyle name="Normal 2 2 2 2 2 20 2 10" xfId="12123" xr:uid="{00000000-0005-0000-0000-0000522F0000}"/>
    <cellStyle name="Normal 2 2 2 2 2 20 2 2" xfId="12124" xr:uid="{00000000-0005-0000-0000-0000532F0000}"/>
    <cellStyle name="Normal 2 2 2 2 2 20 2 3" xfId="12125" xr:uid="{00000000-0005-0000-0000-0000542F0000}"/>
    <cellStyle name="Normal 2 2 2 2 2 20 2 4" xfId="12126" xr:uid="{00000000-0005-0000-0000-0000552F0000}"/>
    <cellStyle name="Normal 2 2 2 2 2 20 2 5" xfId="12127" xr:uid="{00000000-0005-0000-0000-0000562F0000}"/>
    <cellStyle name="Normal 2 2 2 2 2 20 2 6" xfId="12128" xr:uid="{00000000-0005-0000-0000-0000572F0000}"/>
    <cellStyle name="Normal 2 2 2 2 2 20 2 7" xfId="12129" xr:uid="{00000000-0005-0000-0000-0000582F0000}"/>
    <cellStyle name="Normal 2 2 2 2 2 20 2 8" xfId="12130" xr:uid="{00000000-0005-0000-0000-0000592F0000}"/>
    <cellStyle name="Normal 2 2 2 2 2 20 2 9" xfId="12131" xr:uid="{00000000-0005-0000-0000-00005A2F0000}"/>
    <cellStyle name="Normal 2 2 2 2 2 20 3" xfId="12132" xr:uid="{00000000-0005-0000-0000-00005B2F0000}"/>
    <cellStyle name="Normal 2 2 2 2 2 20 3 10" xfId="12133" xr:uid="{00000000-0005-0000-0000-00005C2F0000}"/>
    <cellStyle name="Normal 2 2 2 2 2 20 3 2" xfId="12134" xr:uid="{00000000-0005-0000-0000-00005D2F0000}"/>
    <cellStyle name="Normal 2 2 2 2 2 20 3 3" xfId="12135" xr:uid="{00000000-0005-0000-0000-00005E2F0000}"/>
    <cellStyle name="Normal 2 2 2 2 2 20 3 4" xfId="12136" xr:uid="{00000000-0005-0000-0000-00005F2F0000}"/>
    <cellStyle name="Normal 2 2 2 2 2 20 3 5" xfId="12137" xr:uid="{00000000-0005-0000-0000-0000602F0000}"/>
    <cellStyle name="Normal 2 2 2 2 2 20 3 6" xfId="12138" xr:uid="{00000000-0005-0000-0000-0000612F0000}"/>
    <cellStyle name="Normal 2 2 2 2 2 20 3 7" xfId="12139" xr:uid="{00000000-0005-0000-0000-0000622F0000}"/>
    <cellStyle name="Normal 2 2 2 2 2 20 3 8" xfId="12140" xr:uid="{00000000-0005-0000-0000-0000632F0000}"/>
    <cellStyle name="Normal 2 2 2 2 2 20 3 9" xfId="12141" xr:uid="{00000000-0005-0000-0000-0000642F0000}"/>
    <cellStyle name="Normal 2 2 2 2 2 20 4" xfId="12142" xr:uid="{00000000-0005-0000-0000-0000652F0000}"/>
    <cellStyle name="Normal 2 2 2 2 2 20 4 10" xfId="12143" xr:uid="{00000000-0005-0000-0000-0000662F0000}"/>
    <cellStyle name="Normal 2 2 2 2 2 20 4 2" xfId="12144" xr:uid="{00000000-0005-0000-0000-0000672F0000}"/>
    <cellStyle name="Normal 2 2 2 2 2 20 4 3" xfId="12145" xr:uid="{00000000-0005-0000-0000-0000682F0000}"/>
    <cellStyle name="Normal 2 2 2 2 2 20 4 4" xfId="12146" xr:uid="{00000000-0005-0000-0000-0000692F0000}"/>
    <cellStyle name="Normal 2 2 2 2 2 20 4 5" xfId="12147" xr:uid="{00000000-0005-0000-0000-00006A2F0000}"/>
    <cellStyle name="Normal 2 2 2 2 2 20 4 6" xfId="12148" xr:uid="{00000000-0005-0000-0000-00006B2F0000}"/>
    <cellStyle name="Normal 2 2 2 2 2 20 4 7" xfId="12149" xr:uid="{00000000-0005-0000-0000-00006C2F0000}"/>
    <cellStyle name="Normal 2 2 2 2 2 20 4 8" xfId="12150" xr:uid="{00000000-0005-0000-0000-00006D2F0000}"/>
    <cellStyle name="Normal 2 2 2 2 2 20 4 9" xfId="12151" xr:uid="{00000000-0005-0000-0000-00006E2F0000}"/>
    <cellStyle name="Normal 2 2 2 2 2 20 5" xfId="12152" xr:uid="{00000000-0005-0000-0000-00006F2F0000}"/>
    <cellStyle name="Normal 2 2 2 2 2 20 5 10" xfId="12153" xr:uid="{00000000-0005-0000-0000-0000702F0000}"/>
    <cellStyle name="Normal 2 2 2 2 2 20 5 2" xfId="12154" xr:uid="{00000000-0005-0000-0000-0000712F0000}"/>
    <cellStyle name="Normal 2 2 2 2 2 20 5 3" xfId="12155" xr:uid="{00000000-0005-0000-0000-0000722F0000}"/>
    <cellStyle name="Normal 2 2 2 2 2 20 5 4" xfId="12156" xr:uid="{00000000-0005-0000-0000-0000732F0000}"/>
    <cellStyle name="Normal 2 2 2 2 2 20 5 5" xfId="12157" xr:uid="{00000000-0005-0000-0000-0000742F0000}"/>
    <cellStyle name="Normal 2 2 2 2 2 20 5 6" xfId="12158" xr:uid="{00000000-0005-0000-0000-0000752F0000}"/>
    <cellStyle name="Normal 2 2 2 2 2 20 5 7" xfId="12159" xr:uid="{00000000-0005-0000-0000-0000762F0000}"/>
    <cellStyle name="Normal 2 2 2 2 2 20 5 8" xfId="12160" xr:uid="{00000000-0005-0000-0000-0000772F0000}"/>
    <cellStyle name="Normal 2 2 2 2 2 20 5 9" xfId="12161" xr:uid="{00000000-0005-0000-0000-0000782F0000}"/>
    <cellStyle name="Normal 2 2 2 2 2 20 6" xfId="12162" xr:uid="{00000000-0005-0000-0000-0000792F0000}"/>
    <cellStyle name="Normal 2 2 2 2 2 20 7" xfId="12163" xr:uid="{00000000-0005-0000-0000-00007A2F0000}"/>
    <cellStyle name="Normal 2 2 2 2 2 20 8" xfId="12164" xr:uid="{00000000-0005-0000-0000-00007B2F0000}"/>
    <cellStyle name="Normal 2 2 2 2 2 20 9" xfId="12165" xr:uid="{00000000-0005-0000-0000-00007C2F0000}"/>
    <cellStyle name="Normal 2 2 2 2 2 21" xfId="12166" xr:uid="{00000000-0005-0000-0000-00007D2F0000}"/>
    <cellStyle name="Normal 2 2 2 2 2 21 10" xfId="12167" xr:uid="{00000000-0005-0000-0000-00007E2F0000}"/>
    <cellStyle name="Normal 2 2 2 2 2 21 11" xfId="12168" xr:uid="{00000000-0005-0000-0000-00007F2F0000}"/>
    <cellStyle name="Normal 2 2 2 2 2 21 12" xfId="12169" xr:uid="{00000000-0005-0000-0000-0000802F0000}"/>
    <cellStyle name="Normal 2 2 2 2 2 21 13" xfId="12170" xr:uid="{00000000-0005-0000-0000-0000812F0000}"/>
    <cellStyle name="Normal 2 2 2 2 2 21 14" xfId="12171" xr:uid="{00000000-0005-0000-0000-0000822F0000}"/>
    <cellStyle name="Normal 2 2 2 2 2 21 2" xfId="12172" xr:uid="{00000000-0005-0000-0000-0000832F0000}"/>
    <cellStyle name="Normal 2 2 2 2 2 21 2 10" xfId="12173" xr:uid="{00000000-0005-0000-0000-0000842F0000}"/>
    <cellStyle name="Normal 2 2 2 2 2 21 2 2" xfId="12174" xr:uid="{00000000-0005-0000-0000-0000852F0000}"/>
    <cellStyle name="Normal 2 2 2 2 2 21 2 3" xfId="12175" xr:uid="{00000000-0005-0000-0000-0000862F0000}"/>
    <cellStyle name="Normal 2 2 2 2 2 21 2 4" xfId="12176" xr:uid="{00000000-0005-0000-0000-0000872F0000}"/>
    <cellStyle name="Normal 2 2 2 2 2 21 2 5" xfId="12177" xr:uid="{00000000-0005-0000-0000-0000882F0000}"/>
    <cellStyle name="Normal 2 2 2 2 2 21 2 6" xfId="12178" xr:uid="{00000000-0005-0000-0000-0000892F0000}"/>
    <cellStyle name="Normal 2 2 2 2 2 21 2 7" xfId="12179" xr:uid="{00000000-0005-0000-0000-00008A2F0000}"/>
    <cellStyle name="Normal 2 2 2 2 2 21 2 8" xfId="12180" xr:uid="{00000000-0005-0000-0000-00008B2F0000}"/>
    <cellStyle name="Normal 2 2 2 2 2 21 2 9" xfId="12181" xr:uid="{00000000-0005-0000-0000-00008C2F0000}"/>
    <cellStyle name="Normal 2 2 2 2 2 21 3" xfId="12182" xr:uid="{00000000-0005-0000-0000-00008D2F0000}"/>
    <cellStyle name="Normal 2 2 2 2 2 21 3 10" xfId="12183" xr:uid="{00000000-0005-0000-0000-00008E2F0000}"/>
    <cellStyle name="Normal 2 2 2 2 2 21 3 2" xfId="12184" xr:uid="{00000000-0005-0000-0000-00008F2F0000}"/>
    <cellStyle name="Normal 2 2 2 2 2 21 3 3" xfId="12185" xr:uid="{00000000-0005-0000-0000-0000902F0000}"/>
    <cellStyle name="Normal 2 2 2 2 2 21 3 4" xfId="12186" xr:uid="{00000000-0005-0000-0000-0000912F0000}"/>
    <cellStyle name="Normal 2 2 2 2 2 21 3 5" xfId="12187" xr:uid="{00000000-0005-0000-0000-0000922F0000}"/>
    <cellStyle name="Normal 2 2 2 2 2 21 3 6" xfId="12188" xr:uid="{00000000-0005-0000-0000-0000932F0000}"/>
    <cellStyle name="Normal 2 2 2 2 2 21 3 7" xfId="12189" xr:uid="{00000000-0005-0000-0000-0000942F0000}"/>
    <cellStyle name="Normal 2 2 2 2 2 21 3 8" xfId="12190" xr:uid="{00000000-0005-0000-0000-0000952F0000}"/>
    <cellStyle name="Normal 2 2 2 2 2 21 3 9" xfId="12191" xr:uid="{00000000-0005-0000-0000-0000962F0000}"/>
    <cellStyle name="Normal 2 2 2 2 2 21 4" xfId="12192" xr:uid="{00000000-0005-0000-0000-0000972F0000}"/>
    <cellStyle name="Normal 2 2 2 2 2 21 4 10" xfId="12193" xr:uid="{00000000-0005-0000-0000-0000982F0000}"/>
    <cellStyle name="Normal 2 2 2 2 2 21 4 2" xfId="12194" xr:uid="{00000000-0005-0000-0000-0000992F0000}"/>
    <cellStyle name="Normal 2 2 2 2 2 21 4 3" xfId="12195" xr:uid="{00000000-0005-0000-0000-00009A2F0000}"/>
    <cellStyle name="Normal 2 2 2 2 2 21 4 4" xfId="12196" xr:uid="{00000000-0005-0000-0000-00009B2F0000}"/>
    <cellStyle name="Normal 2 2 2 2 2 21 4 5" xfId="12197" xr:uid="{00000000-0005-0000-0000-00009C2F0000}"/>
    <cellStyle name="Normal 2 2 2 2 2 21 4 6" xfId="12198" xr:uid="{00000000-0005-0000-0000-00009D2F0000}"/>
    <cellStyle name="Normal 2 2 2 2 2 21 4 7" xfId="12199" xr:uid="{00000000-0005-0000-0000-00009E2F0000}"/>
    <cellStyle name="Normal 2 2 2 2 2 21 4 8" xfId="12200" xr:uid="{00000000-0005-0000-0000-00009F2F0000}"/>
    <cellStyle name="Normal 2 2 2 2 2 21 4 9" xfId="12201" xr:uid="{00000000-0005-0000-0000-0000A02F0000}"/>
    <cellStyle name="Normal 2 2 2 2 2 21 5" xfId="12202" xr:uid="{00000000-0005-0000-0000-0000A12F0000}"/>
    <cellStyle name="Normal 2 2 2 2 2 21 5 10" xfId="12203" xr:uid="{00000000-0005-0000-0000-0000A22F0000}"/>
    <cellStyle name="Normal 2 2 2 2 2 21 5 2" xfId="12204" xr:uid="{00000000-0005-0000-0000-0000A32F0000}"/>
    <cellStyle name="Normal 2 2 2 2 2 21 5 3" xfId="12205" xr:uid="{00000000-0005-0000-0000-0000A42F0000}"/>
    <cellStyle name="Normal 2 2 2 2 2 21 5 4" xfId="12206" xr:uid="{00000000-0005-0000-0000-0000A52F0000}"/>
    <cellStyle name="Normal 2 2 2 2 2 21 5 5" xfId="12207" xr:uid="{00000000-0005-0000-0000-0000A62F0000}"/>
    <cellStyle name="Normal 2 2 2 2 2 21 5 6" xfId="12208" xr:uid="{00000000-0005-0000-0000-0000A72F0000}"/>
    <cellStyle name="Normal 2 2 2 2 2 21 5 7" xfId="12209" xr:uid="{00000000-0005-0000-0000-0000A82F0000}"/>
    <cellStyle name="Normal 2 2 2 2 2 21 5 8" xfId="12210" xr:uid="{00000000-0005-0000-0000-0000A92F0000}"/>
    <cellStyle name="Normal 2 2 2 2 2 21 5 9" xfId="12211" xr:uid="{00000000-0005-0000-0000-0000AA2F0000}"/>
    <cellStyle name="Normal 2 2 2 2 2 21 6" xfId="12212" xr:uid="{00000000-0005-0000-0000-0000AB2F0000}"/>
    <cellStyle name="Normal 2 2 2 2 2 21 7" xfId="12213" xr:uid="{00000000-0005-0000-0000-0000AC2F0000}"/>
    <cellStyle name="Normal 2 2 2 2 2 21 8" xfId="12214" xr:uid="{00000000-0005-0000-0000-0000AD2F0000}"/>
    <cellStyle name="Normal 2 2 2 2 2 21 9" xfId="12215" xr:uid="{00000000-0005-0000-0000-0000AE2F0000}"/>
    <cellStyle name="Normal 2 2 2 2 2 22" xfId="12216" xr:uid="{00000000-0005-0000-0000-0000AF2F0000}"/>
    <cellStyle name="Normal 2 2 2 2 2 22 10" xfId="12217" xr:uid="{00000000-0005-0000-0000-0000B02F0000}"/>
    <cellStyle name="Normal 2 2 2 2 2 22 11" xfId="12218" xr:uid="{00000000-0005-0000-0000-0000B12F0000}"/>
    <cellStyle name="Normal 2 2 2 2 2 22 12" xfId="12219" xr:uid="{00000000-0005-0000-0000-0000B22F0000}"/>
    <cellStyle name="Normal 2 2 2 2 2 22 13" xfId="12220" xr:uid="{00000000-0005-0000-0000-0000B32F0000}"/>
    <cellStyle name="Normal 2 2 2 2 2 22 14" xfId="12221" xr:uid="{00000000-0005-0000-0000-0000B42F0000}"/>
    <cellStyle name="Normal 2 2 2 2 2 22 2" xfId="12222" xr:uid="{00000000-0005-0000-0000-0000B52F0000}"/>
    <cellStyle name="Normal 2 2 2 2 2 22 2 10" xfId="12223" xr:uid="{00000000-0005-0000-0000-0000B62F0000}"/>
    <cellStyle name="Normal 2 2 2 2 2 22 2 2" xfId="12224" xr:uid="{00000000-0005-0000-0000-0000B72F0000}"/>
    <cellStyle name="Normal 2 2 2 2 2 22 2 3" xfId="12225" xr:uid="{00000000-0005-0000-0000-0000B82F0000}"/>
    <cellStyle name="Normal 2 2 2 2 2 22 2 4" xfId="12226" xr:uid="{00000000-0005-0000-0000-0000B92F0000}"/>
    <cellStyle name="Normal 2 2 2 2 2 22 2 5" xfId="12227" xr:uid="{00000000-0005-0000-0000-0000BA2F0000}"/>
    <cellStyle name="Normal 2 2 2 2 2 22 2 6" xfId="12228" xr:uid="{00000000-0005-0000-0000-0000BB2F0000}"/>
    <cellStyle name="Normal 2 2 2 2 2 22 2 7" xfId="12229" xr:uid="{00000000-0005-0000-0000-0000BC2F0000}"/>
    <cellStyle name="Normal 2 2 2 2 2 22 2 8" xfId="12230" xr:uid="{00000000-0005-0000-0000-0000BD2F0000}"/>
    <cellStyle name="Normal 2 2 2 2 2 22 2 9" xfId="12231" xr:uid="{00000000-0005-0000-0000-0000BE2F0000}"/>
    <cellStyle name="Normal 2 2 2 2 2 22 3" xfId="12232" xr:uid="{00000000-0005-0000-0000-0000BF2F0000}"/>
    <cellStyle name="Normal 2 2 2 2 2 22 3 10" xfId="12233" xr:uid="{00000000-0005-0000-0000-0000C02F0000}"/>
    <cellStyle name="Normal 2 2 2 2 2 22 3 2" xfId="12234" xr:uid="{00000000-0005-0000-0000-0000C12F0000}"/>
    <cellStyle name="Normal 2 2 2 2 2 22 3 3" xfId="12235" xr:uid="{00000000-0005-0000-0000-0000C22F0000}"/>
    <cellStyle name="Normal 2 2 2 2 2 22 3 4" xfId="12236" xr:uid="{00000000-0005-0000-0000-0000C32F0000}"/>
    <cellStyle name="Normal 2 2 2 2 2 22 3 5" xfId="12237" xr:uid="{00000000-0005-0000-0000-0000C42F0000}"/>
    <cellStyle name="Normal 2 2 2 2 2 22 3 6" xfId="12238" xr:uid="{00000000-0005-0000-0000-0000C52F0000}"/>
    <cellStyle name="Normal 2 2 2 2 2 22 3 7" xfId="12239" xr:uid="{00000000-0005-0000-0000-0000C62F0000}"/>
    <cellStyle name="Normal 2 2 2 2 2 22 3 8" xfId="12240" xr:uid="{00000000-0005-0000-0000-0000C72F0000}"/>
    <cellStyle name="Normal 2 2 2 2 2 22 3 9" xfId="12241" xr:uid="{00000000-0005-0000-0000-0000C82F0000}"/>
    <cellStyle name="Normal 2 2 2 2 2 22 4" xfId="12242" xr:uid="{00000000-0005-0000-0000-0000C92F0000}"/>
    <cellStyle name="Normal 2 2 2 2 2 22 4 10" xfId="12243" xr:uid="{00000000-0005-0000-0000-0000CA2F0000}"/>
    <cellStyle name="Normal 2 2 2 2 2 22 4 2" xfId="12244" xr:uid="{00000000-0005-0000-0000-0000CB2F0000}"/>
    <cellStyle name="Normal 2 2 2 2 2 22 4 3" xfId="12245" xr:uid="{00000000-0005-0000-0000-0000CC2F0000}"/>
    <cellStyle name="Normal 2 2 2 2 2 22 4 4" xfId="12246" xr:uid="{00000000-0005-0000-0000-0000CD2F0000}"/>
    <cellStyle name="Normal 2 2 2 2 2 22 4 5" xfId="12247" xr:uid="{00000000-0005-0000-0000-0000CE2F0000}"/>
    <cellStyle name="Normal 2 2 2 2 2 22 4 6" xfId="12248" xr:uid="{00000000-0005-0000-0000-0000CF2F0000}"/>
    <cellStyle name="Normal 2 2 2 2 2 22 4 7" xfId="12249" xr:uid="{00000000-0005-0000-0000-0000D02F0000}"/>
    <cellStyle name="Normal 2 2 2 2 2 22 4 8" xfId="12250" xr:uid="{00000000-0005-0000-0000-0000D12F0000}"/>
    <cellStyle name="Normal 2 2 2 2 2 22 4 9" xfId="12251" xr:uid="{00000000-0005-0000-0000-0000D22F0000}"/>
    <cellStyle name="Normal 2 2 2 2 2 22 5" xfId="12252" xr:uid="{00000000-0005-0000-0000-0000D32F0000}"/>
    <cellStyle name="Normal 2 2 2 2 2 22 5 10" xfId="12253" xr:uid="{00000000-0005-0000-0000-0000D42F0000}"/>
    <cellStyle name="Normal 2 2 2 2 2 22 5 2" xfId="12254" xr:uid="{00000000-0005-0000-0000-0000D52F0000}"/>
    <cellStyle name="Normal 2 2 2 2 2 22 5 3" xfId="12255" xr:uid="{00000000-0005-0000-0000-0000D62F0000}"/>
    <cellStyle name="Normal 2 2 2 2 2 22 5 4" xfId="12256" xr:uid="{00000000-0005-0000-0000-0000D72F0000}"/>
    <cellStyle name="Normal 2 2 2 2 2 22 5 5" xfId="12257" xr:uid="{00000000-0005-0000-0000-0000D82F0000}"/>
    <cellStyle name="Normal 2 2 2 2 2 22 5 6" xfId="12258" xr:uid="{00000000-0005-0000-0000-0000D92F0000}"/>
    <cellStyle name="Normal 2 2 2 2 2 22 5 7" xfId="12259" xr:uid="{00000000-0005-0000-0000-0000DA2F0000}"/>
    <cellStyle name="Normal 2 2 2 2 2 22 5 8" xfId="12260" xr:uid="{00000000-0005-0000-0000-0000DB2F0000}"/>
    <cellStyle name="Normal 2 2 2 2 2 22 5 9" xfId="12261" xr:uid="{00000000-0005-0000-0000-0000DC2F0000}"/>
    <cellStyle name="Normal 2 2 2 2 2 22 6" xfId="12262" xr:uid="{00000000-0005-0000-0000-0000DD2F0000}"/>
    <cellStyle name="Normal 2 2 2 2 2 22 7" xfId="12263" xr:uid="{00000000-0005-0000-0000-0000DE2F0000}"/>
    <cellStyle name="Normal 2 2 2 2 2 22 8" xfId="12264" xr:uid="{00000000-0005-0000-0000-0000DF2F0000}"/>
    <cellStyle name="Normal 2 2 2 2 2 22 9" xfId="12265" xr:uid="{00000000-0005-0000-0000-0000E02F0000}"/>
    <cellStyle name="Normal 2 2 2 2 2 23" xfId="12266" xr:uid="{00000000-0005-0000-0000-0000E12F0000}"/>
    <cellStyle name="Normal 2 2 2 2 2 23 10" xfId="12267" xr:uid="{00000000-0005-0000-0000-0000E22F0000}"/>
    <cellStyle name="Normal 2 2 2 2 2 23 11" xfId="12268" xr:uid="{00000000-0005-0000-0000-0000E32F0000}"/>
    <cellStyle name="Normal 2 2 2 2 2 23 12" xfId="12269" xr:uid="{00000000-0005-0000-0000-0000E42F0000}"/>
    <cellStyle name="Normal 2 2 2 2 2 23 13" xfId="12270" xr:uid="{00000000-0005-0000-0000-0000E52F0000}"/>
    <cellStyle name="Normal 2 2 2 2 2 23 14" xfId="12271" xr:uid="{00000000-0005-0000-0000-0000E62F0000}"/>
    <cellStyle name="Normal 2 2 2 2 2 23 2" xfId="12272" xr:uid="{00000000-0005-0000-0000-0000E72F0000}"/>
    <cellStyle name="Normal 2 2 2 2 2 23 2 10" xfId="12273" xr:uid="{00000000-0005-0000-0000-0000E82F0000}"/>
    <cellStyle name="Normal 2 2 2 2 2 23 2 2" xfId="12274" xr:uid="{00000000-0005-0000-0000-0000E92F0000}"/>
    <cellStyle name="Normal 2 2 2 2 2 23 2 3" xfId="12275" xr:uid="{00000000-0005-0000-0000-0000EA2F0000}"/>
    <cellStyle name="Normal 2 2 2 2 2 23 2 4" xfId="12276" xr:uid="{00000000-0005-0000-0000-0000EB2F0000}"/>
    <cellStyle name="Normal 2 2 2 2 2 23 2 5" xfId="12277" xr:uid="{00000000-0005-0000-0000-0000EC2F0000}"/>
    <cellStyle name="Normal 2 2 2 2 2 23 2 6" xfId="12278" xr:uid="{00000000-0005-0000-0000-0000ED2F0000}"/>
    <cellStyle name="Normal 2 2 2 2 2 23 2 7" xfId="12279" xr:uid="{00000000-0005-0000-0000-0000EE2F0000}"/>
    <cellStyle name="Normal 2 2 2 2 2 23 2 8" xfId="12280" xr:uid="{00000000-0005-0000-0000-0000EF2F0000}"/>
    <cellStyle name="Normal 2 2 2 2 2 23 2 9" xfId="12281" xr:uid="{00000000-0005-0000-0000-0000F02F0000}"/>
    <cellStyle name="Normal 2 2 2 2 2 23 3" xfId="12282" xr:uid="{00000000-0005-0000-0000-0000F12F0000}"/>
    <cellStyle name="Normal 2 2 2 2 2 23 3 10" xfId="12283" xr:uid="{00000000-0005-0000-0000-0000F22F0000}"/>
    <cellStyle name="Normal 2 2 2 2 2 23 3 2" xfId="12284" xr:uid="{00000000-0005-0000-0000-0000F32F0000}"/>
    <cellStyle name="Normal 2 2 2 2 2 23 3 3" xfId="12285" xr:uid="{00000000-0005-0000-0000-0000F42F0000}"/>
    <cellStyle name="Normal 2 2 2 2 2 23 3 4" xfId="12286" xr:uid="{00000000-0005-0000-0000-0000F52F0000}"/>
    <cellStyle name="Normal 2 2 2 2 2 23 3 5" xfId="12287" xr:uid="{00000000-0005-0000-0000-0000F62F0000}"/>
    <cellStyle name="Normal 2 2 2 2 2 23 3 6" xfId="12288" xr:uid="{00000000-0005-0000-0000-0000F72F0000}"/>
    <cellStyle name="Normal 2 2 2 2 2 23 3 7" xfId="12289" xr:uid="{00000000-0005-0000-0000-0000F82F0000}"/>
    <cellStyle name="Normal 2 2 2 2 2 23 3 8" xfId="12290" xr:uid="{00000000-0005-0000-0000-0000F92F0000}"/>
    <cellStyle name="Normal 2 2 2 2 2 23 3 9" xfId="12291" xr:uid="{00000000-0005-0000-0000-0000FA2F0000}"/>
    <cellStyle name="Normal 2 2 2 2 2 23 4" xfId="12292" xr:uid="{00000000-0005-0000-0000-0000FB2F0000}"/>
    <cellStyle name="Normal 2 2 2 2 2 23 4 10" xfId="12293" xr:uid="{00000000-0005-0000-0000-0000FC2F0000}"/>
    <cellStyle name="Normal 2 2 2 2 2 23 4 2" xfId="12294" xr:uid="{00000000-0005-0000-0000-0000FD2F0000}"/>
    <cellStyle name="Normal 2 2 2 2 2 23 4 3" xfId="12295" xr:uid="{00000000-0005-0000-0000-0000FE2F0000}"/>
    <cellStyle name="Normal 2 2 2 2 2 23 4 4" xfId="12296" xr:uid="{00000000-0005-0000-0000-0000FF2F0000}"/>
    <cellStyle name="Normal 2 2 2 2 2 23 4 5" xfId="12297" xr:uid="{00000000-0005-0000-0000-000000300000}"/>
    <cellStyle name="Normal 2 2 2 2 2 23 4 6" xfId="12298" xr:uid="{00000000-0005-0000-0000-000001300000}"/>
    <cellStyle name="Normal 2 2 2 2 2 23 4 7" xfId="12299" xr:uid="{00000000-0005-0000-0000-000002300000}"/>
    <cellStyle name="Normal 2 2 2 2 2 23 4 8" xfId="12300" xr:uid="{00000000-0005-0000-0000-000003300000}"/>
    <cellStyle name="Normal 2 2 2 2 2 23 4 9" xfId="12301" xr:uid="{00000000-0005-0000-0000-000004300000}"/>
    <cellStyle name="Normal 2 2 2 2 2 23 5" xfId="12302" xr:uid="{00000000-0005-0000-0000-000005300000}"/>
    <cellStyle name="Normal 2 2 2 2 2 23 5 10" xfId="12303" xr:uid="{00000000-0005-0000-0000-000006300000}"/>
    <cellStyle name="Normal 2 2 2 2 2 23 5 2" xfId="12304" xr:uid="{00000000-0005-0000-0000-000007300000}"/>
    <cellStyle name="Normal 2 2 2 2 2 23 5 3" xfId="12305" xr:uid="{00000000-0005-0000-0000-000008300000}"/>
    <cellStyle name="Normal 2 2 2 2 2 23 5 4" xfId="12306" xr:uid="{00000000-0005-0000-0000-000009300000}"/>
    <cellStyle name="Normal 2 2 2 2 2 23 5 5" xfId="12307" xr:uid="{00000000-0005-0000-0000-00000A300000}"/>
    <cellStyle name="Normal 2 2 2 2 2 23 5 6" xfId="12308" xr:uid="{00000000-0005-0000-0000-00000B300000}"/>
    <cellStyle name="Normal 2 2 2 2 2 23 5 7" xfId="12309" xr:uid="{00000000-0005-0000-0000-00000C300000}"/>
    <cellStyle name="Normal 2 2 2 2 2 23 5 8" xfId="12310" xr:uid="{00000000-0005-0000-0000-00000D300000}"/>
    <cellStyle name="Normal 2 2 2 2 2 23 5 9" xfId="12311" xr:uid="{00000000-0005-0000-0000-00000E300000}"/>
    <cellStyle name="Normal 2 2 2 2 2 23 6" xfId="12312" xr:uid="{00000000-0005-0000-0000-00000F300000}"/>
    <cellStyle name="Normal 2 2 2 2 2 23 7" xfId="12313" xr:uid="{00000000-0005-0000-0000-000010300000}"/>
    <cellStyle name="Normal 2 2 2 2 2 23 8" xfId="12314" xr:uid="{00000000-0005-0000-0000-000011300000}"/>
    <cellStyle name="Normal 2 2 2 2 2 23 9" xfId="12315" xr:uid="{00000000-0005-0000-0000-000012300000}"/>
    <cellStyle name="Normal 2 2 2 2 2 24" xfId="12316" xr:uid="{00000000-0005-0000-0000-000013300000}"/>
    <cellStyle name="Normal 2 2 2 2 2 24 10" xfId="12317" xr:uid="{00000000-0005-0000-0000-000014300000}"/>
    <cellStyle name="Normal 2 2 2 2 2 24 11" xfId="12318" xr:uid="{00000000-0005-0000-0000-000015300000}"/>
    <cellStyle name="Normal 2 2 2 2 2 24 12" xfId="12319" xr:uid="{00000000-0005-0000-0000-000016300000}"/>
    <cellStyle name="Normal 2 2 2 2 2 24 13" xfId="12320" xr:uid="{00000000-0005-0000-0000-000017300000}"/>
    <cellStyle name="Normal 2 2 2 2 2 24 14" xfId="12321" xr:uid="{00000000-0005-0000-0000-000018300000}"/>
    <cellStyle name="Normal 2 2 2 2 2 24 2" xfId="12322" xr:uid="{00000000-0005-0000-0000-000019300000}"/>
    <cellStyle name="Normal 2 2 2 2 2 24 2 10" xfId="12323" xr:uid="{00000000-0005-0000-0000-00001A300000}"/>
    <cellStyle name="Normal 2 2 2 2 2 24 2 2" xfId="12324" xr:uid="{00000000-0005-0000-0000-00001B300000}"/>
    <cellStyle name="Normal 2 2 2 2 2 24 2 3" xfId="12325" xr:uid="{00000000-0005-0000-0000-00001C300000}"/>
    <cellStyle name="Normal 2 2 2 2 2 24 2 4" xfId="12326" xr:uid="{00000000-0005-0000-0000-00001D300000}"/>
    <cellStyle name="Normal 2 2 2 2 2 24 2 5" xfId="12327" xr:uid="{00000000-0005-0000-0000-00001E300000}"/>
    <cellStyle name="Normal 2 2 2 2 2 24 2 6" xfId="12328" xr:uid="{00000000-0005-0000-0000-00001F300000}"/>
    <cellStyle name="Normal 2 2 2 2 2 24 2 7" xfId="12329" xr:uid="{00000000-0005-0000-0000-000020300000}"/>
    <cellStyle name="Normal 2 2 2 2 2 24 2 8" xfId="12330" xr:uid="{00000000-0005-0000-0000-000021300000}"/>
    <cellStyle name="Normal 2 2 2 2 2 24 2 9" xfId="12331" xr:uid="{00000000-0005-0000-0000-000022300000}"/>
    <cellStyle name="Normal 2 2 2 2 2 24 3" xfId="12332" xr:uid="{00000000-0005-0000-0000-000023300000}"/>
    <cellStyle name="Normal 2 2 2 2 2 24 3 10" xfId="12333" xr:uid="{00000000-0005-0000-0000-000024300000}"/>
    <cellStyle name="Normal 2 2 2 2 2 24 3 2" xfId="12334" xr:uid="{00000000-0005-0000-0000-000025300000}"/>
    <cellStyle name="Normal 2 2 2 2 2 24 3 3" xfId="12335" xr:uid="{00000000-0005-0000-0000-000026300000}"/>
    <cellStyle name="Normal 2 2 2 2 2 24 3 4" xfId="12336" xr:uid="{00000000-0005-0000-0000-000027300000}"/>
    <cellStyle name="Normal 2 2 2 2 2 24 3 5" xfId="12337" xr:uid="{00000000-0005-0000-0000-000028300000}"/>
    <cellStyle name="Normal 2 2 2 2 2 24 3 6" xfId="12338" xr:uid="{00000000-0005-0000-0000-000029300000}"/>
    <cellStyle name="Normal 2 2 2 2 2 24 3 7" xfId="12339" xr:uid="{00000000-0005-0000-0000-00002A300000}"/>
    <cellStyle name="Normal 2 2 2 2 2 24 3 8" xfId="12340" xr:uid="{00000000-0005-0000-0000-00002B300000}"/>
    <cellStyle name="Normal 2 2 2 2 2 24 3 9" xfId="12341" xr:uid="{00000000-0005-0000-0000-00002C300000}"/>
    <cellStyle name="Normal 2 2 2 2 2 24 4" xfId="12342" xr:uid="{00000000-0005-0000-0000-00002D300000}"/>
    <cellStyle name="Normal 2 2 2 2 2 24 4 10" xfId="12343" xr:uid="{00000000-0005-0000-0000-00002E300000}"/>
    <cellStyle name="Normal 2 2 2 2 2 24 4 2" xfId="12344" xr:uid="{00000000-0005-0000-0000-00002F300000}"/>
    <cellStyle name="Normal 2 2 2 2 2 24 4 3" xfId="12345" xr:uid="{00000000-0005-0000-0000-000030300000}"/>
    <cellStyle name="Normal 2 2 2 2 2 24 4 4" xfId="12346" xr:uid="{00000000-0005-0000-0000-000031300000}"/>
    <cellStyle name="Normal 2 2 2 2 2 24 4 5" xfId="12347" xr:uid="{00000000-0005-0000-0000-000032300000}"/>
    <cellStyle name="Normal 2 2 2 2 2 24 4 6" xfId="12348" xr:uid="{00000000-0005-0000-0000-000033300000}"/>
    <cellStyle name="Normal 2 2 2 2 2 24 4 7" xfId="12349" xr:uid="{00000000-0005-0000-0000-000034300000}"/>
    <cellStyle name="Normal 2 2 2 2 2 24 4 8" xfId="12350" xr:uid="{00000000-0005-0000-0000-000035300000}"/>
    <cellStyle name="Normal 2 2 2 2 2 24 4 9" xfId="12351" xr:uid="{00000000-0005-0000-0000-000036300000}"/>
    <cellStyle name="Normal 2 2 2 2 2 24 5" xfId="12352" xr:uid="{00000000-0005-0000-0000-000037300000}"/>
    <cellStyle name="Normal 2 2 2 2 2 24 5 10" xfId="12353" xr:uid="{00000000-0005-0000-0000-000038300000}"/>
    <cellStyle name="Normal 2 2 2 2 2 24 5 2" xfId="12354" xr:uid="{00000000-0005-0000-0000-000039300000}"/>
    <cellStyle name="Normal 2 2 2 2 2 24 5 3" xfId="12355" xr:uid="{00000000-0005-0000-0000-00003A300000}"/>
    <cellStyle name="Normal 2 2 2 2 2 24 5 4" xfId="12356" xr:uid="{00000000-0005-0000-0000-00003B300000}"/>
    <cellStyle name="Normal 2 2 2 2 2 24 5 5" xfId="12357" xr:uid="{00000000-0005-0000-0000-00003C300000}"/>
    <cellStyle name="Normal 2 2 2 2 2 24 5 6" xfId="12358" xr:uid="{00000000-0005-0000-0000-00003D300000}"/>
    <cellStyle name="Normal 2 2 2 2 2 24 5 7" xfId="12359" xr:uid="{00000000-0005-0000-0000-00003E300000}"/>
    <cellStyle name="Normal 2 2 2 2 2 24 5 8" xfId="12360" xr:uid="{00000000-0005-0000-0000-00003F300000}"/>
    <cellStyle name="Normal 2 2 2 2 2 24 5 9" xfId="12361" xr:uid="{00000000-0005-0000-0000-000040300000}"/>
    <cellStyle name="Normal 2 2 2 2 2 24 6" xfId="12362" xr:uid="{00000000-0005-0000-0000-000041300000}"/>
    <cellStyle name="Normal 2 2 2 2 2 24 7" xfId="12363" xr:uid="{00000000-0005-0000-0000-000042300000}"/>
    <cellStyle name="Normal 2 2 2 2 2 24 8" xfId="12364" xr:uid="{00000000-0005-0000-0000-000043300000}"/>
    <cellStyle name="Normal 2 2 2 2 2 24 9" xfId="12365" xr:uid="{00000000-0005-0000-0000-000044300000}"/>
    <cellStyle name="Normal 2 2 2 2 2 25" xfId="12366" xr:uid="{00000000-0005-0000-0000-000045300000}"/>
    <cellStyle name="Normal 2 2 2 2 2 25 10" xfId="12367" xr:uid="{00000000-0005-0000-0000-000046300000}"/>
    <cellStyle name="Normal 2 2 2 2 2 25 11" xfId="12368" xr:uid="{00000000-0005-0000-0000-000047300000}"/>
    <cellStyle name="Normal 2 2 2 2 2 25 12" xfId="12369" xr:uid="{00000000-0005-0000-0000-000048300000}"/>
    <cellStyle name="Normal 2 2 2 2 2 25 13" xfId="12370" xr:uid="{00000000-0005-0000-0000-000049300000}"/>
    <cellStyle name="Normal 2 2 2 2 2 25 14" xfId="12371" xr:uid="{00000000-0005-0000-0000-00004A300000}"/>
    <cellStyle name="Normal 2 2 2 2 2 25 2" xfId="12372" xr:uid="{00000000-0005-0000-0000-00004B300000}"/>
    <cellStyle name="Normal 2 2 2 2 2 25 2 10" xfId="12373" xr:uid="{00000000-0005-0000-0000-00004C300000}"/>
    <cellStyle name="Normal 2 2 2 2 2 25 2 2" xfId="12374" xr:uid="{00000000-0005-0000-0000-00004D300000}"/>
    <cellStyle name="Normal 2 2 2 2 2 25 2 3" xfId="12375" xr:uid="{00000000-0005-0000-0000-00004E300000}"/>
    <cellStyle name="Normal 2 2 2 2 2 25 2 4" xfId="12376" xr:uid="{00000000-0005-0000-0000-00004F300000}"/>
    <cellStyle name="Normal 2 2 2 2 2 25 2 5" xfId="12377" xr:uid="{00000000-0005-0000-0000-000050300000}"/>
    <cellStyle name="Normal 2 2 2 2 2 25 2 6" xfId="12378" xr:uid="{00000000-0005-0000-0000-000051300000}"/>
    <cellStyle name="Normal 2 2 2 2 2 25 2 7" xfId="12379" xr:uid="{00000000-0005-0000-0000-000052300000}"/>
    <cellStyle name="Normal 2 2 2 2 2 25 2 8" xfId="12380" xr:uid="{00000000-0005-0000-0000-000053300000}"/>
    <cellStyle name="Normal 2 2 2 2 2 25 2 9" xfId="12381" xr:uid="{00000000-0005-0000-0000-000054300000}"/>
    <cellStyle name="Normal 2 2 2 2 2 25 3" xfId="12382" xr:uid="{00000000-0005-0000-0000-000055300000}"/>
    <cellStyle name="Normal 2 2 2 2 2 25 3 10" xfId="12383" xr:uid="{00000000-0005-0000-0000-000056300000}"/>
    <cellStyle name="Normal 2 2 2 2 2 25 3 2" xfId="12384" xr:uid="{00000000-0005-0000-0000-000057300000}"/>
    <cellStyle name="Normal 2 2 2 2 2 25 3 3" xfId="12385" xr:uid="{00000000-0005-0000-0000-000058300000}"/>
    <cellStyle name="Normal 2 2 2 2 2 25 3 4" xfId="12386" xr:uid="{00000000-0005-0000-0000-000059300000}"/>
    <cellStyle name="Normal 2 2 2 2 2 25 3 5" xfId="12387" xr:uid="{00000000-0005-0000-0000-00005A300000}"/>
    <cellStyle name="Normal 2 2 2 2 2 25 3 6" xfId="12388" xr:uid="{00000000-0005-0000-0000-00005B300000}"/>
    <cellStyle name="Normal 2 2 2 2 2 25 3 7" xfId="12389" xr:uid="{00000000-0005-0000-0000-00005C300000}"/>
    <cellStyle name="Normal 2 2 2 2 2 25 3 8" xfId="12390" xr:uid="{00000000-0005-0000-0000-00005D300000}"/>
    <cellStyle name="Normal 2 2 2 2 2 25 3 9" xfId="12391" xr:uid="{00000000-0005-0000-0000-00005E300000}"/>
    <cellStyle name="Normal 2 2 2 2 2 25 4" xfId="12392" xr:uid="{00000000-0005-0000-0000-00005F300000}"/>
    <cellStyle name="Normal 2 2 2 2 2 25 4 10" xfId="12393" xr:uid="{00000000-0005-0000-0000-000060300000}"/>
    <cellStyle name="Normal 2 2 2 2 2 25 4 2" xfId="12394" xr:uid="{00000000-0005-0000-0000-000061300000}"/>
    <cellStyle name="Normal 2 2 2 2 2 25 4 3" xfId="12395" xr:uid="{00000000-0005-0000-0000-000062300000}"/>
    <cellStyle name="Normal 2 2 2 2 2 25 4 4" xfId="12396" xr:uid="{00000000-0005-0000-0000-000063300000}"/>
    <cellStyle name="Normal 2 2 2 2 2 25 4 5" xfId="12397" xr:uid="{00000000-0005-0000-0000-000064300000}"/>
    <cellStyle name="Normal 2 2 2 2 2 25 4 6" xfId="12398" xr:uid="{00000000-0005-0000-0000-000065300000}"/>
    <cellStyle name="Normal 2 2 2 2 2 25 4 7" xfId="12399" xr:uid="{00000000-0005-0000-0000-000066300000}"/>
    <cellStyle name="Normal 2 2 2 2 2 25 4 8" xfId="12400" xr:uid="{00000000-0005-0000-0000-000067300000}"/>
    <cellStyle name="Normal 2 2 2 2 2 25 4 9" xfId="12401" xr:uid="{00000000-0005-0000-0000-000068300000}"/>
    <cellStyle name="Normal 2 2 2 2 2 25 5" xfId="12402" xr:uid="{00000000-0005-0000-0000-000069300000}"/>
    <cellStyle name="Normal 2 2 2 2 2 25 5 10" xfId="12403" xr:uid="{00000000-0005-0000-0000-00006A300000}"/>
    <cellStyle name="Normal 2 2 2 2 2 25 5 2" xfId="12404" xr:uid="{00000000-0005-0000-0000-00006B300000}"/>
    <cellStyle name="Normal 2 2 2 2 2 25 5 3" xfId="12405" xr:uid="{00000000-0005-0000-0000-00006C300000}"/>
    <cellStyle name="Normal 2 2 2 2 2 25 5 4" xfId="12406" xr:uid="{00000000-0005-0000-0000-00006D300000}"/>
    <cellStyle name="Normal 2 2 2 2 2 25 5 5" xfId="12407" xr:uid="{00000000-0005-0000-0000-00006E300000}"/>
    <cellStyle name="Normal 2 2 2 2 2 25 5 6" xfId="12408" xr:uid="{00000000-0005-0000-0000-00006F300000}"/>
    <cellStyle name="Normal 2 2 2 2 2 25 5 7" xfId="12409" xr:uid="{00000000-0005-0000-0000-000070300000}"/>
    <cellStyle name="Normal 2 2 2 2 2 25 5 8" xfId="12410" xr:uid="{00000000-0005-0000-0000-000071300000}"/>
    <cellStyle name="Normal 2 2 2 2 2 25 5 9" xfId="12411" xr:uid="{00000000-0005-0000-0000-000072300000}"/>
    <cellStyle name="Normal 2 2 2 2 2 25 6" xfId="12412" xr:uid="{00000000-0005-0000-0000-000073300000}"/>
    <cellStyle name="Normal 2 2 2 2 2 25 7" xfId="12413" xr:uid="{00000000-0005-0000-0000-000074300000}"/>
    <cellStyle name="Normal 2 2 2 2 2 25 8" xfId="12414" xr:uid="{00000000-0005-0000-0000-000075300000}"/>
    <cellStyle name="Normal 2 2 2 2 2 25 9" xfId="12415" xr:uid="{00000000-0005-0000-0000-000076300000}"/>
    <cellStyle name="Normal 2 2 2 2 2 26" xfId="12416" xr:uid="{00000000-0005-0000-0000-000077300000}"/>
    <cellStyle name="Normal 2 2 2 2 2 26 10" xfId="12417" xr:uid="{00000000-0005-0000-0000-000078300000}"/>
    <cellStyle name="Normal 2 2 2 2 2 26 11" xfId="12418" xr:uid="{00000000-0005-0000-0000-000079300000}"/>
    <cellStyle name="Normal 2 2 2 2 2 26 12" xfId="12419" xr:uid="{00000000-0005-0000-0000-00007A300000}"/>
    <cellStyle name="Normal 2 2 2 2 2 26 13" xfId="12420" xr:uid="{00000000-0005-0000-0000-00007B300000}"/>
    <cellStyle name="Normal 2 2 2 2 2 26 14" xfId="12421" xr:uid="{00000000-0005-0000-0000-00007C300000}"/>
    <cellStyle name="Normal 2 2 2 2 2 26 2" xfId="12422" xr:uid="{00000000-0005-0000-0000-00007D300000}"/>
    <cellStyle name="Normal 2 2 2 2 2 26 2 10" xfId="12423" xr:uid="{00000000-0005-0000-0000-00007E300000}"/>
    <cellStyle name="Normal 2 2 2 2 2 26 2 2" xfId="12424" xr:uid="{00000000-0005-0000-0000-00007F300000}"/>
    <cellStyle name="Normal 2 2 2 2 2 26 2 3" xfId="12425" xr:uid="{00000000-0005-0000-0000-000080300000}"/>
    <cellStyle name="Normal 2 2 2 2 2 26 2 4" xfId="12426" xr:uid="{00000000-0005-0000-0000-000081300000}"/>
    <cellStyle name="Normal 2 2 2 2 2 26 2 5" xfId="12427" xr:uid="{00000000-0005-0000-0000-000082300000}"/>
    <cellStyle name="Normal 2 2 2 2 2 26 2 6" xfId="12428" xr:uid="{00000000-0005-0000-0000-000083300000}"/>
    <cellStyle name="Normal 2 2 2 2 2 26 2 7" xfId="12429" xr:uid="{00000000-0005-0000-0000-000084300000}"/>
    <cellStyle name="Normal 2 2 2 2 2 26 2 8" xfId="12430" xr:uid="{00000000-0005-0000-0000-000085300000}"/>
    <cellStyle name="Normal 2 2 2 2 2 26 2 9" xfId="12431" xr:uid="{00000000-0005-0000-0000-000086300000}"/>
    <cellStyle name="Normal 2 2 2 2 2 26 3" xfId="12432" xr:uid="{00000000-0005-0000-0000-000087300000}"/>
    <cellStyle name="Normal 2 2 2 2 2 26 3 10" xfId="12433" xr:uid="{00000000-0005-0000-0000-000088300000}"/>
    <cellStyle name="Normal 2 2 2 2 2 26 3 2" xfId="12434" xr:uid="{00000000-0005-0000-0000-000089300000}"/>
    <cellStyle name="Normal 2 2 2 2 2 26 3 3" xfId="12435" xr:uid="{00000000-0005-0000-0000-00008A300000}"/>
    <cellStyle name="Normal 2 2 2 2 2 26 3 4" xfId="12436" xr:uid="{00000000-0005-0000-0000-00008B300000}"/>
    <cellStyle name="Normal 2 2 2 2 2 26 3 5" xfId="12437" xr:uid="{00000000-0005-0000-0000-00008C300000}"/>
    <cellStyle name="Normal 2 2 2 2 2 26 3 6" xfId="12438" xr:uid="{00000000-0005-0000-0000-00008D300000}"/>
    <cellStyle name="Normal 2 2 2 2 2 26 3 7" xfId="12439" xr:uid="{00000000-0005-0000-0000-00008E300000}"/>
    <cellStyle name="Normal 2 2 2 2 2 26 3 8" xfId="12440" xr:uid="{00000000-0005-0000-0000-00008F300000}"/>
    <cellStyle name="Normal 2 2 2 2 2 26 3 9" xfId="12441" xr:uid="{00000000-0005-0000-0000-000090300000}"/>
    <cellStyle name="Normal 2 2 2 2 2 26 4" xfId="12442" xr:uid="{00000000-0005-0000-0000-000091300000}"/>
    <cellStyle name="Normal 2 2 2 2 2 26 4 10" xfId="12443" xr:uid="{00000000-0005-0000-0000-000092300000}"/>
    <cellStyle name="Normal 2 2 2 2 2 26 4 2" xfId="12444" xr:uid="{00000000-0005-0000-0000-000093300000}"/>
    <cellStyle name="Normal 2 2 2 2 2 26 4 3" xfId="12445" xr:uid="{00000000-0005-0000-0000-000094300000}"/>
    <cellStyle name="Normal 2 2 2 2 2 26 4 4" xfId="12446" xr:uid="{00000000-0005-0000-0000-000095300000}"/>
    <cellStyle name="Normal 2 2 2 2 2 26 4 5" xfId="12447" xr:uid="{00000000-0005-0000-0000-000096300000}"/>
    <cellStyle name="Normal 2 2 2 2 2 26 4 6" xfId="12448" xr:uid="{00000000-0005-0000-0000-000097300000}"/>
    <cellStyle name="Normal 2 2 2 2 2 26 4 7" xfId="12449" xr:uid="{00000000-0005-0000-0000-000098300000}"/>
    <cellStyle name="Normal 2 2 2 2 2 26 4 8" xfId="12450" xr:uid="{00000000-0005-0000-0000-000099300000}"/>
    <cellStyle name="Normal 2 2 2 2 2 26 4 9" xfId="12451" xr:uid="{00000000-0005-0000-0000-00009A300000}"/>
    <cellStyle name="Normal 2 2 2 2 2 26 5" xfId="12452" xr:uid="{00000000-0005-0000-0000-00009B300000}"/>
    <cellStyle name="Normal 2 2 2 2 2 26 5 10" xfId="12453" xr:uid="{00000000-0005-0000-0000-00009C300000}"/>
    <cellStyle name="Normal 2 2 2 2 2 26 5 2" xfId="12454" xr:uid="{00000000-0005-0000-0000-00009D300000}"/>
    <cellStyle name="Normal 2 2 2 2 2 26 5 3" xfId="12455" xr:uid="{00000000-0005-0000-0000-00009E300000}"/>
    <cellStyle name="Normal 2 2 2 2 2 26 5 4" xfId="12456" xr:uid="{00000000-0005-0000-0000-00009F300000}"/>
    <cellStyle name="Normal 2 2 2 2 2 26 5 5" xfId="12457" xr:uid="{00000000-0005-0000-0000-0000A0300000}"/>
    <cellStyle name="Normal 2 2 2 2 2 26 5 6" xfId="12458" xr:uid="{00000000-0005-0000-0000-0000A1300000}"/>
    <cellStyle name="Normal 2 2 2 2 2 26 5 7" xfId="12459" xr:uid="{00000000-0005-0000-0000-0000A2300000}"/>
    <cellStyle name="Normal 2 2 2 2 2 26 5 8" xfId="12460" xr:uid="{00000000-0005-0000-0000-0000A3300000}"/>
    <cellStyle name="Normal 2 2 2 2 2 26 5 9" xfId="12461" xr:uid="{00000000-0005-0000-0000-0000A4300000}"/>
    <cellStyle name="Normal 2 2 2 2 2 26 6" xfId="12462" xr:uid="{00000000-0005-0000-0000-0000A5300000}"/>
    <cellStyle name="Normal 2 2 2 2 2 26 7" xfId="12463" xr:uid="{00000000-0005-0000-0000-0000A6300000}"/>
    <cellStyle name="Normal 2 2 2 2 2 26 8" xfId="12464" xr:uid="{00000000-0005-0000-0000-0000A7300000}"/>
    <cellStyle name="Normal 2 2 2 2 2 26 9" xfId="12465" xr:uid="{00000000-0005-0000-0000-0000A8300000}"/>
    <cellStyle name="Normal 2 2 2 2 2 27" xfId="12466" xr:uid="{00000000-0005-0000-0000-0000A9300000}"/>
    <cellStyle name="Normal 2 2 2 2 2 27 10" xfId="12467" xr:uid="{00000000-0005-0000-0000-0000AA300000}"/>
    <cellStyle name="Normal 2 2 2 2 2 27 11" xfId="12468" xr:uid="{00000000-0005-0000-0000-0000AB300000}"/>
    <cellStyle name="Normal 2 2 2 2 2 27 12" xfId="12469" xr:uid="{00000000-0005-0000-0000-0000AC300000}"/>
    <cellStyle name="Normal 2 2 2 2 2 27 13" xfId="12470" xr:uid="{00000000-0005-0000-0000-0000AD300000}"/>
    <cellStyle name="Normal 2 2 2 2 2 27 14" xfId="12471" xr:uid="{00000000-0005-0000-0000-0000AE300000}"/>
    <cellStyle name="Normal 2 2 2 2 2 27 2" xfId="12472" xr:uid="{00000000-0005-0000-0000-0000AF300000}"/>
    <cellStyle name="Normal 2 2 2 2 2 27 2 10" xfId="12473" xr:uid="{00000000-0005-0000-0000-0000B0300000}"/>
    <cellStyle name="Normal 2 2 2 2 2 27 2 2" xfId="12474" xr:uid="{00000000-0005-0000-0000-0000B1300000}"/>
    <cellStyle name="Normal 2 2 2 2 2 27 2 3" xfId="12475" xr:uid="{00000000-0005-0000-0000-0000B2300000}"/>
    <cellStyle name="Normal 2 2 2 2 2 27 2 4" xfId="12476" xr:uid="{00000000-0005-0000-0000-0000B3300000}"/>
    <cellStyle name="Normal 2 2 2 2 2 27 2 5" xfId="12477" xr:uid="{00000000-0005-0000-0000-0000B4300000}"/>
    <cellStyle name="Normal 2 2 2 2 2 27 2 6" xfId="12478" xr:uid="{00000000-0005-0000-0000-0000B5300000}"/>
    <cellStyle name="Normal 2 2 2 2 2 27 2 7" xfId="12479" xr:uid="{00000000-0005-0000-0000-0000B6300000}"/>
    <cellStyle name="Normal 2 2 2 2 2 27 2 8" xfId="12480" xr:uid="{00000000-0005-0000-0000-0000B7300000}"/>
    <cellStyle name="Normal 2 2 2 2 2 27 2 9" xfId="12481" xr:uid="{00000000-0005-0000-0000-0000B8300000}"/>
    <cellStyle name="Normal 2 2 2 2 2 27 3" xfId="12482" xr:uid="{00000000-0005-0000-0000-0000B9300000}"/>
    <cellStyle name="Normal 2 2 2 2 2 27 3 10" xfId="12483" xr:uid="{00000000-0005-0000-0000-0000BA300000}"/>
    <cellStyle name="Normal 2 2 2 2 2 27 3 2" xfId="12484" xr:uid="{00000000-0005-0000-0000-0000BB300000}"/>
    <cellStyle name="Normal 2 2 2 2 2 27 3 3" xfId="12485" xr:uid="{00000000-0005-0000-0000-0000BC300000}"/>
    <cellStyle name="Normal 2 2 2 2 2 27 3 4" xfId="12486" xr:uid="{00000000-0005-0000-0000-0000BD300000}"/>
    <cellStyle name="Normal 2 2 2 2 2 27 3 5" xfId="12487" xr:uid="{00000000-0005-0000-0000-0000BE300000}"/>
    <cellStyle name="Normal 2 2 2 2 2 27 3 6" xfId="12488" xr:uid="{00000000-0005-0000-0000-0000BF300000}"/>
    <cellStyle name="Normal 2 2 2 2 2 27 3 7" xfId="12489" xr:uid="{00000000-0005-0000-0000-0000C0300000}"/>
    <cellStyle name="Normal 2 2 2 2 2 27 3 8" xfId="12490" xr:uid="{00000000-0005-0000-0000-0000C1300000}"/>
    <cellStyle name="Normal 2 2 2 2 2 27 3 9" xfId="12491" xr:uid="{00000000-0005-0000-0000-0000C2300000}"/>
    <cellStyle name="Normal 2 2 2 2 2 27 4" xfId="12492" xr:uid="{00000000-0005-0000-0000-0000C3300000}"/>
    <cellStyle name="Normal 2 2 2 2 2 27 4 10" xfId="12493" xr:uid="{00000000-0005-0000-0000-0000C4300000}"/>
    <cellStyle name="Normal 2 2 2 2 2 27 4 2" xfId="12494" xr:uid="{00000000-0005-0000-0000-0000C5300000}"/>
    <cellStyle name="Normal 2 2 2 2 2 27 4 3" xfId="12495" xr:uid="{00000000-0005-0000-0000-0000C6300000}"/>
    <cellStyle name="Normal 2 2 2 2 2 27 4 4" xfId="12496" xr:uid="{00000000-0005-0000-0000-0000C7300000}"/>
    <cellStyle name="Normal 2 2 2 2 2 27 4 5" xfId="12497" xr:uid="{00000000-0005-0000-0000-0000C8300000}"/>
    <cellStyle name="Normal 2 2 2 2 2 27 4 6" xfId="12498" xr:uid="{00000000-0005-0000-0000-0000C9300000}"/>
    <cellStyle name="Normal 2 2 2 2 2 27 4 7" xfId="12499" xr:uid="{00000000-0005-0000-0000-0000CA300000}"/>
    <cellStyle name="Normal 2 2 2 2 2 27 4 8" xfId="12500" xr:uid="{00000000-0005-0000-0000-0000CB300000}"/>
    <cellStyle name="Normal 2 2 2 2 2 27 4 9" xfId="12501" xr:uid="{00000000-0005-0000-0000-0000CC300000}"/>
    <cellStyle name="Normal 2 2 2 2 2 27 5" xfId="12502" xr:uid="{00000000-0005-0000-0000-0000CD300000}"/>
    <cellStyle name="Normal 2 2 2 2 2 27 5 10" xfId="12503" xr:uid="{00000000-0005-0000-0000-0000CE300000}"/>
    <cellStyle name="Normal 2 2 2 2 2 27 5 2" xfId="12504" xr:uid="{00000000-0005-0000-0000-0000CF300000}"/>
    <cellStyle name="Normal 2 2 2 2 2 27 5 3" xfId="12505" xr:uid="{00000000-0005-0000-0000-0000D0300000}"/>
    <cellStyle name="Normal 2 2 2 2 2 27 5 4" xfId="12506" xr:uid="{00000000-0005-0000-0000-0000D1300000}"/>
    <cellStyle name="Normal 2 2 2 2 2 27 5 5" xfId="12507" xr:uid="{00000000-0005-0000-0000-0000D2300000}"/>
    <cellStyle name="Normal 2 2 2 2 2 27 5 6" xfId="12508" xr:uid="{00000000-0005-0000-0000-0000D3300000}"/>
    <cellStyle name="Normal 2 2 2 2 2 27 5 7" xfId="12509" xr:uid="{00000000-0005-0000-0000-0000D4300000}"/>
    <cellStyle name="Normal 2 2 2 2 2 27 5 8" xfId="12510" xr:uid="{00000000-0005-0000-0000-0000D5300000}"/>
    <cellStyle name="Normal 2 2 2 2 2 27 5 9" xfId="12511" xr:uid="{00000000-0005-0000-0000-0000D6300000}"/>
    <cellStyle name="Normal 2 2 2 2 2 27 6" xfId="12512" xr:uid="{00000000-0005-0000-0000-0000D7300000}"/>
    <cellStyle name="Normal 2 2 2 2 2 27 7" xfId="12513" xr:uid="{00000000-0005-0000-0000-0000D8300000}"/>
    <cellStyle name="Normal 2 2 2 2 2 27 8" xfId="12514" xr:uid="{00000000-0005-0000-0000-0000D9300000}"/>
    <cellStyle name="Normal 2 2 2 2 2 27 9" xfId="12515" xr:uid="{00000000-0005-0000-0000-0000DA300000}"/>
    <cellStyle name="Normal 2 2 2 2 2 28" xfId="12516" xr:uid="{00000000-0005-0000-0000-0000DB300000}"/>
    <cellStyle name="Normal 2 2 2 2 2 28 10" xfId="12517" xr:uid="{00000000-0005-0000-0000-0000DC300000}"/>
    <cellStyle name="Normal 2 2 2 2 2 28 11" xfId="12518" xr:uid="{00000000-0005-0000-0000-0000DD300000}"/>
    <cellStyle name="Normal 2 2 2 2 2 28 12" xfId="12519" xr:uid="{00000000-0005-0000-0000-0000DE300000}"/>
    <cellStyle name="Normal 2 2 2 2 2 28 13" xfId="12520" xr:uid="{00000000-0005-0000-0000-0000DF300000}"/>
    <cellStyle name="Normal 2 2 2 2 2 28 14" xfId="12521" xr:uid="{00000000-0005-0000-0000-0000E0300000}"/>
    <cellStyle name="Normal 2 2 2 2 2 28 2" xfId="12522" xr:uid="{00000000-0005-0000-0000-0000E1300000}"/>
    <cellStyle name="Normal 2 2 2 2 2 28 2 10" xfId="12523" xr:uid="{00000000-0005-0000-0000-0000E2300000}"/>
    <cellStyle name="Normal 2 2 2 2 2 28 2 2" xfId="12524" xr:uid="{00000000-0005-0000-0000-0000E3300000}"/>
    <cellStyle name="Normal 2 2 2 2 2 28 2 3" xfId="12525" xr:uid="{00000000-0005-0000-0000-0000E4300000}"/>
    <cellStyle name="Normal 2 2 2 2 2 28 2 4" xfId="12526" xr:uid="{00000000-0005-0000-0000-0000E5300000}"/>
    <cellStyle name="Normal 2 2 2 2 2 28 2 5" xfId="12527" xr:uid="{00000000-0005-0000-0000-0000E6300000}"/>
    <cellStyle name="Normal 2 2 2 2 2 28 2 6" xfId="12528" xr:uid="{00000000-0005-0000-0000-0000E7300000}"/>
    <cellStyle name="Normal 2 2 2 2 2 28 2 7" xfId="12529" xr:uid="{00000000-0005-0000-0000-0000E8300000}"/>
    <cellStyle name="Normal 2 2 2 2 2 28 2 8" xfId="12530" xr:uid="{00000000-0005-0000-0000-0000E9300000}"/>
    <cellStyle name="Normal 2 2 2 2 2 28 2 9" xfId="12531" xr:uid="{00000000-0005-0000-0000-0000EA300000}"/>
    <cellStyle name="Normal 2 2 2 2 2 28 3" xfId="12532" xr:uid="{00000000-0005-0000-0000-0000EB300000}"/>
    <cellStyle name="Normal 2 2 2 2 2 28 3 10" xfId="12533" xr:uid="{00000000-0005-0000-0000-0000EC300000}"/>
    <cellStyle name="Normal 2 2 2 2 2 28 3 2" xfId="12534" xr:uid="{00000000-0005-0000-0000-0000ED300000}"/>
    <cellStyle name="Normal 2 2 2 2 2 28 3 3" xfId="12535" xr:uid="{00000000-0005-0000-0000-0000EE300000}"/>
    <cellStyle name="Normal 2 2 2 2 2 28 3 4" xfId="12536" xr:uid="{00000000-0005-0000-0000-0000EF300000}"/>
    <cellStyle name="Normal 2 2 2 2 2 28 3 5" xfId="12537" xr:uid="{00000000-0005-0000-0000-0000F0300000}"/>
    <cellStyle name="Normal 2 2 2 2 2 28 3 6" xfId="12538" xr:uid="{00000000-0005-0000-0000-0000F1300000}"/>
    <cellStyle name="Normal 2 2 2 2 2 28 3 7" xfId="12539" xr:uid="{00000000-0005-0000-0000-0000F2300000}"/>
    <cellStyle name="Normal 2 2 2 2 2 28 3 8" xfId="12540" xr:uid="{00000000-0005-0000-0000-0000F3300000}"/>
    <cellStyle name="Normal 2 2 2 2 2 28 3 9" xfId="12541" xr:uid="{00000000-0005-0000-0000-0000F4300000}"/>
    <cellStyle name="Normal 2 2 2 2 2 28 4" xfId="12542" xr:uid="{00000000-0005-0000-0000-0000F5300000}"/>
    <cellStyle name="Normal 2 2 2 2 2 28 4 10" xfId="12543" xr:uid="{00000000-0005-0000-0000-0000F6300000}"/>
    <cellStyle name="Normal 2 2 2 2 2 28 4 2" xfId="12544" xr:uid="{00000000-0005-0000-0000-0000F7300000}"/>
    <cellStyle name="Normal 2 2 2 2 2 28 4 3" xfId="12545" xr:uid="{00000000-0005-0000-0000-0000F8300000}"/>
    <cellStyle name="Normal 2 2 2 2 2 28 4 4" xfId="12546" xr:uid="{00000000-0005-0000-0000-0000F9300000}"/>
    <cellStyle name="Normal 2 2 2 2 2 28 4 5" xfId="12547" xr:uid="{00000000-0005-0000-0000-0000FA300000}"/>
    <cellStyle name="Normal 2 2 2 2 2 28 4 6" xfId="12548" xr:uid="{00000000-0005-0000-0000-0000FB300000}"/>
    <cellStyle name="Normal 2 2 2 2 2 28 4 7" xfId="12549" xr:uid="{00000000-0005-0000-0000-0000FC300000}"/>
    <cellStyle name="Normal 2 2 2 2 2 28 4 8" xfId="12550" xr:uid="{00000000-0005-0000-0000-0000FD300000}"/>
    <cellStyle name="Normal 2 2 2 2 2 28 4 9" xfId="12551" xr:uid="{00000000-0005-0000-0000-0000FE300000}"/>
    <cellStyle name="Normal 2 2 2 2 2 28 5" xfId="12552" xr:uid="{00000000-0005-0000-0000-0000FF300000}"/>
    <cellStyle name="Normal 2 2 2 2 2 28 5 10" xfId="12553" xr:uid="{00000000-0005-0000-0000-000000310000}"/>
    <cellStyle name="Normal 2 2 2 2 2 28 5 2" xfId="12554" xr:uid="{00000000-0005-0000-0000-000001310000}"/>
    <cellStyle name="Normal 2 2 2 2 2 28 5 3" xfId="12555" xr:uid="{00000000-0005-0000-0000-000002310000}"/>
    <cellStyle name="Normal 2 2 2 2 2 28 5 4" xfId="12556" xr:uid="{00000000-0005-0000-0000-000003310000}"/>
    <cellStyle name="Normal 2 2 2 2 2 28 5 5" xfId="12557" xr:uid="{00000000-0005-0000-0000-000004310000}"/>
    <cellStyle name="Normal 2 2 2 2 2 28 5 6" xfId="12558" xr:uid="{00000000-0005-0000-0000-000005310000}"/>
    <cellStyle name="Normal 2 2 2 2 2 28 5 7" xfId="12559" xr:uid="{00000000-0005-0000-0000-000006310000}"/>
    <cellStyle name="Normal 2 2 2 2 2 28 5 8" xfId="12560" xr:uid="{00000000-0005-0000-0000-000007310000}"/>
    <cellStyle name="Normal 2 2 2 2 2 28 5 9" xfId="12561" xr:uid="{00000000-0005-0000-0000-000008310000}"/>
    <cellStyle name="Normal 2 2 2 2 2 28 6" xfId="12562" xr:uid="{00000000-0005-0000-0000-000009310000}"/>
    <cellStyle name="Normal 2 2 2 2 2 28 7" xfId="12563" xr:uid="{00000000-0005-0000-0000-00000A310000}"/>
    <cellStyle name="Normal 2 2 2 2 2 28 8" xfId="12564" xr:uid="{00000000-0005-0000-0000-00000B310000}"/>
    <cellStyle name="Normal 2 2 2 2 2 28 9" xfId="12565" xr:uid="{00000000-0005-0000-0000-00000C310000}"/>
    <cellStyle name="Normal 2 2 2 2 2 29" xfId="12566" xr:uid="{00000000-0005-0000-0000-00000D310000}"/>
    <cellStyle name="Normal 2 2 2 2 2 29 10" xfId="12567" xr:uid="{00000000-0005-0000-0000-00000E310000}"/>
    <cellStyle name="Normal 2 2 2 2 2 29 11" xfId="12568" xr:uid="{00000000-0005-0000-0000-00000F310000}"/>
    <cellStyle name="Normal 2 2 2 2 2 29 12" xfId="12569" xr:uid="{00000000-0005-0000-0000-000010310000}"/>
    <cellStyle name="Normal 2 2 2 2 2 29 13" xfId="12570" xr:uid="{00000000-0005-0000-0000-000011310000}"/>
    <cellStyle name="Normal 2 2 2 2 2 29 14" xfId="12571" xr:uid="{00000000-0005-0000-0000-000012310000}"/>
    <cellStyle name="Normal 2 2 2 2 2 29 2" xfId="12572" xr:uid="{00000000-0005-0000-0000-000013310000}"/>
    <cellStyle name="Normal 2 2 2 2 2 29 2 10" xfId="12573" xr:uid="{00000000-0005-0000-0000-000014310000}"/>
    <cellStyle name="Normal 2 2 2 2 2 29 2 2" xfId="12574" xr:uid="{00000000-0005-0000-0000-000015310000}"/>
    <cellStyle name="Normal 2 2 2 2 2 29 2 3" xfId="12575" xr:uid="{00000000-0005-0000-0000-000016310000}"/>
    <cellStyle name="Normal 2 2 2 2 2 29 2 4" xfId="12576" xr:uid="{00000000-0005-0000-0000-000017310000}"/>
    <cellStyle name="Normal 2 2 2 2 2 29 2 5" xfId="12577" xr:uid="{00000000-0005-0000-0000-000018310000}"/>
    <cellStyle name="Normal 2 2 2 2 2 29 2 6" xfId="12578" xr:uid="{00000000-0005-0000-0000-000019310000}"/>
    <cellStyle name="Normal 2 2 2 2 2 29 2 7" xfId="12579" xr:uid="{00000000-0005-0000-0000-00001A310000}"/>
    <cellStyle name="Normal 2 2 2 2 2 29 2 8" xfId="12580" xr:uid="{00000000-0005-0000-0000-00001B310000}"/>
    <cellStyle name="Normal 2 2 2 2 2 29 2 9" xfId="12581" xr:uid="{00000000-0005-0000-0000-00001C310000}"/>
    <cellStyle name="Normal 2 2 2 2 2 29 3" xfId="12582" xr:uid="{00000000-0005-0000-0000-00001D310000}"/>
    <cellStyle name="Normal 2 2 2 2 2 29 3 10" xfId="12583" xr:uid="{00000000-0005-0000-0000-00001E310000}"/>
    <cellStyle name="Normal 2 2 2 2 2 29 3 2" xfId="12584" xr:uid="{00000000-0005-0000-0000-00001F310000}"/>
    <cellStyle name="Normal 2 2 2 2 2 29 3 3" xfId="12585" xr:uid="{00000000-0005-0000-0000-000020310000}"/>
    <cellStyle name="Normal 2 2 2 2 2 29 3 4" xfId="12586" xr:uid="{00000000-0005-0000-0000-000021310000}"/>
    <cellStyle name="Normal 2 2 2 2 2 29 3 5" xfId="12587" xr:uid="{00000000-0005-0000-0000-000022310000}"/>
    <cellStyle name="Normal 2 2 2 2 2 29 3 6" xfId="12588" xr:uid="{00000000-0005-0000-0000-000023310000}"/>
    <cellStyle name="Normal 2 2 2 2 2 29 3 7" xfId="12589" xr:uid="{00000000-0005-0000-0000-000024310000}"/>
    <cellStyle name="Normal 2 2 2 2 2 29 3 8" xfId="12590" xr:uid="{00000000-0005-0000-0000-000025310000}"/>
    <cellStyle name="Normal 2 2 2 2 2 29 3 9" xfId="12591" xr:uid="{00000000-0005-0000-0000-000026310000}"/>
    <cellStyle name="Normal 2 2 2 2 2 29 4" xfId="12592" xr:uid="{00000000-0005-0000-0000-000027310000}"/>
    <cellStyle name="Normal 2 2 2 2 2 29 4 10" xfId="12593" xr:uid="{00000000-0005-0000-0000-000028310000}"/>
    <cellStyle name="Normal 2 2 2 2 2 29 4 2" xfId="12594" xr:uid="{00000000-0005-0000-0000-000029310000}"/>
    <cellStyle name="Normal 2 2 2 2 2 29 4 3" xfId="12595" xr:uid="{00000000-0005-0000-0000-00002A310000}"/>
    <cellStyle name="Normal 2 2 2 2 2 29 4 4" xfId="12596" xr:uid="{00000000-0005-0000-0000-00002B310000}"/>
    <cellStyle name="Normal 2 2 2 2 2 29 4 5" xfId="12597" xr:uid="{00000000-0005-0000-0000-00002C310000}"/>
    <cellStyle name="Normal 2 2 2 2 2 29 4 6" xfId="12598" xr:uid="{00000000-0005-0000-0000-00002D310000}"/>
    <cellStyle name="Normal 2 2 2 2 2 29 4 7" xfId="12599" xr:uid="{00000000-0005-0000-0000-00002E310000}"/>
    <cellStyle name="Normal 2 2 2 2 2 29 4 8" xfId="12600" xr:uid="{00000000-0005-0000-0000-00002F310000}"/>
    <cellStyle name="Normal 2 2 2 2 2 29 4 9" xfId="12601" xr:uid="{00000000-0005-0000-0000-000030310000}"/>
    <cellStyle name="Normal 2 2 2 2 2 29 5" xfId="12602" xr:uid="{00000000-0005-0000-0000-000031310000}"/>
    <cellStyle name="Normal 2 2 2 2 2 29 5 10" xfId="12603" xr:uid="{00000000-0005-0000-0000-000032310000}"/>
    <cellStyle name="Normal 2 2 2 2 2 29 5 2" xfId="12604" xr:uid="{00000000-0005-0000-0000-000033310000}"/>
    <cellStyle name="Normal 2 2 2 2 2 29 5 3" xfId="12605" xr:uid="{00000000-0005-0000-0000-000034310000}"/>
    <cellStyle name="Normal 2 2 2 2 2 29 5 4" xfId="12606" xr:uid="{00000000-0005-0000-0000-000035310000}"/>
    <cellStyle name="Normal 2 2 2 2 2 29 5 5" xfId="12607" xr:uid="{00000000-0005-0000-0000-000036310000}"/>
    <cellStyle name="Normal 2 2 2 2 2 29 5 6" xfId="12608" xr:uid="{00000000-0005-0000-0000-000037310000}"/>
    <cellStyle name="Normal 2 2 2 2 2 29 5 7" xfId="12609" xr:uid="{00000000-0005-0000-0000-000038310000}"/>
    <cellStyle name="Normal 2 2 2 2 2 29 5 8" xfId="12610" xr:uid="{00000000-0005-0000-0000-000039310000}"/>
    <cellStyle name="Normal 2 2 2 2 2 29 5 9" xfId="12611" xr:uid="{00000000-0005-0000-0000-00003A310000}"/>
    <cellStyle name="Normal 2 2 2 2 2 29 6" xfId="12612" xr:uid="{00000000-0005-0000-0000-00003B310000}"/>
    <cellStyle name="Normal 2 2 2 2 2 29 7" xfId="12613" xr:uid="{00000000-0005-0000-0000-00003C310000}"/>
    <cellStyle name="Normal 2 2 2 2 2 29 8" xfId="12614" xr:uid="{00000000-0005-0000-0000-00003D310000}"/>
    <cellStyle name="Normal 2 2 2 2 2 29 9" xfId="12615" xr:uid="{00000000-0005-0000-0000-00003E310000}"/>
    <cellStyle name="Normal 2 2 2 2 2 3" xfId="12616" xr:uid="{00000000-0005-0000-0000-00003F310000}"/>
    <cellStyle name="Normal 2 2 2 2 2 3 10" xfId="12617" xr:uid="{00000000-0005-0000-0000-000040310000}"/>
    <cellStyle name="Normal 2 2 2 2 2 3 11" xfId="12618" xr:uid="{00000000-0005-0000-0000-000041310000}"/>
    <cellStyle name="Normal 2 2 2 2 2 3 12" xfId="12619" xr:uid="{00000000-0005-0000-0000-000042310000}"/>
    <cellStyle name="Normal 2 2 2 2 2 3 13" xfId="12620" xr:uid="{00000000-0005-0000-0000-000043310000}"/>
    <cellStyle name="Normal 2 2 2 2 2 3 14" xfId="12621" xr:uid="{00000000-0005-0000-0000-000044310000}"/>
    <cellStyle name="Normal 2 2 2 2 2 3 15" xfId="12622" xr:uid="{00000000-0005-0000-0000-000045310000}"/>
    <cellStyle name="Normal 2 2 2 2 2 3 16" xfId="12623" xr:uid="{00000000-0005-0000-0000-000046310000}"/>
    <cellStyle name="Normal 2 2 2 2 2 3 2" xfId="12624" xr:uid="{00000000-0005-0000-0000-000047310000}"/>
    <cellStyle name="Normal 2 2 2 2 2 3 2 10" xfId="12625" xr:uid="{00000000-0005-0000-0000-000048310000}"/>
    <cellStyle name="Normal 2 2 2 2 2 3 2 11" xfId="12626" xr:uid="{00000000-0005-0000-0000-000049310000}"/>
    <cellStyle name="Normal 2 2 2 2 2 3 2 12" xfId="12627" xr:uid="{00000000-0005-0000-0000-00004A310000}"/>
    <cellStyle name="Normal 2 2 2 2 2 3 2 2" xfId="12628" xr:uid="{00000000-0005-0000-0000-00004B310000}"/>
    <cellStyle name="Normal 2 2 2 2 2 3 2 3" xfId="12629" xr:uid="{00000000-0005-0000-0000-00004C310000}"/>
    <cellStyle name="Normal 2 2 2 2 2 3 2 4" xfId="12630" xr:uid="{00000000-0005-0000-0000-00004D310000}"/>
    <cellStyle name="Normal 2 2 2 2 2 3 2 5" xfId="12631" xr:uid="{00000000-0005-0000-0000-00004E310000}"/>
    <cellStyle name="Normal 2 2 2 2 2 3 2 6" xfId="12632" xr:uid="{00000000-0005-0000-0000-00004F310000}"/>
    <cellStyle name="Normal 2 2 2 2 2 3 2 7" xfId="12633" xr:uid="{00000000-0005-0000-0000-000050310000}"/>
    <cellStyle name="Normal 2 2 2 2 2 3 2 8" xfId="12634" xr:uid="{00000000-0005-0000-0000-000051310000}"/>
    <cellStyle name="Normal 2 2 2 2 2 3 2 9" xfId="12635" xr:uid="{00000000-0005-0000-0000-000052310000}"/>
    <cellStyle name="Normal 2 2 2 2 2 3 3" xfId="12636" xr:uid="{00000000-0005-0000-0000-000053310000}"/>
    <cellStyle name="Normal 2 2 2 2 2 3 3 10" xfId="12637" xr:uid="{00000000-0005-0000-0000-000054310000}"/>
    <cellStyle name="Normal 2 2 2 2 2 3 3 2" xfId="12638" xr:uid="{00000000-0005-0000-0000-000055310000}"/>
    <cellStyle name="Normal 2 2 2 2 2 3 3 3" xfId="12639" xr:uid="{00000000-0005-0000-0000-000056310000}"/>
    <cellStyle name="Normal 2 2 2 2 2 3 3 4" xfId="12640" xr:uid="{00000000-0005-0000-0000-000057310000}"/>
    <cellStyle name="Normal 2 2 2 2 2 3 3 5" xfId="12641" xr:uid="{00000000-0005-0000-0000-000058310000}"/>
    <cellStyle name="Normal 2 2 2 2 2 3 3 6" xfId="12642" xr:uid="{00000000-0005-0000-0000-000059310000}"/>
    <cellStyle name="Normal 2 2 2 2 2 3 3 7" xfId="12643" xr:uid="{00000000-0005-0000-0000-00005A310000}"/>
    <cellStyle name="Normal 2 2 2 2 2 3 3 8" xfId="12644" xr:uid="{00000000-0005-0000-0000-00005B310000}"/>
    <cellStyle name="Normal 2 2 2 2 2 3 3 9" xfId="12645" xr:uid="{00000000-0005-0000-0000-00005C310000}"/>
    <cellStyle name="Normal 2 2 2 2 2 3 4" xfId="12646" xr:uid="{00000000-0005-0000-0000-00005D310000}"/>
    <cellStyle name="Normal 2 2 2 2 2 3 4 10" xfId="12647" xr:uid="{00000000-0005-0000-0000-00005E310000}"/>
    <cellStyle name="Normal 2 2 2 2 2 3 4 2" xfId="12648" xr:uid="{00000000-0005-0000-0000-00005F310000}"/>
    <cellStyle name="Normal 2 2 2 2 2 3 4 3" xfId="12649" xr:uid="{00000000-0005-0000-0000-000060310000}"/>
    <cellStyle name="Normal 2 2 2 2 2 3 4 4" xfId="12650" xr:uid="{00000000-0005-0000-0000-000061310000}"/>
    <cellStyle name="Normal 2 2 2 2 2 3 4 5" xfId="12651" xr:uid="{00000000-0005-0000-0000-000062310000}"/>
    <cellStyle name="Normal 2 2 2 2 2 3 4 6" xfId="12652" xr:uid="{00000000-0005-0000-0000-000063310000}"/>
    <cellStyle name="Normal 2 2 2 2 2 3 4 7" xfId="12653" xr:uid="{00000000-0005-0000-0000-000064310000}"/>
    <cellStyle name="Normal 2 2 2 2 2 3 4 8" xfId="12654" xr:uid="{00000000-0005-0000-0000-000065310000}"/>
    <cellStyle name="Normal 2 2 2 2 2 3 4 9" xfId="12655" xr:uid="{00000000-0005-0000-0000-000066310000}"/>
    <cellStyle name="Normal 2 2 2 2 2 3 5" xfId="12656" xr:uid="{00000000-0005-0000-0000-000067310000}"/>
    <cellStyle name="Normal 2 2 2 2 2 3 5 10" xfId="12657" xr:uid="{00000000-0005-0000-0000-000068310000}"/>
    <cellStyle name="Normal 2 2 2 2 2 3 5 2" xfId="12658" xr:uid="{00000000-0005-0000-0000-000069310000}"/>
    <cellStyle name="Normal 2 2 2 2 2 3 5 3" xfId="12659" xr:uid="{00000000-0005-0000-0000-00006A310000}"/>
    <cellStyle name="Normal 2 2 2 2 2 3 5 4" xfId="12660" xr:uid="{00000000-0005-0000-0000-00006B310000}"/>
    <cellStyle name="Normal 2 2 2 2 2 3 5 5" xfId="12661" xr:uid="{00000000-0005-0000-0000-00006C310000}"/>
    <cellStyle name="Normal 2 2 2 2 2 3 5 6" xfId="12662" xr:uid="{00000000-0005-0000-0000-00006D310000}"/>
    <cellStyle name="Normal 2 2 2 2 2 3 5 7" xfId="12663" xr:uid="{00000000-0005-0000-0000-00006E310000}"/>
    <cellStyle name="Normal 2 2 2 2 2 3 5 8" xfId="12664" xr:uid="{00000000-0005-0000-0000-00006F310000}"/>
    <cellStyle name="Normal 2 2 2 2 2 3 5 9" xfId="12665" xr:uid="{00000000-0005-0000-0000-000070310000}"/>
    <cellStyle name="Normal 2 2 2 2 2 3 6" xfId="12666" xr:uid="{00000000-0005-0000-0000-000071310000}"/>
    <cellStyle name="Normal 2 2 2 2 2 3 7" xfId="12667" xr:uid="{00000000-0005-0000-0000-000072310000}"/>
    <cellStyle name="Normal 2 2 2 2 2 3 8" xfId="12668" xr:uid="{00000000-0005-0000-0000-000073310000}"/>
    <cellStyle name="Normal 2 2 2 2 2 3 9" xfId="12669" xr:uid="{00000000-0005-0000-0000-000074310000}"/>
    <cellStyle name="Normal 2 2 2 2 2 30" xfId="12670" xr:uid="{00000000-0005-0000-0000-000075310000}"/>
    <cellStyle name="Normal 2 2 2 2 2 30 10" xfId="12671" xr:uid="{00000000-0005-0000-0000-000076310000}"/>
    <cellStyle name="Normal 2 2 2 2 2 30 11" xfId="12672" xr:uid="{00000000-0005-0000-0000-000077310000}"/>
    <cellStyle name="Normal 2 2 2 2 2 30 12" xfId="12673" xr:uid="{00000000-0005-0000-0000-000078310000}"/>
    <cellStyle name="Normal 2 2 2 2 2 30 13" xfId="12674" xr:uid="{00000000-0005-0000-0000-000079310000}"/>
    <cellStyle name="Normal 2 2 2 2 2 30 14" xfId="12675" xr:uid="{00000000-0005-0000-0000-00007A310000}"/>
    <cellStyle name="Normal 2 2 2 2 2 30 2" xfId="12676" xr:uid="{00000000-0005-0000-0000-00007B310000}"/>
    <cellStyle name="Normal 2 2 2 2 2 30 2 10" xfId="12677" xr:uid="{00000000-0005-0000-0000-00007C310000}"/>
    <cellStyle name="Normal 2 2 2 2 2 30 2 2" xfId="12678" xr:uid="{00000000-0005-0000-0000-00007D310000}"/>
    <cellStyle name="Normal 2 2 2 2 2 30 2 3" xfId="12679" xr:uid="{00000000-0005-0000-0000-00007E310000}"/>
    <cellStyle name="Normal 2 2 2 2 2 30 2 4" xfId="12680" xr:uid="{00000000-0005-0000-0000-00007F310000}"/>
    <cellStyle name="Normal 2 2 2 2 2 30 2 5" xfId="12681" xr:uid="{00000000-0005-0000-0000-000080310000}"/>
    <cellStyle name="Normal 2 2 2 2 2 30 2 6" xfId="12682" xr:uid="{00000000-0005-0000-0000-000081310000}"/>
    <cellStyle name="Normal 2 2 2 2 2 30 2 7" xfId="12683" xr:uid="{00000000-0005-0000-0000-000082310000}"/>
    <cellStyle name="Normal 2 2 2 2 2 30 2 8" xfId="12684" xr:uid="{00000000-0005-0000-0000-000083310000}"/>
    <cellStyle name="Normal 2 2 2 2 2 30 2 9" xfId="12685" xr:uid="{00000000-0005-0000-0000-000084310000}"/>
    <cellStyle name="Normal 2 2 2 2 2 30 3" xfId="12686" xr:uid="{00000000-0005-0000-0000-000085310000}"/>
    <cellStyle name="Normal 2 2 2 2 2 30 3 10" xfId="12687" xr:uid="{00000000-0005-0000-0000-000086310000}"/>
    <cellStyle name="Normal 2 2 2 2 2 30 3 2" xfId="12688" xr:uid="{00000000-0005-0000-0000-000087310000}"/>
    <cellStyle name="Normal 2 2 2 2 2 30 3 3" xfId="12689" xr:uid="{00000000-0005-0000-0000-000088310000}"/>
    <cellStyle name="Normal 2 2 2 2 2 30 3 4" xfId="12690" xr:uid="{00000000-0005-0000-0000-000089310000}"/>
    <cellStyle name="Normal 2 2 2 2 2 30 3 5" xfId="12691" xr:uid="{00000000-0005-0000-0000-00008A310000}"/>
    <cellStyle name="Normal 2 2 2 2 2 30 3 6" xfId="12692" xr:uid="{00000000-0005-0000-0000-00008B310000}"/>
    <cellStyle name="Normal 2 2 2 2 2 30 3 7" xfId="12693" xr:uid="{00000000-0005-0000-0000-00008C310000}"/>
    <cellStyle name="Normal 2 2 2 2 2 30 3 8" xfId="12694" xr:uid="{00000000-0005-0000-0000-00008D310000}"/>
    <cellStyle name="Normal 2 2 2 2 2 30 3 9" xfId="12695" xr:uid="{00000000-0005-0000-0000-00008E310000}"/>
    <cellStyle name="Normal 2 2 2 2 2 30 4" xfId="12696" xr:uid="{00000000-0005-0000-0000-00008F310000}"/>
    <cellStyle name="Normal 2 2 2 2 2 30 4 10" xfId="12697" xr:uid="{00000000-0005-0000-0000-000090310000}"/>
    <cellStyle name="Normal 2 2 2 2 2 30 4 2" xfId="12698" xr:uid="{00000000-0005-0000-0000-000091310000}"/>
    <cellStyle name="Normal 2 2 2 2 2 30 4 3" xfId="12699" xr:uid="{00000000-0005-0000-0000-000092310000}"/>
    <cellStyle name="Normal 2 2 2 2 2 30 4 4" xfId="12700" xr:uid="{00000000-0005-0000-0000-000093310000}"/>
    <cellStyle name="Normal 2 2 2 2 2 30 4 5" xfId="12701" xr:uid="{00000000-0005-0000-0000-000094310000}"/>
    <cellStyle name="Normal 2 2 2 2 2 30 4 6" xfId="12702" xr:uid="{00000000-0005-0000-0000-000095310000}"/>
    <cellStyle name="Normal 2 2 2 2 2 30 4 7" xfId="12703" xr:uid="{00000000-0005-0000-0000-000096310000}"/>
    <cellStyle name="Normal 2 2 2 2 2 30 4 8" xfId="12704" xr:uid="{00000000-0005-0000-0000-000097310000}"/>
    <cellStyle name="Normal 2 2 2 2 2 30 4 9" xfId="12705" xr:uid="{00000000-0005-0000-0000-000098310000}"/>
    <cellStyle name="Normal 2 2 2 2 2 30 5" xfId="12706" xr:uid="{00000000-0005-0000-0000-000099310000}"/>
    <cellStyle name="Normal 2 2 2 2 2 30 5 10" xfId="12707" xr:uid="{00000000-0005-0000-0000-00009A310000}"/>
    <cellStyle name="Normal 2 2 2 2 2 30 5 2" xfId="12708" xr:uid="{00000000-0005-0000-0000-00009B310000}"/>
    <cellStyle name="Normal 2 2 2 2 2 30 5 3" xfId="12709" xr:uid="{00000000-0005-0000-0000-00009C310000}"/>
    <cellStyle name="Normal 2 2 2 2 2 30 5 4" xfId="12710" xr:uid="{00000000-0005-0000-0000-00009D310000}"/>
    <cellStyle name="Normal 2 2 2 2 2 30 5 5" xfId="12711" xr:uid="{00000000-0005-0000-0000-00009E310000}"/>
    <cellStyle name="Normal 2 2 2 2 2 30 5 6" xfId="12712" xr:uid="{00000000-0005-0000-0000-00009F310000}"/>
    <cellStyle name="Normal 2 2 2 2 2 30 5 7" xfId="12713" xr:uid="{00000000-0005-0000-0000-0000A0310000}"/>
    <cellStyle name="Normal 2 2 2 2 2 30 5 8" xfId="12714" xr:uid="{00000000-0005-0000-0000-0000A1310000}"/>
    <cellStyle name="Normal 2 2 2 2 2 30 5 9" xfId="12715" xr:uid="{00000000-0005-0000-0000-0000A2310000}"/>
    <cellStyle name="Normal 2 2 2 2 2 30 6" xfId="12716" xr:uid="{00000000-0005-0000-0000-0000A3310000}"/>
    <cellStyle name="Normal 2 2 2 2 2 30 7" xfId="12717" xr:uid="{00000000-0005-0000-0000-0000A4310000}"/>
    <cellStyle name="Normal 2 2 2 2 2 30 8" xfId="12718" xr:uid="{00000000-0005-0000-0000-0000A5310000}"/>
    <cellStyle name="Normal 2 2 2 2 2 30 9" xfId="12719" xr:uid="{00000000-0005-0000-0000-0000A6310000}"/>
    <cellStyle name="Normal 2 2 2 2 2 31" xfId="12720" xr:uid="{00000000-0005-0000-0000-0000A7310000}"/>
    <cellStyle name="Normal 2 2 2 2 2 31 10" xfId="12721" xr:uid="{00000000-0005-0000-0000-0000A8310000}"/>
    <cellStyle name="Normal 2 2 2 2 2 31 11" xfId="12722" xr:uid="{00000000-0005-0000-0000-0000A9310000}"/>
    <cellStyle name="Normal 2 2 2 2 2 31 12" xfId="12723" xr:uid="{00000000-0005-0000-0000-0000AA310000}"/>
    <cellStyle name="Normal 2 2 2 2 2 31 13" xfId="12724" xr:uid="{00000000-0005-0000-0000-0000AB310000}"/>
    <cellStyle name="Normal 2 2 2 2 2 31 14" xfId="12725" xr:uid="{00000000-0005-0000-0000-0000AC310000}"/>
    <cellStyle name="Normal 2 2 2 2 2 31 2" xfId="12726" xr:uid="{00000000-0005-0000-0000-0000AD310000}"/>
    <cellStyle name="Normal 2 2 2 2 2 31 2 10" xfId="12727" xr:uid="{00000000-0005-0000-0000-0000AE310000}"/>
    <cellStyle name="Normal 2 2 2 2 2 31 2 2" xfId="12728" xr:uid="{00000000-0005-0000-0000-0000AF310000}"/>
    <cellStyle name="Normal 2 2 2 2 2 31 2 3" xfId="12729" xr:uid="{00000000-0005-0000-0000-0000B0310000}"/>
    <cellStyle name="Normal 2 2 2 2 2 31 2 4" xfId="12730" xr:uid="{00000000-0005-0000-0000-0000B1310000}"/>
    <cellStyle name="Normal 2 2 2 2 2 31 2 5" xfId="12731" xr:uid="{00000000-0005-0000-0000-0000B2310000}"/>
    <cellStyle name="Normal 2 2 2 2 2 31 2 6" xfId="12732" xr:uid="{00000000-0005-0000-0000-0000B3310000}"/>
    <cellStyle name="Normal 2 2 2 2 2 31 2 7" xfId="12733" xr:uid="{00000000-0005-0000-0000-0000B4310000}"/>
    <cellStyle name="Normal 2 2 2 2 2 31 2 8" xfId="12734" xr:uid="{00000000-0005-0000-0000-0000B5310000}"/>
    <cellStyle name="Normal 2 2 2 2 2 31 2 9" xfId="12735" xr:uid="{00000000-0005-0000-0000-0000B6310000}"/>
    <cellStyle name="Normal 2 2 2 2 2 31 3" xfId="12736" xr:uid="{00000000-0005-0000-0000-0000B7310000}"/>
    <cellStyle name="Normal 2 2 2 2 2 31 3 10" xfId="12737" xr:uid="{00000000-0005-0000-0000-0000B8310000}"/>
    <cellStyle name="Normal 2 2 2 2 2 31 3 2" xfId="12738" xr:uid="{00000000-0005-0000-0000-0000B9310000}"/>
    <cellStyle name="Normal 2 2 2 2 2 31 3 3" xfId="12739" xr:uid="{00000000-0005-0000-0000-0000BA310000}"/>
    <cellStyle name="Normal 2 2 2 2 2 31 3 4" xfId="12740" xr:uid="{00000000-0005-0000-0000-0000BB310000}"/>
    <cellStyle name="Normal 2 2 2 2 2 31 3 5" xfId="12741" xr:uid="{00000000-0005-0000-0000-0000BC310000}"/>
    <cellStyle name="Normal 2 2 2 2 2 31 3 6" xfId="12742" xr:uid="{00000000-0005-0000-0000-0000BD310000}"/>
    <cellStyle name="Normal 2 2 2 2 2 31 3 7" xfId="12743" xr:uid="{00000000-0005-0000-0000-0000BE310000}"/>
    <cellStyle name="Normal 2 2 2 2 2 31 3 8" xfId="12744" xr:uid="{00000000-0005-0000-0000-0000BF310000}"/>
    <cellStyle name="Normal 2 2 2 2 2 31 3 9" xfId="12745" xr:uid="{00000000-0005-0000-0000-0000C0310000}"/>
    <cellStyle name="Normal 2 2 2 2 2 31 4" xfId="12746" xr:uid="{00000000-0005-0000-0000-0000C1310000}"/>
    <cellStyle name="Normal 2 2 2 2 2 31 4 10" xfId="12747" xr:uid="{00000000-0005-0000-0000-0000C2310000}"/>
    <cellStyle name="Normal 2 2 2 2 2 31 4 2" xfId="12748" xr:uid="{00000000-0005-0000-0000-0000C3310000}"/>
    <cellStyle name="Normal 2 2 2 2 2 31 4 3" xfId="12749" xr:uid="{00000000-0005-0000-0000-0000C4310000}"/>
    <cellStyle name="Normal 2 2 2 2 2 31 4 4" xfId="12750" xr:uid="{00000000-0005-0000-0000-0000C5310000}"/>
    <cellStyle name="Normal 2 2 2 2 2 31 4 5" xfId="12751" xr:uid="{00000000-0005-0000-0000-0000C6310000}"/>
    <cellStyle name="Normal 2 2 2 2 2 31 4 6" xfId="12752" xr:uid="{00000000-0005-0000-0000-0000C7310000}"/>
    <cellStyle name="Normal 2 2 2 2 2 31 4 7" xfId="12753" xr:uid="{00000000-0005-0000-0000-0000C8310000}"/>
    <cellStyle name="Normal 2 2 2 2 2 31 4 8" xfId="12754" xr:uid="{00000000-0005-0000-0000-0000C9310000}"/>
    <cellStyle name="Normal 2 2 2 2 2 31 4 9" xfId="12755" xr:uid="{00000000-0005-0000-0000-0000CA310000}"/>
    <cellStyle name="Normal 2 2 2 2 2 31 5" xfId="12756" xr:uid="{00000000-0005-0000-0000-0000CB310000}"/>
    <cellStyle name="Normal 2 2 2 2 2 31 5 10" xfId="12757" xr:uid="{00000000-0005-0000-0000-0000CC310000}"/>
    <cellStyle name="Normal 2 2 2 2 2 31 5 2" xfId="12758" xr:uid="{00000000-0005-0000-0000-0000CD310000}"/>
    <cellStyle name="Normal 2 2 2 2 2 31 5 3" xfId="12759" xr:uid="{00000000-0005-0000-0000-0000CE310000}"/>
    <cellStyle name="Normal 2 2 2 2 2 31 5 4" xfId="12760" xr:uid="{00000000-0005-0000-0000-0000CF310000}"/>
    <cellStyle name="Normal 2 2 2 2 2 31 5 5" xfId="12761" xr:uid="{00000000-0005-0000-0000-0000D0310000}"/>
    <cellStyle name="Normal 2 2 2 2 2 31 5 6" xfId="12762" xr:uid="{00000000-0005-0000-0000-0000D1310000}"/>
    <cellStyle name="Normal 2 2 2 2 2 31 5 7" xfId="12763" xr:uid="{00000000-0005-0000-0000-0000D2310000}"/>
    <cellStyle name="Normal 2 2 2 2 2 31 5 8" xfId="12764" xr:uid="{00000000-0005-0000-0000-0000D3310000}"/>
    <cellStyle name="Normal 2 2 2 2 2 31 5 9" xfId="12765" xr:uid="{00000000-0005-0000-0000-0000D4310000}"/>
    <cellStyle name="Normal 2 2 2 2 2 31 6" xfId="12766" xr:uid="{00000000-0005-0000-0000-0000D5310000}"/>
    <cellStyle name="Normal 2 2 2 2 2 31 7" xfId="12767" xr:uid="{00000000-0005-0000-0000-0000D6310000}"/>
    <cellStyle name="Normal 2 2 2 2 2 31 8" xfId="12768" xr:uid="{00000000-0005-0000-0000-0000D7310000}"/>
    <cellStyle name="Normal 2 2 2 2 2 31 9" xfId="12769" xr:uid="{00000000-0005-0000-0000-0000D8310000}"/>
    <cellStyle name="Normal 2 2 2 2 2 32" xfId="12770" xr:uid="{00000000-0005-0000-0000-0000D9310000}"/>
    <cellStyle name="Normal 2 2 2 2 2 32 10" xfId="12771" xr:uid="{00000000-0005-0000-0000-0000DA310000}"/>
    <cellStyle name="Normal 2 2 2 2 2 32 11" xfId="12772" xr:uid="{00000000-0005-0000-0000-0000DB310000}"/>
    <cellStyle name="Normal 2 2 2 2 2 32 12" xfId="12773" xr:uid="{00000000-0005-0000-0000-0000DC310000}"/>
    <cellStyle name="Normal 2 2 2 2 2 32 13" xfId="12774" xr:uid="{00000000-0005-0000-0000-0000DD310000}"/>
    <cellStyle name="Normal 2 2 2 2 2 32 14" xfId="12775" xr:uid="{00000000-0005-0000-0000-0000DE310000}"/>
    <cellStyle name="Normal 2 2 2 2 2 32 2" xfId="12776" xr:uid="{00000000-0005-0000-0000-0000DF310000}"/>
    <cellStyle name="Normal 2 2 2 2 2 32 2 10" xfId="12777" xr:uid="{00000000-0005-0000-0000-0000E0310000}"/>
    <cellStyle name="Normal 2 2 2 2 2 32 2 2" xfId="12778" xr:uid="{00000000-0005-0000-0000-0000E1310000}"/>
    <cellStyle name="Normal 2 2 2 2 2 32 2 3" xfId="12779" xr:uid="{00000000-0005-0000-0000-0000E2310000}"/>
    <cellStyle name="Normal 2 2 2 2 2 32 2 4" xfId="12780" xr:uid="{00000000-0005-0000-0000-0000E3310000}"/>
    <cellStyle name="Normal 2 2 2 2 2 32 2 5" xfId="12781" xr:uid="{00000000-0005-0000-0000-0000E4310000}"/>
    <cellStyle name="Normal 2 2 2 2 2 32 2 6" xfId="12782" xr:uid="{00000000-0005-0000-0000-0000E5310000}"/>
    <cellStyle name="Normal 2 2 2 2 2 32 2 7" xfId="12783" xr:uid="{00000000-0005-0000-0000-0000E6310000}"/>
    <cellStyle name="Normal 2 2 2 2 2 32 2 8" xfId="12784" xr:uid="{00000000-0005-0000-0000-0000E7310000}"/>
    <cellStyle name="Normal 2 2 2 2 2 32 2 9" xfId="12785" xr:uid="{00000000-0005-0000-0000-0000E8310000}"/>
    <cellStyle name="Normal 2 2 2 2 2 32 3" xfId="12786" xr:uid="{00000000-0005-0000-0000-0000E9310000}"/>
    <cellStyle name="Normal 2 2 2 2 2 32 3 10" xfId="12787" xr:uid="{00000000-0005-0000-0000-0000EA310000}"/>
    <cellStyle name="Normal 2 2 2 2 2 32 3 2" xfId="12788" xr:uid="{00000000-0005-0000-0000-0000EB310000}"/>
    <cellStyle name="Normal 2 2 2 2 2 32 3 3" xfId="12789" xr:uid="{00000000-0005-0000-0000-0000EC310000}"/>
    <cellStyle name="Normal 2 2 2 2 2 32 3 4" xfId="12790" xr:uid="{00000000-0005-0000-0000-0000ED310000}"/>
    <cellStyle name="Normal 2 2 2 2 2 32 3 5" xfId="12791" xr:uid="{00000000-0005-0000-0000-0000EE310000}"/>
    <cellStyle name="Normal 2 2 2 2 2 32 3 6" xfId="12792" xr:uid="{00000000-0005-0000-0000-0000EF310000}"/>
    <cellStyle name="Normal 2 2 2 2 2 32 3 7" xfId="12793" xr:uid="{00000000-0005-0000-0000-0000F0310000}"/>
    <cellStyle name="Normal 2 2 2 2 2 32 3 8" xfId="12794" xr:uid="{00000000-0005-0000-0000-0000F1310000}"/>
    <cellStyle name="Normal 2 2 2 2 2 32 3 9" xfId="12795" xr:uid="{00000000-0005-0000-0000-0000F2310000}"/>
    <cellStyle name="Normal 2 2 2 2 2 32 4" xfId="12796" xr:uid="{00000000-0005-0000-0000-0000F3310000}"/>
    <cellStyle name="Normal 2 2 2 2 2 32 4 10" xfId="12797" xr:uid="{00000000-0005-0000-0000-0000F4310000}"/>
    <cellStyle name="Normal 2 2 2 2 2 32 4 2" xfId="12798" xr:uid="{00000000-0005-0000-0000-0000F5310000}"/>
    <cellStyle name="Normal 2 2 2 2 2 32 4 3" xfId="12799" xr:uid="{00000000-0005-0000-0000-0000F6310000}"/>
    <cellStyle name="Normal 2 2 2 2 2 32 4 4" xfId="12800" xr:uid="{00000000-0005-0000-0000-0000F7310000}"/>
    <cellStyle name="Normal 2 2 2 2 2 32 4 5" xfId="12801" xr:uid="{00000000-0005-0000-0000-0000F8310000}"/>
    <cellStyle name="Normal 2 2 2 2 2 32 4 6" xfId="12802" xr:uid="{00000000-0005-0000-0000-0000F9310000}"/>
    <cellStyle name="Normal 2 2 2 2 2 32 4 7" xfId="12803" xr:uid="{00000000-0005-0000-0000-0000FA310000}"/>
    <cellStyle name="Normal 2 2 2 2 2 32 4 8" xfId="12804" xr:uid="{00000000-0005-0000-0000-0000FB310000}"/>
    <cellStyle name="Normal 2 2 2 2 2 32 4 9" xfId="12805" xr:uid="{00000000-0005-0000-0000-0000FC310000}"/>
    <cellStyle name="Normal 2 2 2 2 2 32 5" xfId="12806" xr:uid="{00000000-0005-0000-0000-0000FD310000}"/>
    <cellStyle name="Normal 2 2 2 2 2 32 5 10" xfId="12807" xr:uid="{00000000-0005-0000-0000-0000FE310000}"/>
    <cellStyle name="Normal 2 2 2 2 2 32 5 2" xfId="12808" xr:uid="{00000000-0005-0000-0000-0000FF310000}"/>
    <cellStyle name="Normal 2 2 2 2 2 32 5 3" xfId="12809" xr:uid="{00000000-0005-0000-0000-000000320000}"/>
    <cellStyle name="Normal 2 2 2 2 2 32 5 4" xfId="12810" xr:uid="{00000000-0005-0000-0000-000001320000}"/>
    <cellStyle name="Normal 2 2 2 2 2 32 5 5" xfId="12811" xr:uid="{00000000-0005-0000-0000-000002320000}"/>
    <cellStyle name="Normal 2 2 2 2 2 32 5 6" xfId="12812" xr:uid="{00000000-0005-0000-0000-000003320000}"/>
    <cellStyle name="Normal 2 2 2 2 2 32 5 7" xfId="12813" xr:uid="{00000000-0005-0000-0000-000004320000}"/>
    <cellStyle name="Normal 2 2 2 2 2 32 5 8" xfId="12814" xr:uid="{00000000-0005-0000-0000-000005320000}"/>
    <cellStyle name="Normal 2 2 2 2 2 32 5 9" xfId="12815" xr:uid="{00000000-0005-0000-0000-000006320000}"/>
    <cellStyle name="Normal 2 2 2 2 2 32 6" xfId="12816" xr:uid="{00000000-0005-0000-0000-000007320000}"/>
    <cellStyle name="Normal 2 2 2 2 2 32 7" xfId="12817" xr:uid="{00000000-0005-0000-0000-000008320000}"/>
    <cellStyle name="Normal 2 2 2 2 2 32 8" xfId="12818" xr:uid="{00000000-0005-0000-0000-000009320000}"/>
    <cellStyle name="Normal 2 2 2 2 2 32 9" xfId="12819" xr:uid="{00000000-0005-0000-0000-00000A320000}"/>
    <cellStyle name="Normal 2 2 2 2 2 33" xfId="12820" xr:uid="{00000000-0005-0000-0000-00000B320000}"/>
    <cellStyle name="Normal 2 2 2 2 2 33 10" xfId="12821" xr:uid="{00000000-0005-0000-0000-00000C320000}"/>
    <cellStyle name="Normal 2 2 2 2 2 33 11" xfId="12822" xr:uid="{00000000-0005-0000-0000-00000D320000}"/>
    <cellStyle name="Normal 2 2 2 2 2 33 12" xfId="12823" xr:uid="{00000000-0005-0000-0000-00000E320000}"/>
    <cellStyle name="Normal 2 2 2 2 2 33 13" xfId="12824" xr:uid="{00000000-0005-0000-0000-00000F320000}"/>
    <cellStyle name="Normal 2 2 2 2 2 33 14" xfId="12825" xr:uid="{00000000-0005-0000-0000-000010320000}"/>
    <cellStyle name="Normal 2 2 2 2 2 33 2" xfId="12826" xr:uid="{00000000-0005-0000-0000-000011320000}"/>
    <cellStyle name="Normal 2 2 2 2 2 33 2 10" xfId="12827" xr:uid="{00000000-0005-0000-0000-000012320000}"/>
    <cellStyle name="Normal 2 2 2 2 2 33 2 2" xfId="12828" xr:uid="{00000000-0005-0000-0000-000013320000}"/>
    <cellStyle name="Normal 2 2 2 2 2 33 2 3" xfId="12829" xr:uid="{00000000-0005-0000-0000-000014320000}"/>
    <cellStyle name="Normal 2 2 2 2 2 33 2 4" xfId="12830" xr:uid="{00000000-0005-0000-0000-000015320000}"/>
    <cellStyle name="Normal 2 2 2 2 2 33 2 5" xfId="12831" xr:uid="{00000000-0005-0000-0000-000016320000}"/>
    <cellStyle name="Normal 2 2 2 2 2 33 2 6" xfId="12832" xr:uid="{00000000-0005-0000-0000-000017320000}"/>
    <cellStyle name="Normal 2 2 2 2 2 33 2 7" xfId="12833" xr:uid="{00000000-0005-0000-0000-000018320000}"/>
    <cellStyle name="Normal 2 2 2 2 2 33 2 8" xfId="12834" xr:uid="{00000000-0005-0000-0000-000019320000}"/>
    <cellStyle name="Normal 2 2 2 2 2 33 2 9" xfId="12835" xr:uid="{00000000-0005-0000-0000-00001A320000}"/>
    <cellStyle name="Normal 2 2 2 2 2 33 3" xfId="12836" xr:uid="{00000000-0005-0000-0000-00001B320000}"/>
    <cellStyle name="Normal 2 2 2 2 2 33 3 10" xfId="12837" xr:uid="{00000000-0005-0000-0000-00001C320000}"/>
    <cellStyle name="Normal 2 2 2 2 2 33 3 2" xfId="12838" xr:uid="{00000000-0005-0000-0000-00001D320000}"/>
    <cellStyle name="Normal 2 2 2 2 2 33 3 3" xfId="12839" xr:uid="{00000000-0005-0000-0000-00001E320000}"/>
    <cellStyle name="Normal 2 2 2 2 2 33 3 4" xfId="12840" xr:uid="{00000000-0005-0000-0000-00001F320000}"/>
    <cellStyle name="Normal 2 2 2 2 2 33 3 5" xfId="12841" xr:uid="{00000000-0005-0000-0000-000020320000}"/>
    <cellStyle name="Normal 2 2 2 2 2 33 3 6" xfId="12842" xr:uid="{00000000-0005-0000-0000-000021320000}"/>
    <cellStyle name="Normal 2 2 2 2 2 33 3 7" xfId="12843" xr:uid="{00000000-0005-0000-0000-000022320000}"/>
    <cellStyle name="Normal 2 2 2 2 2 33 3 8" xfId="12844" xr:uid="{00000000-0005-0000-0000-000023320000}"/>
    <cellStyle name="Normal 2 2 2 2 2 33 3 9" xfId="12845" xr:uid="{00000000-0005-0000-0000-000024320000}"/>
    <cellStyle name="Normal 2 2 2 2 2 33 4" xfId="12846" xr:uid="{00000000-0005-0000-0000-000025320000}"/>
    <cellStyle name="Normal 2 2 2 2 2 33 4 10" xfId="12847" xr:uid="{00000000-0005-0000-0000-000026320000}"/>
    <cellStyle name="Normal 2 2 2 2 2 33 4 2" xfId="12848" xr:uid="{00000000-0005-0000-0000-000027320000}"/>
    <cellStyle name="Normal 2 2 2 2 2 33 4 3" xfId="12849" xr:uid="{00000000-0005-0000-0000-000028320000}"/>
    <cellStyle name="Normal 2 2 2 2 2 33 4 4" xfId="12850" xr:uid="{00000000-0005-0000-0000-000029320000}"/>
    <cellStyle name="Normal 2 2 2 2 2 33 4 5" xfId="12851" xr:uid="{00000000-0005-0000-0000-00002A320000}"/>
    <cellStyle name="Normal 2 2 2 2 2 33 4 6" xfId="12852" xr:uid="{00000000-0005-0000-0000-00002B320000}"/>
    <cellStyle name="Normal 2 2 2 2 2 33 4 7" xfId="12853" xr:uid="{00000000-0005-0000-0000-00002C320000}"/>
    <cellStyle name="Normal 2 2 2 2 2 33 4 8" xfId="12854" xr:uid="{00000000-0005-0000-0000-00002D320000}"/>
    <cellStyle name="Normal 2 2 2 2 2 33 4 9" xfId="12855" xr:uid="{00000000-0005-0000-0000-00002E320000}"/>
    <cellStyle name="Normal 2 2 2 2 2 33 5" xfId="12856" xr:uid="{00000000-0005-0000-0000-00002F320000}"/>
    <cellStyle name="Normal 2 2 2 2 2 33 5 10" xfId="12857" xr:uid="{00000000-0005-0000-0000-000030320000}"/>
    <cellStyle name="Normal 2 2 2 2 2 33 5 2" xfId="12858" xr:uid="{00000000-0005-0000-0000-000031320000}"/>
    <cellStyle name="Normal 2 2 2 2 2 33 5 3" xfId="12859" xr:uid="{00000000-0005-0000-0000-000032320000}"/>
    <cellStyle name="Normal 2 2 2 2 2 33 5 4" xfId="12860" xr:uid="{00000000-0005-0000-0000-000033320000}"/>
    <cellStyle name="Normal 2 2 2 2 2 33 5 5" xfId="12861" xr:uid="{00000000-0005-0000-0000-000034320000}"/>
    <cellStyle name="Normal 2 2 2 2 2 33 5 6" xfId="12862" xr:uid="{00000000-0005-0000-0000-000035320000}"/>
    <cellStyle name="Normal 2 2 2 2 2 33 5 7" xfId="12863" xr:uid="{00000000-0005-0000-0000-000036320000}"/>
    <cellStyle name="Normal 2 2 2 2 2 33 5 8" xfId="12864" xr:uid="{00000000-0005-0000-0000-000037320000}"/>
    <cellStyle name="Normal 2 2 2 2 2 33 5 9" xfId="12865" xr:uid="{00000000-0005-0000-0000-000038320000}"/>
    <cellStyle name="Normal 2 2 2 2 2 33 6" xfId="12866" xr:uid="{00000000-0005-0000-0000-000039320000}"/>
    <cellStyle name="Normal 2 2 2 2 2 33 7" xfId="12867" xr:uid="{00000000-0005-0000-0000-00003A320000}"/>
    <cellStyle name="Normal 2 2 2 2 2 33 8" xfId="12868" xr:uid="{00000000-0005-0000-0000-00003B320000}"/>
    <cellStyle name="Normal 2 2 2 2 2 33 9" xfId="12869" xr:uid="{00000000-0005-0000-0000-00003C320000}"/>
    <cellStyle name="Normal 2 2 2 2 2 34" xfId="12870" xr:uid="{00000000-0005-0000-0000-00003D320000}"/>
    <cellStyle name="Normal 2 2 2 2 2 34 10" xfId="12871" xr:uid="{00000000-0005-0000-0000-00003E320000}"/>
    <cellStyle name="Normal 2 2 2 2 2 34 11" xfId="12872" xr:uid="{00000000-0005-0000-0000-00003F320000}"/>
    <cellStyle name="Normal 2 2 2 2 2 34 12" xfId="12873" xr:uid="{00000000-0005-0000-0000-000040320000}"/>
    <cellStyle name="Normal 2 2 2 2 2 34 13" xfId="12874" xr:uid="{00000000-0005-0000-0000-000041320000}"/>
    <cellStyle name="Normal 2 2 2 2 2 34 14" xfId="12875" xr:uid="{00000000-0005-0000-0000-000042320000}"/>
    <cellStyle name="Normal 2 2 2 2 2 34 2" xfId="12876" xr:uid="{00000000-0005-0000-0000-000043320000}"/>
    <cellStyle name="Normal 2 2 2 2 2 34 2 10" xfId="12877" xr:uid="{00000000-0005-0000-0000-000044320000}"/>
    <cellStyle name="Normal 2 2 2 2 2 34 2 2" xfId="12878" xr:uid="{00000000-0005-0000-0000-000045320000}"/>
    <cellStyle name="Normal 2 2 2 2 2 34 2 3" xfId="12879" xr:uid="{00000000-0005-0000-0000-000046320000}"/>
    <cellStyle name="Normal 2 2 2 2 2 34 2 4" xfId="12880" xr:uid="{00000000-0005-0000-0000-000047320000}"/>
    <cellStyle name="Normal 2 2 2 2 2 34 2 5" xfId="12881" xr:uid="{00000000-0005-0000-0000-000048320000}"/>
    <cellStyle name="Normal 2 2 2 2 2 34 2 6" xfId="12882" xr:uid="{00000000-0005-0000-0000-000049320000}"/>
    <cellStyle name="Normal 2 2 2 2 2 34 2 7" xfId="12883" xr:uid="{00000000-0005-0000-0000-00004A320000}"/>
    <cellStyle name="Normal 2 2 2 2 2 34 2 8" xfId="12884" xr:uid="{00000000-0005-0000-0000-00004B320000}"/>
    <cellStyle name="Normal 2 2 2 2 2 34 2 9" xfId="12885" xr:uid="{00000000-0005-0000-0000-00004C320000}"/>
    <cellStyle name="Normal 2 2 2 2 2 34 3" xfId="12886" xr:uid="{00000000-0005-0000-0000-00004D320000}"/>
    <cellStyle name="Normal 2 2 2 2 2 34 3 10" xfId="12887" xr:uid="{00000000-0005-0000-0000-00004E320000}"/>
    <cellStyle name="Normal 2 2 2 2 2 34 3 2" xfId="12888" xr:uid="{00000000-0005-0000-0000-00004F320000}"/>
    <cellStyle name="Normal 2 2 2 2 2 34 3 3" xfId="12889" xr:uid="{00000000-0005-0000-0000-000050320000}"/>
    <cellStyle name="Normal 2 2 2 2 2 34 3 4" xfId="12890" xr:uid="{00000000-0005-0000-0000-000051320000}"/>
    <cellStyle name="Normal 2 2 2 2 2 34 3 5" xfId="12891" xr:uid="{00000000-0005-0000-0000-000052320000}"/>
    <cellStyle name="Normal 2 2 2 2 2 34 3 6" xfId="12892" xr:uid="{00000000-0005-0000-0000-000053320000}"/>
    <cellStyle name="Normal 2 2 2 2 2 34 3 7" xfId="12893" xr:uid="{00000000-0005-0000-0000-000054320000}"/>
    <cellStyle name="Normal 2 2 2 2 2 34 3 8" xfId="12894" xr:uid="{00000000-0005-0000-0000-000055320000}"/>
    <cellStyle name="Normal 2 2 2 2 2 34 3 9" xfId="12895" xr:uid="{00000000-0005-0000-0000-000056320000}"/>
    <cellStyle name="Normal 2 2 2 2 2 34 4" xfId="12896" xr:uid="{00000000-0005-0000-0000-000057320000}"/>
    <cellStyle name="Normal 2 2 2 2 2 34 4 10" xfId="12897" xr:uid="{00000000-0005-0000-0000-000058320000}"/>
    <cellStyle name="Normal 2 2 2 2 2 34 4 2" xfId="12898" xr:uid="{00000000-0005-0000-0000-000059320000}"/>
    <cellStyle name="Normal 2 2 2 2 2 34 4 3" xfId="12899" xr:uid="{00000000-0005-0000-0000-00005A320000}"/>
    <cellStyle name="Normal 2 2 2 2 2 34 4 4" xfId="12900" xr:uid="{00000000-0005-0000-0000-00005B320000}"/>
    <cellStyle name="Normal 2 2 2 2 2 34 4 5" xfId="12901" xr:uid="{00000000-0005-0000-0000-00005C320000}"/>
    <cellStyle name="Normal 2 2 2 2 2 34 4 6" xfId="12902" xr:uid="{00000000-0005-0000-0000-00005D320000}"/>
    <cellStyle name="Normal 2 2 2 2 2 34 4 7" xfId="12903" xr:uid="{00000000-0005-0000-0000-00005E320000}"/>
    <cellStyle name="Normal 2 2 2 2 2 34 4 8" xfId="12904" xr:uid="{00000000-0005-0000-0000-00005F320000}"/>
    <cellStyle name="Normal 2 2 2 2 2 34 4 9" xfId="12905" xr:uid="{00000000-0005-0000-0000-000060320000}"/>
    <cellStyle name="Normal 2 2 2 2 2 34 5" xfId="12906" xr:uid="{00000000-0005-0000-0000-000061320000}"/>
    <cellStyle name="Normal 2 2 2 2 2 34 5 10" xfId="12907" xr:uid="{00000000-0005-0000-0000-000062320000}"/>
    <cellStyle name="Normal 2 2 2 2 2 34 5 2" xfId="12908" xr:uid="{00000000-0005-0000-0000-000063320000}"/>
    <cellStyle name="Normal 2 2 2 2 2 34 5 3" xfId="12909" xr:uid="{00000000-0005-0000-0000-000064320000}"/>
    <cellStyle name="Normal 2 2 2 2 2 34 5 4" xfId="12910" xr:uid="{00000000-0005-0000-0000-000065320000}"/>
    <cellStyle name="Normal 2 2 2 2 2 34 5 5" xfId="12911" xr:uid="{00000000-0005-0000-0000-000066320000}"/>
    <cellStyle name="Normal 2 2 2 2 2 34 5 6" xfId="12912" xr:uid="{00000000-0005-0000-0000-000067320000}"/>
    <cellStyle name="Normal 2 2 2 2 2 34 5 7" xfId="12913" xr:uid="{00000000-0005-0000-0000-000068320000}"/>
    <cellStyle name="Normal 2 2 2 2 2 34 5 8" xfId="12914" xr:uid="{00000000-0005-0000-0000-000069320000}"/>
    <cellStyle name="Normal 2 2 2 2 2 34 5 9" xfId="12915" xr:uid="{00000000-0005-0000-0000-00006A320000}"/>
    <cellStyle name="Normal 2 2 2 2 2 34 6" xfId="12916" xr:uid="{00000000-0005-0000-0000-00006B320000}"/>
    <cellStyle name="Normal 2 2 2 2 2 34 7" xfId="12917" xr:uid="{00000000-0005-0000-0000-00006C320000}"/>
    <cellStyle name="Normal 2 2 2 2 2 34 8" xfId="12918" xr:uid="{00000000-0005-0000-0000-00006D320000}"/>
    <cellStyle name="Normal 2 2 2 2 2 34 9" xfId="12919" xr:uid="{00000000-0005-0000-0000-00006E320000}"/>
    <cellStyle name="Normal 2 2 2 2 2 35" xfId="12920" xr:uid="{00000000-0005-0000-0000-00006F320000}"/>
    <cellStyle name="Normal 2 2 2 2 2 35 10" xfId="12921" xr:uid="{00000000-0005-0000-0000-000070320000}"/>
    <cellStyle name="Normal 2 2 2 2 2 35 2" xfId="12922" xr:uid="{00000000-0005-0000-0000-000071320000}"/>
    <cellStyle name="Normal 2 2 2 2 2 35 3" xfId="12923" xr:uid="{00000000-0005-0000-0000-000072320000}"/>
    <cellStyle name="Normal 2 2 2 2 2 35 4" xfId="12924" xr:uid="{00000000-0005-0000-0000-000073320000}"/>
    <cellStyle name="Normal 2 2 2 2 2 35 5" xfId="12925" xr:uid="{00000000-0005-0000-0000-000074320000}"/>
    <cellStyle name="Normal 2 2 2 2 2 35 6" xfId="12926" xr:uid="{00000000-0005-0000-0000-000075320000}"/>
    <cellStyle name="Normal 2 2 2 2 2 35 7" xfId="12927" xr:uid="{00000000-0005-0000-0000-000076320000}"/>
    <cellStyle name="Normal 2 2 2 2 2 35 8" xfId="12928" xr:uid="{00000000-0005-0000-0000-000077320000}"/>
    <cellStyle name="Normal 2 2 2 2 2 35 9" xfId="12929" xr:uid="{00000000-0005-0000-0000-000078320000}"/>
    <cellStyle name="Normal 2 2 2 2 2 36" xfId="12930" xr:uid="{00000000-0005-0000-0000-000079320000}"/>
    <cellStyle name="Normal 2 2 2 2 2 36 10" xfId="12931" xr:uid="{00000000-0005-0000-0000-00007A320000}"/>
    <cellStyle name="Normal 2 2 2 2 2 36 2" xfId="12932" xr:uid="{00000000-0005-0000-0000-00007B320000}"/>
    <cellStyle name="Normal 2 2 2 2 2 36 3" xfId="12933" xr:uid="{00000000-0005-0000-0000-00007C320000}"/>
    <cellStyle name="Normal 2 2 2 2 2 36 4" xfId="12934" xr:uid="{00000000-0005-0000-0000-00007D320000}"/>
    <cellStyle name="Normal 2 2 2 2 2 36 5" xfId="12935" xr:uid="{00000000-0005-0000-0000-00007E320000}"/>
    <cellStyle name="Normal 2 2 2 2 2 36 6" xfId="12936" xr:uid="{00000000-0005-0000-0000-00007F320000}"/>
    <cellStyle name="Normal 2 2 2 2 2 36 7" xfId="12937" xr:uid="{00000000-0005-0000-0000-000080320000}"/>
    <cellStyle name="Normal 2 2 2 2 2 36 8" xfId="12938" xr:uid="{00000000-0005-0000-0000-000081320000}"/>
    <cellStyle name="Normal 2 2 2 2 2 36 9" xfId="12939" xr:uid="{00000000-0005-0000-0000-000082320000}"/>
    <cellStyle name="Normal 2 2 2 2 2 37" xfId="12940" xr:uid="{00000000-0005-0000-0000-000083320000}"/>
    <cellStyle name="Normal 2 2 2 2 2 37 10" xfId="12941" xr:uid="{00000000-0005-0000-0000-000084320000}"/>
    <cellStyle name="Normal 2 2 2 2 2 37 2" xfId="12942" xr:uid="{00000000-0005-0000-0000-000085320000}"/>
    <cellStyle name="Normal 2 2 2 2 2 37 3" xfId="12943" xr:uid="{00000000-0005-0000-0000-000086320000}"/>
    <cellStyle name="Normal 2 2 2 2 2 37 4" xfId="12944" xr:uid="{00000000-0005-0000-0000-000087320000}"/>
    <cellStyle name="Normal 2 2 2 2 2 37 5" xfId="12945" xr:uid="{00000000-0005-0000-0000-000088320000}"/>
    <cellStyle name="Normal 2 2 2 2 2 37 6" xfId="12946" xr:uid="{00000000-0005-0000-0000-000089320000}"/>
    <cellStyle name="Normal 2 2 2 2 2 37 7" xfId="12947" xr:uid="{00000000-0005-0000-0000-00008A320000}"/>
    <cellStyle name="Normal 2 2 2 2 2 37 8" xfId="12948" xr:uid="{00000000-0005-0000-0000-00008B320000}"/>
    <cellStyle name="Normal 2 2 2 2 2 37 9" xfId="12949" xr:uid="{00000000-0005-0000-0000-00008C320000}"/>
    <cellStyle name="Normal 2 2 2 2 2 38" xfId="12950" xr:uid="{00000000-0005-0000-0000-00008D320000}"/>
    <cellStyle name="Normal 2 2 2 2 2 38 10" xfId="12951" xr:uid="{00000000-0005-0000-0000-00008E320000}"/>
    <cellStyle name="Normal 2 2 2 2 2 38 2" xfId="12952" xr:uid="{00000000-0005-0000-0000-00008F320000}"/>
    <cellStyle name="Normal 2 2 2 2 2 38 3" xfId="12953" xr:uid="{00000000-0005-0000-0000-000090320000}"/>
    <cellStyle name="Normal 2 2 2 2 2 38 4" xfId="12954" xr:uid="{00000000-0005-0000-0000-000091320000}"/>
    <cellStyle name="Normal 2 2 2 2 2 38 5" xfId="12955" xr:uid="{00000000-0005-0000-0000-000092320000}"/>
    <cellStyle name="Normal 2 2 2 2 2 38 6" xfId="12956" xr:uid="{00000000-0005-0000-0000-000093320000}"/>
    <cellStyle name="Normal 2 2 2 2 2 38 7" xfId="12957" xr:uid="{00000000-0005-0000-0000-000094320000}"/>
    <cellStyle name="Normal 2 2 2 2 2 38 8" xfId="12958" xr:uid="{00000000-0005-0000-0000-000095320000}"/>
    <cellStyle name="Normal 2 2 2 2 2 38 9" xfId="12959" xr:uid="{00000000-0005-0000-0000-000096320000}"/>
    <cellStyle name="Normal 2 2 2 2 2 39" xfId="12960" xr:uid="{00000000-0005-0000-0000-000097320000}"/>
    <cellStyle name="Normal 2 2 2 2 2 4" xfId="12961" xr:uid="{00000000-0005-0000-0000-000098320000}"/>
    <cellStyle name="Normal 2 2 2 2 2 4 10" xfId="12962" xr:uid="{00000000-0005-0000-0000-000099320000}"/>
    <cellStyle name="Normal 2 2 2 2 2 4 11" xfId="12963" xr:uid="{00000000-0005-0000-0000-00009A320000}"/>
    <cellStyle name="Normal 2 2 2 2 2 4 12" xfId="12964" xr:uid="{00000000-0005-0000-0000-00009B320000}"/>
    <cellStyle name="Normal 2 2 2 2 2 4 13" xfId="12965" xr:uid="{00000000-0005-0000-0000-00009C320000}"/>
    <cellStyle name="Normal 2 2 2 2 2 4 14" xfId="12966" xr:uid="{00000000-0005-0000-0000-00009D320000}"/>
    <cellStyle name="Normal 2 2 2 2 2 4 15" xfId="12967" xr:uid="{00000000-0005-0000-0000-00009E320000}"/>
    <cellStyle name="Normal 2 2 2 2 2 4 16" xfId="12968" xr:uid="{00000000-0005-0000-0000-00009F320000}"/>
    <cellStyle name="Normal 2 2 2 2 2 4 2" xfId="12969" xr:uid="{00000000-0005-0000-0000-0000A0320000}"/>
    <cellStyle name="Normal 2 2 2 2 2 4 2 10" xfId="12970" xr:uid="{00000000-0005-0000-0000-0000A1320000}"/>
    <cellStyle name="Normal 2 2 2 2 2 4 2 2" xfId="12971" xr:uid="{00000000-0005-0000-0000-0000A2320000}"/>
    <cellStyle name="Normal 2 2 2 2 2 4 2 3" xfId="12972" xr:uid="{00000000-0005-0000-0000-0000A3320000}"/>
    <cellStyle name="Normal 2 2 2 2 2 4 2 4" xfId="12973" xr:uid="{00000000-0005-0000-0000-0000A4320000}"/>
    <cellStyle name="Normal 2 2 2 2 2 4 2 5" xfId="12974" xr:uid="{00000000-0005-0000-0000-0000A5320000}"/>
    <cellStyle name="Normal 2 2 2 2 2 4 2 6" xfId="12975" xr:uid="{00000000-0005-0000-0000-0000A6320000}"/>
    <cellStyle name="Normal 2 2 2 2 2 4 2 7" xfId="12976" xr:uid="{00000000-0005-0000-0000-0000A7320000}"/>
    <cellStyle name="Normal 2 2 2 2 2 4 2 8" xfId="12977" xr:uid="{00000000-0005-0000-0000-0000A8320000}"/>
    <cellStyle name="Normal 2 2 2 2 2 4 2 9" xfId="12978" xr:uid="{00000000-0005-0000-0000-0000A9320000}"/>
    <cellStyle name="Normal 2 2 2 2 2 4 3" xfId="12979" xr:uid="{00000000-0005-0000-0000-0000AA320000}"/>
    <cellStyle name="Normal 2 2 2 2 2 4 3 10" xfId="12980" xr:uid="{00000000-0005-0000-0000-0000AB320000}"/>
    <cellStyle name="Normal 2 2 2 2 2 4 3 2" xfId="12981" xr:uid="{00000000-0005-0000-0000-0000AC320000}"/>
    <cellStyle name="Normal 2 2 2 2 2 4 3 3" xfId="12982" xr:uid="{00000000-0005-0000-0000-0000AD320000}"/>
    <cellStyle name="Normal 2 2 2 2 2 4 3 4" xfId="12983" xr:uid="{00000000-0005-0000-0000-0000AE320000}"/>
    <cellStyle name="Normal 2 2 2 2 2 4 3 5" xfId="12984" xr:uid="{00000000-0005-0000-0000-0000AF320000}"/>
    <cellStyle name="Normal 2 2 2 2 2 4 3 6" xfId="12985" xr:uid="{00000000-0005-0000-0000-0000B0320000}"/>
    <cellStyle name="Normal 2 2 2 2 2 4 3 7" xfId="12986" xr:uid="{00000000-0005-0000-0000-0000B1320000}"/>
    <cellStyle name="Normal 2 2 2 2 2 4 3 8" xfId="12987" xr:uid="{00000000-0005-0000-0000-0000B2320000}"/>
    <cellStyle name="Normal 2 2 2 2 2 4 3 9" xfId="12988" xr:uid="{00000000-0005-0000-0000-0000B3320000}"/>
    <cellStyle name="Normal 2 2 2 2 2 4 4" xfId="12989" xr:uid="{00000000-0005-0000-0000-0000B4320000}"/>
    <cellStyle name="Normal 2 2 2 2 2 4 4 10" xfId="12990" xr:uid="{00000000-0005-0000-0000-0000B5320000}"/>
    <cellStyle name="Normal 2 2 2 2 2 4 4 2" xfId="12991" xr:uid="{00000000-0005-0000-0000-0000B6320000}"/>
    <cellStyle name="Normal 2 2 2 2 2 4 4 3" xfId="12992" xr:uid="{00000000-0005-0000-0000-0000B7320000}"/>
    <cellStyle name="Normal 2 2 2 2 2 4 4 4" xfId="12993" xr:uid="{00000000-0005-0000-0000-0000B8320000}"/>
    <cellStyle name="Normal 2 2 2 2 2 4 4 5" xfId="12994" xr:uid="{00000000-0005-0000-0000-0000B9320000}"/>
    <cellStyle name="Normal 2 2 2 2 2 4 4 6" xfId="12995" xr:uid="{00000000-0005-0000-0000-0000BA320000}"/>
    <cellStyle name="Normal 2 2 2 2 2 4 4 7" xfId="12996" xr:uid="{00000000-0005-0000-0000-0000BB320000}"/>
    <cellStyle name="Normal 2 2 2 2 2 4 4 8" xfId="12997" xr:uid="{00000000-0005-0000-0000-0000BC320000}"/>
    <cellStyle name="Normal 2 2 2 2 2 4 4 9" xfId="12998" xr:uid="{00000000-0005-0000-0000-0000BD320000}"/>
    <cellStyle name="Normal 2 2 2 2 2 4 5" xfId="12999" xr:uid="{00000000-0005-0000-0000-0000BE320000}"/>
    <cellStyle name="Normal 2 2 2 2 2 4 5 10" xfId="13000" xr:uid="{00000000-0005-0000-0000-0000BF320000}"/>
    <cellStyle name="Normal 2 2 2 2 2 4 5 2" xfId="13001" xr:uid="{00000000-0005-0000-0000-0000C0320000}"/>
    <cellStyle name="Normal 2 2 2 2 2 4 5 3" xfId="13002" xr:uid="{00000000-0005-0000-0000-0000C1320000}"/>
    <cellStyle name="Normal 2 2 2 2 2 4 5 4" xfId="13003" xr:uid="{00000000-0005-0000-0000-0000C2320000}"/>
    <cellStyle name="Normal 2 2 2 2 2 4 5 5" xfId="13004" xr:uid="{00000000-0005-0000-0000-0000C3320000}"/>
    <cellStyle name="Normal 2 2 2 2 2 4 5 6" xfId="13005" xr:uid="{00000000-0005-0000-0000-0000C4320000}"/>
    <cellStyle name="Normal 2 2 2 2 2 4 5 7" xfId="13006" xr:uid="{00000000-0005-0000-0000-0000C5320000}"/>
    <cellStyle name="Normal 2 2 2 2 2 4 5 8" xfId="13007" xr:uid="{00000000-0005-0000-0000-0000C6320000}"/>
    <cellStyle name="Normal 2 2 2 2 2 4 5 9" xfId="13008" xr:uid="{00000000-0005-0000-0000-0000C7320000}"/>
    <cellStyle name="Normal 2 2 2 2 2 4 6" xfId="13009" xr:uid="{00000000-0005-0000-0000-0000C8320000}"/>
    <cellStyle name="Normal 2 2 2 2 2 4 7" xfId="13010" xr:uid="{00000000-0005-0000-0000-0000C9320000}"/>
    <cellStyle name="Normal 2 2 2 2 2 4 8" xfId="13011" xr:uid="{00000000-0005-0000-0000-0000CA320000}"/>
    <cellStyle name="Normal 2 2 2 2 2 4 9" xfId="13012" xr:uid="{00000000-0005-0000-0000-0000CB320000}"/>
    <cellStyle name="Normal 2 2 2 2 2 40" xfId="13013" xr:uid="{00000000-0005-0000-0000-0000CC320000}"/>
    <cellStyle name="Normal 2 2 2 2 2 41" xfId="13014" xr:uid="{00000000-0005-0000-0000-0000CD320000}"/>
    <cellStyle name="Normal 2 2 2 2 2 42" xfId="13015" xr:uid="{00000000-0005-0000-0000-0000CE320000}"/>
    <cellStyle name="Normal 2 2 2 2 2 43" xfId="13016" xr:uid="{00000000-0005-0000-0000-0000CF320000}"/>
    <cellStyle name="Normal 2 2 2 2 2 44" xfId="13017" xr:uid="{00000000-0005-0000-0000-0000D0320000}"/>
    <cellStyle name="Normal 2 2 2 2 2 45" xfId="13018" xr:uid="{00000000-0005-0000-0000-0000D1320000}"/>
    <cellStyle name="Normal 2 2 2 2 2 46" xfId="13019" xr:uid="{00000000-0005-0000-0000-0000D2320000}"/>
    <cellStyle name="Normal 2 2 2 2 2 47" xfId="13020" xr:uid="{00000000-0005-0000-0000-0000D3320000}"/>
    <cellStyle name="Normal 2 2 2 2 2 48" xfId="13021" xr:uid="{00000000-0005-0000-0000-0000D4320000}"/>
    <cellStyle name="Normal 2 2 2 2 2 49" xfId="13022" xr:uid="{00000000-0005-0000-0000-0000D5320000}"/>
    <cellStyle name="Normal 2 2 2 2 2 5" xfId="13023" xr:uid="{00000000-0005-0000-0000-0000D6320000}"/>
    <cellStyle name="Normal 2 2 2 2 2 5 10" xfId="13024" xr:uid="{00000000-0005-0000-0000-0000D7320000}"/>
    <cellStyle name="Normal 2 2 2 2 2 5 11" xfId="13025" xr:uid="{00000000-0005-0000-0000-0000D8320000}"/>
    <cellStyle name="Normal 2 2 2 2 2 5 12" xfId="13026" xr:uid="{00000000-0005-0000-0000-0000D9320000}"/>
    <cellStyle name="Normal 2 2 2 2 2 5 13" xfId="13027" xr:uid="{00000000-0005-0000-0000-0000DA320000}"/>
    <cellStyle name="Normal 2 2 2 2 2 5 14" xfId="13028" xr:uid="{00000000-0005-0000-0000-0000DB320000}"/>
    <cellStyle name="Normal 2 2 2 2 2 5 2" xfId="13029" xr:uid="{00000000-0005-0000-0000-0000DC320000}"/>
    <cellStyle name="Normal 2 2 2 2 2 5 2 10" xfId="13030" xr:uid="{00000000-0005-0000-0000-0000DD320000}"/>
    <cellStyle name="Normal 2 2 2 2 2 5 2 2" xfId="13031" xr:uid="{00000000-0005-0000-0000-0000DE320000}"/>
    <cellStyle name="Normal 2 2 2 2 2 5 2 3" xfId="13032" xr:uid="{00000000-0005-0000-0000-0000DF320000}"/>
    <cellStyle name="Normal 2 2 2 2 2 5 2 4" xfId="13033" xr:uid="{00000000-0005-0000-0000-0000E0320000}"/>
    <cellStyle name="Normal 2 2 2 2 2 5 2 5" xfId="13034" xr:uid="{00000000-0005-0000-0000-0000E1320000}"/>
    <cellStyle name="Normal 2 2 2 2 2 5 2 6" xfId="13035" xr:uid="{00000000-0005-0000-0000-0000E2320000}"/>
    <cellStyle name="Normal 2 2 2 2 2 5 2 7" xfId="13036" xr:uid="{00000000-0005-0000-0000-0000E3320000}"/>
    <cellStyle name="Normal 2 2 2 2 2 5 2 8" xfId="13037" xr:uid="{00000000-0005-0000-0000-0000E4320000}"/>
    <cellStyle name="Normal 2 2 2 2 2 5 2 9" xfId="13038" xr:uid="{00000000-0005-0000-0000-0000E5320000}"/>
    <cellStyle name="Normal 2 2 2 2 2 5 3" xfId="13039" xr:uid="{00000000-0005-0000-0000-0000E6320000}"/>
    <cellStyle name="Normal 2 2 2 2 2 5 3 10" xfId="13040" xr:uid="{00000000-0005-0000-0000-0000E7320000}"/>
    <cellStyle name="Normal 2 2 2 2 2 5 3 2" xfId="13041" xr:uid="{00000000-0005-0000-0000-0000E8320000}"/>
    <cellStyle name="Normal 2 2 2 2 2 5 3 3" xfId="13042" xr:uid="{00000000-0005-0000-0000-0000E9320000}"/>
    <cellStyle name="Normal 2 2 2 2 2 5 3 4" xfId="13043" xr:uid="{00000000-0005-0000-0000-0000EA320000}"/>
    <cellStyle name="Normal 2 2 2 2 2 5 3 5" xfId="13044" xr:uid="{00000000-0005-0000-0000-0000EB320000}"/>
    <cellStyle name="Normal 2 2 2 2 2 5 3 6" xfId="13045" xr:uid="{00000000-0005-0000-0000-0000EC320000}"/>
    <cellStyle name="Normal 2 2 2 2 2 5 3 7" xfId="13046" xr:uid="{00000000-0005-0000-0000-0000ED320000}"/>
    <cellStyle name="Normal 2 2 2 2 2 5 3 8" xfId="13047" xr:uid="{00000000-0005-0000-0000-0000EE320000}"/>
    <cellStyle name="Normal 2 2 2 2 2 5 3 9" xfId="13048" xr:uid="{00000000-0005-0000-0000-0000EF320000}"/>
    <cellStyle name="Normal 2 2 2 2 2 5 4" xfId="13049" xr:uid="{00000000-0005-0000-0000-0000F0320000}"/>
    <cellStyle name="Normal 2 2 2 2 2 5 4 10" xfId="13050" xr:uid="{00000000-0005-0000-0000-0000F1320000}"/>
    <cellStyle name="Normal 2 2 2 2 2 5 4 2" xfId="13051" xr:uid="{00000000-0005-0000-0000-0000F2320000}"/>
    <cellStyle name="Normal 2 2 2 2 2 5 4 3" xfId="13052" xr:uid="{00000000-0005-0000-0000-0000F3320000}"/>
    <cellStyle name="Normal 2 2 2 2 2 5 4 4" xfId="13053" xr:uid="{00000000-0005-0000-0000-0000F4320000}"/>
    <cellStyle name="Normal 2 2 2 2 2 5 4 5" xfId="13054" xr:uid="{00000000-0005-0000-0000-0000F5320000}"/>
    <cellStyle name="Normal 2 2 2 2 2 5 4 6" xfId="13055" xr:uid="{00000000-0005-0000-0000-0000F6320000}"/>
    <cellStyle name="Normal 2 2 2 2 2 5 4 7" xfId="13056" xr:uid="{00000000-0005-0000-0000-0000F7320000}"/>
    <cellStyle name="Normal 2 2 2 2 2 5 4 8" xfId="13057" xr:uid="{00000000-0005-0000-0000-0000F8320000}"/>
    <cellStyle name="Normal 2 2 2 2 2 5 4 9" xfId="13058" xr:uid="{00000000-0005-0000-0000-0000F9320000}"/>
    <cellStyle name="Normal 2 2 2 2 2 5 5" xfId="13059" xr:uid="{00000000-0005-0000-0000-0000FA320000}"/>
    <cellStyle name="Normal 2 2 2 2 2 5 5 10" xfId="13060" xr:uid="{00000000-0005-0000-0000-0000FB320000}"/>
    <cellStyle name="Normal 2 2 2 2 2 5 5 2" xfId="13061" xr:uid="{00000000-0005-0000-0000-0000FC320000}"/>
    <cellStyle name="Normal 2 2 2 2 2 5 5 3" xfId="13062" xr:uid="{00000000-0005-0000-0000-0000FD320000}"/>
    <cellStyle name="Normal 2 2 2 2 2 5 5 4" xfId="13063" xr:uid="{00000000-0005-0000-0000-0000FE320000}"/>
    <cellStyle name="Normal 2 2 2 2 2 5 5 5" xfId="13064" xr:uid="{00000000-0005-0000-0000-0000FF320000}"/>
    <cellStyle name="Normal 2 2 2 2 2 5 5 6" xfId="13065" xr:uid="{00000000-0005-0000-0000-000000330000}"/>
    <cellStyle name="Normal 2 2 2 2 2 5 5 7" xfId="13066" xr:uid="{00000000-0005-0000-0000-000001330000}"/>
    <cellStyle name="Normal 2 2 2 2 2 5 5 8" xfId="13067" xr:uid="{00000000-0005-0000-0000-000002330000}"/>
    <cellStyle name="Normal 2 2 2 2 2 5 5 9" xfId="13068" xr:uid="{00000000-0005-0000-0000-000003330000}"/>
    <cellStyle name="Normal 2 2 2 2 2 5 6" xfId="13069" xr:uid="{00000000-0005-0000-0000-000004330000}"/>
    <cellStyle name="Normal 2 2 2 2 2 5 7" xfId="13070" xr:uid="{00000000-0005-0000-0000-000005330000}"/>
    <cellStyle name="Normal 2 2 2 2 2 5 8" xfId="13071" xr:uid="{00000000-0005-0000-0000-000006330000}"/>
    <cellStyle name="Normal 2 2 2 2 2 5 9" xfId="13072" xr:uid="{00000000-0005-0000-0000-000007330000}"/>
    <cellStyle name="Normal 2 2 2 2 2 6" xfId="13073" xr:uid="{00000000-0005-0000-0000-000008330000}"/>
    <cellStyle name="Normal 2 2 2 2 2 6 10" xfId="13074" xr:uid="{00000000-0005-0000-0000-000009330000}"/>
    <cellStyle name="Normal 2 2 2 2 2 6 11" xfId="13075" xr:uid="{00000000-0005-0000-0000-00000A330000}"/>
    <cellStyle name="Normal 2 2 2 2 2 6 12" xfId="13076" xr:uid="{00000000-0005-0000-0000-00000B330000}"/>
    <cellStyle name="Normal 2 2 2 2 2 6 13" xfId="13077" xr:uid="{00000000-0005-0000-0000-00000C330000}"/>
    <cellStyle name="Normal 2 2 2 2 2 6 14" xfId="13078" xr:uid="{00000000-0005-0000-0000-00000D330000}"/>
    <cellStyle name="Normal 2 2 2 2 2 6 2" xfId="13079" xr:uid="{00000000-0005-0000-0000-00000E330000}"/>
    <cellStyle name="Normal 2 2 2 2 2 6 2 10" xfId="13080" xr:uid="{00000000-0005-0000-0000-00000F330000}"/>
    <cellStyle name="Normal 2 2 2 2 2 6 2 2" xfId="13081" xr:uid="{00000000-0005-0000-0000-000010330000}"/>
    <cellStyle name="Normal 2 2 2 2 2 6 2 3" xfId="13082" xr:uid="{00000000-0005-0000-0000-000011330000}"/>
    <cellStyle name="Normal 2 2 2 2 2 6 2 4" xfId="13083" xr:uid="{00000000-0005-0000-0000-000012330000}"/>
    <cellStyle name="Normal 2 2 2 2 2 6 2 5" xfId="13084" xr:uid="{00000000-0005-0000-0000-000013330000}"/>
    <cellStyle name="Normal 2 2 2 2 2 6 2 6" xfId="13085" xr:uid="{00000000-0005-0000-0000-000014330000}"/>
    <cellStyle name="Normal 2 2 2 2 2 6 2 7" xfId="13086" xr:uid="{00000000-0005-0000-0000-000015330000}"/>
    <cellStyle name="Normal 2 2 2 2 2 6 2 8" xfId="13087" xr:uid="{00000000-0005-0000-0000-000016330000}"/>
    <cellStyle name="Normal 2 2 2 2 2 6 2 9" xfId="13088" xr:uid="{00000000-0005-0000-0000-000017330000}"/>
    <cellStyle name="Normal 2 2 2 2 2 6 3" xfId="13089" xr:uid="{00000000-0005-0000-0000-000018330000}"/>
    <cellStyle name="Normal 2 2 2 2 2 6 3 10" xfId="13090" xr:uid="{00000000-0005-0000-0000-000019330000}"/>
    <cellStyle name="Normal 2 2 2 2 2 6 3 2" xfId="13091" xr:uid="{00000000-0005-0000-0000-00001A330000}"/>
    <cellStyle name="Normal 2 2 2 2 2 6 3 3" xfId="13092" xr:uid="{00000000-0005-0000-0000-00001B330000}"/>
    <cellStyle name="Normal 2 2 2 2 2 6 3 4" xfId="13093" xr:uid="{00000000-0005-0000-0000-00001C330000}"/>
    <cellStyle name="Normal 2 2 2 2 2 6 3 5" xfId="13094" xr:uid="{00000000-0005-0000-0000-00001D330000}"/>
    <cellStyle name="Normal 2 2 2 2 2 6 3 6" xfId="13095" xr:uid="{00000000-0005-0000-0000-00001E330000}"/>
    <cellStyle name="Normal 2 2 2 2 2 6 3 7" xfId="13096" xr:uid="{00000000-0005-0000-0000-00001F330000}"/>
    <cellStyle name="Normal 2 2 2 2 2 6 3 8" xfId="13097" xr:uid="{00000000-0005-0000-0000-000020330000}"/>
    <cellStyle name="Normal 2 2 2 2 2 6 3 9" xfId="13098" xr:uid="{00000000-0005-0000-0000-000021330000}"/>
    <cellStyle name="Normal 2 2 2 2 2 6 4" xfId="13099" xr:uid="{00000000-0005-0000-0000-000022330000}"/>
    <cellStyle name="Normal 2 2 2 2 2 6 4 10" xfId="13100" xr:uid="{00000000-0005-0000-0000-000023330000}"/>
    <cellStyle name="Normal 2 2 2 2 2 6 4 2" xfId="13101" xr:uid="{00000000-0005-0000-0000-000024330000}"/>
    <cellStyle name="Normal 2 2 2 2 2 6 4 3" xfId="13102" xr:uid="{00000000-0005-0000-0000-000025330000}"/>
    <cellStyle name="Normal 2 2 2 2 2 6 4 4" xfId="13103" xr:uid="{00000000-0005-0000-0000-000026330000}"/>
    <cellStyle name="Normal 2 2 2 2 2 6 4 5" xfId="13104" xr:uid="{00000000-0005-0000-0000-000027330000}"/>
    <cellStyle name="Normal 2 2 2 2 2 6 4 6" xfId="13105" xr:uid="{00000000-0005-0000-0000-000028330000}"/>
    <cellStyle name="Normal 2 2 2 2 2 6 4 7" xfId="13106" xr:uid="{00000000-0005-0000-0000-000029330000}"/>
    <cellStyle name="Normal 2 2 2 2 2 6 4 8" xfId="13107" xr:uid="{00000000-0005-0000-0000-00002A330000}"/>
    <cellStyle name="Normal 2 2 2 2 2 6 4 9" xfId="13108" xr:uid="{00000000-0005-0000-0000-00002B330000}"/>
    <cellStyle name="Normal 2 2 2 2 2 6 5" xfId="13109" xr:uid="{00000000-0005-0000-0000-00002C330000}"/>
    <cellStyle name="Normal 2 2 2 2 2 6 5 10" xfId="13110" xr:uid="{00000000-0005-0000-0000-00002D330000}"/>
    <cellStyle name="Normal 2 2 2 2 2 6 5 2" xfId="13111" xr:uid="{00000000-0005-0000-0000-00002E330000}"/>
    <cellStyle name="Normal 2 2 2 2 2 6 5 3" xfId="13112" xr:uid="{00000000-0005-0000-0000-00002F330000}"/>
    <cellStyle name="Normal 2 2 2 2 2 6 5 4" xfId="13113" xr:uid="{00000000-0005-0000-0000-000030330000}"/>
    <cellStyle name="Normal 2 2 2 2 2 6 5 5" xfId="13114" xr:uid="{00000000-0005-0000-0000-000031330000}"/>
    <cellStyle name="Normal 2 2 2 2 2 6 5 6" xfId="13115" xr:uid="{00000000-0005-0000-0000-000032330000}"/>
    <cellStyle name="Normal 2 2 2 2 2 6 5 7" xfId="13116" xr:uid="{00000000-0005-0000-0000-000033330000}"/>
    <cellStyle name="Normal 2 2 2 2 2 6 5 8" xfId="13117" xr:uid="{00000000-0005-0000-0000-000034330000}"/>
    <cellStyle name="Normal 2 2 2 2 2 6 5 9" xfId="13118" xr:uid="{00000000-0005-0000-0000-000035330000}"/>
    <cellStyle name="Normal 2 2 2 2 2 6 6" xfId="13119" xr:uid="{00000000-0005-0000-0000-000036330000}"/>
    <cellStyle name="Normal 2 2 2 2 2 6 7" xfId="13120" xr:uid="{00000000-0005-0000-0000-000037330000}"/>
    <cellStyle name="Normal 2 2 2 2 2 6 8" xfId="13121" xr:uid="{00000000-0005-0000-0000-000038330000}"/>
    <cellStyle name="Normal 2 2 2 2 2 6 9" xfId="13122" xr:uid="{00000000-0005-0000-0000-000039330000}"/>
    <cellStyle name="Normal 2 2 2 2 2 7" xfId="13123" xr:uid="{00000000-0005-0000-0000-00003A330000}"/>
    <cellStyle name="Normal 2 2 2 2 2 7 10" xfId="13124" xr:uid="{00000000-0005-0000-0000-00003B330000}"/>
    <cellStyle name="Normal 2 2 2 2 2 7 11" xfId="13125" xr:uid="{00000000-0005-0000-0000-00003C330000}"/>
    <cellStyle name="Normal 2 2 2 2 2 7 12" xfId="13126" xr:uid="{00000000-0005-0000-0000-00003D330000}"/>
    <cellStyle name="Normal 2 2 2 2 2 7 13" xfId="13127" xr:uid="{00000000-0005-0000-0000-00003E330000}"/>
    <cellStyle name="Normal 2 2 2 2 2 7 14" xfId="13128" xr:uid="{00000000-0005-0000-0000-00003F330000}"/>
    <cellStyle name="Normal 2 2 2 2 2 7 2" xfId="13129" xr:uid="{00000000-0005-0000-0000-000040330000}"/>
    <cellStyle name="Normal 2 2 2 2 2 7 2 10" xfId="13130" xr:uid="{00000000-0005-0000-0000-000041330000}"/>
    <cellStyle name="Normal 2 2 2 2 2 7 2 2" xfId="13131" xr:uid="{00000000-0005-0000-0000-000042330000}"/>
    <cellStyle name="Normal 2 2 2 2 2 7 2 3" xfId="13132" xr:uid="{00000000-0005-0000-0000-000043330000}"/>
    <cellStyle name="Normal 2 2 2 2 2 7 2 4" xfId="13133" xr:uid="{00000000-0005-0000-0000-000044330000}"/>
    <cellStyle name="Normal 2 2 2 2 2 7 2 5" xfId="13134" xr:uid="{00000000-0005-0000-0000-000045330000}"/>
    <cellStyle name="Normal 2 2 2 2 2 7 2 6" xfId="13135" xr:uid="{00000000-0005-0000-0000-000046330000}"/>
    <cellStyle name="Normal 2 2 2 2 2 7 2 7" xfId="13136" xr:uid="{00000000-0005-0000-0000-000047330000}"/>
    <cellStyle name="Normal 2 2 2 2 2 7 2 8" xfId="13137" xr:uid="{00000000-0005-0000-0000-000048330000}"/>
    <cellStyle name="Normal 2 2 2 2 2 7 2 9" xfId="13138" xr:uid="{00000000-0005-0000-0000-000049330000}"/>
    <cellStyle name="Normal 2 2 2 2 2 7 3" xfId="13139" xr:uid="{00000000-0005-0000-0000-00004A330000}"/>
    <cellStyle name="Normal 2 2 2 2 2 7 3 10" xfId="13140" xr:uid="{00000000-0005-0000-0000-00004B330000}"/>
    <cellStyle name="Normal 2 2 2 2 2 7 3 2" xfId="13141" xr:uid="{00000000-0005-0000-0000-00004C330000}"/>
    <cellStyle name="Normal 2 2 2 2 2 7 3 3" xfId="13142" xr:uid="{00000000-0005-0000-0000-00004D330000}"/>
    <cellStyle name="Normal 2 2 2 2 2 7 3 4" xfId="13143" xr:uid="{00000000-0005-0000-0000-00004E330000}"/>
    <cellStyle name="Normal 2 2 2 2 2 7 3 5" xfId="13144" xr:uid="{00000000-0005-0000-0000-00004F330000}"/>
    <cellStyle name="Normal 2 2 2 2 2 7 3 6" xfId="13145" xr:uid="{00000000-0005-0000-0000-000050330000}"/>
    <cellStyle name="Normal 2 2 2 2 2 7 3 7" xfId="13146" xr:uid="{00000000-0005-0000-0000-000051330000}"/>
    <cellStyle name="Normal 2 2 2 2 2 7 3 8" xfId="13147" xr:uid="{00000000-0005-0000-0000-000052330000}"/>
    <cellStyle name="Normal 2 2 2 2 2 7 3 9" xfId="13148" xr:uid="{00000000-0005-0000-0000-000053330000}"/>
    <cellStyle name="Normal 2 2 2 2 2 7 4" xfId="13149" xr:uid="{00000000-0005-0000-0000-000054330000}"/>
    <cellStyle name="Normal 2 2 2 2 2 7 4 10" xfId="13150" xr:uid="{00000000-0005-0000-0000-000055330000}"/>
    <cellStyle name="Normal 2 2 2 2 2 7 4 2" xfId="13151" xr:uid="{00000000-0005-0000-0000-000056330000}"/>
    <cellStyle name="Normal 2 2 2 2 2 7 4 3" xfId="13152" xr:uid="{00000000-0005-0000-0000-000057330000}"/>
    <cellStyle name="Normal 2 2 2 2 2 7 4 4" xfId="13153" xr:uid="{00000000-0005-0000-0000-000058330000}"/>
    <cellStyle name="Normal 2 2 2 2 2 7 4 5" xfId="13154" xr:uid="{00000000-0005-0000-0000-000059330000}"/>
    <cellStyle name="Normal 2 2 2 2 2 7 4 6" xfId="13155" xr:uid="{00000000-0005-0000-0000-00005A330000}"/>
    <cellStyle name="Normal 2 2 2 2 2 7 4 7" xfId="13156" xr:uid="{00000000-0005-0000-0000-00005B330000}"/>
    <cellStyle name="Normal 2 2 2 2 2 7 4 8" xfId="13157" xr:uid="{00000000-0005-0000-0000-00005C330000}"/>
    <cellStyle name="Normal 2 2 2 2 2 7 4 9" xfId="13158" xr:uid="{00000000-0005-0000-0000-00005D330000}"/>
    <cellStyle name="Normal 2 2 2 2 2 7 5" xfId="13159" xr:uid="{00000000-0005-0000-0000-00005E330000}"/>
    <cellStyle name="Normal 2 2 2 2 2 7 5 10" xfId="13160" xr:uid="{00000000-0005-0000-0000-00005F330000}"/>
    <cellStyle name="Normal 2 2 2 2 2 7 5 2" xfId="13161" xr:uid="{00000000-0005-0000-0000-000060330000}"/>
    <cellStyle name="Normal 2 2 2 2 2 7 5 3" xfId="13162" xr:uid="{00000000-0005-0000-0000-000061330000}"/>
    <cellStyle name="Normal 2 2 2 2 2 7 5 4" xfId="13163" xr:uid="{00000000-0005-0000-0000-000062330000}"/>
    <cellStyle name="Normal 2 2 2 2 2 7 5 5" xfId="13164" xr:uid="{00000000-0005-0000-0000-000063330000}"/>
    <cellStyle name="Normal 2 2 2 2 2 7 5 6" xfId="13165" xr:uid="{00000000-0005-0000-0000-000064330000}"/>
    <cellStyle name="Normal 2 2 2 2 2 7 5 7" xfId="13166" xr:uid="{00000000-0005-0000-0000-000065330000}"/>
    <cellStyle name="Normal 2 2 2 2 2 7 5 8" xfId="13167" xr:uid="{00000000-0005-0000-0000-000066330000}"/>
    <cellStyle name="Normal 2 2 2 2 2 7 5 9" xfId="13168" xr:uid="{00000000-0005-0000-0000-000067330000}"/>
    <cellStyle name="Normal 2 2 2 2 2 7 6" xfId="13169" xr:uid="{00000000-0005-0000-0000-000068330000}"/>
    <cellStyle name="Normal 2 2 2 2 2 7 7" xfId="13170" xr:uid="{00000000-0005-0000-0000-000069330000}"/>
    <cellStyle name="Normal 2 2 2 2 2 7 8" xfId="13171" xr:uid="{00000000-0005-0000-0000-00006A330000}"/>
    <cellStyle name="Normal 2 2 2 2 2 7 9" xfId="13172" xr:uid="{00000000-0005-0000-0000-00006B330000}"/>
    <cellStyle name="Normal 2 2 2 2 2 8" xfId="13173" xr:uid="{00000000-0005-0000-0000-00006C330000}"/>
    <cellStyle name="Normal 2 2 2 2 2 8 10" xfId="13174" xr:uid="{00000000-0005-0000-0000-00006D330000}"/>
    <cellStyle name="Normal 2 2 2 2 2 8 11" xfId="13175" xr:uid="{00000000-0005-0000-0000-00006E330000}"/>
    <cellStyle name="Normal 2 2 2 2 2 8 12" xfId="13176" xr:uid="{00000000-0005-0000-0000-00006F330000}"/>
    <cellStyle name="Normal 2 2 2 2 2 8 13" xfId="13177" xr:uid="{00000000-0005-0000-0000-000070330000}"/>
    <cellStyle name="Normal 2 2 2 2 2 8 14" xfId="13178" xr:uid="{00000000-0005-0000-0000-000071330000}"/>
    <cellStyle name="Normal 2 2 2 2 2 8 2" xfId="13179" xr:uid="{00000000-0005-0000-0000-000072330000}"/>
    <cellStyle name="Normal 2 2 2 2 2 8 2 10" xfId="13180" xr:uid="{00000000-0005-0000-0000-000073330000}"/>
    <cellStyle name="Normal 2 2 2 2 2 8 2 2" xfId="13181" xr:uid="{00000000-0005-0000-0000-000074330000}"/>
    <cellStyle name="Normal 2 2 2 2 2 8 2 3" xfId="13182" xr:uid="{00000000-0005-0000-0000-000075330000}"/>
    <cellStyle name="Normal 2 2 2 2 2 8 2 4" xfId="13183" xr:uid="{00000000-0005-0000-0000-000076330000}"/>
    <cellStyle name="Normal 2 2 2 2 2 8 2 5" xfId="13184" xr:uid="{00000000-0005-0000-0000-000077330000}"/>
    <cellStyle name="Normal 2 2 2 2 2 8 2 6" xfId="13185" xr:uid="{00000000-0005-0000-0000-000078330000}"/>
    <cellStyle name="Normal 2 2 2 2 2 8 2 7" xfId="13186" xr:uid="{00000000-0005-0000-0000-000079330000}"/>
    <cellStyle name="Normal 2 2 2 2 2 8 2 8" xfId="13187" xr:uid="{00000000-0005-0000-0000-00007A330000}"/>
    <cellStyle name="Normal 2 2 2 2 2 8 2 9" xfId="13188" xr:uid="{00000000-0005-0000-0000-00007B330000}"/>
    <cellStyle name="Normal 2 2 2 2 2 8 3" xfId="13189" xr:uid="{00000000-0005-0000-0000-00007C330000}"/>
    <cellStyle name="Normal 2 2 2 2 2 8 3 10" xfId="13190" xr:uid="{00000000-0005-0000-0000-00007D330000}"/>
    <cellStyle name="Normal 2 2 2 2 2 8 3 2" xfId="13191" xr:uid="{00000000-0005-0000-0000-00007E330000}"/>
    <cellStyle name="Normal 2 2 2 2 2 8 3 3" xfId="13192" xr:uid="{00000000-0005-0000-0000-00007F330000}"/>
    <cellStyle name="Normal 2 2 2 2 2 8 3 4" xfId="13193" xr:uid="{00000000-0005-0000-0000-000080330000}"/>
    <cellStyle name="Normal 2 2 2 2 2 8 3 5" xfId="13194" xr:uid="{00000000-0005-0000-0000-000081330000}"/>
    <cellStyle name="Normal 2 2 2 2 2 8 3 6" xfId="13195" xr:uid="{00000000-0005-0000-0000-000082330000}"/>
    <cellStyle name="Normal 2 2 2 2 2 8 3 7" xfId="13196" xr:uid="{00000000-0005-0000-0000-000083330000}"/>
    <cellStyle name="Normal 2 2 2 2 2 8 3 8" xfId="13197" xr:uid="{00000000-0005-0000-0000-000084330000}"/>
    <cellStyle name="Normal 2 2 2 2 2 8 3 9" xfId="13198" xr:uid="{00000000-0005-0000-0000-000085330000}"/>
    <cellStyle name="Normal 2 2 2 2 2 8 4" xfId="13199" xr:uid="{00000000-0005-0000-0000-000086330000}"/>
    <cellStyle name="Normal 2 2 2 2 2 8 4 10" xfId="13200" xr:uid="{00000000-0005-0000-0000-000087330000}"/>
    <cellStyle name="Normal 2 2 2 2 2 8 4 2" xfId="13201" xr:uid="{00000000-0005-0000-0000-000088330000}"/>
    <cellStyle name="Normal 2 2 2 2 2 8 4 3" xfId="13202" xr:uid="{00000000-0005-0000-0000-000089330000}"/>
    <cellStyle name="Normal 2 2 2 2 2 8 4 4" xfId="13203" xr:uid="{00000000-0005-0000-0000-00008A330000}"/>
    <cellStyle name="Normal 2 2 2 2 2 8 4 5" xfId="13204" xr:uid="{00000000-0005-0000-0000-00008B330000}"/>
    <cellStyle name="Normal 2 2 2 2 2 8 4 6" xfId="13205" xr:uid="{00000000-0005-0000-0000-00008C330000}"/>
    <cellStyle name="Normal 2 2 2 2 2 8 4 7" xfId="13206" xr:uid="{00000000-0005-0000-0000-00008D330000}"/>
    <cellStyle name="Normal 2 2 2 2 2 8 4 8" xfId="13207" xr:uid="{00000000-0005-0000-0000-00008E330000}"/>
    <cellStyle name="Normal 2 2 2 2 2 8 4 9" xfId="13208" xr:uid="{00000000-0005-0000-0000-00008F330000}"/>
    <cellStyle name="Normal 2 2 2 2 2 8 5" xfId="13209" xr:uid="{00000000-0005-0000-0000-000090330000}"/>
    <cellStyle name="Normal 2 2 2 2 2 8 5 10" xfId="13210" xr:uid="{00000000-0005-0000-0000-000091330000}"/>
    <cellStyle name="Normal 2 2 2 2 2 8 5 2" xfId="13211" xr:uid="{00000000-0005-0000-0000-000092330000}"/>
    <cellStyle name="Normal 2 2 2 2 2 8 5 3" xfId="13212" xr:uid="{00000000-0005-0000-0000-000093330000}"/>
    <cellStyle name="Normal 2 2 2 2 2 8 5 4" xfId="13213" xr:uid="{00000000-0005-0000-0000-000094330000}"/>
    <cellStyle name="Normal 2 2 2 2 2 8 5 5" xfId="13214" xr:uid="{00000000-0005-0000-0000-000095330000}"/>
    <cellStyle name="Normal 2 2 2 2 2 8 5 6" xfId="13215" xr:uid="{00000000-0005-0000-0000-000096330000}"/>
    <cellStyle name="Normal 2 2 2 2 2 8 5 7" xfId="13216" xr:uid="{00000000-0005-0000-0000-000097330000}"/>
    <cellStyle name="Normal 2 2 2 2 2 8 5 8" xfId="13217" xr:uid="{00000000-0005-0000-0000-000098330000}"/>
    <cellStyle name="Normal 2 2 2 2 2 8 5 9" xfId="13218" xr:uid="{00000000-0005-0000-0000-000099330000}"/>
    <cellStyle name="Normal 2 2 2 2 2 8 6" xfId="13219" xr:uid="{00000000-0005-0000-0000-00009A330000}"/>
    <cellStyle name="Normal 2 2 2 2 2 8 7" xfId="13220" xr:uid="{00000000-0005-0000-0000-00009B330000}"/>
    <cellStyle name="Normal 2 2 2 2 2 8 8" xfId="13221" xr:uid="{00000000-0005-0000-0000-00009C330000}"/>
    <cellStyle name="Normal 2 2 2 2 2 8 9" xfId="13222" xr:uid="{00000000-0005-0000-0000-00009D330000}"/>
    <cellStyle name="Normal 2 2 2 2 2 9" xfId="13223" xr:uid="{00000000-0005-0000-0000-00009E330000}"/>
    <cellStyle name="Normal 2 2 2 2 2 9 10" xfId="13224" xr:uid="{00000000-0005-0000-0000-00009F330000}"/>
    <cellStyle name="Normal 2 2 2 2 2 9 11" xfId="13225" xr:uid="{00000000-0005-0000-0000-0000A0330000}"/>
    <cellStyle name="Normal 2 2 2 2 2 9 12" xfId="13226" xr:uid="{00000000-0005-0000-0000-0000A1330000}"/>
    <cellStyle name="Normal 2 2 2 2 2 9 13" xfId="13227" xr:uid="{00000000-0005-0000-0000-0000A2330000}"/>
    <cellStyle name="Normal 2 2 2 2 2 9 14" xfId="13228" xr:uid="{00000000-0005-0000-0000-0000A3330000}"/>
    <cellStyle name="Normal 2 2 2 2 2 9 2" xfId="13229" xr:uid="{00000000-0005-0000-0000-0000A4330000}"/>
    <cellStyle name="Normal 2 2 2 2 2 9 2 10" xfId="13230" xr:uid="{00000000-0005-0000-0000-0000A5330000}"/>
    <cellStyle name="Normal 2 2 2 2 2 9 2 2" xfId="13231" xr:uid="{00000000-0005-0000-0000-0000A6330000}"/>
    <cellStyle name="Normal 2 2 2 2 2 9 2 3" xfId="13232" xr:uid="{00000000-0005-0000-0000-0000A7330000}"/>
    <cellStyle name="Normal 2 2 2 2 2 9 2 4" xfId="13233" xr:uid="{00000000-0005-0000-0000-0000A8330000}"/>
    <cellStyle name="Normal 2 2 2 2 2 9 2 5" xfId="13234" xr:uid="{00000000-0005-0000-0000-0000A9330000}"/>
    <cellStyle name="Normal 2 2 2 2 2 9 2 6" xfId="13235" xr:uid="{00000000-0005-0000-0000-0000AA330000}"/>
    <cellStyle name="Normal 2 2 2 2 2 9 2 7" xfId="13236" xr:uid="{00000000-0005-0000-0000-0000AB330000}"/>
    <cellStyle name="Normal 2 2 2 2 2 9 2 8" xfId="13237" xr:uid="{00000000-0005-0000-0000-0000AC330000}"/>
    <cellStyle name="Normal 2 2 2 2 2 9 2 9" xfId="13238" xr:uid="{00000000-0005-0000-0000-0000AD330000}"/>
    <cellStyle name="Normal 2 2 2 2 2 9 3" xfId="13239" xr:uid="{00000000-0005-0000-0000-0000AE330000}"/>
    <cellStyle name="Normal 2 2 2 2 2 9 3 10" xfId="13240" xr:uid="{00000000-0005-0000-0000-0000AF330000}"/>
    <cellStyle name="Normal 2 2 2 2 2 9 3 2" xfId="13241" xr:uid="{00000000-0005-0000-0000-0000B0330000}"/>
    <cellStyle name="Normal 2 2 2 2 2 9 3 3" xfId="13242" xr:uid="{00000000-0005-0000-0000-0000B1330000}"/>
    <cellStyle name="Normal 2 2 2 2 2 9 3 4" xfId="13243" xr:uid="{00000000-0005-0000-0000-0000B2330000}"/>
    <cellStyle name="Normal 2 2 2 2 2 9 3 5" xfId="13244" xr:uid="{00000000-0005-0000-0000-0000B3330000}"/>
    <cellStyle name="Normal 2 2 2 2 2 9 3 6" xfId="13245" xr:uid="{00000000-0005-0000-0000-0000B4330000}"/>
    <cellStyle name="Normal 2 2 2 2 2 9 3 7" xfId="13246" xr:uid="{00000000-0005-0000-0000-0000B5330000}"/>
    <cellStyle name="Normal 2 2 2 2 2 9 3 8" xfId="13247" xr:uid="{00000000-0005-0000-0000-0000B6330000}"/>
    <cellStyle name="Normal 2 2 2 2 2 9 3 9" xfId="13248" xr:uid="{00000000-0005-0000-0000-0000B7330000}"/>
    <cellStyle name="Normal 2 2 2 2 2 9 4" xfId="13249" xr:uid="{00000000-0005-0000-0000-0000B8330000}"/>
    <cellStyle name="Normal 2 2 2 2 2 9 4 10" xfId="13250" xr:uid="{00000000-0005-0000-0000-0000B9330000}"/>
    <cellStyle name="Normal 2 2 2 2 2 9 4 2" xfId="13251" xr:uid="{00000000-0005-0000-0000-0000BA330000}"/>
    <cellStyle name="Normal 2 2 2 2 2 9 4 3" xfId="13252" xr:uid="{00000000-0005-0000-0000-0000BB330000}"/>
    <cellStyle name="Normal 2 2 2 2 2 9 4 4" xfId="13253" xr:uid="{00000000-0005-0000-0000-0000BC330000}"/>
    <cellStyle name="Normal 2 2 2 2 2 9 4 5" xfId="13254" xr:uid="{00000000-0005-0000-0000-0000BD330000}"/>
    <cellStyle name="Normal 2 2 2 2 2 9 4 6" xfId="13255" xr:uid="{00000000-0005-0000-0000-0000BE330000}"/>
    <cellStyle name="Normal 2 2 2 2 2 9 4 7" xfId="13256" xr:uid="{00000000-0005-0000-0000-0000BF330000}"/>
    <cellStyle name="Normal 2 2 2 2 2 9 4 8" xfId="13257" xr:uid="{00000000-0005-0000-0000-0000C0330000}"/>
    <cellStyle name="Normal 2 2 2 2 2 9 4 9" xfId="13258" xr:uid="{00000000-0005-0000-0000-0000C1330000}"/>
    <cellStyle name="Normal 2 2 2 2 2 9 5" xfId="13259" xr:uid="{00000000-0005-0000-0000-0000C2330000}"/>
    <cellStyle name="Normal 2 2 2 2 2 9 5 10" xfId="13260" xr:uid="{00000000-0005-0000-0000-0000C3330000}"/>
    <cellStyle name="Normal 2 2 2 2 2 9 5 2" xfId="13261" xr:uid="{00000000-0005-0000-0000-0000C4330000}"/>
    <cellStyle name="Normal 2 2 2 2 2 9 5 3" xfId="13262" xr:uid="{00000000-0005-0000-0000-0000C5330000}"/>
    <cellStyle name="Normal 2 2 2 2 2 9 5 4" xfId="13263" xr:uid="{00000000-0005-0000-0000-0000C6330000}"/>
    <cellStyle name="Normal 2 2 2 2 2 9 5 5" xfId="13264" xr:uid="{00000000-0005-0000-0000-0000C7330000}"/>
    <cellStyle name="Normal 2 2 2 2 2 9 5 6" xfId="13265" xr:uid="{00000000-0005-0000-0000-0000C8330000}"/>
    <cellStyle name="Normal 2 2 2 2 2 9 5 7" xfId="13266" xr:uid="{00000000-0005-0000-0000-0000C9330000}"/>
    <cellStyle name="Normal 2 2 2 2 2 9 5 8" xfId="13267" xr:uid="{00000000-0005-0000-0000-0000CA330000}"/>
    <cellStyle name="Normal 2 2 2 2 2 9 5 9" xfId="13268" xr:uid="{00000000-0005-0000-0000-0000CB330000}"/>
    <cellStyle name="Normal 2 2 2 2 2 9 6" xfId="13269" xr:uid="{00000000-0005-0000-0000-0000CC330000}"/>
    <cellStyle name="Normal 2 2 2 2 2 9 7" xfId="13270" xr:uid="{00000000-0005-0000-0000-0000CD330000}"/>
    <cellStyle name="Normal 2 2 2 2 2 9 8" xfId="13271" xr:uid="{00000000-0005-0000-0000-0000CE330000}"/>
    <cellStyle name="Normal 2 2 2 2 2 9 9" xfId="13272" xr:uid="{00000000-0005-0000-0000-0000CF330000}"/>
    <cellStyle name="Normal 2 2 2 2 20" xfId="13273" xr:uid="{00000000-0005-0000-0000-0000D0330000}"/>
    <cellStyle name="Normal 2 2 2 2 21" xfId="13274" xr:uid="{00000000-0005-0000-0000-0000D1330000}"/>
    <cellStyle name="Normal 2 2 2 2 22" xfId="13275" xr:uid="{00000000-0005-0000-0000-0000D2330000}"/>
    <cellStyle name="Normal 2 2 2 2 23" xfId="13276" xr:uid="{00000000-0005-0000-0000-0000D3330000}"/>
    <cellStyle name="Normal 2 2 2 2 24" xfId="13277" xr:uid="{00000000-0005-0000-0000-0000D4330000}"/>
    <cellStyle name="Normal 2 2 2 2 25" xfId="13278" xr:uid="{00000000-0005-0000-0000-0000D5330000}"/>
    <cellStyle name="Normal 2 2 2 2 26" xfId="13279" xr:uid="{00000000-0005-0000-0000-0000D6330000}"/>
    <cellStyle name="Normal 2 2 2 2 27" xfId="13280" xr:uid="{00000000-0005-0000-0000-0000D7330000}"/>
    <cellStyle name="Normal 2 2 2 2 28" xfId="13281" xr:uid="{00000000-0005-0000-0000-0000D8330000}"/>
    <cellStyle name="Normal 2 2 2 2 29" xfId="13282" xr:uid="{00000000-0005-0000-0000-0000D9330000}"/>
    <cellStyle name="Normal 2 2 2 2 3" xfId="13283" xr:uid="{00000000-0005-0000-0000-0000DA330000}"/>
    <cellStyle name="Normal 2 2 2 2 3 2" xfId="13284" xr:uid="{00000000-0005-0000-0000-0000DB330000}"/>
    <cellStyle name="Normal 2 2 2 2 3 2 2" xfId="13285" xr:uid="{00000000-0005-0000-0000-0000DC330000}"/>
    <cellStyle name="Normal 2 2 2 2 3 3" xfId="13286" xr:uid="{00000000-0005-0000-0000-0000DD330000}"/>
    <cellStyle name="Normal 2 2 2 2 3 4" xfId="13287" xr:uid="{00000000-0005-0000-0000-0000DE330000}"/>
    <cellStyle name="Normal 2 2 2 2 3 5" xfId="13288" xr:uid="{00000000-0005-0000-0000-0000DF330000}"/>
    <cellStyle name="Normal 2 2 2 2 30" xfId="13289" xr:uid="{00000000-0005-0000-0000-0000E0330000}"/>
    <cellStyle name="Normal 2 2 2 2 31" xfId="13290" xr:uid="{00000000-0005-0000-0000-0000E1330000}"/>
    <cellStyle name="Normal 2 2 2 2 32" xfId="13291" xr:uid="{00000000-0005-0000-0000-0000E2330000}"/>
    <cellStyle name="Normal 2 2 2 2 33" xfId="13292" xr:uid="{00000000-0005-0000-0000-0000E3330000}"/>
    <cellStyle name="Normal 2 2 2 2 34" xfId="13293" xr:uid="{00000000-0005-0000-0000-0000E4330000}"/>
    <cellStyle name="Normal 2 2 2 2 35" xfId="13294" xr:uid="{00000000-0005-0000-0000-0000E5330000}"/>
    <cellStyle name="Normal 2 2 2 2 36" xfId="13295" xr:uid="{00000000-0005-0000-0000-0000E6330000}"/>
    <cellStyle name="Normal 2 2 2 2 37" xfId="13296" xr:uid="{00000000-0005-0000-0000-0000E7330000}"/>
    <cellStyle name="Normal 2 2 2 2 38" xfId="13297" xr:uid="{00000000-0005-0000-0000-0000E8330000}"/>
    <cellStyle name="Normal 2 2 2 2 39" xfId="13298" xr:uid="{00000000-0005-0000-0000-0000E9330000}"/>
    <cellStyle name="Normal 2 2 2 2 4" xfId="13299" xr:uid="{00000000-0005-0000-0000-0000EA330000}"/>
    <cellStyle name="Normal 2 2 2 2 4 10" xfId="13300" xr:uid="{00000000-0005-0000-0000-0000EB330000}"/>
    <cellStyle name="Normal 2 2 2 2 4 10 10" xfId="13301" xr:uid="{00000000-0005-0000-0000-0000EC330000}"/>
    <cellStyle name="Normal 2 2 2 2 4 10 11" xfId="13302" xr:uid="{00000000-0005-0000-0000-0000ED330000}"/>
    <cellStyle name="Normal 2 2 2 2 4 10 12" xfId="13303" xr:uid="{00000000-0005-0000-0000-0000EE330000}"/>
    <cellStyle name="Normal 2 2 2 2 4 10 13" xfId="13304" xr:uid="{00000000-0005-0000-0000-0000EF330000}"/>
    <cellStyle name="Normal 2 2 2 2 4 10 14" xfId="13305" xr:uid="{00000000-0005-0000-0000-0000F0330000}"/>
    <cellStyle name="Normal 2 2 2 2 4 10 2" xfId="13306" xr:uid="{00000000-0005-0000-0000-0000F1330000}"/>
    <cellStyle name="Normal 2 2 2 2 4 10 2 10" xfId="13307" xr:uid="{00000000-0005-0000-0000-0000F2330000}"/>
    <cellStyle name="Normal 2 2 2 2 4 10 2 2" xfId="13308" xr:uid="{00000000-0005-0000-0000-0000F3330000}"/>
    <cellStyle name="Normal 2 2 2 2 4 10 2 3" xfId="13309" xr:uid="{00000000-0005-0000-0000-0000F4330000}"/>
    <cellStyle name="Normal 2 2 2 2 4 10 2 4" xfId="13310" xr:uid="{00000000-0005-0000-0000-0000F5330000}"/>
    <cellStyle name="Normal 2 2 2 2 4 10 2 5" xfId="13311" xr:uid="{00000000-0005-0000-0000-0000F6330000}"/>
    <cellStyle name="Normal 2 2 2 2 4 10 2 6" xfId="13312" xr:uid="{00000000-0005-0000-0000-0000F7330000}"/>
    <cellStyle name="Normal 2 2 2 2 4 10 2 7" xfId="13313" xr:uid="{00000000-0005-0000-0000-0000F8330000}"/>
    <cellStyle name="Normal 2 2 2 2 4 10 2 8" xfId="13314" xr:uid="{00000000-0005-0000-0000-0000F9330000}"/>
    <cellStyle name="Normal 2 2 2 2 4 10 2 9" xfId="13315" xr:uid="{00000000-0005-0000-0000-0000FA330000}"/>
    <cellStyle name="Normal 2 2 2 2 4 10 3" xfId="13316" xr:uid="{00000000-0005-0000-0000-0000FB330000}"/>
    <cellStyle name="Normal 2 2 2 2 4 10 3 10" xfId="13317" xr:uid="{00000000-0005-0000-0000-0000FC330000}"/>
    <cellStyle name="Normal 2 2 2 2 4 10 3 2" xfId="13318" xr:uid="{00000000-0005-0000-0000-0000FD330000}"/>
    <cellStyle name="Normal 2 2 2 2 4 10 3 3" xfId="13319" xr:uid="{00000000-0005-0000-0000-0000FE330000}"/>
    <cellStyle name="Normal 2 2 2 2 4 10 3 4" xfId="13320" xr:uid="{00000000-0005-0000-0000-0000FF330000}"/>
    <cellStyle name="Normal 2 2 2 2 4 10 3 5" xfId="13321" xr:uid="{00000000-0005-0000-0000-000000340000}"/>
    <cellStyle name="Normal 2 2 2 2 4 10 3 6" xfId="13322" xr:uid="{00000000-0005-0000-0000-000001340000}"/>
    <cellStyle name="Normal 2 2 2 2 4 10 3 7" xfId="13323" xr:uid="{00000000-0005-0000-0000-000002340000}"/>
    <cellStyle name="Normal 2 2 2 2 4 10 3 8" xfId="13324" xr:uid="{00000000-0005-0000-0000-000003340000}"/>
    <cellStyle name="Normal 2 2 2 2 4 10 3 9" xfId="13325" xr:uid="{00000000-0005-0000-0000-000004340000}"/>
    <cellStyle name="Normal 2 2 2 2 4 10 4" xfId="13326" xr:uid="{00000000-0005-0000-0000-000005340000}"/>
    <cellStyle name="Normal 2 2 2 2 4 10 4 10" xfId="13327" xr:uid="{00000000-0005-0000-0000-000006340000}"/>
    <cellStyle name="Normal 2 2 2 2 4 10 4 2" xfId="13328" xr:uid="{00000000-0005-0000-0000-000007340000}"/>
    <cellStyle name="Normal 2 2 2 2 4 10 4 3" xfId="13329" xr:uid="{00000000-0005-0000-0000-000008340000}"/>
    <cellStyle name="Normal 2 2 2 2 4 10 4 4" xfId="13330" xr:uid="{00000000-0005-0000-0000-000009340000}"/>
    <cellStyle name="Normal 2 2 2 2 4 10 4 5" xfId="13331" xr:uid="{00000000-0005-0000-0000-00000A340000}"/>
    <cellStyle name="Normal 2 2 2 2 4 10 4 6" xfId="13332" xr:uid="{00000000-0005-0000-0000-00000B340000}"/>
    <cellStyle name="Normal 2 2 2 2 4 10 4 7" xfId="13333" xr:uid="{00000000-0005-0000-0000-00000C340000}"/>
    <cellStyle name="Normal 2 2 2 2 4 10 4 8" xfId="13334" xr:uid="{00000000-0005-0000-0000-00000D340000}"/>
    <cellStyle name="Normal 2 2 2 2 4 10 4 9" xfId="13335" xr:uid="{00000000-0005-0000-0000-00000E340000}"/>
    <cellStyle name="Normal 2 2 2 2 4 10 5" xfId="13336" xr:uid="{00000000-0005-0000-0000-00000F340000}"/>
    <cellStyle name="Normal 2 2 2 2 4 10 5 10" xfId="13337" xr:uid="{00000000-0005-0000-0000-000010340000}"/>
    <cellStyle name="Normal 2 2 2 2 4 10 5 2" xfId="13338" xr:uid="{00000000-0005-0000-0000-000011340000}"/>
    <cellStyle name="Normal 2 2 2 2 4 10 5 3" xfId="13339" xr:uid="{00000000-0005-0000-0000-000012340000}"/>
    <cellStyle name="Normal 2 2 2 2 4 10 5 4" xfId="13340" xr:uid="{00000000-0005-0000-0000-000013340000}"/>
    <cellStyle name="Normal 2 2 2 2 4 10 5 5" xfId="13341" xr:uid="{00000000-0005-0000-0000-000014340000}"/>
    <cellStyle name="Normal 2 2 2 2 4 10 5 6" xfId="13342" xr:uid="{00000000-0005-0000-0000-000015340000}"/>
    <cellStyle name="Normal 2 2 2 2 4 10 5 7" xfId="13343" xr:uid="{00000000-0005-0000-0000-000016340000}"/>
    <cellStyle name="Normal 2 2 2 2 4 10 5 8" xfId="13344" xr:uid="{00000000-0005-0000-0000-000017340000}"/>
    <cellStyle name="Normal 2 2 2 2 4 10 5 9" xfId="13345" xr:uid="{00000000-0005-0000-0000-000018340000}"/>
    <cellStyle name="Normal 2 2 2 2 4 10 6" xfId="13346" xr:uid="{00000000-0005-0000-0000-000019340000}"/>
    <cellStyle name="Normal 2 2 2 2 4 10 7" xfId="13347" xr:uid="{00000000-0005-0000-0000-00001A340000}"/>
    <cellStyle name="Normal 2 2 2 2 4 10 8" xfId="13348" xr:uid="{00000000-0005-0000-0000-00001B340000}"/>
    <cellStyle name="Normal 2 2 2 2 4 10 9" xfId="13349" xr:uid="{00000000-0005-0000-0000-00001C340000}"/>
    <cellStyle name="Normal 2 2 2 2 4 11" xfId="13350" xr:uid="{00000000-0005-0000-0000-00001D340000}"/>
    <cellStyle name="Normal 2 2 2 2 4 11 10" xfId="13351" xr:uid="{00000000-0005-0000-0000-00001E340000}"/>
    <cellStyle name="Normal 2 2 2 2 4 11 11" xfId="13352" xr:uid="{00000000-0005-0000-0000-00001F340000}"/>
    <cellStyle name="Normal 2 2 2 2 4 11 12" xfId="13353" xr:uid="{00000000-0005-0000-0000-000020340000}"/>
    <cellStyle name="Normal 2 2 2 2 4 11 13" xfId="13354" xr:uid="{00000000-0005-0000-0000-000021340000}"/>
    <cellStyle name="Normal 2 2 2 2 4 11 14" xfId="13355" xr:uid="{00000000-0005-0000-0000-000022340000}"/>
    <cellStyle name="Normal 2 2 2 2 4 11 2" xfId="13356" xr:uid="{00000000-0005-0000-0000-000023340000}"/>
    <cellStyle name="Normal 2 2 2 2 4 11 2 10" xfId="13357" xr:uid="{00000000-0005-0000-0000-000024340000}"/>
    <cellStyle name="Normal 2 2 2 2 4 11 2 2" xfId="13358" xr:uid="{00000000-0005-0000-0000-000025340000}"/>
    <cellStyle name="Normal 2 2 2 2 4 11 2 3" xfId="13359" xr:uid="{00000000-0005-0000-0000-000026340000}"/>
    <cellStyle name="Normal 2 2 2 2 4 11 2 4" xfId="13360" xr:uid="{00000000-0005-0000-0000-000027340000}"/>
    <cellStyle name="Normal 2 2 2 2 4 11 2 5" xfId="13361" xr:uid="{00000000-0005-0000-0000-000028340000}"/>
    <cellStyle name="Normal 2 2 2 2 4 11 2 6" xfId="13362" xr:uid="{00000000-0005-0000-0000-000029340000}"/>
    <cellStyle name="Normal 2 2 2 2 4 11 2 7" xfId="13363" xr:uid="{00000000-0005-0000-0000-00002A340000}"/>
    <cellStyle name="Normal 2 2 2 2 4 11 2 8" xfId="13364" xr:uid="{00000000-0005-0000-0000-00002B340000}"/>
    <cellStyle name="Normal 2 2 2 2 4 11 2 9" xfId="13365" xr:uid="{00000000-0005-0000-0000-00002C340000}"/>
    <cellStyle name="Normal 2 2 2 2 4 11 3" xfId="13366" xr:uid="{00000000-0005-0000-0000-00002D340000}"/>
    <cellStyle name="Normal 2 2 2 2 4 11 3 10" xfId="13367" xr:uid="{00000000-0005-0000-0000-00002E340000}"/>
    <cellStyle name="Normal 2 2 2 2 4 11 3 2" xfId="13368" xr:uid="{00000000-0005-0000-0000-00002F340000}"/>
    <cellStyle name="Normal 2 2 2 2 4 11 3 3" xfId="13369" xr:uid="{00000000-0005-0000-0000-000030340000}"/>
    <cellStyle name="Normal 2 2 2 2 4 11 3 4" xfId="13370" xr:uid="{00000000-0005-0000-0000-000031340000}"/>
    <cellStyle name="Normal 2 2 2 2 4 11 3 5" xfId="13371" xr:uid="{00000000-0005-0000-0000-000032340000}"/>
    <cellStyle name="Normal 2 2 2 2 4 11 3 6" xfId="13372" xr:uid="{00000000-0005-0000-0000-000033340000}"/>
    <cellStyle name="Normal 2 2 2 2 4 11 3 7" xfId="13373" xr:uid="{00000000-0005-0000-0000-000034340000}"/>
    <cellStyle name="Normal 2 2 2 2 4 11 3 8" xfId="13374" xr:uid="{00000000-0005-0000-0000-000035340000}"/>
    <cellStyle name="Normal 2 2 2 2 4 11 3 9" xfId="13375" xr:uid="{00000000-0005-0000-0000-000036340000}"/>
    <cellStyle name="Normal 2 2 2 2 4 11 4" xfId="13376" xr:uid="{00000000-0005-0000-0000-000037340000}"/>
    <cellStyle name="Normal 2 2 2 2 4 11 4 10" xfId="13377" xr:uid="{00000000-0005-0000-0000-000038340000}"/>
    <cellStyle name="Normal 2 2 2 2 4 11 4 2" xfId="13378" xr:uid="{00000000-0005-0000-0000-000039340000}"/>
    <cellStyle name="Normal 2 2 2 2 4 11 4 3" xfId="13379" xr:uid="{00000000-0005-0000-0000-00003A340000}"/>
    <cellStyle name="Normal 2 2 2 2 4 11 4 4" xfId="13380" xr:uid="{00000000-0005-0000-0000-00003B340000}"/>
    <cellStyle name="Normal 2 2 2 2 4 11 4 5" xfId="13381" xr:uid="{00000000-0005-0000-0000-00003C340000}"/>
    <cellStyle name="Normal 2 2 2 2 4 11 4 6" xfId="13382" xr:uid="{00000000-0005-0000-0000-00003D340000}"/>
    <cellStyle name="Normal 2 2 2 2 4 11 4 7" xfId="13383" xr:uid="{00000000-0005-0000-0000-00003E340000}"/>
    <cellStyle name="Normal 2 2 2 2 4 11 4 8" xfId="13384" xr:uid="{00000000-0005-0000-0000-00003F340000}"/>
    <cellStyle name="Normal 2 2 2 2 4 11 4 9" xfId="13385" xr:uid="{00000000-0005-0000-0000-000040340000}"/>
    <cellStyle name="Normal 2 2 2 2 4 11 5" xfId="13386" xr:uid="{00000000-0005-0000-0000-000041340000}"/>
    <cellStyle name="Normal 2 2 2 2 4 11 5 10" xfId="13387" xr:uid="{00000000-0005-0000-0000-000042340000}"/>
    <cellStyle name="Normal 2 2 2 2 4 11 5 2" xfId="13388" xr:uid="{00000000-0005-0000-0000-000043340000}"/>
    <cellStyle name="Normal 2 2 2 2 4 11 5 3" xfId="13389" xr:uid="{00000000-0005-0000-0000-000044340000}"/>
    <cellStyle name="Normal 2 2 2 2 4 11 5 4" xfId="13390" xr:uid="{00000000-0005-0000-0000-000045340000}"/>
    <cellStyle name="Normal 2 2 2 2 4 11 5 5" xfId="13391" xr:uid="{00000000-0005-0000-0000-000046340000}"/>
    <cellStyle name="Normal 2 2 2 2 4 11 5 6" xfId="13392" xr:uid="{00000000-0005-0000-0000-000047340000}"/>
    <cellStyle name="Normal 2 2 2 2 4 11 5 7" xfId="13393" xr:uid="{00000000-0005-0000-0000-000048340000}"/>
    <cellStyle name="Normal 2 2 2 2 4 11 5 8" xfId="13394" xr:uid="{00000000-0005-0000-0000-000049340000}"/>
    <cellStyle name="Normal 2 2 2 2 4 11 5 9" xfId="13395" xr:uid="{00000000-0005-0000-0000-00004A340000}"/>
    <cellStyle name="Normal 2 2 2 2 4 11 6" xfId="13396" xr:uid="{00000000-0005-0000-0000-00004B340000}"/>
    <cellStyle name="Normal 2 2 2 2 4 11 7" xfId="13397" xr:uid="{00000000-0005-0000-0000-00004C340000}"/>
    <cellStyle name="Normal 2 2 2 2 4 11 8" xfId="13398" xr:uid="{00000000-0005-0000-0000-00004D340000}"/>
    <cellStyle name="Normal 2 2 2 2 4 11 9" xfId="13399" xr:uid="{00000000-0005-0000-0000-00004E340000}"/>
    <cellStyle name="Normal 2 2 2 2 4 12" xfId="13400" xr:uid="{00000000-0005-0000-0000-00004F340000}"/>
    <cellStyle name="Normal 2 2 2 2 4 12 10" xfId="13401" xr:uid="{00000000-0005-0000-0000-000050340000}"/>
    <cellStyle name="Normal 2 2 2 2 4 12 11" xfId="13402" xr:uid="{00000000-0005-0000-0000-000051340000}"/>
    <cellStyle name="Normal 2 2 2 2 4 12 12" xfId="13403" xr:uid="{00000000-0005-0000-0000-000052340000}"/>
    <cellStyle name="Normal 2 2 2 2 4 12 13" xfId="13404" xr:uid="{00000000-0005-0000-0000-000053340000}"/>
    <cellStyle name="Normal 2 2 2 2 4 12 14" xfId="13405" xr:uid="{00000000-0005-0000-0000-000054340000}"/>
    <cellStyle name="Normal 2 2 2 2 4 12 2" xfId="13406" xr:uid="{00000000-0005-0000-0000-000055340000}"/>
    <cellStyle name="Normal 2 2 2 2 4 12 2 10" xfId="13407" xr:uid="{00000000-0005-0000-0000-000056340000}"/>
    <cellStyle name="Normal 2 2 2 2 4 12 2 2" xfId="13408" xr:uid="{00000000-0005-0000-0000-000057340000}"/>
    <cellStyle name="Normal 2 2 2 2 4 12 2 3" xfId="13409" xr:uid="{00000000-0005-0000-0000-000058340000}"/>
    <cellStyle name="Normal 2 2 2 2 4 12 2 4" xfId="13410" xr:uid="{00000000-0005-0000-0000-000059340000}"/>
    <cellStyle name="Normal 2 2 2 2 4 12 2 5" xfId="13411" xr:uid="{00000000-0005-0000-0000-00005A340000}"/>
    <cellStyle name="Normal 2 2 2 2 4 12 2 6" xfId="13412" xr:uid="{00000000-0005-0000-0000-00005B340000}"/>
    <cellStyle name="Normal 2 2 2 2 4 12 2 7" xfId="13413" xr:uid="{00000000-0005-0000-0000-00005C340000}"/>
    <cellStyle name="Normal 2 2 2 2 4 12 2 8" xfId="13414" xr:uid="{00000000-0005-0000-0000-00005D340000}"/>
    <cellStyle name="Normal 2 2 2 2 4 12 2 9" xfId="13415" xr:uid="{00000000-0005-0000-0000-00005E340000}"/>
    <cellStyle name="Normal 2 2 2 2 4 12 3" xfId="13416" xr:uid="{00000000-0005-0000-0000-00005F340000}"/>
    <cellStyle name="Normal 2 2 2 2 4 12 3 10" xfId="13417" xr:uid="{00000000-0005-0000-0000-000060340000}"/>
    <cellStyle name="Normal 2 2 2 2 4 12 3 2" xfId="13418" xr:uid="{00000000-0005-0000-0000-000061340000}"/>
    <cellStyle name="Normal 2 2 2 2 4 12 3 3" xfId="13419" xr:uid="{00000000-0005-0000-0000-000062340000}"/>
    <cellStyle name="Normal 2 2 2 2 4 12 3 4" xfId="13420" xr:uid="{00000000-0005-0000-0000-000063340000}"/>
    <cellStyle name="Normal 2 2 2 2 4 12 3 5" xfId="13421" xr:uid="{00000000-0005-0000-0000-000064340000}"/>
    <cellStyle name="Normal 2 2 2 2 4 12 3 6" xfId="13422" xr:uid="{00000000-0005-0000-0000-000065340000}"/>
    <cellStyle name="Normal 2 2 2 2 4 12 3 7" xfId="13423" xr:uid="{00000000-0005-0000-0000-000066340000}"/>
    <cellStyle name="Normal 2 2 2 2 4 12 3 8" xfId="13424" xr:uid="{00000000-0005-0000-0000-000067340000}"/>
    <cellStyle name="Normal 2 2 2 2 4 12 3 9" xfId="13425" xr:uid="{00000000-0005-0000-0000-000068340000}"/>
    <cellStyle name="Normal 2 2 2 2 4 12 4" xfId="13426" xr:uid="{00000000-0005-0000-0000-000069340000}"/>
    <cellStyle name="Normal 2 2 2 2 4 12 4 10" xfId="13427" xr:uid="{00000000-0005-0000-0000-00006A340000}"/>
    <cellStyle name="Normal 2 2 2 2 4 12 4 2" xfId="13428" xr:uid="{00000000-0005-0000-0000-00006B340000}"/>
    <cellStyle name="Normal 2 2 2 2 4 12 4 3" xfId="13429" xr:uid="{00000000-0005-0000-0000-00006C340000}"/>
    <cellStyle name="Normal 2 2 2 2 4 12 4 4" xfId="13430" xr:uid="{00000000-0005-0000-0000-00006D340000}"/>
    <cellStyle name="Normal 2 2 2 2 4 12 4 5" xfId="13431" xr:uid="{00000000-0005-0000-0000-00006E340000}"/>
    <cellStyle name="Normal 2 2 2 2 4 12 4 6" xfId="13432" xr:uid="{00000000-0005-0000-0000-00006F340000}"/>
    <cellStyle name="Normal 2 2 2 2 4 12 4 7" xfId="13433" xr:uid="{00000000-0005-0000-0000-000070340000}"/>
    <cellStyle name="Normal 2 2 2 2 4 12 4 8" xfId="13434" xr:uid="{00000000-0005-0000-0000-000071340000}"/>
    <cellStyle name="Normal 2 2 2 2 4 12 4 9" xfId="13435" xr:uid="{00000000-0005-0000-0000-000072340000}"/>
    <cellStyle name="Normal 2 2 2 2 4 12 5" xfId="13436" xr:uid="{00000000-0005-0000-0000-000073340000}"/>
    <cellStyle name="Normal 2 2 2 2 4 12 5 10" xfId="13437" xr:uid="{00000000-0005-0000-0000-000074340000}"/>
    <cellStyle name="Normal 2 2 2 2 4 12 5 2" xfId="13438" xr:uid="{00000000-0005-0000-0000-000075340000}"/>
    <cellStyle name="Normal 2 2 2 2 4 12 5 3" xfId="13439" xr:uid="{00000000-0005-0000-0000-000076340000}"/>
    <cellStyle name="Normal 2 2 2 2 4 12 5 4" xfId="13440" xr:uid="{00000000-0005-0000-0000-000077340000}"/>
    <cellStyle name="Normal 2 2 2 2 4 12 5 5" xfId="13441" xr:uid="{00000000-0005-0000-0000-000078340000}"/>
    <cellStyle name="Normal 2 2 2 2 4 12 5 6" xfId="13442" xr:uid="{00000000-0005-0000-0000-000079340000}"/>
    <cellStyle name="Normal 2 2 2 2 4 12 5 7" xfId="13443" xr:uid="{00000000-0005-0000-0000-00007A340000}"/>
    <cellStyle name="Normal 2 2 2 2 4 12 5 8" xfId="13444" xr:uid="{00000000-0005-0000-0000-00007B340000}"/>
    <cellStyle name="Normal 2 2 2 2 4 12 5 9" xfId="13445" xr:uid="{00000000-0005-0000-0000-00007C340000}"/>
    <cellStyle name="Normal 2 2 2 2 4 12 6" xfId="13446" xr:uid="{00000000-0005-0000-0000-00007D340000}"/>
    <cellStyle name="Normal 2 2 2 2 4 12 7" xfId="13447" xr:uid="{00000000-0005-0000-0000-00007E340000}"/>
    <cellStyle name="Normal 2 2 2 2 4 12 8" xfId="13448" xr:uid="{00000000-0005-0000-0000-00007F340000}"/>
    <cellStyle name="Normal 2 2 2 2 4 12 9" xfId="13449" xr:uid="{00000000-0005-0000-0000-000080340000}"/>
    <cellStyle name="Normal 2 2 2 2 4 13" xfId="13450" xr:uid="{00000000-0005-0000-0000-000081340000}"/>
    <cellStyle name="Normal 2 2 2 2 4 13 10" xfId="13451" xr:uid="{00000000-0005-0000-0000-000082340000}"/>
    <cellStyle name="Normal 2 2 2 2 4 13 11" xfId="13452" xr:uid="{00000000-0005-0000-0000-000083340000}"/>
    <cellStyle name="Normal 2 2 2 2 4 13 12" xfId="13453" xr:uid="{00000000-0005-0000-0000-000084340000}"/>
    <cellStyle name="Normal 2 2 2 2 4 13 13" xfId="13454" xr:uid="{00000000-0005-0000-0000-000085340000}"/>
    <cellStyle name="Normal 2 2 2 2 4 13 14" xfId="13455" xr:uid="{00000000-0005-0000-0000-000086340000}"/>
    <cellStyle name="Normal 2 2 2 2 4 13 2" xfId="13456" xr:uid="{00000000-0005-0000-0000-000087340000}"/>
    <cellStyle name="Normal 2 2 2 2 4 13 2 10" xfId="13457" xr:uid="{00000000-0005-0000-0000-000088340000}"/>
    <cellStyle name="Normal 2 2 2 2 4 13 2 2" xfId="13458" xr:uid="{00000000-0005-0000-0000-000089340000}"/>
    <cellStyle name="Normal 2 2 2 2 4 13 2 3" xfId="13459" xr:uid="{00000000-0005-0000-0000-00008A340000}"/>
    <cellStyle name="Normal 2 2 2 2 4 13 2 4" xfId="13460" xr:uid="{00000000-0005-0000-0000-00008B340000}"/>
    <cellStyle name="Normal 2 2 2 2 4 13 2 5" xfId="13461" xr:uid="{00000000-0005-0000-0000-00008C340000}"/>
    <cellStyle name="Normal 2 2 2 2 4 13 2 6" xfId="13462" xr:uid="{00000000-0005-0000-0000-00008D340000}"/>
    <cellStyle name="Normal 2 2 2 2 4 13 2 7" xfId="13463" xr:uid="{00000000-0005-0000-0000-00008E340000}"/>
    <cellStyle name="Normal 2 2 2 2 4 13 2 8" xfId="13464" xr:uid="{00000000-0005-0000-0000-00008F340000}"/>
    <cellStyle name="Normal 2 2 2 2 4 13 2 9" xfId="13465" xr:uid="{00000000-0005-0000-0000-000090340000}"/>
    <cellStyle name="Normal 2 2 2 2 4 13 3" xfId="13466" xr:uid="{00000000-0005-0000-0000-000091340000}"/>
    <cellStyle name="Normal 2 2 2 2 4 13 3 10" xfId="13467" xr:uid="{00000000-0005-0000-0000-000092340000}"/>
    <cellStyle name="Normal 2 2 2 2 4 13 3 2" xfId="13468" xr:uid="{00000000-0005-0000-0000-000093340000}"/>
    <cellStyle name="Normal 2 2 2 2 4 13 3 3" xfId="13469" xr:uid="{00000000-0005-0000-0000-000094340000}"/>
    <cellStyle name="Normal 2 2 2 2 4 13 3 4" xfId="13470" xr:uid="{00000000-0005-0000-0000-000095340000}"/>
    <cellStyle name="Normal 2 2 2 2 4 13 3 5" xfId="13471" xr:uid="{00000000-0005-0000-0000-000096340000}"/>
    <cellStyle name="Normal 2 2 2 2 4 13 3 6" xfId="13472" xr:uid="{00000000-0005-0000-0000-000097340000}"/>
    <cellStyle name="Normal 2 2 2 2 4 13 3 7" xfId="13473" xr:uid="{00000000-0005-0000-0000-000098340000}"/>
    <cellStyle name="Normal 2 2 2 2 4 13 3 8" xfId="13474" xr:uid="{00000000-0005-0000-0000-000099340000}"/>
    <cellStyle name="Normal 2 2 2 2 4 13 3 9" xfId="13475" xr:uid="{00000000-0005-0000-0000-00009A340000}"/>
    <cellStyle name="Normal 2 2 2 2 4 13 4" xfId="13476" xr:uid="{00000000-0005-0000-0000-00009B340000}"/>
    <cellStyle name="Normal 2 2 2 2 4 13 4 10" xfId="13477" xr:uid="{00000000-0005-0000-0000-00009C340000}"/>
    <cellStyle name="Normal 2 2 2 2 4 13 4 2" xfId="13478" xr:uid="{00000000-0005-0000-0000-00009D340000}"/>
    <cellStyle name="Normal 2 2 2 2 4 13 4 3" xfId="13479" xr:uid="{00000000-0005-0000-0000-00009E340000}"/>
    <cellStyle name="Normal 2 2 2 2 4 13 4 4" xfId="13480" xr:uid="{00000000-0005-0000-0000-00009F340000}"/>
    <cellStyle name="Normal 2 2 2 2 4 13 4 5" xfId="13481" xr:uid="{00000000-0005-0000-0000-0000A0340000}"/>
    <cellStyle name="Normal 2 2 2 2 4 13 4 6" xfId="13482" xr:uid="{00000000-0005-0000-0000-0000A1340000}"/>
    <cellStyle name="Normal 2 2 2 2 4 13 4 7" xfId="13483" xr:uid="{00000000-0005-0000-0000-0000A2340000}"/>
    <cellStyle name="Normal 2 2 2 2 4 13 4 8" xfId="13484" xr:uid="{00000000-0005-0000-0000-0000A3340000}"/>
    <cellStyle name="Normal 2 2 2 2 4 13 4 9" xfId="13485" xr:uid="{00000000-0005-0000-0000-0000A4340000}"/>
    <cellStyle name="Normal 2 2 2 2 4 13 5" xfId="13486" xr:uid="{00000000-0005-0000-0000-0000A5340000}"/>
    <cellStyle name="Normal 2 2 2 2 4 13 5 10" xfId="13487" xr:uid="{00000000-0005-0000-0000-0000A6340000}"/>
    <cellStyle name="Normal 2 2 2 2 4 13 5 2" xfId="13488" xr:uid="{00000000-0005-0000-0000-0000A7340000}"/>
    <cellStyle name="Normal 2 2 2 2 4 13 5 3" xfId="13489" xr:uid="{00000000-0005-0000-0000-0000A8340000}"/>
    <cellStyle name="Normal 2 2 2 2 4 13 5 4" xfId="13490" xr:uid="{00000000-0005-0000-0000-0000A9340000}"/>
    <cellStyle name="Normal 2 2 2 2 4 13 5 5" xfId="13491" xr:uid="{00000000-0005-0000-0000-0000AA340000}"/>
    <cellStyle name="Normal 2 2 2 2 4 13 5 6" xfId="13492" xr:uid="{00000000-0005-0000-0000-0000AB340000}"/>
    <cellStyle name="Normal 2 2 2 2 4 13 5 7" xfId="13493" xr:uid="{00000000-0005-0000-0000-0000AC340000}"/>
    <cellStyle name="Normal 2 2 2 2 4 13 5 8" xfId="13494" xr:uid="{00000000-0005-0000-0000-0000AD340000}"/>
    <cellStyle name="Normal 2 2 2 2 4 13 5 9" xfId="13495" xr:uid="{00000000-0005-0000-0000-0000AE340000}"/>
    <cellStyle name="Normal 2 2 2 2 4 13 6" xfId="13496" xr:uid="{00000000-0005-0000-0000-0000AF340000}"/>
    <cellStyle name="Normal 2 2 2 2 4 13 7" xfId="13497" xr:uid="{00000000-0005-0000-0000-0000B0340000}"/>
    <cellStyle name="Normal 2 2 2 2 4 13 8" xfId="13498" xr:uid="{00000000-0005-0000-0000-0000B1340000}"/>
    <cellStyle name="Normal 2 2 2 2 4 13 9" xfId="13499" xr:uid="{00000000-0005-0000-0000-0000B2340000}"/>
    <cellStyle name="Normal 2 2 2 2 4 14" xfId="13500" xr:uid="{00000000-0005-0000-0000-0000B3340000}"/>
    <cellStyle name="Normal 2 2 2 2 4 14 10" xfId="13501" xr:uid="{00000000-0005-0000-0000-0000B4340000}"/>
    <cellStyle name="Normal 2 2 2 2 4 14 11" xfId="13502" xr:uid="{00000000-0005-0000-0000-0000B5340000}"/>
    <cellStyle name="Normal 2 2 2 2 4 14 12" xfId="13503" xr:uid="{00000000-0005-0000-0000-0000B6340000}"/>
    <cellStyle name="Normal 2 2 2 2 4 14 13" xfId="13504" xr:uid="{00000000-0005-0000-0000-0000B7340000}"/>
    <cellStyle name="Normal 2 2 2 2 4 14 14" xfId="13505" xr:uid="{00000000-0005-0000-0000-0000B8340000}"/>
    <cellStyle name="Normal 2 2 2 2 4 14 2" xfId="13506" xr:uid="{00000000-0005-0000-0000-0000B9340000}"/>
    <cellStyle name="Normal 2 2 2 2 4 14 2 10" xfId="13507" xr:uid="{00000000-0005-0000-0000-0000BA340000}"/>
    <cellStyle name="Normal 2 2 2 2 4 14 2 2" xfId="13508" xr:uid="{00000000-0005-0000-0000-0000BB340000}"/>
    <cellStyle name="Normal 2 2 2 2 4 14 2 3" xfId="13509" xr:uid="{00000000-0005-0000-0000-0000BC340000}"/>
    <cellStyle name="Normal 2 2 2 2 4 14 2 4" xfId="13510" xr:uid="{00000000-0005-0000-0000-0000BD340000}"/>
    <cellStyle name="Normal 2 2 2 2 4 14 2 5" xfId="13511" xr:uid="{00000000-0005-0000-0000-0000BE340000}"/>
    <cellStyle name="Normal 2 2 2 2 4 14 2 6" xfId="13512" xr:uid="{00000000-0005-0000-0000-0000BF340000}"/>
    <cellStyle name="Normal 2 2 2 2 4 14 2 7" xfId="13513" xr:uid="{00000000-0005-0000-0000-0000C0340000}"/>
    <cellStyle name="Normal 2 2 2 2 4 14 2 8" xfId="13514" xr:uid="{00000000-0005-0000-0000-0000C1340000}"/>
    <cellStyle name="Normal 2 2 2 2 4 14 2 9" xfId="13515" xr:uid="{00000000-0005-0000-0000-0000C2340000}"/>
    <cellStyle name="Normal 2 2 2 2 4 14 3" xfId="13516" xr:uid="{00000000-0005-0000-0000-0000C3340000}"/>
    <cellStyle name="Normal 2 2 2 2 4 14 3 10" xfId="13517" xr:uid="{00000000-0005-0000-0000-0000C4340000}"/>
    <cellStyle name="Normal 2 2 2 2 4 14 3 2" xfId="13518" xr:uid="{00000000-0005-0000-0000-0000C5340000}"/>
    <cellStyle name="Normal 2 2 2 2 4 14 3 3" xfId="13519" xr:uid="{00000000-0005-0000-0000-0000C6340000}"/>
    <cellStyle name="Normal 2 2 2 2 4 14 3 4" xfId="13520" xr:uid="{00000000-0005-0000-0000-0000C7340000}"/>
    <cellStyle name="Normal 2 2 2 2 4 14 3 5" xfId="13521" xr:uid="{00000000-0005-0000-0000-0000C8340000}"/>
    <cellStyle name="Normal 2 2 2 2 4 14 3 6" xfId="13522" xr:uid="{00000000-0005-0000-0000-0000C9340000}"/>
    <cellStyle name="Normal 2 2 2 2 4 14 3 7" xfId="13523" xr:uid="{00000000-0005-0000-0000-0000CA340000}"/>
    <cellStyle name="Normal 2 2 2 2 4 14 3 8" xfId="13524" xr:uid="{00000000-0005-0000-0000-0000CB340000}"/>
    <cellStyle name="Normal 2 2 2 2 4 14 3 9" xfId="13525" xr:uid="{00000000-0005-0000-0000-0000CC340000}"/>
    <cellStyle name="Normal 2 2 2 2 4 14 4" xfId="13526" xr:uid="{00000000-0005-0000-0000-0000CD340000}"/>
    <cellStyle name="Normal 2 2 2 2 4 14 4 10" xfId="13527" xr:uid="{00000000-0005-0000-0000-0000CE340000}"/>
    <cellStyle name="Normal 2 2 2 2 4 14 4 2" xfId="13528" xr:uid="{00000000-0005-0000-0000-0000CF340000}"/>
    <cellStyle name="Normal 2 2 2 2 4 14 4 3" xfId="13529" xr:uid="{00000000-0005-0000-0000-0000D0340000}"/>
    <cellStyle name="Normal 2 2 2 2 4 14 4 4" xfId="13530" xr:uid="{00000000-0005-0000-0000-0000D1340000}"/>
    <cellStyle name="Normal 2 2 2 2 4 14 4 5" xfId="13531" xr:uid="{00000000-0005-0000-0000-0000D2340000}"/>
    <cellStyle name="Normal 2 2 2 2 4 14 4 6" xfId="13532" xr:uid="{00000000-0005-0000-0000-0000D3340000}"/>
    <cellStyle name="Normal 2 2 2 2 4 14 4 7" xfId="13533" xr:uid="{00000000-0005-0000-0000-0000D4340000}"/>
    <cellStyle name="Normal 2 2 2 2 4 14 4 8" xfId="13534" xr:uid="{00000000-0005-0000-0000-0000D5340000}"/>
    <cellStyle name="Normal 2 2 2 2 4 14 4 9" xfId="13535" xr:uid="{00000000-0005-0000-0000-0000D6340000}"/>
    <cellStyle name="Normal 2 2 2 2 4 14 5" xfId="13536" xr:uid="{00000000-0005-0000-0000-0000D7340000}"/>
    <cellStyle name="Normal 2 2 2 2 4 14 5 10" xfId="13537" xr:uid="{00000000-0005-0000-0000-0000D8340000}"/>
    <cellStyle name="Normal 2 2 2 2 4 14 5 2" xfId="13538" xr:uid="{00000000-0005-0000-0000-0000D9340000}"/>
    <cellStyle name="Normal 2 2 2 2 4 14 5 3" xfId="13539" xr:uid="{00000000-0005-0000-0000-0000DA340000}"/>
    <cellStyle name="Normal 2 2 2 2 4 14 5 4" xfId="13540" xr:uid="{00000000-0005-0000-0000-0000DB340000}"/>
    <cellStyle name="Normal 2 2 2 2 4 14 5 5" xfId="13541" xr:uid="{00000000-0005-0000-0000-0000DC340000}"/>
    <cellStyle name="Normal 2 2 2 2 4 14 5 6" xfId="13542" xr:uid="{00000000-0005-0000-0000-0000DD340000}"/>
    <cellStyle name="Normal 2 2 2 2 4 14 5 7" xfId="13543" xr:uid="{00000000-0005-0000-0000-0000DE340000}"/>
    <cellStyle name="Normal 2 2 2 2 4 14 5 8" xfId="13544" xr:uid="{00000000-0005-0000-0000-0000DF340000}"/>
    <cellStyle name="Normal 2 2 2 2 4 14 5 9" xfId="13545" xr:uid="{00000000-0005-0000-0000-0000E0340000}"/>
    <cellStyle name="Normal 2 2 2 2 4 14 6" xfId="13546" xr:uid="{00000000-0005-0000-0000-0000E1340000}"/>
    <cellStyle name="Normal 2 2 2 2 4 14 7" xfId="13547" xr:uid="{00000000-0005-0000-0000-0000E2340000}"/>
    <cellStyle name="Normal 2 2 2 2 4 14 8" xfId="13548" xr:uid="{00000000-0005-0000-0000-0000E3340000}"/>
    <cellStyle name="Normal 2 2 2 2 4 14 9" xfId="13549" xr:uid="{00000000-0005-0000-0000-0000E4340000}"/>
    <cellStyle name="Normal 2 2 2 2 4 15" xfId="13550" xr:uid="{00000000-0005-0000-0000-0000E5340000}"/>
    <cellStyle name="Normal 2 2 2 2 4 15 10" xfId="13551" xr:uid="{00000000-0005-0000-0000-0000E6340000}"/>
    <cellStyle name="Normal 2 2 2 2 4 15 11" xfId="13552" xr:uid="{00000000-0005-0000-0000-0000E7340000}"/>
    <cellStyle name="Normal 2 2 2 2 4 15 12" xfId="13553" xr:uid="{00000000-0005-0000-0000-0000E8340000}"/>
    <cellStyle name="Normal 2 2 2 2 4 15 13" xfId="13554" xr:uid="{00000000-0005-0000-0000-0000E9340000}"/>
    <cellStyle name="Normal 2 2 2 2 4 15 14" xfId="13555" xr:uid="{00000000-0005-0000-0000-0000EA340000}"/>
    <cellStyle name="Normal 2 2 2 2 4 15 2" xfId="13556" xr:uid="{00000000-0005-0000-0000-0000EB340000}"/>
    <cellStyle name="Normal 2 2 2 2 4 15 2 10" xfId="13557" xr:uid="{00000000-0005-0000-0000-0000EC340000}"/>
    <cellStyle name="Normal 2 2 2 2 4 15 2 2" xfId="13558" xr:uid="{00000000-0005-0000-0000-0000ED340000}"/>
    <cellStyle name="Normal 2 2 2 2 4 15 2 3" xfId="13559" xr:uid="{00000000-0005-0000-0000-0000EE340000}"/>
    <cellStyle name="Normal 2 2 2 2 4 15 2 4" xfId="13560" xr:uid="{00000000-0005-0000-0000-0000EF340000}"/>
    <cellStyle name="Normal 2 2 2 2 4 15 2 5" xfId="13561" xr:uid="{00000000-0005-0000-0000-0000F0340000}"/>
    <cellStyle name="Normal 2 2 2 2 4 15 2 6" xfId="13562" xr:uid="{00000000-0005-0000-0000-0000F1340000}"/>
    <cellStyle name="Normal 2 2 2 2 4 15 2 7" xfId="13563" xr:uid="{00000000-0005-0000-0000-0000F2340000}"/>
    <cellStyle name="Normal 2 2 2 2 4 15 2 8" xfId="13564" xr:uid="{00000000-0005-0000-0000-0000F3340000}"/>
    <cellStyle name="Normal 2 2 2 2 4 15 2 9" xfId="13565" xr:uid="{00000000-0005-0000-0000-0000F4340000}"/>
    <cellStyle name="Normal 2 2 2 2 4 15 3" xfId="13566" xr:uid="{00000000-0005-0000-0000-0000F5340000}"/>
    <cellStyle name="Normal 2 2 2 2 4 15 3 10" xfId="13567" xr:uid="{00000000-0005-0000-0000-0000F6340000}"/>
    <cellStyle name="Normal 2 2 2 2 4 15 3 2" xfId="13568" xr:uid="{00000000-0005-0000-0000-0000F7340000}"/>
    <cellStyle name="Normal 2 2 2 2 4 15 3 3" xfId="13569" xr:uid="{00000000-0005-0000-0000-0000F8340000}"/>
    <cellStyle name="Normal 2 2 2 2 4 15 3 4" xfId="13570" xr:uid="{00000000-0005-0000-0000-0000F9340000}"/>
    <cellStyle name="Normal 2 2 2 2 4 15 3 5" xfId="13571" xr:uid="{00000000-0005-0000-0000-0000FA340000}"/>
    <cellStyle name="Normal 2 2 2 2 4 15 3 6" xfId="13572" xr:uid="{00000000-0005-0000-0000-0000FB340000}"/>
    <cellStyle name="Normal 2 2 2 2 4 15 3 7" xfId="13573" xr:uid="{00000000-0005-0000-0000-0000FC340000}"/>
    <cellStyle name="Normal 2 2 2 2 4 15 3 8" xfId="13574" xr:uid="{00000000-0005-0000-0000-0000FD340000}"/>
    <cellStyle name="Normal 2 2 2 2 4 15 3 9" xfId="13575" xr:uid="{00000000-0005-0000-0000-0000FE340000}"/>
    <cellStyle name="Normal 2 2 2 2 4 15 4" xfId="13576" xr:uid="{00000000-0005-0000-0000-0000FF340000}"/>
    <cellStyle name="Normal 2 2 2 2 4 15 4 10" xfId="13577" xr:uid="{00000000-0005-0000-0000-000000350000}"/>
    <cellStyle name="Normal 2 2 2 2 4 15 4 2" xfId="13578" xr:uid="{00000000-0005-0000-0000-000001350000}"/>
    <cellStyle name="Normal 2 2 2 2 4 15 4 3" xfId="13579" xr:uid="{00000000-0005-0000-0000-000002350000}"/>
    <cellStyle name="Normal 2 2 2 2 4 15 4 4" xfId="13580" xr:uid="{00000000-0005-0000-0000-000003350000}"/>
    <cellStyle name="Normal 2 2 2 2 4 15 4 5" xfId="13581" xr:uid="{00000000-0005-0000-0000-000004350000}"/>
    <cellStyle name="Normal 2 2 2 2 4 15 4 6" xfId="13582" xr:uid="{00000000-0005-0000-0000-000005350000}"/>
    <cellStyle name="Normal 2 2 2 2 4 15 4 7" xfId="13583" xr:uid="{00000000-0005-0000-0000-000006350000}"/>
    <cellStyle name="Normal 2 2 2 2 4 15 4 8" xfId="13584" xr:uid="{00000000-0005-0000-0000-000007350000}"/>
    <cellStyle name="Normal 2 2 2 2 4 15 4 9" xfId="13585" xr:uid="{00000000-0005-0000-0000-000008350000}"/>
    <cellStyle name="Normal 2 2 2 2 4 15 5" xfId="13586" xr:uid="{00000000-0005-0000-0000-000009350000}"/>
    <cellStyle name="Normal 2 2 2 2 4 15 5 10" xfId="13587" xr:uid="{00000000-0005-0000-0000-00000A350000}"/>
    <cellStyle name="Normal 2 2 2 2 4 15 5 2" xfId="13588" xr:uid="{00000000-0005-0000-0000-00000B350000}"/>
    <cellStyle name="Normal 2 2 2 2 4 15 5 3" xfId="13589" xr:uid="{00000000-0005-0000-0000-00000C350000}"/>
    <cellStyle name="Normal 2 2 2 2 4 15 5 4" xfId="13590" xr:uid="{00000000-0005-0000-0000-00000D350000}"/>
    <cellStyle name="Normal 2 2 2 2 4 15 5 5" xfId="13591" xr:uid="{00000000-0005-0000-0000-00000E350000}"/>
    <cellStyle name="Normal 2 2 2 2 4 15 5 6" xfId="13592" xr:uid="{00000000-0005-0000-0000-00000F350000}"/>
    <cellStyle name="Normal 2 2 2 2 4 15 5 7" xfId="13593" xr:uid="{00000000-0005-0000-0000-000010350000}"/>
    <cellStyle name="Normal 2 2 2 2 4 15 5 8" xfId="13594" xr:uid="{00000000-0005-0000-0000-000011350000}"/>
    <cellStyle name="Normal 2 2 2 2 4 15 5 9" xfId="13595" xr:uid="{00000000-0005-0000-0000-000012350000}"/>
    <cellStyle name="Normal 2 2 2 2 4 15 6" xfId="13596" xr:uid="{00000000-0005-0000-0000-000013350000}"/>
    <cellStyle name="Normal 2 2 2 2 4 15 7" xfId="13597" xr:uid="{00000000-0005-0000-0000-000014350000}"/>
    <cellStyle name="Normal 2 2 2 2 4 15 8" xfId="13598" xr:uid="{00000000-0005-0000-0000-000015350000}"/>
    <cellStyle name="Normal 2 2 2 2 4 15 9" xfId="13599" xr:uid="{00000000-0005-0000-0000-000016350000}"/>
    <cellStyle name="Normal 2 2 2 2 4 16" xfId="13600" xr:uid="{00000000-0005-0000-0000-000017350000}"/>
    <cellStyle name="Normal 2 2 2 2 4 16 10" xfId="13601" xr:uid="{00000000-0005-0000-0000-000018350000}"/>
    <cellStyle name="Normal 2 2 2 2 4 16 11" xfId="13602" xr:uid="{00000000-0005-0000-0000-000019350000}"/>
    <cellStyle name="Normal 2 2 2 2 4 16 12" xfId="13603" xr:uid="{00000000-0005-0000-0000-00001A350000}"/>
    <cellStyle name="Normal 2 2 2 2 4 16 13" xfId="13604" xr:uid="{00000000-0005-0000-0000-00001B350000}"/>
    <cellStyle name="Normal 2 2 2 2 4 16 14" xfId="13605" xr:uid="{00000000-0005-0000-0000-00001C350000}"/>
    <cellStyle name="Normal 2 2 2 2 4 16 2" xfId="13606" xr:uid="{00000000-0005-0000-0000-00001D350000}"/>
    <cellStyle name="Normal 2 2 2 2 4 16 2 10" xfId="13607" xr:uid="{00000000-0005-0000-0000-00001E350000}"/>
    <cellStyle name="Normal 2 2 2 2 4 16 2 2" xfId="13608" xr:uid="{00000000-0005-0000-0000-00001F350000}"/>
    <cellStyle name="Normal 2 2 2 2 4 16 2 3" xfId="13609" xr:uid="{00000000-0005-0000-0000-000020350000}"/>
    <cellStyle name="Normal 2 2 2 2 4 16 2 4" xfId="13610" xr:uid="{00000000-0005-0000-0000-000021350000}"/>
    <cellStyle name="Normal 2 2 2 2 4 16 2 5" xfId="13611" xr:uid="{00000000-0005-0000-0000-000022350000}"/>
    <cellStyle name="Normal 2 2 2 2 4 16 2 6" xfId="13612" xr:uid="{00000000-0005-0000-0000-000023350000}"/>
    <cellStyle name="Normal 2 2 2 2 4 16 2 7" xfId="13613" xr:uid="{00000000-0005-0000-0000-000024350000}"/>
    <cellStyle name="Normal 2 2 2 2 4 16 2 8" xfId="13614" xr:uid="{00000000-0005-0000-0000-000025350000}"/>
    <cellStyle name="Normal 2 2 2 2 4 16 2 9" xfId="13615" xr:uid="{00000000-0005-0000-0000-000026350000}"/>
    <cellStyle name="Normal 2 2 2 2 4 16 3" xfId="13616" xr:uid="{00000000-0005-0000-0000-000027350000}"/>
    <cellStyle name="Normal 2 2 2 2 4 16 3 10" xfId="13617" xr:uid="{00000000-0005-0000-0000-000028350000}"/>
    <cellStyle name="Normal 2 2 2 2 4 16 3 2" xfId="13618" xr:uid="{00000000-0005-0000-0000-000029350000}"/>
    <cellStyle name="Normal 2 2 2 2 4 16 3 3" xfId="13619" xr:uid="{00000000-0005-0000-0000-00002A350000}"/>
    <cellStyle name="Normal 2 2 2 2 4 16 3 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000-0005-0000-0000-00002E350000}"/>
    <cellStyle name="Normal 2 2 2 2 4 16 3 8" xfId="13624" xr:uid="{00000000-0005-0000-0000-00002F350000}"/>
    <cellStyle name="Normal 2 2 2 2 4 16 3 9" xfId="13625" xr:uid="{00000000-0005-0000-0000-000030350000}"/>
    <cellStyle name="Normal 2 2 2 2 4 16 4" xfId="13626" xr:uid="{00000000-0005-0000-0000-000031350000}"/>
    <cellStyle name="Normal 2 2 2 2 4 16 4 10" xfId="13627" xr:uid="{00000000-0005-0000-0000-000032350000}"/>
    <cellStyle name="Normal 2 2 2 2 4 16 4 2" xfId="13628" xr:uid="{00000000-0005-0000-0000-000033350000}"/>
    <cellStyle name="Normal 2 2 2 2 4 16 4 3" xfId="13629" xr:uid="{00000000-0005-0000-0000-000034350000}"/>
    <cellStyle name="Normal 2 2 2 2 4 16 4 4" xfId="13630" xr:uid="{00000000-0005-0000-0000-000035350000}"/>
    <cellStyle name="Normal 2 2 2 2 4 16 4 5" xfId="13631" xr:uid="{00000000-0005-0000-0000-000036350000}"/>
    <cellStyle name="Normal 2 2 2 2 4 16 4 6" xfId="13632" xr:uid="{00000000-0005-0000-0000-000037350000}"/>
    <cellStyle name="Normal 2 2 2 2 4 16 4 7" xfId="13633" xr:uid="{00000000-0005-0000-0000-000038350000}"/>
    <cellStyle name="Normal 2 2 2 2 4 16 4 8" xfId="13634" xr:uid="{00000000-0005-0000-0000-000039350000}"/>
    <cellStyle name="Normal 2 2 2 2 4 16 4 9" xfId="13635" xr:uid="{00000000-0005-0000-0000-00003A350000}"/>
    <cellStyle name="Normal 2 2 2 2 4 16 5" xfId="13636" xr:uid="{00000000-0005-0000-0000-00003B350000}"/>
    <cellStyle name="Normal 2 2 2 2 4 16 5 10" xfId="13637" xr:uid="{00000000-0005-0000-0000-00003C350000}"/>
    <cellStyle name="Normal 2 2 2 2 4 16 5 2" xfId="13638" xr:uid="{00000000-0005-0000-0000-00003D350000}"/>
    <cellStyle name="Normal 2 2 2 2 4 16 5 3" xfId="13639" xr:uid="{00000000-0005-0000-0000-00003E350000}"/>
    <cellStyle name="Normal 2 2 2 2 4 16 5 4" xfId="13640" xr:uid="{00000000-0005-0000-0000-00003F350000}"/>
    <cellStyle name="Normal 2 2 2 2 4 16 5 5" xfId="13641" xr:uid="{00000000-0005-0000-0000-000040350000}"/>
    <cellStyle name="Normal 2 2 2 2 4 16 5 6" xfId="13642" xr:uid="{00000000-0005-0000-0000-000041350000}"/>
    <cellStyle name="Normal 2 2 2 2 4 16 5 7" xfId="13643" xr:uid="{00000000-0005-0000-0000-000042350000}"/>
    <cellStyle name="Normal 2 2 2 2 4 16 5 8" xfId="13644" xr:uid="{00000000-0005-0000-0000-000043350000}"/>
    <cellStyle name="Normal 2 2 2 2 4 16 5 9" xfId="13645" xr:uid="{00000000-0005-0000-0000-000044350000}"/>
    <cellStyle name="Normal 2 2 2 2 4 16 6" xfId="13646" xr:uid="{00000000-0005-0000-0000-000045350000}"/>
    <cellStyle name="Normal 2 2 2 2 4 16 7" xfId="13647" xr:uid="{00000000-0005-0000-0000-000046350000}"/>
    <cellStyle name="Normal 2 2 2 2 4 16 8" xfId="13648" xr:uid="{00000000-0005-0000-0000-000047350000}"/>
    <cellStyle name="Normal 2 2 2 2 4 16 9" xfId="13649" xr:uid="{00000000-0005-0000-0000-000048350000}"/>
    <cellStyle name="Normal 2 2 2 2 4 17" xfId="13650" xr:uid="{00000000-0005-0000-0000-000049350000}"/>
    <cellStyle name="Normal 2 2 2 2 4 17 10" xfId="13651" xr:uid="{00000000-0005-0000-0000-00004A350000}"/>
    <cellStyle name="Normal 2 2 2 2 4 17 11" xfId="13652" xr:uid="{00000000-0005-0000-0000-00004B350000}"/>
    <cellStyle name="Normal 2 2 2 2 4 17 12" xfId="13653" xr:uid="{00000000-0005-0000-0000-00004C350000}"/>
    <cellStyle name="Normal 2 2 2 2 4 17 13" xfId="13654" xr:uid="{00000000-0005-0000-0000-00004D350000}"/>
    <cellStyle name="Normal 2 2 2 2 4 17 14" xfId="13655" xr:uid="{00000000-0005-0000-0000-00004E350000}"/>
    <cellStyle name="Normal 2 2 2 2 4 17 2" xfId="13656" xr:uid="{00000000-0005-0000-0000-00004F350000}"/>
    <cellStyle name="Normal 2 2 2 2 4 17 2 10" xfId="13657" xr:uid="{00000000-0005-0000-0000-000050350000}"/>
    <cellStyle name="Normal 2 2 2 2 4 17 2 2" xfId="13658" xr:uid="{00000000-0005-0000-0000-000051350000}"/>
    <cellStyle name="Normal 2 2 2 2 4 17 2 3" xfId="13659" xr:uid="{00000000-0005-0000-0000-000052350000}"/>
    <cellStyle name="Normal 2 2 2 2 4 17 2 4" xfId="13660" xr:uid="{00000000-0005-0000-0000-000053350000}"/>
    <cellStyle name="Normal 2 2 2 2 4 17 2 5" xfId="13661" xr:uid="{00000000-0005-0000-0000-000054350000}"/>
    <cellStyle name="Normal 2 2 2 2 4 17 2 6" xfId="13662" xr:uid="{00000000-0005-0000-0000-000055350000}"/>
    <cellStyle name="Normal 2 2 2 2 4 17 2 7" xfId="13663" xr:uid="{00000000-0005-0000-0000-000056350000}"/>
    <cellStyle name="Normal 2 2 2 2 4 17 2 8" xfId="13664" xr:uid="{00000000-0005-0000-0000-000057350000}"/>
    <cellStyle name="Normal 2 2 2 2 4 17 2 9" xfId="13665" xr:uid="{00000000-0005-0000-0000-000058350000}"/>
    <cellStyle name="Normal 2 2 2 2 4 17 3" xfId="13666" xr:uid="{00000000-0005-0000-0000-000059350000}"/>
    <cellStyle name="Normal 2 2 2 2 4 17 3 10" xfId="13667" xr:uid="{00000000-0005-0000-0000-00005A350000}"/>
    <cellStyle name="Normal 2 2 2 2 4 17 3 2" xfId="13668" xr:uid="{00000000-0005-0000-0000-00005B350000}"/>
    <cellStyle name="Normal 2 2 2 2 4 17 3 3" xfId="13669" xr:uid="{00000000-0005-0000-0000-00005C350000}"/>
    <cellStyle name="Normal 2 2 2 2 4 17 3 4" xfId="13670" xr:uid="{00000000-0005-0000-0000-00005D350000}"/>
    <cellStyle name="Normal 2 2 2 2 4 17 3 5" xfId="13671" xr:uid="{00000000-0005-0000-0000-00005E350000}"/>
    <cellStyle name="Normal 2 2 2 2 4 17 3 6" xfId="13672" xr:uid="{00000000-0005-0000-0000-00005F350000}"/>
    <cellStyle name="Normal 2 2 2 2 4 17 3 7" xfId="13673" xr:uid="{00000000-0005-0000-0000-000060350000}"/>
    <cellStyle name="Normal 2 2 2 2 4 17 3 8" xfId="13674" xr:uid="{00000000-0005-0000-0000-000061350000}"/>
    <cellStyle name="Normal 2 2 2 2 4 17 3 9" xfId="13675" xr:uid="{00000000-0005-0000-0000-000062350000}"/>
    <cellStyle name="Normal 2 2 2 2 4 17 4" xfId="13676" xr:uid="{00000000-0005-0000-0000-000063350000}"/>
    <cellStyle name="Normal 2 2 2 2 4 17 4 10" xfId="13677" xr:uid="{00000000-0005-0000-0000-000064350000}"/>
    <cellStyle name="Normal 2 2 2 2 4 17 4 2" xfId="13678" xr:uid="{00000000-0005-0000-0000-000065350000}"/>
    <cellStyle name="Normal 2 2 2 2 4 17 4 3" xfId="13679" xr:uid="{00000000-0005-0000-0000-000066350000}"/>
    <cellStyle name="Normal 2 2 2 2 4 17 4 4" xfId="13680" xr:uid="{00000000-0005-0000-0000-000067350000}"/>
    <cellStyle name="Normal 2 2 2 2 4 17 4 5" xfId="13681" xr:uid="{00000000-0005-0000-0000-000068350000}"/>
    <cellStyle name="Normal 2 2 2 2 4 17 4 6" xfId="13682" xr:uid="{00000000-0005-0000-0000-000069350000}"/>
    <cellStyle name="Normal 2 2 2 2 4 17 4 7" xfId="13683" xr:uid="{00000000-0005-0000-0000-00006A350000}"/>
    <cellStyle name="Normal 2 2 2 2 4 17 4 8" xfId="13684" xr:uid="{00000000-0005-0000-0000-00006B350000}"/>
    <cellStyle name="Normal 2 2 2 2 4 17 4 9" xfId="13685" xr:uid="{00000000-0005-0000-0000-00006C350000}"/>
    <cellStyle name="Normal 2 2 2 2 4 17 5" xfId="13686" xr:uid="{00000000-0005-0000-0000-00006D350000}"/>
    <cellStyle name="Normal 2 2 2 2 4 17 5 10" xfId="13687" xr:uid="{00000000-0005-0000-0000-00006E350000}"/>
    <cellStyle name="Normal 2 2 2 2 4 17 5 2" xfId="13688" xr:uid="{00000000-0005-0000-0000-00006F350000}"/>
    <cellStyle name="Normal 2 2 2 2 4 17 5 3" xfId="13689" xr:uid="{00000000-0005-0000-0000-000070350000}"/>
    <cellStyle name="Normal 2 2 2 2 4 17 5 4" xfId="13690" xr:uid="{00000000-0005-0000-0000-000071350000}"/>
    <cellStyle name="Normal 2 2 2 2 4 17 5 5" xfId="13691" xr:uid="{00000000-0005-0000-0000-000072350000}"/>
    <cellStyle name="Normal 2 2 2 2 4 17 5 6" xfId="13692" xr:uid="{00000000-0005-0000-0000-000073350000}"/>
    <cellStyle name="Normal 2 2 2 2 4 17 5 7" xfId="13693" xr:uid="{00000000-0005-0000-0000-000074350000}"/>
    <cellStyle name="Normal 2 2 2 2 4 17 5 8" xfId="13694" xr:uid="{00000000-0005-0000-0000-000075350000}"/>
    <cellStyle name="Normal 2 2 2 2 4 17 5 9" xfId="13695" xr:uid="{00000000-0005-0000-0000-000076350000}"/>
    <cellStyle name="Normal 2 2 2 2 4 17 6" xfId="13696" xr:uid="{00000000-0005-0000-0000-000077350000}"/>
    <cellStyle name="Normal 2 2 2 2 4 17 7" xfId="13697" xr:uid="{00000000-0005-0000-0000-000078350000}"/>
    <cellStyle name="Normal 2 2 2 2 4 17 8" xfId="13698" xr:uid="{00000000-0005-0000-0000-000079350000}"/>
    <cellStyle name="Normal 2 2 2 2 4 17 9" xfId="13699" xr:uid="{00000000-0005-0000-0000-00007A350000}"/>
    <cellStyle name="Normal 2 2 2 2 4 18" xfId="13700" xr:uid="{00000000-0005-0000-0000-00007B350000}"/>
    <cellStyle name="Normal 2 2 2 2 4 18 10" xfId="13701" xr:uid="{00000000-0005-0000-0000-00007C350000}"/>
    <cellStyle name="Normal 2 2 2 2 4 18 11" xfId="13702" xr:uid="{00000000-0005-0000-0000-00007D350000}"/>
    <cellStyle name="Normal 2 2 2 2 4 18 12" xfId="13703" xr:uid="{00000000-0005-0000-0000-00007E350000}"/>
    <cellStyle name="Normal 2 2 2 2 4 18 13" xfId="13704" xr:uid="{00000000-0005-0000-0000-00007F350000}"/>
    <cellStyle name="Normal 2 2 2 2 4 18 14" xfId="13705" xr:uid="{00000000-0005-0000-0000-000080350000}"/>
    <cellStyle name="Normal 2 2 2 2 4 18 2" xfId="13706" xr:uid="{00000000-0005-0000-0000-000081350000}"/>
    <cellStyle name="Normal 2 2 2 2 4 18 2 10" xfId="13707" xr:uid="{00000000-0005-0000-0000-000082350000}"/>
    <cellStyle name="Normal 2 2 2 2 4 18 2 2" xfId="13708" xr:uid="{00000000-0005-0000-0000-000083350000}"/>
    <cellStyle name="Normal 2 2 2 2 4 18 2 3" xfId="13709" xr:uid="{00000000-0005-0000-0000-000084350000}"/>
    <cellStyle name="Normal 2 2 2 2 4 18 2 4" xfId="13710" xr:uid="{00000000-0005-0000-0000-000085350000}"/>
    <cellStyle name="Normal 2 2 2 2 4 18 2 5" xfId="13711" xr:uid="{00000000-0005-0000-0000-000086350000}"/>
    <cellStyle name="Normal 2 2 2 2 4 18 2 6" xfId="13712" xr:uid="{00000000-0005-0000-0000-000087350000}"/>
    <cellStyle name="Normal 2 2 2 2 4 18 2 7" xfId="13713" xr:uid="{00000000-0005-0000-0000-000088350000}"/>
    <cellStyle name="Normal 2 2 2 2 4 18 2 8" xfId="13714" xr:uid="{00000000-0005-0000-0000-000089350000}"/>
    <cellStyle name="Normal 2 2 2 2 4 18 2 9" xfId="13715" xr:uid="{00000000-0005-0000-0000-00008A350000}"/>
    <cellStyle name="Normal 2 2 2 2 4 18 3" xfId="13716" xr:uid="{00000000-0005-0000-0000-00008B350000}"/>
    <cellStyle name="Normal 2 2 2 2 4 18 3 10" xfId="13717" xr:uid="{00000000-0005-0000-0000-00008C350000}"/>
    <cellStyle name="Normal 2 2 2 2 4 18 3 2" xfId="13718" xr:uid="{00000000-0005-0000-0000-00008D350000}"/>
    <cellStyle name="Normal 2 2 2 2 4 18 3 3" xfId="13719" xr:uid="{00000000-0005-0000-0000-00008E350000}"/>
    <cellStyle name="Normal 2 2 2 2 4 18 3 4" xfId="13720" xr:uid="{00000000-0005-0000-0000-00008F350000}"/>
    <cellStyle name="Normal 2 2 2 2 4 18 3 5" xfId="13721" xr:uid="{00000000-0005-0000-0000-000090350000}"/>
    <cellStyle name="Normal 2 2 2 2 4 18 3 6" xfId="13722" xr:uid="{00000000-0005-0000-0000-000091350000}"/>
    <cellStyle name="Normal 2 2 2 2 4 18 3 7" xfId="13723" xr:uid="{00000000-0005-0000-0000-000092350000}"/>
    <cellStyle name="Normal 2 2 2 2 4 18 3 8" xfId="13724" xr:uid="{00000000-0005-0000-0000-000093350000}"/>
    <cellStyle name="Normal 2 2 2 2 4 18 3 9" xfId="13725" xr:uid="{00000000-0005-0000-0000-000094350000}"/>
    <cellStyle name="Normal 2 2 2 2 4 18 4" xfId="13726" xr:uid="{00000000-0005-0000-0000-000095350000}"/>
    <cellStyle name="Normal 2 2 2 2 4 18 4 10" xfId="13727" xr:uid="{00000000-0005-0000-0000-000096350000}"/>
    <cellStyle name="Normal 2 2 2 2 4 18 4 2" xfId="13728" xr:uid="{00000000-0005-0000-0000-000097350000}"/>
    <cellStyle name="Normal 2 2 2 2 4 18 4 3" xfId="13729" xr:uid="{00000000-0005-0000-0000-000098350000}"/>
    <cellStyle name="Normal 2 2 2 2 4 18 4 4" xfId="13730" xr:uid="{00000000-0005-0000-0000-000099350000}"/>
    <cellStyle name="Normal 2 2 2 2 4 18 4 5" xfId="13731" xr:uid="{00000000-0005-0000-0000-00009A350000}"/>
    <cellStyle name="Normal 2 2 2 2 4 18 4 6" xfId="13732" xr:uid="{00000000-0005-0000-0000-00009B350000}"/>
    <cellStyle name="Normal 2 2 2 2 4 18 4 7" xfId="13733" xr:uid="{00000000-0005-0000-0000-00009C350000}"/>
    <cellStyle name="Normal 2 2 2 2 4 18 4 8" xfId="13734" xr:uid="{00000000-0005-0000-0000-00009D350000}"/>
    <cellStyle name="Normal 2 2 2 2 4 18 4 9" xfId="13735" xr:uid="{00000000-0005-0000-0000-00009E350000}"/>
    <cellStyle name="Normal 2 2 2 2 4 18 5" xfId="13736" xr:uid="{00000000-0005-0000-0000-00009F350000}"/>
    <cellStyle name="Normal 2 2 2 2 4 18 5 10" xfId="13737" xr:uid="{00000000-0005-0000-0000-0000A0350000}"/>
    <cellStyle name="Normal 2 2 2 2 4 18 5 2" xfId="13738" xr:uid="{00000000-0005-0000-0000-0000A1350000}"/>
    <cellStyle name="Normal 2 2 2 2 4 18 5 3" xfId="13739" xr:uid="{00000000-0005-0000-0000-0000A2350000}"/>
    <cellStyle name="Normal 2 2 2 2 4 18 5 4" xfId="13740" xr:uid="{00000000-0005-0000-0000-0000A3350000}"/>
    <cellStyle name="Normal 2 2 2 2 4 18 5 5" xfId="13741" xr:uid="{00000000-0005-0000-0000-0000A4350000}"/>
    <cellStyle name="Normal 2 2 2 2 4 18 5 6" xfId="13742" xr:uid="{00000000-0005-0000-0000-0000A5350000}"/>
    <cellStyle name="Normal 2 2 2 2 4 18 5 7" xfId="13743" xr:uid="{00000000-0005-0000-0000-0000A6350000}"/>
    <cellStyle name="Normal 2 2 2 2 4 18 5 8" xfId="13744" xr:uid="{00000000-0005-0000-0000-0000A7350000}"/>
    <cellStyle name="Normal 2 2 2 2 4 18 5 9" xfId="13745" xr:uid="{00000000-0005-0000-0000-0000A8350000}"/>
    <cellStyle name="Normal 2 2 2 2 4 18 6" xfId="13746" xr:uid="{00000000-0005-0000-0000-0000A9350000}"/>
    <cellStyle name="Normal 2 2 2 2 4 18 7" xfId="13747" xr:uid="{00000000-0005-0000-0000-0000AA350000}"/>
    <cellStyle name="Normal 2 2 2 2 4 18 8" xfId="13748" xr:uid="{00000000-0005-0000-0000-0000AB350000}"/>
    <cellStyle name="Normal 2 2 2 2 4 18 9" xfId="13749" xr:uid="{00000000-0005-0000-0000-0000AC350000}"/>
    <cellStyle name="Normal 2 2 2 2 4 19" xfId="13750" xr:uid="{00000000-0005-0000-0000-0000AD350000}"/>
    <cellStyle name="Normal 2 2 2 2 4 19 10" xfId="13751" xr:uid="{00000000-0005-0000-0000-0000AE350000}"/>
    <cellStyle name="Normal 2 2 2 2 4 19 11" xfId="13752" xr:uid="{00000000-0005-0000-0000-0000AF350000}"/>
    <cellStyle name="Normal 2 2 2 2 4 19 12" xfId="13753" xr:uid="{00000000-0005-0000-0000-0000B0350000}"/>
    <cellStyle name="Normal 2 2 2 2 4 19 13" xfId="13754" xr:uid="{00000000-0005-0000-0000-0000B1350000}"/>
    <cellStyle name="Normal 2 2 2 2 4 19 14" xfId="13755" xr:uid="{00000000-0005-0000-0000-0000B2350000}"/>
    <cellStyle name="Normal 2 2 2 2 4 19 2" xfId="13756" xr:uid="{00000000-0005-0000-0000-0000B3350000}"/>
    <cellStyle name="Normal 2 2 2 2 4 19 2 10" xfId="13757" xr:uid="{00000000-0005-0000-0000-0000B4350000}"/>
    <cellStyle name="Normal 2 2 2 2 4 19 2 2" xfId="13758" xr:uid="{00000000-0005-0000-0000-0000B5350000}"/>
    <cellStyle name="Normal 2 2 2 2 4 19 2 3" xfId="13759" xr:uid="{00000000-0005-0000-0000-0000B6350000}"/>
    <cellStyle name="Normal 2 2 2 2 4 19 2 4" xfId="13760" xr:uid="{00000000-0005-0000-0000-0000B7350000}"/>
    <cellStyle name="Normal 2 2 2 2 4 19 2 5" xfId="13761" xr:uid="{00000000-0005-0000-0000-0000B8350000}"/>
    <cellStyle name="Normal 2 2 2 2 4 19 2 6" xfId="13762" xr:uid="{00000000-0005-0000-0000-0000B9350000}"/>
    <cellStyle name="Normal 2 2 2 2 4 19 2 7" xfId="13763" xr:uid="{00000000-0005-0000-0000-0000BA350000}"/>
    <cellStyle name="Normal 2 2 2 2 4 19 2 8" xfId="13764" xr:uid="{00000000-0005-0000-0000-0000BB350000}"/>
    <cellStyle name="Normal 2 2 2 2 4 19 2 9" xfId="13765" xr:uid="{00000000-0005-0000-0000-0000BC350000}"/>
    <cellStyle name="Normal 2 2 2 2 4 19 3" xfId="13766" xr:uid="{00000000-0005-0000-0000-0000BD350000}"/>
    <cellStyle name="Normal 2 2 2 2 4 19 3 10" xfId="13767" xr:uid="{00000000-0005-0000-0000-0000BE350000}"/>
    <cellStyle name="Normal 2 2 2 2 4 19 3 2" xfId="13768" xr:uid="{00000000-0005-0000-0000-0000BF350000}"/>
    <cellStyle name="Normal 2 2 2 2 4 19 3 3" xfId="13769" xr:uid="{00000000-0005-0000-0000-0000C0350000}"/>
    <cellStyle name="Normal 2 2 2 2 4 19 3 4" xfId="13770" xr:uid="{00000000-0005-0000-0000-0000C1350000}"/>
    <cellStyle name="Normal 2 2 2 2 4 19 3 5" xfId="13771" xr:uid="{00000000-0005-0000-0000-0000C2350000}"/>
    <cellStyle name="Normal 2 2 2 2 4 19 3 6" xfId="13772" xr:uid="{00000000-0005-0000-0000-0000C3350000}"/>
    <cellStyle name="Normal 2 2 2 2 4 19 3 7" xfId="13773" xr:uid="{00000000-0005-0000-0000-0000C4350000}"/>
    <cellStyle name="Normal 2 2 2 2 4 19 3 8" xfId="13774" xr:uid="{00000000-0005-0000-0000-0000C5350000}"/>
    <cellStyle name="Normal 2 2 2 2 4 19 3 9" xfId="13775" xr:uid="{00000000-0005-0000-0000-0000C6350000}"/>
    <cellStyle name="Normal 2 2 2 2 4 19 4" xfId="13776" xr:uid="{00000000-0005-0000-0000-0000C7350000}"/>
    <cellStyle name="Normal 2 2 2 2 4 19 4 10" xfId="13777" xr:uid="{00000000-0005-0000-0000-0000C8350000}"/>
    <cellStyle name="Normal 2 2 2 2 4 19 4 2" xfId="13778" xr:uid="{00000000-0005-0000-0000-0000C9350000}"/>
    <cellStyle name="Normal 2 2 2 2 4 19 4 3" xfId="13779" xr:uid="{00000000-0005-0000-0000-0000CA350000}"/>
    <cellStyle name="Normal 2 2 2 2 4 19 4 4" xfId="13780" xr:uid="{00000000-0005-0000-0000-0000CB350000}"/>
    <cellStyle name="Normal 2 2 2 2 4 19 4 5" xfId="13781" xr:uid="{00000000-0005-0000-0000-0000CC350000}"/>
    <cellStyle name="Normal 2 2 2 2 4 19 4 6" xfId="13782" xr:uid="{00000000-0005-0000-0000-0000CD350000}"/>
    <cellStyle name="Normal 2 2 2 2 4 19 4 7" xfId="13783" xr:uid="{00000000-0005-0000-0000-0000CE350000}"/>
    <cellStyle name="Normal 2 2 2 2 4 19 4 8" xfId="13784" xr:uid="{00000000-0005-0000-0000-0000CF350000}"/>
    <cellStyle name="Normal 2 2 2 2 4 19 4 9" xfId="13785" xr:uid="{00000000-0005-0000-0000-0000D0350000}"/>
    <cellStyle name="Normal 2 2 2 2 4 19 5" xfId="13786" xr:uid="{00000000-0005-0000-0000-0000D1350000}"/>
    <cellStyle name="Normal 2 2 2 2 4 19 5 10" xfId="13787" xr:uid="{00000000-0005-0000-0000-0000D2350000}"/>
    <cellStyle name="Normal 2 2 2 2 4 19 5 2" xfId="13788" xr:uid="{00000000-0005-0000-0000-0000D3350000}"/>
    <cellStyle name="Normal 2 2 2 2 4 19 5 3" xfId="13789" xr:uid="{00000000-0005-0000-0000-0000D4350000}"/>
    <cellStyle name="Normal 2 2 2 2 4 19 5 4" xfId="13790" xr:uid="{00000000-0005-0000-0000-0000D5350000}"/>
    <cellStyle name="Normal 2 2 2 2 4 19 5 5" xfId="13791" xr:uid="{00000000-0005-0000-0000-0000D6350000}"/>
    <cellStyle name="Normal 2 2 2 2 4 19 5 6" xfId="13792" xr:uid="{00000000-0005-0000-0000-0000D7350000}"/>
    <cellStyle name="Normal 2 2 2 2 4 19 5 7" xfId="13793" xr:uid="{00000000-0005-0000-0000-0000D8350000}"/>
    <cellStyle name="Normal 2 2 2 2 4 19 5 8" xfId="13794" xr:uid="{00000000-0005-0000-0000-0000D9350000}"/>
    <cellStyle name="Normal 2 2 2 2 4 19 5 9" xfId="13795" xr:uid="{00000000-0005-0000-0000-0000DA350000}"/>
    <cellStyle name="Normal 2 2 2 2 4 19 6" xfId="13796" xr:uid="{00000000-0005-0000-0000-0000DB350000}"/>
    <cellStyle name="Normal 2 2 2 2 4 19 7" xfId="13797" xr:uid="{00000000-0005-0000-0000-0000DC350000}"/>
    <cellStyle name="Normal 2 2 2 2 4 19 8" xfId="13798" xr:uid="{00000000-0005-0000-0000-0000DD350000}"/>
    <cellStyle name="Normal 2 2 2 2 4 19 9" xfId="13799" xr:uid="{00000000-0005-0000-0000-0000DE350000}"/>
    <cellStyle name="Normal 2 2 2 2 4 2" xfId="13800" xr:uid="{00000000-0005-0000-0000-0000DF350000}"/>
    <cellStyle name="Normal 2 2 2 2 4 2 10" xfId="13801" xr:uid="{00000000-0005-0000-0000-0000E0350000}"/>
    <cellStyle name="Normal 2 2 2 2 4 2 11" xfId="13802" xr:uid="{00000000-0005-0000-0000-0000E1350000}"/>
    <cellStyle name="Normal 2 2 2 2 4 2 12" xfId="13803" xr:uid="{00000000-0005-0000-0000-0000E2350000}"/>
    <cellStyle name="Normal 2 2 2 2 4 2 13" xfId="13804" xr:uid="{00000000-0005-0000-0000-0000E3350000}"/>
    <cellStyle name="Normal 2 2 2 2 4 2 14" xfId="13805" xr:uid="{00000000-0005-0000-0000-0000E4350000}"/>
    <cellStyle name="Normal 2 2 2 2 4 2 15" xfId="13806" xr:uid="{00000000-0005-0000-0000-0000E5350000}"/>
    <cellStyle name="Normal 2 2 2 2 4 2 16" xfId="13807" xr:uid="{00000000-0005-0000-0000-0000E6350000}"/>
    <cellStyle name="Normal 2 2 2 2 4 2 17" xfId="13808" xr:uid="{00000000-0005-0000-0000-0000E7350000}"/>
    <cellStyle name="Normal 2 2 2 2 4 2 18" xfId="13809" xr:uid="{00000000-0005-0000-0000-0000E8350000}"/>
    <cellStyle name="Normal 2 2 2 2 4 2 19" xfId="13810" xr:uid="{00000000-0005-0000-0000-0000E9350000}"/>
    <cellStyle name="Normal 2 2 2 2 4 2 2" xfId="13811" xr:uid="{00000000-0005-0000-0000-0000EA350000}"/>
    <cellStyle name="Normal 2 2 2 2 4 2 2 10" xfId="13812" xr:uid="{00000000-0005-0000-0000-0000EB350000}"/>
    <cellStyle name="Normal 2 2 2 2 4 2 2 10 10" xfId="13813" xr:uid="{00000000-0005-0000-0000-0000EC350000}"/>
    <cellStyle name="Normal 2 2 2 2 4 2 2 10 11" xfId="13814" xr:uid="{00000000-0005-0000-0000-0000ED350000}"/>
    <cellStyle name="Normal 2 2 2 2 4 2 2 10 12" xfId="13815" xr:uid="{00000000-0005-0000-0000-0000EE350000}"/>
    <cellStyle name="Normal 2 2 2 2 4 2 2 10 13" xfId="13816" xr:uid="{00000000-0005-0000-0000-0000EF350000}"/>
    <cellStyle name="Normal 2 2 2 2 4 2 2 10 14" xfId="13817" xr:uid="{00000000-0005-0000-0000-0000F0350000}"/>
    <cellStyle name="Normal 2 2 2 2 4 2 2 10 2" xfId="13818" xr:uid="{00000000-0005-0000-0000-0000F1350000}"/>
    <cellStyle name="Normal 2 2 2 2 4 2 2 10 2 10" xfId="13819" xr:uid="{00000000-0005-0000-0000-0000F2350000}"/>
    <cellStyle name="Normal 2 2 2 2 4 2 2 10 2 2" xfId="13820" xr:uid="{00000000-0005-0000-0000-0000F3350000}"/>
    <cellStyle name="Normal 2 2 2 2 4 2 2 10 2 3" xfId="13821" xr:uid="{00000000-0005-0000-0000-0000F4350000}"/>
    <cellStyle name="Normal 2 2 2 2 4 2 2 10 2 4" xfId="13822" xr:uid="{00000000-0005-0000-0000-0000F5350000}"/>
    <cellStyle name="Normal 2 2 2 2 4 2 2 10 2 5" xfId="13823" xr:uid="{00000000-0005-0000-0000-0000F6350000}"/>
    <cellStyle name="Normal 2 2 2 2 4 2 2 10 2 6" xfId="13824" xr:uid="{00000000-0005-0000-0000-0000F7350000}"/>
    <cellStyle name="Normal 2 2 2 2 4 2 2 10 2 7" xfId="13825" xr:uid="{00000000-0005-0000-0000-0000F8350000}"/>
    <cellStyle name="Normal 2 2 2 2 4 2 2 10 2 8" xfId="13826" xr:uid="{00000000-0005-0000-0000-0000F9350000}"/>
    <cellStyle name="Normal 2 2 2 2 4 2 2 10 2 9" xfId="13827" xr:uid="{00000000-0005-0000-0000-0000FA350000}"/>
    <cellStyle name="Normal 2 2 2 2 4 2 2 10 3" xfId="13828" xr:uid="{00000000-0005-0000-0000-0000FB350000}"/>
    <cellStyle name="Normal 2 2 2 2 4 2 2 10 3 10" xfId="13829" xr:uid="{00000000-0005-0000-0000-0000FC350000}"/>
    <cellStyle name="Normal 2 2 2 2 4 2 2 10 3 2" xfId="13830" xr:uid="{00000000-0005-0000-0000-0000FD350000}"/>
    <cellStyle name="Normal 2 2 2 2 4 2 2 10 3 3" xfId="13831" xr:uid="{00000000-0005-0000-0000-0000FE350000}"/>
    <cellStyle name="Normal 2 2 2 2 4 2 2 10 3 4" xfId="13832" xr:uid="{00000000-0005-0000-0000-0000FF350000}"/>
    <cellStyle name="Normal 2 2 2 2 4 2 2 10 3 5" xfId="13833" xr:uid="{00000000-0005-0000-0000-000000360000}"/>
    <cellStyle name="Normal 2 2 2 2 4 2 2 10 3 6" xfId="13834" xr:uid="{00000000-0005-0000-0000-000001360000}"/>
    <cellStyle name="Normal 2 2 2 2 4 2 2 10 3 7" xfId="13835" xr:uid="{00000000-0005-0000-0000-000002360000}"/>
    <cellStyle name="Normal 2 2 2 2 4 2 2 10 3 8" xfId="13836" xr:uid="{00000000-0005-0000-0000-000003360000}"/>
    <cellStyle name="Normal 2 2 2 2 4 2 2 10 3 9" xfId="13837" xr:uid="{00000000-0005-0000-0000-000004360000}"/>
    <cellStyle name="Normal 2 2 2 2 4 2 2 10 4" xfId="13838" xr:uid="{00000000-0005-0000-0000-000005360000}"/>
    <cellStyle name="Normal 2 2 2 2 4 2 2 10 4 10" xfId="13839" xr:uid="{00000000-0005-0000-0000-000006360000}"/>
    <cellStyle name="Normal 2 2 2 2 4 2 2 10 4 2" xfId="13840" xr:uid="{00000000-0005-0000-0000-000007360000}"/>
    <cellStyle name="Normal 2 2 2 2 4 2 2 10 4 3" xfId="13841" xr:uid="{00000000-0005-0000-0000-000008360000}"/>
    <cellStyle name="Normal 2 2 2 2 4 2 2 10 4 4" xfId="13842" xr:uid="{00000000-0005-0000-0000-000009360000}"/>
    <cellStyle name="Normal 2 2 2 2 4 2 2 10 4 5" xfId="13843" xr:uid="{00000000-0005-0000-0000-00000A360000}"/>
    <cellStyle name="Normal 2 2 2 2 4 2 2 10 4 6" xfId="13844" xr:uid="{00000000-0005-0000-0000-00000B360000}"/>
    <cellStyle name="Normal 2 2 2 2 4 2 2 10 4 7" xfId="13845" xr:uid="{00000000-0005-0000-0000-00000C360000}"/>
    <cellStyle name="Normal 2 2 2 2 4 2 2 10 4 8" xfId="13846" xr:uid="{00000000-0005-0000-0000-00000D360000}"/>
    <cellStyle name="Normal 2 2 2 2 4 2 2 10 4 9" xfId="13847" xr:uid="{00000000-0005-0000-0000-00000E360000}"/>
    <cellStyle name="Normal 2 2 2 2 4 2 2 10 5" xfId="13848" xr:uid="{00000000-0005-0000-0000-00000F360000}"/>
    <cellStyle name="Normal 2 2 2 2 4 2 2 10 5 10" xfId="13849" xr:uid="{00000000-0005-0000-0000-000010360000}"/>
    <cellStyle name="Normal 2 2 2 2 4 2 2 10 5 2" xfId="13850" xr:uid="{00000000-0005-0000-0000-000011360000}"/>
    <cellStyle name="Normal 2 2 2 2 4 2 2 10 5 3" xfId="13851" xr:uid="{00000000-0005-0000-0000-000012360000}"/>
    <cellStyle name="Normal 2 2 2 2 4 2 2 10 5 4" xfId="13852" xr:uid="{00000000-0005-0000-0000-000013360000}"/>
    <cellStyle name="Normal 2 2 2 2 4 2 2 10 5 5" xfId="13853" xr:uid="{00000000-0005-0000-0000-000014360000}"/>
    <cellStyle name="Normal 2 2 2 2 4 2 2 10 5 6" xfId="13854" xr:uid="{00000000-0005-0000-0000-000015360000}"/>
    <cellStyle name="Normal 2 2 2 2 4 2 2 10 5 7" xfId="13855" xr:uid="{00000000-0005-0000-0000-000016360000}"/>
    <cellStyle name="Normal 2 2 2 2 4 2 2 10 5 8" xfId="13856" xr:uid="{00000000-0005-0000-0000-000017360000}"/>
    <cellStyle name="Normal 2 2 2 2 4 2 2 10 5 9" xfId="13857" xr:uid="{00000000-0005-0000-0000-000018360000}"/>
    <cellStyle name="Normal 2 2 2 2 4 2 2 10 6" xfId="13858" xr:uid="{00000000-0005-0000-0000-000019360000}"/>
    <cellStyle name="Normal 2 2 2 2 4 2 2 10 7" xfId="13859" xr:uid="{00000000-0005-0000-0000-00001A360000}"/>
    <cellStyle name="Normal 2 2 2 2 4 2 2 10 8" xfId="13860" xr:uid="{00000000-0005-0000-0000-00001B360000}"/>
    <cellStyle name="Normal 2 2 2 2 4 2 2 10 9" xfId="13861" xr:uid="{00000000-0005-0000-0000-00001C360000}"/>
    <cellStyle name="Normal 2 2 2 2 4 2 2 11" xfId="13862" xr:uid="{00000000-0005-0000-0000-00001D360000}"/>
    <cellStyle name="Normal 2 2 2 2 4 2 2 11 10" xfId="13863" xr:uid="{00000000-0005-0000-0000-00001E360000}"/>
    <cellStyle name="Normal 2 2 2 2 4 2 2 11 11" xfId="13864" xr:uid="{00000000-0005-0000-0000-00001F360000}"/>
    <cellStyle name="Normal 2 2 2 2 4 2 2 11 12" xfId="13865" xr:uid="{00000000-0005-0000-0000-000020360000}"/>
    <cellStyle name="Normal 2 2 2 2 4 2 2 11 13" xfId="13866" xr:uid="{00000000-0005-0000-0000-000021360000}"/>
    <cellStyle name="Normal 2 2 2 2 4 2 2 11 14" xfId="13867" xr:uid="{00000000-0005-0000-0000-000022360000}"/>
    <cellStyle name="Normal 2 2 2 2 4 2 2 11 2" xfId="13868" xr:uid="{00000000-0005-0000-0000-000023360000}"/>
    <cellStyle name="Normal 2 2 2 2 4 2 2 11 2 10" xfId="13869" xr:uid="{00000000-0005-0000-0000-000024360000}"/>
    <cellStyle name="Normal 2 2 2 2 4 2 2 11 2 2" xfId="13870" xr:uid="{00000000-0005-0000-0000-000025360000}"/>
    <cellStyle name="Normal 2 2 2 2 4 2 2 11 2 3" xfId="13871" xr:uid="{00000000-0005-0000-0000-000026360000}"/>
    <cellStyle name="Normal 2 2 2 2 4 2 2 11 2 4" xfId="13872" xr:uid="{00000000-0005-0000-0000-000027360000}"/>
    <cellStyle name="Normal 2 2 2 2 4 2 2 11 2 5" xfId="13873" xr:uid="{00000000-0005-0000-0000-000028360000}"/>
    <cellStyle name="Normal 2 2 2 2 4 2 2 11 2 6" xfId="13874" xr:uid="{00000000-0005-0000-0000-000029360000}"/>
    <cellStyle name="Normal 2 2 2 2 4 2 2 11 2 7" xfId="13875" xr:uid="{00000000-0005-0000-0000-00002A360000}"/>
    <cellStyle name="Normal 2 2 2 2 4 2 2 11 2 8" xfId="13876" xr:uid="{00000000-0005-0000-0000-00002B360000}"/>
    <cellStyle name="Normal 2 2 2 2 4 2 2 11 2 9" xfId="13877" xr:uid="{00000000-0005-0000-0000-00002C360000}"/>
    <cellStyle name="Normal 2 2 2 2 4 2 2 11 3" xfId="13878" xr:uid="{00000000-0005-0000-0000-00002D360000}"/>
    <cellStyle name="Normal 2 2 2 2 4 2 2 11 3 10" xfId="13879" xr:uid="{00000000-0005-0000-0000-00002E360000}"/>
    <cellStyle name="Normal 2 2 2 2 4 2 2 11 3 2" xfId="13880" xr:uid="{00000000-0005-0000-0000-00002F360000}"/>
    <cellStyle name="Normal 2 2 2 2 4 2 2 11 3 3" xfId="13881" xr:uid="{00000000-0005-0000-0000-000030360000}"/>
    <cellStyle name="Normal 2 2 2 2 4 2 2 11 3 4" xfId="13882" xr:uid="{00000000-0005-0000-0000-000031360000}"/>
    <cellStyle name="Normal 2 2 2 2 4 2 2 11 3 5" xfId="13883" xr:uid="{00000000-0005-0000-0000-000032360000}"/>
    <cellStyle name="Normal 2 2 2 2 4 2 2 11 3 6" xfId="13884" xr:uid="{00000000-0005-0000-0000-000033360000}"/>
    <cellStyle name="Normal 2 2 2 2 4 2 2 11 3 7" xfId="13885" xr:uid="{00000000-0005-0000-0000-000034360000}"/>
    <cellStyle name="Normal 2 2 2 2 4 2 2 11 3 8" xfId="13886" xr:uid="{00000000-0005-0000-0000-000035360000}"/>
    <cellStyle name="Normal 2 2 2 2 4 2 2 11 3 9" xfId="13887" xr:uid="{00000000-0005-0000-0000-000036360000}"/>
    <cellStyle name="Normal 2 2 2 2 4 2 2 11 4" xfId="13888" xr:uid="{00000000-0005-0000-0000-000037360000}"/>
    <cellStyle name="Normal 2 2 2 2 4 2 2 11 4 10" xfId="13889" xr:uid="{00000000-0005-0000-0000-000038360000}"/>
    <cellStyle name="Normal 2 2 2 2 4 2 2 11 4 2" xfId="13890" xr:uid="{00000000-0005-0000-0000-000039360000}"/>
    <cellStyle name="Normal 2 2 2 2 4 2 2 11 4 3" xfId="13891" xr:uid="{00000000-0005-0000-0000-00003A360000}"/>
    <cellStyle name="Normal 2 2 2 2 4 2 2 11 4 4" xfId="13892" xr:uid="{00000000-0005-0000-0000-00003B360000}"/>
    <cellStyle name="Normal 2 2 2 2 4 2 2 11 4 5" xfId="13893" xr:uid="{00000000-0005-0000-0000-00003C360000}"/>
    <cellStyle name="Normal 2 2 2 2 4 2 2 11 4 6" xfId="13894" xr:uid="{00000000-0005-0000-0000-00003D360000}"/>
    <cellStyle name="Normal 2 2 2 2 4 2 2 11 4 7" xfId="13895" xr:uid="{00000000-0005-0000-0000-00003E360000}"/>
    <cellStyle name="Normal 2 2 2 2 4 2 2 11 4 8" xfId="13896" xr:uid="{00000000-0005-0000-0000-00003F360000}"/>
    <cellStyle name="Normal 2 2 2 2 4 2 2 11 4 9" xfId="13897" xr:uid="{00000000-0005-0000-0000-000040360000}"/>
    <cellStyle name="Normal 2 2 2 2 4 2 2 11 5" xfId="13898" xr:uid="{00000000-0005-0000-0000-000041360000}"/>
    <cellStyle name="Normal 2 2 2 2 4 2 2 11 5 10" xfId="13899" xr:uid="{00000000-0005-0000-0000-000042360000}"/>
    <cellStyle name="Normal 2 2 2 2 4 2 2 11 5 2" xfId="13900" xr:uid="{00000000-0005-0000-0000-000043360000}"/>
    <cellStyle name="Normal 2 2 2 2 4 2 2 11 5 3" xfId="13901" xr:uid="{00000000-0005-0000-0000-000044360000}"/>
    <cellStyle name="Normal 2 2 2 2 4 2 2 11 5 4" xfId="13902" xr:uid="{00000000-0005-0000-0000-000045360000}"/>
    <cellStyle name="Normal 2 2 2 2 4 2 2 11 5 5" xfId="13903" xr:uid="{00000000-0005-0000-0000-000046360000}"/>
    <cellStyle name="Normal 2 2 2 2 4 2 2 11 5 6" xfId="13904" xr:uid="{00000000-0005-0000-0000-000047360000}"/>
    <cellStyle name="Normal 2 2 2 2 4 2 2 11 5 7" xfId="13905" xr:uid="{00000000-0005-0000-0000-000048360000}"/>
    <cellStyle name="Normal 2 2 2 2 4 2 2 11 5 8" xfId="13906" xr:uid="{00000000-0005-0000-0000-000049360000}"/>
    <cellStyle name="Normal 2 2 2 2 4 2 2 11 5 9" xfId="13907" xr:uid="{00000000-0005-0000-0000-00004A360000}"/>
    <cellStyle name="Normal 2 2 2 2 4 2 2 11 6" xfId="13908" xr:uid="{00000000-0005-0000-0000-00004B360000}"/>
    <cellStyle name="Normal 2 2 2 2 4 2 2 11 7" xfId="13909" xr:uid="{00000000-0005-0000-0000-00004C360000}"/>
    <cellStyle name="Normal 2 2 2 2 4 2 2 11 8" xfId="13910" xr:uid="{00000000-0005-0000-0000-00004D360000}"/>
    <cellStyle name="Normal 2 2 2 2 4 2 2 11 9" xfId="13911" xr:uid="{00000000-0005-0000-0000-00004E360000}"/>
    <cellStyle name="Normal 2 2 2 2 4 2 2 12" xfId="13912" xr:uid="{00000000-0005-0000-0000-00004F360000}"/>
    <cellStyle name="Normal 2 2 2 2 4 2 2 12 10" xfId="13913" xr:uid="{00000000-0005-0000-0000-000050360000}"/>
    <cellStyle name="Normal 2 2 2 2 4 2 2 12 11" xfId="13914" xr:uid="{00000000-0005-0000-0000-000051360000}"/>
    <cellStyle name="Normal 2 2 2 2 4 2 2 12 12" xfId="13915" xr:uid="{00000000-0005-0000-0000-000052360000}"/>
    <cellStyle name="Normal 2 2 2 2 4 2 2 12 13" xfId="13916" xr:uid="{00000000-0005-0000-0000-000053360000}"/>
    <cellStyle name="Normal 2 2 2 2 4 2 2 12 14" xfId="13917" xr:uid="{00000000-0005-0000-0000-000054360000}"/>
    <cellStyle name="Normal 2 2 2 2 4 2 2 12 2" xfId="13918" xr:uid="{00000000-0005-0000-0000-000055360000}"/>
    <cellStyle name="Normal 2 2 2 2 4 2 2 12 2 10" xfId="13919" xr:uid="{00000000-0005-0000-0000-000056360000}"/>
    <cellStyle name="Normal 2 2 2 2 4 2 2 12 2 2" xfId="13920" xr:uid="{00000000-0005-0000-0000-000057360000}"/>
    <cellStyle name="Normal 2 2 2 2 4 2 2 12 2 3" xfId="13921" xr:uid="{00000000-0005-0000-0000-000058360000}"/>
    <cellStyle name="Normal 2 2 2 2 4 2 2 12 2 4" xfId="13922" xr:uid="{00000000-0005-0000-0000-000059360000}"/>
    <cellStyle name="Normal 2 2 2 2 4 2 2 12 2 5" xfId="13923" xr:uid="{00000000-0005-0000-0000-00005A360000}"/>
    <cellStyle name="Normal 2 2 2 2 4 2 2 12 2 6" xfId="13924" xr:uid="{00000000-0005-0000-0000-00005B360000}"/>
    <cellStyle name="Normal 2 2 2 2 4 2 2 12 2 7" xfId="13925" xr:uid="{00000000-0005-0000-0000-00005C360000}"/>
    <cellStyle name="Normal 2 2 2 2 4 2 2 12 2 8" xfId="13926" xr:uid="{00000000-0005-0000-0000-00005D360000}"/>
    <cellStyle name="Normal 2 2 2 2 4 2 2 12 2 9" xfId="13927" xr:uid="{00000000-0005-0000-0000-00005E360000}"/>
    <cellStyle name="Normal 2 2 2 2 4 2 2 12 3" xfId="13928" xr:uid="{00000000-0005-0000-0000-00005F360000}"/>
    <cellStyle name="Normal 2 2 2 2 4 2 2 12 3 10" xfId="13929" xr:uid="{00000000-0005-0000-0000-000060360000}"/>
    <cellStyle name="Normal 2 2 2 2 4 2 2 12 3 2" xfId="13930" xr:uid="{00000000-0005-0000-0000-000061360000}"/>
    <cellStyle name="Normal 2 2 2 2 4 2 2 12 3 3" xfId="13931" xr:uid="{00000000-0005-0000-0000-000062360000}"/>
    <cellStyle name="Normal 2 2 2 2 4 2 2 12 3 4" xfId="13932" xr:uid="{00000000-0005-0000-0000-000063360000}"/>
    <cellStyle name="Normal 2 2 2 2 4 2 2 12 3 5" xfId="13933" xr:uid="{00000000-0005-0000-0000-000064360000}"/>
    <cellStyle name="Normal 2 2 2 2 4 2 2 12 3 6" xfId="13934" xr:uid="{00000000-0005-0000-0000-000065360000}"/>
    <cellStyle name="Normal 2 2 2 2 4 2 2 12 3 7" xfId="13935" xr:uid="{00000000-0005-0000-0000-000066360000}"/>
    <cellStyle name="Normal 2 2 2 2 4 2 2 12 3 8" xfId="13936" xr:uid="{00000000-0005-0000-0000-000067360000}"/>
    <cellStyle name="Normal 2 2 2 2 4 2 2 12 3 9" xfId="13937" xr:uid="{00000000-0005-0000-0000-000068360000}"/>
    <cellStyle name="Normal 2 2 2 2 4 2 2 12 4" xfId="13938" xr:uid="{00000000-0005-0000-0000-000069360000}"/>
    <cellStyle name="Normal 2 2 2 2 4 2 2 12 4 10" xfId="13939" xr:uid="{00000000-0005-0000-0000-00006A360000}"/>
    <cellStyle name="Normal 2 2 2 2 4 2 2 12 4 2" xfId="13940" xr:uid="{00000000-0005-0000-0000-00006B360000}"/>
    <cellStyle name="Normal 2 2 2 2 4 2 2 12 4 3" xfId="13941" xr:uid="{00000000-0005-0000-0000-00006C360000}"/>
    <cellStyle name="Normal 2 2 2 2 4 2 2 12 4 4" xfId="13942" xr:uid="{00000000-0005-0000-0000-00006D360000}"/>
    <cellStyle name="Normal 2 2 2 2 4 2 2 12 4 5" xfId="13943" xr:uid="{00000000-0005-0000-0000-00006E360000}"/>
    <cellStyle name="Normal 2 2 2 2 4 2 2 12 4 6" xfId="13944" xr:uid="{00000000-0005-0000-0000-00006F360000}"/>
    <cellStyle name="Normal 2 2 2 2 4 2 2 12 4 7" xfId="13945" xr:uid="{00000000-0005-0000-0000-000070360000}"/>
    <cellStyle name="Normal 2 2 2 2 4 2 2 12 4 8" xfId="13946" xr:uid="{00000000-0005-0000-0000-000071360000}"/>
    <cellStyle name="Normal 2 2 2 2 4 2 2 12 4 9" xfId="13947" xr:uid="{00000000-0005-0000-0000-000072360000}"/>
    <cellStyle name="Normal 2 2 2 2 4 2 2 12 5" xfId="13948" xr:uid="{00000000-0005-0000-0000-000073360000}"/>
    <cellStyle name="Normal 2 2 2 2 4 2 2 12 5 10" xfId="13949" xr:uid="{00000000-0005-0000-0000-000074360000}"/>
    <cellStyle name="Normal 2 2 2 2 4 2 2 12 5 2" xfId="13950" xr:uid="{00000000-0005-0000-0000-000075360000}"/>
    <cellStyle name="Normal 2 2 2 2 4 2 2 12 5 3" xfId="13951" xr:uid="{00000000-0005-0000-0000-000076360000}"/>
    <cellStyle name="Normal 2 2 2 2 4 2 2 12 5 4" xfId="13952" xr:uid="{00000000-0005-0000-0000-000077360000}"/>
    <cellStyle name="Normal 2 2 2 2 4 2 2 12 5 5" xfId="13953" xr:uid="{00000000-0005-0000-0000-000078360000}"/>
    <cellStyle name="Normal 2 2 2 2 4 2 2 12 5 6" xfId="13954" xr:uid="{00000000-0005-0000-0000-000079360000}"/>
    <cellStyle name="Normal 2 2 2 2 4 2 2 12 5 7" xfId="13955" xr:uid="{00000000-0005-0000-0000-00007A360000}"/>
    <cellStyle name="Normal 2 2 2 2 4 2 2 12 5 8" xfId="13956" xr:uid="{00000000-0005-0000-0000-00007B360000}"/>
    <cellStyle name="Normal 2 2 2 2 4 2 2 12 5 9" xfId="13957" xr:uid="{00000000-0005-0000-0000-00007C360000}"/>
    <cellStyle name="Normal 2 2 2 2 4 2 2 12 6" xfId="13958" xr:uid="{00000000-0005-0000-0000-00007D360000}"/>
    <cellStyle name="Normal 2 2 2 2 4 2 2 12 7" xfId="13959" xr:uid="{00000000-0005-0000-0000-00007E360000}"/>
    <cellStyle name="Normal 2 2 2 2 4 2 2 12 8" xfId="13960" xr:uid="{00000000-0005-0000-0000-00007F360000}"/>
    <cellStyle name="Normal 2 2 2 2 4 2 2 12 9" xfId="13961" xr:uid="{00000000-0005-0000-0000-000080360000}"/>
    <cellStyle name="Normal 2 2 2 2 4 2 2 13" xfId="13962" xr:uid="{00000000-0005-0000-0000-000081360000}"/>
    <cellStyle name="Normal 2 2 2 2 4 2 2 13 10" xfId="13963" xr:uid="{00000000-0005-0000-0000-000082360000}"/>
    <cellStyle name="Normal 2 2 2 2 4 2 2 13 11" xfId="13964" xr:uid="{00000000-0005-0000-0000-000083360000}"/>
    <cellStyle name="Normal 2 2 2 2 4 2 2 13 12" xfId="13965" xr:uid="{00000000-0005-0000-0000-000084360000}"/>
    <cellStyle name="Normal 2 2 2 2 4 2 2 13 13" xfId="13966" xr:uid="{00000000-0005-0000-0000-000085360000}"/>
    <cellStyle name="Normal 2 2 2 2 4 2 2 13 14" xfId="13967" xr:uid="{00000000-0005-0000-0000-000086360000}"/>
    <cellStyle name="Normal 2 2 2 2 4 2 2 13 2" xfId="13968" xr:uid="{00000000-0005-0000-0000-000087360000}"/>
    <cellStyle name="Normal 2 2 2 2 4 2 2 13 2 10" xfId="13969" xr:uid="{00000000-0005-0000-0000-000088360000}"/>
    <cellStyle name="Normal 2 2 2 2 4 2 2 13 2 2" xfId="13970" xr:uid="{00000000-0005-0000-0000-000089360000}"/>
    <cellStyle name="Normal 2 2 2 2 4 2 2 13 2 3" xfId="13971" xr:uid="{00000000-0005-0000-0000-00008A360000}"/>
    <cellStyle name="Normal 2 2 2 2 4 2 2 13 2 4" xfId="13972" xr:uid="{00000000-0005-0000-0000-00008B360000}"/>
    <cellStyle name="Normal 2 2 2 2 4 2 2 13 2 5" xfId="13973" xr:uid="{00000000-0005-0000-0000-00008C360000}"/>
    <cellStyle name="Normal 2 2 2 2 4 2 2 13 2 6" xfId="13974" xr:uid="{00000000-0005-0000-0000-00008D360000}"/>
    <cellStyle name="Normal 2 2 2 2 4 2 2 13 2 7" xfId="13975" xr:uid="{00000000-0005-0000-0000-00008E360000}"/>
    <cellStyle name="Normal 2 2 2 2 4 2 2 13 2 8" xfId="13976" xr:uid="{00000000-0005-0000-0000-00008F360000}"/>
    <cellStyle name="Normal 2 2 2 2 4 2 2 13 2 9" xfId="13977" xr:uid="{00000000-0005-0000-0000-000090360000}"/>
    <cellStyle name="Normal 2 2 2 2 4 2 2 13 3" xfId="13978" xr:uid="{00000000-0005-0000-0000-000091360000}"/>
    <cellStyle name="Normal 2 2 2 2 4 2 2 13 3 10" xfId="13979" xr:uid="{00000000-0005-0000-0000-000092360000}"/>
    <cellStyle name="Normal 2 2 2 2 4 2 2 13 3 2" xfId="13980" xr:uid="{00000000-0005-0000-0000-000093360000}"/>
    <cellStyle name="Normal 2 2 2 2 4 2 2 13 3 3" xfId="13981" xr:uid="{00000000-0005-0000-0000-000094360000}"/>
    <cellStyle name="Normal 2 2 2 2 4 2 2 13 3 4" xfId="13982" xr:uid="{00000000-0005-0000-0000-000095360000}"/>
    <cellStyle name="Normal 2 2 2 2 4 2 2 13 3 5" xfId="13983" xr:uid="{00000000-0005-0000-0000-000096360000}"/>
    <cellStyle name="Normal 2 2 2 2 4 2 2 13 3 6" xfId="13984" xr:uid="{00000000-0005-0000-0000-000097360000}"/>
    <cellStyle name="Normal 2 2 2 2 4 2 2 13 3 7" xfId="13985" xr:uid="{00000000-0005-0000-0000-000098360000}"/>
    <cellStyle name="Normal 2 2 2 2 4 2 2 13 3 8" xfId="13986" xr:uid="{00000000-0005-0000-0000-000099360000}"/>
    <cellStyle name="Normal 2 2 2 2 4 2 2 13 3 9" xfId="13987" xr:uid="{00000000-0005-0000-0000-00009A360000}"/>
    <cellStyle name="Normal 2 2 2 2 4 2 2 13 4" xfId="13988" xr:uid="{00000000-0005-0000-0000-00009B360000}"/>
    <cellStyle name="Normal 2 2 2 2 4 2 2 13 4 10" xfId="13989" xr:uid="{00000000-0005-0000-0000-00009C360000}"/>
    <cellStyle name="Normal 2 2 2 2 4 2 2 13 4 2" xfId="13990" xr:uid="{00000000-0005-0000-0000-00009D360000}"/>
    <cellStyle name="Normal 2 2 2 2 4 2 2 13 4 3" xfId="13991" xr:uid="{00000000-0005-0000-0000-00009E360000}"/>
    <cellStyle name="Normal 2 2 2 2 4 2 2 13 4 4" xfId="13992" xr:uid="{00000000-0005-0000-0000-00009F360000}"/>
    <cellStyle name="Normal 2 2 2 2 4 2 2 13 4 5" xfId="13993" xr:uid="{00000000-0005-0000-0000-0000A0360000}"/>
    <cellStyle name="Normal 2 2 2 2 4 2 2 13 4 6" xfId="13994" xr:uid="{00000000-0005-0000-0000-0000A1360000}"/>
    <cellStyle name="Normal 2 2 2 2 4 2 2 13 4 7" xfId="13995" xr:uid="{00000000-0005-0000-0000-0000A2360000}"/>
    <cellStyle name="Normal 2 2 2 2 4 2 2 13 4 8" xfId="13996" xr:uid="{00000000-0005-0000-0000-0000A3360000}"/>
    <cellStyle name="Normal 2 2 2 2 4 2 2 13 4 9" xfId="13997" xr:uid="{00000000-0005-0000-0000-0000A4360000}"/>
    <cellStyle name="Normal 2 2 2 2 4 2 2 13 5" xfId="13998" xr:uid="{00000000-0005-0000-0000-0000A5360000}"/>
    <cellStyle name="Normal 2 2 2 2 4 2 2 13 5 10" xfId="13999" xr:uid="{00000000-0005-0000-0000-0000A6360000}"/>
    <cellStyle name="Normal 2 2 2 2 4 2 2 13 5 2" xfId="14000" xr:uid="{00000000-0005-0000-0000-0000A7360000}"/>
    <cellStyle name="Normal 2 2 2 2 4 2 2 13 5 3" xfId="14001" xr:uid="{00000000-0005-0000-0000-0000A8360000}"/>
    <cellStyle name="Normal 2 2 2 2 4 2 2 13 5 4" xfId="14002" xr:uid="{00000000-0005-0000-0000-0000A9360000}"/>
    <cellStyle name="Normal 2 2 2 2 4 2 2 13 5 5" xfId="14003" xr:uid="{00000000-0005-0000-0000-0000AA360000}"/>
    <cellStyle name="Normal 2 2 2 2 4 2 2 13 5 6" xfId="14004" xr:uid="{00000000-0005-0000-0000-0000AB360000}"/>
    <cellStyle name="Normal 2 2 2 2 4 2 2 13 5 7" xfId="14005" xr:uid="{00000000-0005-0000-0000-0000AC360000}"/>
    <cellStyle name="Normal 2 2 2 2 4 2 2 13 5 8" xfId="14006" xr:uid="{00000000-0005-0000-0000-0000AD360000}"/>
    <cellStyle name="Normal 2 2 2 2 4 2 2 13 5 9" xfId="14007" xr:uid="{00000000-0005-0000-0000-0000AE360000}"/>
    <cellStyle name="Normal 2 2 2 2 4 2 2 13 6" xfId="14008" xr:uid="{00000000-0005-0000-0000-0000AF360000}"/>
    <cellStyle name="Normal 2 2 2 2 4 2 2 13 7" xfId="14009" xr:uid="{00000000-0005-0000-0000-0000B0360000}"/>
    <cellStyle name="Normal 2 2 2 2 4 2 2 13 8" xfId="14010" xr:uid="{00000000-0005-0000-0000-0000B1360000}"/>
    <cellStyle name="Normal 2 2 2 2 4 2 2 13 9" xfId="14011" xr:uid="{00000000-0005-0000-0000-0000B2360000}"/>
    <cellStyle name="Normal 2 2 2 2 4 2 2 14" xfId="14012" xr:uid="{00000000-0005-0000-0000-0000B3360000}"/>
    <cellStyle name="Normal 2 2 2 2 4 2 2 14 10" xfId="14013" xr:uid="{00000000-0005-0000-0000-0000B4360000}"/>
    <cellStyle name="Normal 2 2 2 2 4 2 2 14 11" xfId="14014" xr:uid="{00000000-0005-0000-0000-0000B5360000}"/>
    <cellStyle name="Normal 2 2 2 2 4 2 2 14 12" xfId="14015" xr:uid="{00000000-0005-0000-0000-0000B6360000}"/>
    <cellStyle name="Normal 2 2 2 2 4 2 2 14 13" xfId="14016" xr:uid="{00000000-0005-0000-0000-0000B7360000}"/>
    <cellStyle name="Normal 2 2 2 2 4 2 2 14 14" xfId="14017" xr:uid="{00000000-0005-0000-0000-0000B8360000}"/>
    <cellStyle name="Normal 2 2 2 2 4 2 2 14 2" xfId="14018" xr:uid="{00000000-0005-0000-0000-0000B9360000}"/>
    <cellStyle name="Normal 2 2 2 2 4 2 2 14 2 10" xfId="14019" xr:uid="{00000000-0005-0000-0000-0000BA360000}"/>
    <cellStyle name="Normal 2 2 2 2 4 2 2 14 2 2" xfId="14020" xr:uid="{00000000-0005-0000-0000-0000BB360000}"/>
    <cellStyle name="Normal 2 2 2 2 4 2 2 14 2 3" xfId="14021" xr:uid="{00000000-0005-0000-0000-0000BC360000}"/>
    <cellStyle name="Normal 2 2 2 2 4 2 2 14 2 4" xfId="14022" xr:uid="{00000000-0005-0000-0000-0000BD360000}"/>
    <cellStyle name="Normal 2 2 2 2 4 2 2 14 2 5" xfId="14023" xr:uid="{00000000-0005-0000-0000-0000BE360000}"/>
    <cellStyle name="Normal 2 2 2 2 4 2 2 14 2 6" xfId="14024" xr:uid="{00000000-0005-0000-0000-0000BF360000}"/>
    <cellStyle name="Normal 2 2 2 2 4 2 2 14 2 7" xfId="14025" xr:uid="{00000000-0005-0000-0000-0000C0360000}"/>
    <cellStyle name="Normal 2 2 2 2 4 2 2 14 2 8" xfId="14026" xr:uid="{00000000-0005-0000-0000-0000C1360000}"/>
    <cellStyle name="Normal 2 2 2 2 4 2 2 14 2 9" xfId="14027" xr:uid="{00000000-0005-0000-0000-0000C2360000}"/>
    <cellStyle name="Normal 2 2 2 2 4 2 2 14 3" xfId="14028" xr:uid="{00000000-0005-0000-0000-0000C3360000}"/>
    <cellStyle name="Normal 2 2 2 2 4 2 2 14 3 10" xfId="14029" xr:uid="{00000000-0005-0000-0000-0000C4360000}"/>
    <cellStyle name="Normal 2 2 2 2 4 2 2 14 3 2" xfId="14030" xr:uid="{00000000-0005-0000-0000-0000C5360000}"/>
    <cellStyle name="Normal 2 2 2 2 4 2 2 14 3 3" xfId="14031" xr:uid="{00000000-0005-0000-0000-0000C6360000}"/>
    <cellStyle name="Normal 2 2 2 2 4 2 2 14 3 4" xfId="14032" xr:uid="{00000000-0005-0000-0000-0000C7360000}"/>
    <cellStyle name="Normal 2 2 2 2 4 2 2 14 3 5" xfId="14033" xr:uid="{00000000-0005-0000-0000-0000C8360000}"/>
    <cellStyle name="Normal 2 2 2 2 4 2 2 14 3 6" xfId="14034" xr:uid="{00000000-0005-0000-0000-0000C9360000}"/>
    <cellStyle name="Normal 2 2 2 2 4 2 2 14 3 7" xfId="14035" xr:uid="{00000000-0005-0000-0000-0000CA360000}"/>
    <cellStyle name="Normal 2 2 2 2 4 2 2 14 3 8" xfId="14036" xr:uid="{00000000-0005-0000-0000-0000CB360000}"/>
    <cellStyle name="Normal 2 2 2 2 4 2 2 14 3 9" xfId="14037" xr:uid="{00000000-0005-0000-0000-0000CC360000}"/>
    <cellStyle name="Normal 2 2 2 2 4 2 2 14 4" xfId="14038" xr:uid="{00000000-0005-0000-0000-0000CD360000}"/>
    <cellStyle name="Normal 2 2 2 2 4 2 2 14 4 10" xfId="14039" xr:uid="{00000000-0005-0000-0000-0000CE360000}"/>
    <cellStyle name="Normal 2 2 2 2 4 2 2 14 4 2" xfId="14040" xr:uid="{00000000-0005-0000-0000-0000CF360000}"/>
    <cellStyle name="Normal 2 2 2 2 4 2 2 14 4 3" xfId="14041" xr:uid="{00000000-0005-0000-0000-0000D0360000}"/>
    <cellStyle name="Normal 2 2 2 2 4 2 2 14 4 4" xfId="14042" xr:uid="{00000000-0005-0000-0000-0000D1360000}"/>
    <cellStyle name="Normal 2 2 2 2 4 2 2 14 4 5" xfId="14043" xr:uid="{00000000-0005-0000-0000-0000D2360000}"/>
    <cellStyle name="Normal 2 2 2 2 4 2 2 14 4 6" xfId="14044" xr:uid="{00000000-0005-0000-0000-0000D3360000}"/>
    <cellStyle name="Normal 2 2 2 2 4 2 2 14 4 7" xfId="14045" xr:uid="{00000000-0005-0000-0000-0000D4360000}"/>
    <cellStyle name="Normal 2 2 2 2 4 2 2 14 4 8" xfId="14046" xr:uid="{00000000-0005-0000-0000-0000D5360000}"/>
    <cellStyle name="Normal 2 2 2 2 4 2 2 14 4 9" xfId="14047" xr:uid="{00000000-0005-0000-0000-0000D6360000}"/>
    <cellStyle name="Normal 2 2 2 2 4 2 2 14 5" xfId="14048" xr:uid="{00000000-0005-0000-0000-0000D7360000}"/>
    <cellStyle name="Normal 2 2 2 2 4 2 2 14 5 10" xfId="14049" xr:uid="{00000000-0005-0000-0000-0000D8360000}"/>
    <cellStyle name="Normal 2 2 2 2 4 2 2 14 5 2" xfId="14050" xr:uid="{00000000-0005-0000-0000-0000D9360000}"/>
    <cellStyle name="Normal 2 2 2 2 4 2 2 14 5 3" xfId="14051" xr:uid="{00000000-0005-0000-0000-0000DA360000}"/>
    <cellStyle name="Normal 2 2 2 2 4 2 2 14 5 4" xfId="14052" xr:uid="{00000000-0005-0000-0000-0000DB360000}"/>
    <cellStyle name="Normal 2 2 2 2 4 2 2 14 5 5" xfId="14053" xr:uid="{00000000-0005-0000-0000-0000DC360000}"/>
    <cellStyle name="Normal 2 2 2 2 4 2 2 14 5 6" xfId="14054" xr:uid="{00000000-0005-0000-0000-0000DD360000}"/>
    <cellStyle name="Normal 2 2 2 2 4 2 2 14 5 7" xfId="14055" xr:uid="{00000000-0005-0000-0000-0000DE360000}"/>
    <cellStyle name="Normal 2 2 2 2 4 2 2 14 5 8" xfId="14056" xr:uid="{00000000-0005-0000-0000-0000DF360000}"/>
    <cellStyle name="Normal 2 2 2 2 4 2 2 14 5 9" xfId="14057" xr:uid="{00000000-0005-0000-0000-0000E0360000}"/>
    <cellStyle name="Normal 2 2 2 2 4 2 2 14 6" xfId="14058" xr:uid="{00000000-0005-0000-0000-0000E1360000}"/>
    <cellStyle name="Normal 2 2 2 2 4 2 2 14 7" xfId="14059" xr:uid="{00000000-0005-0000-0000-0000E2360000}"/>
    <cellStyle name="Normal 2 2 2 2 4 2 2 14 8" xfId="14060" xr:uid="{00000000-0005-0000-0000-0000E3360000}"/>
    <cellStyle name="Normal 2 2 2 2 4 2 2 14 9" xfId="14061" xr:uid="{00000000-0005-0000-0000-0000E4360000}"/>
    <cellStyle name="Normal 2 2 2 2 4 2 2 15" xfId="14062" xr:uid="{00000000-0005-0000-0000-0000E5360000}"/>
    <cellStyle name="Normal 2 2 2 2 4 2 2 15 10" xfId="14063" xr:uid="{00000000-0005-0000-0000-0000E6360000}"/>
    <cellStyle name="Normal 2 2 2 2 4 2 2 15 11" xfId="14064" xr:uid="{00000000-0005-0000-0000-0000E7360000}"/>
    <cellStyle name="Normal 2 2 2 2 4 2 2 15 12" xfId="14065" xr:uid="{00000000-0005-0000-0000-0000E8360000}"/>
    <cellStyle name="Normal 2 2 2 2 4 2 2 15 13" xfId="14066" xr:uid="{00000000-0005-0000-0000-0000E9360000}"/>
    <cellStyle name="Normal 2 2 2 2 4 2 2 15 14" xfId="14067" xr:uid="{00000000-0005-0000-0000-0000EA360000}"/>
    <cellStyle name="Normal 2 2 2 2 4 2 2 15 2" xfId="14068" xr:uid="{00000000-0005-0000-0000-0000EB360000}"/>
    <cellStyle name="Normal 2 2 2 2 4 2 2 15 2 10" xfId="14069" xr:uid="{00000000-0005-0000-0000-0000EC360000}"/>
    <cellStyle name="Normal 2 2 2 2 4 2 2 15 2 2" xfId="14070" xr:uid="{00000000-0005-0000-0000-0000ED360000}"/>
    <cellStyle name="Normal 2 2 2 2 4 2 2 15 2 3" xfId="14071" xr:uid="{00000000-0005-0000-0000-0000EE360000}"/>
    <cellStyle name="Normal 2 2 2 2 4 2 2 15 2 4" xfId="14072" xr:uid="{00000000-0005-0000-0000-0000EF360000}"/>
    <cellStyle name="Normal 2 2 2 2 4 2 2 15 2 5" xfId="14073" xr:uid="{00000000-0005-0000-0000-0000F0360000}"/>
    <cellStyle name="Normal 2 2 2 2 4 2 2 15 2 6" xfId="14074" xr:uid="{00000000-0005-0000-0000-0000F1360000}"/>
    <cellStyle name="Normal 2 2 2 2 4 2 2 15 2 7" xfId="14075" xr:uid="{00000000-0005-0000-0000-0000F2360000}"/>
    <cellStyle name="Normal 2 2 2 2 4 2 2 15 2 8" xfId="14076" xr:uid="{00000000-0005-0000-0000-0000F3360000}"/>
    <cellStyle name="Normal 2 2 2 2 4 2 2 15 2 9" xfId="14077" xr:uid="{00000000-0005-0000-0000-0000F4360000}"/>
    <cellStyle name="Normal 2 2 2 2 4 2 2 15 3" xfId="14078" xr:uid="{00000000-0005-0000-0000-0000F5360000}"/>
    <cellStyle name="Normal 2 2 2 2 4 2 2 15 3 10" xfId="14079" xr:uid="{00000000-0005-0000-0000-0000F6360000}"/>
    <cellStyle name="Normal 2 2 2 2 4 2 2 15 3 2" xfId="14080" xr:uid="{00000000-0005-0000-0000-0000F7360000}"/>
    <cellStyle name="Normal 2 2 2 2 4 2 2 15 3 3" xfId="14081" xr:uid="{00000000-0005-0000-0000-0000F8360000}"/>
    <cellStyle name="Normal 2 2 2 2 4 2 2 15 3 4" xfId="14082" xr:uid="{00000000-0005-0000-0000-0000F9360000}"/>
    <cellStyle name="Normal 2 2 2 2 4 2 2 15 3 5" xfId="14083" xr:uid="{00000000-0005-0000-0000-0000FA360000}"/>
    <cellStyle name="Normal 2 2 2 2 4 2 2 15 3 6" xfId="14084" xr:uid="{00000000-0005-0000-0000-0000FB360000}"/>
    <cellStyle name="Normal 2 2 2 2 4 2 2 15 3 7" xfId="14085" xr:uid="{00000000-0005-0000-0000-0000FC360000}"/>
    <cellStyle name="Normal 2 2 2 2 4 2 2 15 3 8" xfId="14086" xr:uid="{00000000-0005-0000-0000-0000FD360000}"/>
    <cellStyle name="Normal 2 2 2 2 4 2 2 15 3 9" xfId="14087" xr:uid="{00000000-0005-0000-0000-0000FE360000}"/>
    <cellStyle name="Normal 2 2 2 2 4 2 2 15 4" xfId="14088" xr:uid="{00000000-0005-0000-0000-0000FF360000}"/>
    <cellStyle name="Normal 2 2 2 2 4 2 2 15 4 10" xfId="14089" xr:uid="{00000000-0005-0000-0000-000000370000}"/>
    <cellStyle name="Normal 2 2 2 2 4 2 2 15 4 2" xfId="14090" xr:uid="{00000000-0005-0000-0000-000001370000}"/>
    <cellStyle name="Normal 2 2 2 2 4 2 2 15 4 3" xfId="14091" xr:uid="{00000000-0005-0000-0000-000002370000}"/>
    <cellStyle name="Normal 2 2 2 2 4 2 2 15 4 4" xfId="14092" xr:uid="{00000000-0005-0000-0000-000003370000}"/>
    <cellStyle name="Normal 2 2 2 2 4 2 2 15 4 5" xfId="14093" xr:uid="{00000000-0005-0000-0000-000004370000}"/>
    <cellStyle name="Normal 2 2 2 2 4 2 2 15 4 6" xfId="14094" xr:uid="{00000000-0005-0000-0000-000005370000}"/>
    <cellStyle name="Normal 2 2 2 2 4 2 2 15 4 7" xfId="14095" xr:uid="{00000000-0005-0000-0000-000006370000}"/>
    <cellStyle name="Normal 2 2 2 2 4 2 2 15 4 8" xfId="14096" xr:uid="{00000000-0005-0000-0000-000007370000}"/>
    <cellStyle name="Normal 2 2 2 2 4 2 2 15 4 9" xfId="14097" xr:uid="{00000000-0005-0000-0000-000008370000}"/>
    <cellStyle name="Normal 2 2 2 2 4 2 2 15 5" xfId="14098" xr:uid="{00000000-0005-0000-0000-000009370000}"/>
    <cellStyle name="Normal 2 2 2 2 4 2 2 15 5 10" xfId="14099" xr:uid="{00000000-0005-0000-0000-00000A370000}"/>
    <cellStyle name="Normal 2 2 2 2 4 2 2 15 5 2" xfId="14100" xr:uid="{00000000-0005-0000-0000-00000B370000}"/>
    <cellStyle name="Normal 2 2 2 2 4 2 2 15 5 3" xfId="14101" xr:uid="{00000000-0005-0000-0000-00000C370000}"/>
    <cellStyle name="Normal 2 2 2 2 4 2 2 15 5 4" xfId="14102" xr:uid="{00000000-0005-0000-0000-00000D370000}"/>
    <cellStyle name="Normal 2 2 2 2 4 2 2 15 5 5" xfId="14103" xr:uid="{00000000-0005-0000-0000-00000E370000}"/>
    <cellStyle name="Normal 2 2 2 2 4 2 2 15 5 6" xfId="14104" xr:uid="{00000000-0005-0000-0000-00000F370000}"/>
    <cellStyle name="Normal 2 2 2 2 4 2 2 15 5 7" xfId="14105" xr:uid="{00000000-0005-0000-0000-000010370000}"/>
    <cellStyle name="Normal 2 2 2 2 4 2 2 15 5 8" xfId="14106" xr:uid="{00000000-0005-0000-0000-000011370000}"/>
    <cellStyle name="Normal 2 2 2 2 4 2 2 15 5 9" xfId="14107" xr:uid="{00000000-0005-0000-0000-000012370000}"/>
    <cellStyle name="Normal 2 2 2 2 4 2 2 15 6" xfId="14108" xr:uid="{00000000-0005-0000-0000-000013370000}"/>
    <cellStyle name="Normal 2 2 2 2 4 2 2 15 7" xfId="14109" xr:uid="{00000000-0005-0000-0000-000014370000}"/>
    <cellStyle name="Normal 2 2 2 2 4 2 2 15 8" xfId="14110" xr:uid="{00000000-0005-0000-0000-000015370000}"/>
    <cellStyle name="Normal 2 2 2 2 4 2 2 15 9" xfId="14111" xr:uid="{00000000-0005-0000-0000-000016370000}"/>
    <cellStyle name="Normal 2 2 2 2 4 2 2 16" xfId="14112" xr:uid="{00000000-0005-0000-0000-000017370000}"/>
    <cellStyle name="Normal 2 2 2 2 4 2 2 16 10" xfId="14113" xr:uid="{00000000-0005-0000-0000-000018370000}"/>
    <cellStyle name="Normal 2 2 2 2 4 2 2 16 11" xfId="14114" xr:uid="{00000000-0005-0000-0000-000019370000}"/>
    <cellStyle name="Normal 2 2 2 2 4 2 2 16 12" xfId="14115" xr:uid="{00000000-0005-0000-0000-00001A370000}"/>
    <cellStyle name="Normal 2 2 2 2 4 2 2 16 13" xfId="14116" xr:uid="{00000000-0005-0000-0000-00001B370000}"/>
    <cellStyle name="Normal 2 2 2 2 4 2 2 16 14" xfId="14117" xr:uid="{00000000-0005-0000-0000-00001C370000}"/>
    <cellStyle name="Normal 2 2 2 2 4 2 2 16 2" xfId="14118" xr:uid="{00000000-0005-0000-0000-00001D370000}"/>
    <cellStyle name="Normal 2 2 2 2 4 2 2 16 2 10" xfId="14119" xr:uid="{00000000-0005-0000-0000-00001E370000}"/>
    <cellStyle name="Normal 2 2 2 2 4 2 2 16 2 2" xfId="14120" xr:uid="{00000000-0005-0000-0000-00001F370000}"/>
    <cellStyle name="Normal 2 2 2 2 4 2 2 16 2 3" xfId="14121" xr:uid="{00000000-0005-0000-0000-000020370000}"/>
    <cellStyle name="Normal 2 2 2 2 4 2 2 16 2 4" xfId="14122" xr:uid="{00000000-0005-0000-0000-000021370000}"/>
    <cellStyle name="Normal 2 2 2 2 4 2 2 16 2 5" xfId="14123" xr:uid="{00000000-0005-0000-0000-000022370000}"/>
    <cellStyle name="Normal 2 2 2 2 4 2 2 16 2 6" xfId="14124" xr:uid="{00000000-0005-0000-0000-000023370000}"/>
    <cellStyle name="Normal 2 2 2 2 4 2 2 16 2 7" xfId="14125" xr:uid="{00000000-0005-0000-0000-000024370000}"/>
    <cellStyle name="Normal 2 2 2 2 4 2 2 16 2 8" xfId="14126" xr:uid="{00000000-0005-0000-0000-000025370000}"/>
    <cellStyle name="Normal 2 2 2 2 4 2 2 16 2 9" xfId="14127" xr:uid="{00000000-0005-0000-0000-000026370000}"/>
    <cellStyle name="Normal 2 2 2 2 4 2 2 16 3" xfId="14128" xr:uid="{00000000-0005-0000-0000-000027370000}"/>
    <cellStyle name="Normal 2 2 2 2 4 2 2 16 3 10" xfId="14129" xr:uid="{00000000-0005-0000-0000-000028370000}"/>
    <cellStyle name="Normal 2 2 2 2 4 2 2 16 3 2" xfId="14130" xr:uid="{00000000-0005-0000-0000-000029370000}"/>
    <cellStyle name="Normal 2 2 2 2 4 2 2 16 3 3" xfId="14131" xr:uid="{00000000-0005-0000-0000-00002A370000}"/>
    <cellStyle name="Normal 2 2 2 2 4 2 2 16 3 4" xfId="14132" xr:uid="{00000000-0005-0000-0000-00002B370000}"/>
    <cellStyle name="Normal 2 2 2 2 4 2 2 16 3 5" xfId="14133" xr:uid="{00000000-0005-0000-0000-00002C370000}"/>
    <cellStyle name="Normal 2 2 2 2 4 2 2 16 3 6" xfId="14134" xr:uid="{00000000-0005-0000-0000-00002D370000}"/>
    <cellStyle name="Normal 2 2 2 2 4 2 2 16 3 7" xfId="14135" xr:uid="{00000000-0005-0000-0000-00002E370000}"/>
    <cellStyle name="Normal 2 2 2 2 4 2 2 16 3 8" xfId="14136" xr:uid="{00000000-0005-0000-0000-00002F370000}"/>
    <cellStyle name="Normal 2 2 2 2 4 2 2 16 3 9" xfId="14137" xr:uid="{00000000-0005-0000-0000-000030370000}"/>
    <cellStyle name="Normal 2 2 2 2 4 2 2 16 4" xfId="14138" xr:uid="{00000000-0005-0000-0000-000031370000}"/>
    <cellStyle name="Normal 2 2 2 2 4 2 2 16 4 10" xfId="14139" xr:uid="{00000000-0005-0000-0000-000032370000}"/>
    <cellStyle name="Normal 2 2 2 2 4 2 2 16 4 2" xfId="14140" xr:uid="{00000000-0005-0000-0000-000033370000}"/>
    <cellStyle name="Normal 2 2 2 2 4 2 2 16 4 3" xfId="14141" xr:uid="{00000000-0005-0000-0000-000034370000}"/>
    <cellStyle name="Normal 2 2 2 2 4 2 2 16 4 4" xfId="14142" xr:uid="{00000000-0005-0000-0000-000035370000}"/>
    <cellStyle name="Normal 2 2 2 2 4 2 2 16 4 5" xfId="14143" xr:uid="{00000000-0005-0000-0000-000036370000}"/>
    <cellStyle name="Normal 2 2 2 2 4 2 2 16 4 6" xfId="14144" xr:uid="{00000000-0005-0000-0000-000037370000}"/>
    <cellStyle name="Normal 2 2 2 2 4 2 2 16 4 7" xfId="14145" xr:uid="{00000000-0005-0000-0000-000038370000}"/>
    <cellStyle name="Normal 2 2 2 2 4 2 2 16 4 8" xfId="14146" xr:uid="{00000000-0005-0000-0000-000039370000}"/>
    <cellStyle name="Normal 2 2 2 2 4 2 2 16 4 9" xfId="14147" xr:uid="{00000000-0005-0000-0000-00003A370000}"/>
    <cellStyle name="Normal 2 2 2 2 4 2 2 16 5" xfId="14148" xr:uid="{00000000-0005-0000-0000-00003B370000}"/>
    <cellStyle name="Normal 2 2 2 2 4 2 2 16 5 10" xfId="14149" xr:uid="{00000000-0005-0000-0000-00003C370000}"/>
    <cellStyle name="Normal 2 2 2 2 4 2 2 16 5 2" xfId="14150" xr:uid="{00000000-0005-0000-0000-00003D370000}"/>
    <cellStyle name="Normal 2 2 2 2 4 2 2 16 5 3" xfId="14151" xr:uid="{00000000-0005-0000-0000-00003E370000}"/>
    <cellStyle name="Normal 2 2 2 2 4 2 2 16 5 4" xfId="14152" xr:uid="{00000000-0005-0000-0000-00003F370000}"/>
    <cellStyle name="Normal 2 2 2 2 4 2 2 16 5 5" xfId="14153" xr:uid="{00000000-0005-0000-0000-000040370000}"/>
    <cellStyle name="Normal 2 2 2 2 4 2 2 16 5 6" xfId="14154" xr:uid="{00000000-0005-0000-0000-000041370000}"/>
    <cellStyle name="Normal 2 2 2 2 4 2 2 16 5 7" xfId="14155" xr:uid="{00000000-0005-0000-0000-000042370000}"/>
    <cellStyle name="Normal 2 2 2 2 4 2 2 16 5 8" xfId="14156" xr:uid="{00000000-0005-0000-0000-000043370000}"/>
    <cellStyle name="Normal 2 2 2 2 4 2 2 16 5 9" xfId="14157" xr:uid="{00000000-0005-0000-0000-000044370000}"/>
    <cellStyle name="Normal 2 2 2 2 4 2 2 16 6" xfId="14158" xr:uid="{00000000-0005-0000-0000-000045370000}"/>
    <cellStyle name="Normal 2 2 2 2 4 2 2 16 7" xfId="14159" xr:uid="{00000000-0005-0000-0000-000046370000}"/>
    <cellStyle name="Normal 2 2 2 2 4 2 2 16 8" xfId="14160" xr:uid="{00000000-0005-0000-0000-000047370000}"/>
    <cellStyle name="Normal 2 2 2 2 4 2 2 16 9" xfId="14161" xr:uid="{00000000-0005-0000-0000-000048370000}"/>
    <cellStyle name="Normal 2 2 2 2 4 2 2 17" xfId="14162" xr:uid="{00000000-0005-0000-0000-000049370000}"/>
    <cellStyle name="Normal 2 2 2 2 4 2 2 17 10" xfId="14163" xr:uid="{00000000-0005-0000-0000-00004A370000}"/>
    <cellStyle name="Normal 2 2 2 2 4 2 2 17 11" xfId="14164" xr:uid="{00000000-0005-0000-0000-00004B370000}"/>
    <cellStyle name="Normal 2 2 2 2 4 2 2 17 12" xfId="14165" xr:uid="{00000000-0005-0000-0000-00004C370000}"/>
    <cellStyle name="Normal 2 2 2 2 4 2 2 17 13" xfId="14166" xr:uid="{00000000-0005-0000-0000-00004D370000}"/>
    <cellStyle name="Normal 2 2 2 2 4 2 2 17 14" xfId="14167" xr:uid="{00000000-0005-0000-0000-00004E370000}"/>
    <cellStyle name="Normal 2 2 2 2 4 2 2 17 2" xfId="14168" xr:uid="{00000000-0005-0000-0000-00004F370000}"/>
    <cellStyle name="Normal 2 2 2 2 4 2 2 17 2 10" xfId="14169" xr:uid="{00000000-0005-0000-0000-000050370000}"/>
    <cellStyle name="Normal 2 2 2 2 4 2 2 17 2 2" xfId="14170" xr:uid="{00000000-0005-0000-0000-000051370000}"/>
    <cellStyle name="Normal 2 2 2 2 4 2 2 17 2 3" xfId="14171" xr:uid="{00000000-0005-0000-0000-000052370000}"/>
    <cellStyle name="Normal 2 2 2 2 4 2 2 17 2 4" xfId="14172" xr:uid="{00000000-0005-0000-0000-000053370000}"/>
    <cellStyle name="Normal 2 2 2 2 4 2 2 17 2 5" xfId="14173" xr:uid="{00000000-0005-0000-0000-000054370000}"/>
    <cellStyle name="Normal 2 2 2 2 4 2 2 17 2 6" xfId="14174" xr:uid="{00000000-0005-0000-0000-000055370000}"/>
    <cellStyle name="Normal 2 2 2 2 4 2 2 17 2 7" xfId="14175" xr:uid="{00000000-0005-0000-0000-000056370000}"/>
    <cellStyle name="Normal 2 2 2 2 4 2 2 17 2 8" xfId="14176" xr:uid="{00000000-0005-0000-0000-000057370000}"/>
    <cellStyle name="Normal 2 2 2 2 4 2 2 17 2 9" xfId="14177" xr:uid="{00000000-0005-0000-0000-000058370000}"/>
    <cellStyle name="Normal 2 2 2 2 4 2 2 17 3" xfId="14178" xr:uid="{00000000-0005-0000-0000-000059370000}"/>
    <cellStyle name="Normal 2 2 2 2 4 2 2 17 3 10" xfId="14179" xr:uid="{00000000-0005-0000-0000-00005A370000}"/>
    <cellStyle name="Normal 2 2 2 2 4 2 2 17 3 2" xfId="14180" xr:uid="{00000000-0005-0000-0000-00005B370000}"/>
    <cellStyle name="Normal 2 2 2 2 4 2 2 17 3 3" xfId="14181" xr:uid="{00000000-0005-0000-0000-00005C370000}"/>
    <cellStyle name="Normal 2 2 2 2 4 2 2 17 3 4" xfId="14182" xr:uid="{00000000-0005-0000-0000-00005D370000}"/>
    <cellStyle name="Normal 2 2 2 2 4 2 2 17 3 5" xfId="14183" xr:uid="{00000000-0005-0000-0000-00005E370000}"/>
    <cellStyle name="Normal 2 2 2 2 4 2 2 17 3 6" xfId="14184" xr:uid="{00000000-0005-0000-0000-00005F370000}"/>
    <cellStyle name="Normal 2 2 2 2 4 2 2 17 3 7" xfId="14185" xr:uid="{00000000-0005-0000-0000-000060370000}"/>
    <cellStyle name="Normal 2 2 2 2 4 2 2 17 3 8" xfId="14186" xr:uid="{00000000-0005-0000-0000-000061370000}"/>
    <cellStyle name="Normal 2 2 2 2 4 2 2 17 3 9" xfId="14187" xr:uid="{00000000-0005-0000-0000-000062370000}"/>
    <cellStyle name="Normal 2 2 2 2 4 2 2 17 4" xfId="14188" xr:uid="{00000000-0005-0000-0000-000063370000}"/>
    <cellStyle name="Normal 2 2 2 2 4 2 2 17 4 10" xfId="14189" xr:uid="{00000000-0005-0000-0000-000064370000}"/>
    <cellStyle name="Normal 2 2 2 2 4 2 2 17 4 2" xfId="14190" xr:uid="{00000000-0005-0000-0000-000065370000}"/>
    <cellStyle name="Normal 2 2 2 2 4 2 2 17 4 3" xfId="14191" xr:uid="{00000000-0005-0000-0000-000066370000}"/>
    <cellStyle name="Normal 2 2 2 2 4 2 2 17 4 4" xfId="14192" xr:uid="{00000000-0005-0000-0000-000067370000}"/>
    <cellStyle name="Normal 2 2 2 2 4 2 2 17 4 5" xfId="14193" xr:uid="{00000000-0005-0000-0000-000068370000}"/>
    <cellStyle name="Normal 2 2 2 2 4 2 2 17 4 6" xfId="14194" xr:uid="{00000000-0005-0000-0000-000069370000}"/>
    <cellStyle name="Normal 2 2 2 2 4 2 2 17 4 7" xfId="14195" xr:uid="{00000000-0005-0000-0000-00006A370000}"/>
    <cellStyle name="Normal 2 2 2 2 4 2 2 17 4 8" xfId="14196" xr:uid="{00000000-0005-0000-0000-00006B370000}"/>
    <cellStyle name="Normal 2 2 2 2 4 2 2 17 4 9" xfId="14197" xr:uid="{00000000-0005-0000-0000-00006C370000}"/>
    <cellStyle name="Normal 2 2 2 2 4 2 2 17 5" xfId="14198" xr:uid="{00000000-0005-0000-0000-00006D370000}"/>
    <cellStyle name="Normal 2 2 2 2 4 2 2 17 5 10" xfId="14199" xr:uid="{00000000-0005-0000-0000-00006E370000}"/>
    <cellStyle name="Normal 2 2 2 2 4 2 2 17 5 2" xfId="14200" xr:uid="{00000000-0005-0000-0000-00006F370000}"/>
    <cellStyle name="Normal 2 2 2 2 4 2 2 17 5 3" xfId="14201" xr:uid="{00000000-0005-0000-0000-000070370000}"/>
    <cellStyle name="Normal 2 2 2 2 4 2 2 17 5 4" xfId="14202" xr:uid="{00000000-0005-0000-0000-000071370000}"/>
    <cellStyle name="Normal 2 2 2 2 4 2 2 17 5 5" xfId="14203" xr:uid="{00000000-0005-0000-0000-000072370000}"/>
    <cellStyle name="Normal 2 2 2 2 4 2 2 17 5 6" xfId="14204" xr:uid="{00000000-0005-0000-0000-000073370000}"/>
    <cellStyle name="Normal 2 2 2 2 4 2 2 17 5 7" xfId="14205" xr:uid="{00000000-0005-0000-0000-000074370000}"/>
    <cellStyle name="Normal 2 2 2 2 4 2 2 17 5 8" xfId="14206" xr:uid="{00000000-0005-0000-0000-000075370000}"/>
    <cellStyle name="Normal 2 2 2 2 4 2 2 17 5 9" xfId="14207" xr:uid="{00000000-0005-0000-0000-000076370000}"/>
    <cellStyle name="Normal 2 2 2 2 4 2 2 17 6" xfId="14208" xr:uid="{00000000-0005-0000-0000-000077370000}"/>
    <cellStyle name="Normal 2 2 2 2 4 2 2 17 7" xfId="14209" xr:uid="{00000000-0005-0000-0000-000078370000}"/>
    <cellStyle name="Normal 2 2 2 2 4 2 2 17 8" xfId="14210" xr:uid="{00000000-0005-0000-0000-000079370000}"/>
    <cellStyle name="Normal 2 2 2 2 4 2 2 17 9" xfId="14211" xr:uid="{00000000-0005-0000-0000-00007A370000}"/>
    <cellStyle name="Normal 2 2 2 2 4 2 2 18" xfId="14212" xr:uid="{00000000-0005-0000-0000-00007B370000}"/>
    <cellStyle name="Normal 2 2 2 2 4 2 2 18 10" xfId="14213" xr:uid="{00000000-0005-0000-0000-00007C370000}"/>
    <cellStyle name="Normal 2 2 2 2 4 2 2 18 11" xfId="14214" xr:uid="{00000000-0005-0000-0000-00007D370000}"/>
    <cellStyle name="Normal 2 2 2 2 4 2 2 18 12" xfId="14215" xr:uid="{00000000-0005-0000-0000-00007E370000}"/>
    <cellStyle name="Normal 2 2 2 2 4 2 2 18 13" xfId="14216" xr:uid="{00000000-0005-0000-0000-00007F370000}"/>
    <cellStyle name="Normal 2 2 2 2 4 2 2 18 14" xfId="14217" xr:uid="{00000000-0005-0000-0000-000080370000}"/>
    <cellStyle name="Normal 2 2 2 2 4 2 2 18 2" xfId="14218" xr:uid="{00000000-0005-0000-0000-000081370000}"/>
    <cellStyle name="Normal 2 2 2 2 4 2 2 18 2 10" xfId="14219" xr:uid="{00000000-0005-0000-0000-000082370000}"/>
    <cellStyle name="Normal 2 2 2 2 4 2 2 18 2 2" xfId="14220" xr:uid="{00000000-0005-0000-0000-000083370000}"/>
    <cellStyle name="Normal 2 2 2 2 4 2 2 18 2 3" xfId="14221" xr:uid="{00000000-0005-0000-0000-000084370000}"/>
    <cellStyle name="Normal 2 2 2 2 4 2 2 18 2 4" xfId="14222" xr:uid="{00000000-0005-0000-0000-000085370000}"/>
    <cellStyle name="Normal 2 2 2 2 4 2 2 18 2 5" xfId="14223" xr:uid="{00000000-0005-0000-0000-000086370000}"/>
    <cellStyle name="Normal 2 2 2 2 4 2 2 18 2 6" xfId="14224" xr:uid="{00000000-0005-0000-0000-000087370000}"/>
    <cellStyle name="Normal 2 2 2 2 4 2 2 18 2 7" xfId="14225" xr:uid="{00000000-0005-0000-0000-000088370000}"/>
    <cellStyle name="Normal 2 2 2 2 4 2 2 18 2 8" xfId="14226" xr:uid="{00000000-0005-0000-0000-000089370000}"/>
    <cellStyle name="Normal 2 2 2 2 4 2 2 18 2 9" xfId="14227" xr:uid="{00000000-0005-0000-0000-00008A370000}"/>
    <cellStyle name="Normal 2 2 2 2 4 2 2 18 3" xfId="14228" xr:uid="{00000000-0005-0000-0000-00008B370000}"/>
    <cellStyle name="Normal 2 2 2 2 4 2 2 18 3 10" xfId="14229" xr:uid="{00000000-0005-0000-0000-00008C370000}"/>
    <cellStyle name="Normal 2 2 2 2 4 2 2 18 3 2" xfId="14230" xr:uid="{00000000-0005-0000-0000-00008D370000}"/>
    <cellStyle name="Normal 2 2 2 2 4 2 2 18 3 3" xfId="14231" xr:uid="{00000000-0005-0000-0000-00008E370000}"/>
    <cellStyle name="Normal 2 2 2 2 4 2 2 18 3 4" xfId="14232" xr:uid="{00000000-0005-0000-0000-00008F370000}"/>
    <cellStyle name="Normal 2 2 2 2 4 2 2 18 3 5" xfId="14233" xr:uid="{00000000-0005-0000-0000-000090370000}"/>
    <cellStyle name="Normal 2 2 2 2 4 2 2 18 3 6" xfId="14234" xr:uid="{00000000-0005-0000-0000-000091370000}"/>
    <cellStyle name="Normal 2 2 2 2 4 2 2 18 3 7" xfId="14235" xr:uid="{00000000-0005-0000-0000-000092370000}"/>
    <cellStyle name="Normal 2 2 2 2 4 2 2 18 3 8" xfId="14236" xr:uid="{00000000-0005-0000-0000-000093370000}"/>
    <cellStyle name="Normal 2 2 2 2 4 2 2 18 3 9" xfId="14237" xr:uid="{00000000-0005-0000-0000-000094370000}"/>
    <cellStyle name="Normal 2 2 2 2 4 2 2 18 4" xfId="14238" xr:uid="{00000000-0005-0000-0000-000095370000}"/>
    <cellStyle name="Normal 2 2 2 2 4 2 2 18 4 10" xfId="14239" xr:uid="{00000000-0005-0000-0000-000096370000}"/>
    <cellStyle name="Normal 2 2 2 2 4 2 2 18 4 2" xfId="14240" xr:uid="{00000000-0005-0000-0000-000097370000}"/>
    <cellStyle name="Normal 2 2 2 2 4 2 2 18 4 3" xfId="14241" xr:uid="{00000000-0005-0000-0000-000098370000}"/>
    <cellStyle name="Normal 2 2 2 2 4 2 2 18 4 4" xfId="14242" xr:uid="{00000000-0005-0000-0000-000099370000}"/>
    <cellStyle name="Normal 2 2 2 2 4 2 2 18 4 5" xfId="14243" xr:uid="{00000000-0005-0000-0000-00009A370000}"/>
    <cellStyle name="Normal 2 2 2 2 4 2 2 18 4 6" xfId="14244" xr:uid="{00000000-0005-0000-0000-00009B370000}"/>
    <cellStyle name="Normal 2 2 2 2 4 2 2 18 4 7" xfId="14245" xr:uid="{00000000-0005-0000-0000-00009C370000}"/>
    <cellStyle name="Normal 2 2 2 2 4 2 2 18 4 8" xfId="14246" xr:uid="{00000000-0005-0000-0000-00009D370000}"/>
    <cellStyle name="Normal 2 2 2 2 4 2 2 18 4 9" xfId="14247" xr:uid="{00000000-0005-0000-0000-00009E370000}"/>
    <cellStyle name="Normal 2 2 2 2 4 2 2 18 5" xfId="14248" xr:uid="{00000000-0005-0000-0000-00009F370000}"/>
    <cellStyle name="Normal 2 2 2 2 4 2 2 18 5 10" xfId="14249" xr:uid="{00000000-0005-0000-0000-0000A0370000}"/>
    <cellStyle name="Normal 2 2 2 2 4 2 2 18 5 2" xfId="14250" xr:uid="{00000000-0005-0000-0000-0000A1370000}"/>
    <cellStyle name="Normal 2 2 2 2 4 2 2 18 5 3" xfId="14251" xr:uid="{00000000-0005-0000-0000-0000A2370000}"/>
    <cellStyle name="Normal 2 2 2 2 4 2 2 18 5 4" xfId="14252" xr:uid="{00000000-0005-0000-0000-0000A3370000}"/>
    <cellStyle name="Normal 2 2 2 2 4 2 2 18 5 5" xfId="14253" xr:uid="{00000000-0005-0000-0000-0000A4370000}"/>
    <cellStyle name="Normal 2 2 2 2 4 2 2 18 5 6" xfId="14254" xr:uid="{00000000-0005-0000-0000-0000A5370000}"/>
    <cellStyle name="Normal 2 2 2 2 4 2 2 18 5 7" xfId="14255" xr:uid="{00000000-0005-0000-0000-0000A6370000}"/>
    <cellStyle name="Normal 2 2 2 2 4 2 2 18 5 8" xfId="14256" xr:uid="{00000000-0005-0000-0000-0000A7370000}"/>
    <cellStyle name="Normal 2 2 2 2 4 2 2 18 5 9" xfId="14257" xr:uid="{00000000-0005-0000-0000-0000A8370000}"/>
    <cellStyle name="Normal 2 2 2 2 4 2 2 18 6" xfId="14258" xr:uid="{00000000-0005-0000-0000-0000A9370000}"/>
    <cellStyle name="Normal 2 2 2 2 4 2 2 18 7" xfId="14259" xr:uid="{00000000-0005-0000-0000-0000AA370000}"/>
    <cellStyle name="Normal 2 2 2 2 4 2 2 18 8" xfId="14260" xr:uid="{00000000-0005-0000-0000-0000AB370000}"/>
    <cellStyle name="Normal 2 2 2 2 4 2 2 18 9" xfId="14261" xr:uid="{00000000-0005-0000-0000-0000AC370000}"/>
    <cellStyle name="Normal 2 2 2 2 4 2 2 19" xfId="14262" xr:uid="{00000000-0005-0000-0000-0000AD370000}"/>
    <cellStyle name="Normal 2 2 2 2 4 2 2 19 10" xfId="14263" xr:uid="{00000000-0005-0000-0000-0000AE370000}"/>
    <cellStyle name="Normal 2 2 2 2 4 2 2 19 11" xfId="14264" xr:uid="{00000000-0005-0000-0000-0000AF370000}"/>
    <cellStyle name="Normal 2 2 2 2 4 2 2 19 12" xfId="14265" xr:uid="{00000000-0005-0000-0000-0000B0370000}"/>
    <cellStyle name="Normal 2 2 2 2 4 2 2 19 13" xfId="14266" xr:uid="{00000000-0005-0000-0000-0000B1370000}"/>
    <cellStyle name="Normal 2 2 2 2 4 2 2 19 14" xfId="14267" xr:uid="{00000000-0005-0000-0000-0000B2370000}"/>
    <cellStyle name="Normal 2 2 2 2 4 2 2 19 2" xfId="14268" xr:uid="{00000000-0005-0000-0000-0000B3370000}"/>
    <cellStyle name="Normal 2 2 2 2 4 2 2 19 2 10" xfId="14269" xr:uid="{00000000-0005-0000-0000-0000B4370000}"/>
    <cellStyle name="Normal 2 2 2 2 4 2 2 19 2 2" xfId="14270" xr:uid="{00000000-0005-0000-0000-0000B5370000}"/>
    <cellStyle name="Normal 2 2 2 2 4 2 2 19 2 3" xfId="14271" xr:uid="{00000000-0005-0000-0000-0000B6370000}"/>
    <cellStyle name="Normal 2 2 2 2 4 2 2 19 2 4" xfId="14272" xr:uid="{00000000-0005-0000-0000-0000B7370000}"/>
    <cellStyle name="Normal 2 2 2 2 4 2 2 19 2 5" xfId="14273" xr:uid="{00000000-0005-0000-0000-0000B8370000}"/>
    <cellStyle name="Normal 2 2 2 2 4 2 2 19 2 6" xfId="14274" xr:uid="{00000000-0005-0000-0000-0000B9370000}"/>
    <cellStyle name="Normal 2 2 2 2 4 2 2 19 2 7" xfId="14275" xr:uid="{00000000-0005-0000-0000-0000BA370000}"/>
    <cellStyle name="Normal 2 2 2 2 4 2 2 19 2 8" xfId="14276" xr:uid="{00000000-0005-0000-0000-0000BB370000}"/>
    <cellStyle name="Normal 2 2 2 2 4 2 2 19 2 9" xfId="14277" xr:uid="{00000000-0005-0000-0000-0000BC370000}"/>
    <cellStyle name="Normal 2 2 2 2 4 2 2 19 3" xfId="14278" xr:uid="{00000000-0005-0000-0000-0000BD370000}"/>
    <cellStyle name="Normal 2 2 2 2 4 2 2 19 3 10" xfId="14279" xr:uid="{00000000-0005-0000-0000-0000BE370000}"/>
    <cellStyle name="Normal 2 2 2 2 4 2 2 19 3 2" xfId="14280" xr:uid="{00000000-0005-0000-0000-0000BF370000}"/>
    <cellStyle name="Normal 2 2 2 2 4 2 2 19 3 3" xfId="14281" xr:uid="{00000000-0005-0000-0000-0000C0370000}"/>
    <cellStyle name="Normal 2 2 2 2 4 2 2 19 3 4" xfId="14282" xr:uid="{00000000-0005-0000-0000-0000C1370000}"/>
    <cellStyle name="Normal 2 2 2 2 4 2 2 19 3 5" xfId="14283" xr:uid="{00000000-0005-0000-0000-0000C2370000}"/>
    <cellStyle name="Normal 2 2 2 2 4 2 2 19 3 6" xfId="14284" xr:uid="{00000000-0005-0000-0000-0000C3370000}"/>
    <cellStyle name="Normal 2 2 2 2 4 2 2 19 3 7" xfId="14285" xr:uid="{00000000-0005-0000-0000-0000C4370000}"/>
    <cellStyle name="Normal 2 2 2 2 4 2 2 19 3 8" xfId="14286" xr:uid="{00000000-0005-0000-0000-0000C5370000}"/>
    <cellStyle name="Normal 2 2 2 2 4 2 2 19 3 9" xfId="14287" xr:uid="{00000000-0005-0000-0000-0000C6370000}"/>
    <cellStyle name="Normal 2 2 2 2 4 2 2 19 4" xfId="14288" xr:uid="{00000000-0005-0000-0000-0000C7370000}"/>
    <cellStyle name="Normal 2 2 2 2 4 2 2 19 4 10" xfId="14289" xr:uid="{00000000-0005-0000-0000-0000C8370000}"/>
    <cellStyle name="Normal 2 2 2 2 4 2 2 19 4 2" xfId="14290" xr:uid="{00000000-0005-0000-0000-0000C9370000}"/>
    <cellStyle name="Normal 2 2 2 2 4 2 2 19 4 3" xfId="14291" xr:uid="{00000000-0005-0000-0000-0000CA370000}"/>
    <cellStyle name="Normal 2 2 2 2 4 2 2 19 4 4" xfId="14292" xr:uid="{00000000-0005-0000-0000-0000CB370000}"/>
    <cellStyle name="Normal 2 2 2 2 4 2 2 19 4 5" xfId="14293" xr:uid="{00000000-0005-0000-0000-0000CC370000}"/>
    <cellStyle name="Normal 2 2 2 2 4 2 2 19 4 6" xfId="14294" xr:uid="{00000000-0005-0000-0000-0000CD370000}"/>
    <cellStyle name="Normal 2 2 2 2 4 2 2 19 4 7" xfId="14295" xr:uid="{00000000-0005-0000-0000-0000CE370000}"/>
    <cellStyle name="Normal 2 2 2 2 4 2 2 19 4 8" xfId="14296" xr:uid="{00000000-0005-0000-0000-0000CF370000}"/>
    <cellStyle name="Normal 2 2 2 2 4 2 2 19 4 9" xfId="14297" xr:uid="{00000000-0005-0000-0000-0000D0370000}"/>
    <cellStyle name="Normal 2 2 2 2 4 2 2 19 5" xfId="14298" xr:uid="{00000000-0005-0000-0000-0000D1370000}"/>
    <cellStyle name="Normal 2 2 2 2 4 2 2 19 5 10" xfId="14299" xr:uid="{00000000-0005-0000-0000-0000D2370000}"/>
    <cellStyle name="Normal 2 2 2 2 4 2 2 19 5 2" xfId="14300" xr:uid="{00000000-0005-0000-0000-0000D3370000}"/>
    <cellStyle name="Normal 2 2 2 2 4 2 2 19 5 3" xfId="14301" xr:uid="{00000000-0005-0000-0000-0000D4370000}"/>
    <cellStyle name="Normal 2 2 2 2 4 2 2 19 5 4" xfId="14302" xr:uid="{00000000-0005-0000-0000-0000D5370000}"/>
    <cellStyle name="Normal 2 2 2 2 4 2 2 19 5 5" xfId="14303" xr:uid="{00000000-0005-0000-0000-0000D6370000}"/>
    <cellStyle name="Normal 2 2 2 2 4 2 2 19 5 6" xfId="14304" xr:uid="{00000000-0005-0000-0000-0000D7370000}"/>
    <cellStyle name="Normal 2 2 2 2 4 2 2 19 5 7" xfId="14305" xr:uid="{00000000-0005-0000-0000-0000D8370000}"/>
    <cellStyle name="Normal 2 2 2 2 4 2 2 19 5 8" xfId="14306" xr:uid="{00000000-0005-0000-0000-0000D9370000}"/>
    <cellStyle name="Normal 2 2 2 2 4 2 2 19 5 9" xfId="14307" xr:uid="{00000000-0005-0000-0000-0000DA370000}"/>
    <cellStyle name="Normal 2 2 2 2 4 2 2 19 6" xfId="14308" xr:uid="{00000000-0005-0000-0000-0000DB370000}"/>
    <cellStyle name="Normal 2 2 2 2 4 2 2 19 7" xfId="14309" xr:uid="{00000000-0005-0000-0000-0000DC370000}"/>
    <cellStyle name="Normal 2 2 2 2 4 2 2 19 8" xfId="14310" xr:uid="{00000000-0005-0000-0000-0000DD370000}"/>
    <cellStyle name="Normal 2 2 2 2 4 2 2 19 9" xfId="14311" xr:uid="{00000000-0005-0000-0000-0000DE370000}"/>
    <cellStyle name="Normal 2 2 2 2 4 2 2 2" xfId="14312" xr:uid="{00000000-0005-0000-0000-0000DF370000}"/>
    <cellStyle name="Normal 2 2 2 2 4 2 2 2 10" xfId="14313" xr:uid="{00000000-0005-0000-0000-0000E0370000}"/>
    <cellStyle name="Normal 2 2 2 2 4 2 2 2 11" xfId="14314" xr:uid="{00000000-0005-0000-0000-0000E1370000}"/>
    <cellStyle name="Normal 2 2 2 2 4 2 2 2 12" xfId="14315" xr:uid="{00000000-0005-0000-0000-0000E2370000}"/>
    <cellStyle name="Normal 2 2 2 2 4 2 2 2 13" xfId="14316" xr:uid="{00000000-0005-0000-0000-0000E3370000}"/>
    <cellStyle name="Normal 2 2 2 2 4 2 2 2 14" xfId="14317" xr:uid="{00000000-0005-0000-0000-0000E4370000}"/>
    <cellStyle name="Normal 2 2 2 2 4 2 2 2 2" xfId="14318" xr:uid="{00000000-0005-0000-0000-0000E5370000}"/>
    <cellStyle name="Normal 2 2 2 2 4 2 2 2 2 10" xfId="14319" xr:uid="{00000000-0005-0000-0000-0000E6370000}"/>
    <cellStyle name="Normal 2 2 2 2 4 2 2 2 2 2" xfId="14320" xr:uid="{00000000-0005-0000-0000-0000E7370000}"/>
    <cellStyle name="Normal 2 2 2 2 4 2 2 2 2 3" xfId="14321" xr:uid="{00000000-0005-0000-0000-0000E8370000}"/>
    <cellStyle name="Normal 2 2 2 2 4 2 2 2 2 4" xfId="14322" xr:uid="{00000000-0005-0000-0000-0000E9370000}"/>
    <cellStyle name="Normal 2 2 2 2 4 2 2 2 2 5" xfId="14323" xr:uid="{00000000-0005-0000-0000-0000EA370000}"/>
    <cellStyle name="Normal 2 2 2 2 4 2 2 2 2 6" xfId="14324" xr:uid="{00000000-0005-0000-0000-0000EB370000}"/>
    <cellStyle name="Normal 2 2 2 2 4 2 2 2 2 7" xfId="14325" xr:uid="{00000000-0005-0000-0000-0000EC370000}"/>
    <cellStyle name="Normal 2 2 2 2 4 2 2 2 2 8" xfId="14326" xr:uid="{00000000-0005-0000-0000-0000ED370000}"/>
    <cellStyle name="Normal 2 2 2 2 4 2 2 2 2 9" xfId="14327" xr:uid="{00000000-0005-0000-0000-0000EE370000}"/>
    <cellStyle name="Normal 2 2 2 2 4 2 2 2 3" xfId="14328" xr:uid="{00000000-0005-0000-0000-0000EF370000}"/>
    <cellStyle name="Normal 2 2 2 2 4 2 2 2 3 10" xfId="14329" xr:uid="{00000000-0005-0000-0000-0000F0370000}"/>
    <cellStyle name="Normal 2 2 2 2 4 2 2 2 3 2" xfId="14330" xr:uid="{00000000-0005-0000-0000-0000F1370000}"/>
    <cellStyle name="Normal 2 2 2 2 4 2 2 2 3 3" xfId="14331" xr:uid="{00000000-0005-0000-0000-0000F2370000}"/>
    <cellStyle name="Normal 2 2 2 2 4 2 2 2 3 4" xfId="14332" xr:uid="{00000000-0005-0000-0000-0000F3370000}"/>
    <cellStyle name="Normal 2 2 2 2 4 2 2 2 3 5" xfId="14333" xr:uid="{00000000-0005-0000-0000-0000F4370000}"/>
    <cellStyle name="Normal 2 2 2 2 4 2 2 2 3 6" xfId="14334" xr:uid="{00000000-0005-0000-0000-0000F5370000}"/>
    <cellStyle name="Normal 2 2 2 2 4 2 2 2 3 7" xfId="14335" xr:uid="{00000000-0005-0000-0000-0000F6370000}"/>
    <cellStyle name="Normal 2 2 2 2 4 2 2 2 3 8" xfId="14336" xr:uid="{00000000-0005-0000-0000-0000F7370000}"/>
    <cellStyle name="Normal 2 2 2 2 4 2 2 2 3 9" xfId="14337" xr:uid="{00000000-0005-0000-0000-0000F8370000}"/>
    <cellStyle name="Normal 2 2 2 2 4 2 2 2 4" xfId="14338" xr:uid="{00000000-0005-0000-0000-0000F9370000}"/>
    <cellStyle name="Normal 2 2 2 2 4 2 2 2 4 10" xfId="14339" xr:uid="{00000000-0005-0000-0000-0000FA370000}"/>
    <cellStyle name="Normal 2 2 2 2 4 2 2 2 4 2" xfId="14340" xr:uid="{00000000-0005-0000-0000-0000FB370000}"/>
    <cellStyle name="Normal 2 2 2 2 4 2 2 2 4 3" xfId="14341" xr:uid="{00000000-0005-0000-0000-0000FC370000}"/>
    <cellStyle name="Normal 2 2 2 2 4 2 2 2 4 4" xfId="14342" xr:uid="{00000000-0005-0000-0000-0000FD370000}"/>
    <cellStyle name="Normal 2 2 2 2 4 2 2 2 4 5" xfId="14343" xr:uid="{00000000-0005-0000-0000-0000FE370000}"/>
    <cellStyle name="Normal 2 2 2 2 4 2 2 2 4 6" xfId="14344" xr:uid="{00000000-0005-0000-0000-0000FF370000}"/>
    <cellStyle name="Normal 2 2 2 2 4 2 2 2 4 7" xfId="14345" xr:uid="{00000000-0005-0000-0000-000000380000}"/>
    <cellStyle name="Normal 2 2 2 2 4 2 2 2 4 8" xfId="14346" xr:uid="{00000000-0005-0000-0000-000001380000}"/>
    <cellStyle name="Normal 2 2 2 2 4 2 2 2 4 9" xfId="14347" xr:uid="{00000000-0005-0000-0000-000002380000}"/>
    <cellStyle name="Normal 2 2 2 2 4 2 2 2 5" xfId="14348" xr:uid="{00000000-0005-0000-0000-000003380000}"/>
    <cellStyle name="Normal 2 2 2 2 4 2 2 2 5 10" xfId="14349" xr:uid="{00000000-0005-0000-0000-000004380000}"/>
    <cellStyle name="Normal 2 2 2 2 4 2 2 2 5 2" xfId="14350" xr:uid="{00000000-0005-0000-0000-000005380000}"/>
    <cellStyle name="Normal 2 2 2 2 4 2 2 2 5 3" xfId="14351" xr:uid="{00000000-0005-0000-0000-000006380000}"/>
    <cellStyle name="Normal 2 2 2 2 4 2 2 2 5 4" xfId="14352" xr:uid="{00000000-0005-0000-0000-000007380000}"/>
    <cellStyle name="Normal 2 2 2 2 4 2 2 2 5 5" xfId="14353" xr:uid="{00000000-0005-0000-0000-000008380000}"/>
    <cellStyle name="Normal 2 2 2 2 4 2 2 2 5 6" xfId="14354" xr:uid="{00000000-0005-0000-0000-000009380000}"/>
    <cellStyle name="Normal 2 2 2 2 4 2 2 2 5 7" xfId="14355" xr:uid="{00000000-0005-0000-0000-00000A380000}"/>
    <cellStyle name="Normal 2 2 2 2 4 2 2 2 5 8" xfId="14356" xr:uid="{00000000-0005-0000-0000-00000B380000}"/>
    <cellStyle name="Normal 2 2 2 2 4 2 2 2 5 9" xfId="14357" xr:uid="{00000000-0005-0000-0000-00000C380000}"/>
    <cellStyle name="Normal 2 2 2 2 4 2 2 2 6" xfId="14358" xr:uid="{00000000-0005-0000-0000-00000D380000}"/>
    <cellStyle name="Normal 2 2 2 2 4 2 2 2 7" xfId="14359" xr:uid="{00000000-0005-0000-0000-00000E380000}"/>
    <cellStyle name="Normal 2 2 2 2 4 2 2 2 8" xfId="14360" xr:uid="{00000000-0005-0000-0000-00000F380000}"/>
    <cellStyle name="Normal 2 2 2 2 4 2 2 2 9" xfId="14361" xr:uid="{00000000-0005-0000-0000-000010380000}"/>
    <cellStyle name="Normal 2 2 2 2 4 2 2 20" xfId="14362" xr:uid="{00000000-0005-0000-0000-000011380000}"/>
    <cellStyle name="Normal 2 2 2 2 4 2 2 20 10" xfId="14363" xr:uid="{00000000-0005-0000-0000-000012380000}"/>
    <cellStyle name="Normal 2 2 2 2 4 2 2 20 11" xfId="14364" xr:uid="{00000000-0005-0000-0000-000013380000}"/>
    <cellStyle name="Normal 2 2 2 2 4 2 2 20 12" xfId="14365" xr:uid="{00000000-0005-0000-0000-000014380000}"/>
    <cellStyle name="Normal 2 2 2 2 4 2 2 20 13" xfId="14366" xr:uid="{00000000-0005-0000-0000-000015380000}"/>
    <cellStyle name="Normal 2 2 2 2 4 2 2 20 14" xfId="14367" xr:uid="{00000000-0005-0000-0000-000016380000}"/>
    <cellStyle name="Normal 2 2 2 2 4 2 2 20 2" xfId="14368" xr:uid="{00000000-0005-0000-0000-000017380000}"/>
    <cellStyle name="Normal 2 2 2 2 4 2 2 20 2 10" xfId="14369" xr:uid="{00000000-0005-0000-0000-000018380000}"/>
    <cellStyle name="Normal 2 2 2 2 4 2 2 20 2 2" xfId="14370" xr:uid="{00000000-0005-0000-0000-000019380000}"/>
    <cellStyle name="Normal 2 2 2 2 4 2 2 20 2 3" xfId="14371" xr:uid="{00000000-0005-0000-0000-00001A380000}"/>
    <cellStyle name="Normal 2 2 2 2 4 2 2 20 2 4" xfId="14372" xr:uid="{00000000-0005-0000-0000-00001B380000}"/>
    <cellStyle name="Normal 2 2 2 2 4 2 2 20 2 5" xfId="14373" xr:uid="{00000000-0005-0000-0000-00001C380000}"/>
    <cellStyle name="Normal 2 2 2 2 4 2 2 20 2 6" xfId="14374" xr:uid="{00000000-0005-0000-0000-00001D380000}"/>
    <cellStyle name="Normal 2 2 2 2 4 2 2 20 2 7" xfId="14375" xr:uid="{00000000-0005-0000-0000-00001E380000}"/>
    <cellStyle name="Normal 2 2 2 2 4 2 2 20 2 8" xfId="14376" xr:uid="{00000000-0005-0000-0000-00001F380000}"/>
    <cellStyle name="Normal 2 2 2 2 4 2 2 20 2 9" xfId="14377" xr:uid="{00000000-0005-0000-0000-000020380000}"/>
    <cellStyle name="Normal 2 2 2 2 4 2 2 20 3" xfId="14378" xr:uid="{00000000-0005-0000-0000-000021380000}"/>
    <cellStyle name="Normal 2 2 2 2 4 2 2 20 3 10" xfId="14379" xr:uid="{00000000-0005-0000-0000-000022380000}"/>
    <cellStyle name="Normal 2 2 2 2 4 2 2 20 3 2" xfId="14380" xr:uid="{00000000-0005-0000-0000-000023380000}"/>
    <cellStyle name="Normal 2 2 2 2 4 2 2 20 3 3" xfId="14381" xr:uid="{00000000-0005-0000-0000-000024380000}"/>
    <cellStyle name="Normal 2 2 2 2 4 2 2 20 3 4" xfId="14382" xr:uid="{00000000-0005-0000-0000-000025380000}"/>
    <cellStyle name="Normal 2 2 2 2 4 2 2 20 3 5" xfId="14383" xr:uid="{00000000-0005-0000-0000-000026380000}"/>
    <cellStyle name="Normal 2 2 2 2 4 2 2 20 3 6" xfId="14384" xr:uid="{00000000-0005-0000-0000-000027380000}"/>
    <cellStyle name="Normal 2 2 2 2 4 2 2 20 3 7" xfId="14385" xr:uid="{00000000-0005-0000-0000-000028380000}"/>
    <cellStyle name="Normal 2 2 2 2 4 2 2 20 3 8" xfId="14386" xr:uid="{00000000-0005-0000-0000-000029380000}"/>
    <cellStyle name="Normal 2 2 2 2 4 2 2 20 3 9" xfId="14387" xr:uid="{00000000-0005-0000-0000-00002A380000}"/>
    <cellStyle name="Normal 2 2 2 2 4 2 2 20 4" xfId="14388" xr:uid="{00000000-0005-0000-0000-00002B380000}"/>
    <cellStyle name="Normal 2 2 2 2 4 2 2 20 4 10" xfId="14389" xr:uid="{00000000-0005-0000-0000-00002C380000}"/>
    <cellStyle name="Normal 2 2 2 2 4 2 2 20 4 2" xfId="14390" xr:uid="{00000000-0005-0000-0000-00002D380000}"/>
    <cellStyle name="Normal 2 2 2 2 4 2 2 20 4 3" xfId="14391" xr:uid="{00000000-0005-0000-0000-00002E380000}"/>
    <cellStyle name="Normal 2 2 2 2 4 2 2 20 4 4" xfId="14392" xr:uid="{00000000-0005-0000-0000-00002F380000}"/>
    <cellStyle name="Normal 2 2 2 2 4 2 2 20 4 5" xfId="14393" xr:uid="{00000000-0005-0000-0000-000030380000}"/>
    <cellStyle name="Normal 2 2 2 2 4 2 2 20 4 6" xfId="14394" xr:uid="{00000000-0005-0000-0000-000031380000}"/>
    <cellStyle name="Normal 2 2 2 2 4 2 2 20 4 7" xfId="14395" xr:uid="{00000000-0005-0000-0000-000032380000}"/>
    <cellStyle name="Normal 2 2 2 2 4 2 2 20 4 8" xfId="14396" xr:uid="{00000000-0005-0000-0000-000033380000}"/>
    <cellStyle name="Normal 2 2 2 2 4 2 2 20 4 9" xfId="14397" xr:uid="{00000000-0005-0000-0000-000034380000}"/>
    <cellStyle name="Normal 2 2 2 2 4 2 2 20 5" xfId="14398" xr:uid="{00000000-0005-0000-0000-000035380000}"/>
    <cellStyle name="Normal 2 2 2 2 4 2 2 20 5 10" xfId="14399" xr:uid="{00000000-0005-0000-0000-000036380000}"/>
    <cellStyle name="Normal 2 2 2 2 4 2 2 20 5 2" xfId="14400" xr:uid="{00000000-0005-0000-0000-000037380000}"/>
    <cellStyle name="Normal 2 2 2 2 4 2 2 20 5 3" xfId="14401" xr:uid="{00000000-0005-0000-0000-000038380000}"/>
    <cellStyle name="Normal 2 2 2 2 4 2 2 20 5 4" xfId="14402" xr:uid="{00000000-0005-0000-0000-000039380000}"/>
    <cellStyle name="Normal 2 2 2 2 4 2 2 20 5 5" xfId="14403" xr:uid="{00000000-0005-0000-0000-00003A380000}"/>
    <cellStyle name="Normal 2 2 2 2 4 2 2 20 5 6" xfId="14404" xr:uid="{00000000-0005-0000-0000-00003B380000}"/>
    <cellStyle name="Normal 2 2 2 2 4 2 2 20 5 7" xfId="14405" xr:uid="{00000000-0005-0000-0000-00003C380000}"/>
    <cellStyle name="Normal 2 2 2 2 4 2 2 20 5 8" xfId="14406" xr:uid="{00000000-0005-0000-0000-00003D380000}"/>
    <cellStyle name="Normal 2 2 2 2 4 2 2 20 5 9" xfId="14407" xr:uid="{00000000-0005-0000-0000-00003E380000}"/>
    <cellStyle name="Normal 2 2 2 2 4 2 2 20 6" xfId="14408" xr:uid="{00000000-0005-0000-0000-00003F380000}"/>
    <cellStyle name="Normal 2 2 2 2 4 2 2 20 7" xfId="14409" xr:uid="{00000000-0005-0000-0000-000040380000}"/>
    <cellStyle name="Normal 2 2 2 2 4 2 2 20 8" xfId="14410" xr:uid="{00000000-0005-0000-0000-000041380000}"/>
    <cellStyle name="Normal 2 2 2 2 4 2 2 20 9" xfId="14411" xr:uid="{00000000-0005-0000-0000-000042380000}"/>
    <cellStyle name="Normal 2 2 2 2 4 2 2 3" xfId="14412" xr:uid="{00000000-0005-0000-0000-000043380000}"/>
    <cellStyle name="Normal 2 2 2 2 4 2 2 3 10" xfId="14413" xr:uid="{00000000-0005-0000-0000-000044380000}"/>
    <cellStyle name="Normal 2 2 2 2 4 2 2 3 11" xfId="14414" xr:uid="{00000000-0005-0000-0000-000045380000}"/>
    <cellStyle name="Normal 2 2 2 2 4 2 2 3 12" xfId="14415" xr:uid="{00000000-0005-0000-0000-000046380000}"/>
    <cellStyle name="Normal 2 2 2 2 4 2 2 3 13" xfId="14416" xr:uid="{00000000-0005-0000-0000-000047380000}"/>
    <cellStyle name="Normal 2 2 2 2 4 2 2 3 14" xfId="14417" xr:uid="{00000000-0005-0000-0000-000048380000}"/>
    <cellStyle name="Normal 2 2 2 2 4 2 2 3 2" xfId="14418" xr:uid="{00000000-0005-0000-0000-000049380000}"/>
    <cellStyle name="Normal 2 2 2 2 4 2 2 3 2 10" xfId="14419" xr:uid="{00000000-0005-0000-0000-00004A380000}"/>
    <cellStyle name="Normal 2 2 2 2 4 2 2 3 2 2" xfId="14420" xr:uid="{00000000-0005-0000-0000-00004B380000}"/>
    <cellStyle name="Normal 2 2 2 2 4 2 2 3 2 3" xfId="14421" xr:uid="{00000000-0005-0000-0000-00004C380000}"/>
    <cellStyle name="Normal 2 2 2 2 4 2 2 3 2 4" xfId="14422" xr:uid="{00000000-0005-0000-0000-00004D380000}"/>
    <cellStyle name="Normal 2 2 2 2 4 2 2 3 2 5" xfId="14423" xr:uid="{00000000-0005-0000-0000-00004E380000}"/>
    <cellStyle name="Normal 2 2 2 2 4 2 2 3 2 6" xfId="14424" xr:uid="{00000000-0005-0000-0000-00004F380000}"/>
    <cellStyle name="Normal 2 2 2 2 4 2 2 3 2 7" xfId="14425" xr:uid="{00000000-0005-0000-0000-000050380000}"/>
    <cellStyle name="Normal 2 2 2 2 4 2 2 3 2 8" xfId="14426" xr:uid="{00000000-0005-0000-0000-000051380000}"/>
    <cellStyle name="Normal 2 2 2 2 4 2 2 3 2 9" xfId="14427" xr:uid="{00000000-0005-0000-0000-000052380000}"/>
    <cellStyle name="Normal 2 2 2 2 4 2 2 3 3" xfId="14428" xr:uid="{00000000-0005-0000-0000-000053380000}"/>
    <cellStyle name="Normal 2 2 2 2 4 2 2 3 3 10" xfId="14429" xr:uid="{00000000-0005-0000-0000-000054380000}"/>
    <cellStyle name="Normal 2 2 2 2 4 2 2 3 3 2" xfId="14430" xr:uid="{00000000-0005-0000-0000-000055380000}"/>
    <cellStyle name="Normal 2 2 2 2 4 2 2 3 3 3" xfId="14431" xr:uid="{00000000-0005-0000-0000-000056380000}"/>
    <cellStyle name="Normal 2 2 2 2 4 2 2 3 3 4" xfId="14432" xr:uid="{00000000-0005-0000-0000-000057380000}"/>
    <cellStyle name="Normal 2 2 2 2 4 2 2 3 3 5" xfId="14433" xr:uid="{00000000-0005-0000-0000-000058380000}"/>
    <cellStyle name="Normal 2 2 2 2 4 2 2 3 3 6" xfId="14434" xr:uid="{00000000-0005-0000-0000-000059380000}"/>
    <cellStyle name="Normal 2 2 2 2 4 2 2 3 3 7" xfId="14435" xr:uid="{00000000-0005-0000-0000-00005A380000}"/>
    <cellStyle name="Normal 2 2 2 2 4 2 2 3 3 8" xfId="14436" xr:uid="{00000000-0005-0000-0000-00005B380000}"/>
    <cellStyle name="Normal 2 2 2 2 4 2 2 3 3 9" xfId="14437" xr:uid="{00000000-0005-0000-0000-00005C380000}"/>
    <cellStyle name="Normal 2 2 2 2 4 2 2 3 4" xfId="14438" xr:uid="{00000000-0005-0000-0000-00005D380000}"/>
    <cellStyle name="Normal 2 2 2 2 4 2 2 3 4 10" xfId="14439" xr:uid="{00000000-0005-0000-0000-00005E380000}"/>
    <cellStyle name="Normal 2 2 2 2 4 2 2 3 4 2" xfId="14440" xr:uid="{00000000-0005-0000-0000-00005F380000}"/>
    <cellStyle name="Normal 2 2 2 2 4 2 2 3 4 3" xfId="14441" xr:uid="{00000000-0005-0000-0000-000060380000}"/>
    <cellStyle name="Normal 2 2 2 2 4 2 2 3 4 4" xfId="14442" xr:uid="{00000000-0005-0000-0000-000061380000}"/>
    <cellStyle name="Normal 2 2 2 2 4 2 2 3 4 5" xfId="14443" xr:uid="{00000000-0005-0000-0000-000062380000}"/>
    <cellStyle name="Normal 2 2 2 2 4 2 2 3 4 6" xfId="14444" xr:uid="{00000000-0005-0000-0000-000063380000}"/>
    <cellStyle name="Normal 2 2 2 2 4 2 2 3 4 7" xfId="14445" xr:uid="{00000000-0005-0000-0000-000064380000}"/>
    <cellStyle name="Normal 2 2 2 2 4 2 2 3 4 8" xfId="14446" xr:uid="{00000000-0005-0000-0000-000065380000}"/>
    <cellStyle name="Normal 2 2 2 2 4 2 2 3 4 9" xfId="14447" xr:uid="{00000000-0005-0000-0000-000066380000}"/>
    <cellStyle name="Normal 2 2 2 2 4 2 2 3 5" xfId="14448" xr:uid="{00000000-0005-0000-0000-000067380000}"/>
    <cellStyle name="Normal 2 2 2 2 4 2 2 3 5 10" xfId="14449" xr:uid="{00000000-0005-0000-0000-000068380000}"/>
    <cellStyle name="Normal 2 2 2 2 4 2 2 3 5 2" xfId="14450" xr:uid="{00000000-0005-0000-0000-000069380000}"/>
    <cellStyle name="Normal 2 2 2 2 4 2 2 3 5 3" xfId="14451" xr:uid="{00000000-0005-0000-0000-00006A380000}"/>
    <cellStyle name="Normal 2 2 2 2 4 2 2 3 5 4" xfId="14452" xr:uid="{00000000-0005-0000-0000-00006B380000}"/>
    <cellStyle name="Normal 2 2 2 2 4 2 2 3 5 5" xfId="14453" xr:uid="{00000000-0005-0000-0000-00006C380000}"/>
    <cellStyle name="Normal 2 2 2 2 4 2 2 3 5 6" xfId="14454" xr:uid="{00000000-0005-0000-0000-00006D380000}"/>
    <cellStyle name="Normal 2 2 2 2 4 2 2 3 5 7" xfId="14455" xr:uid="{00000000-0005-0000-0000-00006E380000}"/>
    <cellStyle name="Normal 2 2 2 2 4 2 2 3 5 8" xfId="14456" xr:uid="{00000000-0005-0000-0000-00006F380000}"/>
    <cellStyle name="Normal 2 2 2 2 4 2 2 3 5 9" xfId="14457" xr:uid="{00000000-0005-0000-0000-000070380000}"/>
    <cellStyle name="Normal 2 2 2 2 4 2 2 3 6" xfId="14458" xr:uid="{00000000-0005-0000-0000-000071380000}"/>
    <cellStyle name="Normal 2 2 2 2 4 2 2 3 7" xfId="14459" xr:uid="{00000000-0005-0000-0000-000072380000}"/>
    <cellStyle name="Normal 2 2 2 2 4 2 2 3 8" xfId="14460" xr:uid="{00000000-0005-0000-0000-000073380000}"/>
    <cellStyle name="Normal 2 2 2 2 4 2 2 3 9" xfId="14461" xr:uid="{00000000-0005-0000-0000-000074380000}"/>
    <cellStyle name="Normal 2 2 2 2 4 2 2 4" xfId="14462" xr:uid="{00000000-0005-0000-0000-000075380000}"/>
    <cellStyle name="Normal 2 2 2 2 4 2 2 4 10" xfId="14463" xr:uid="{00000000-0005-0000-0000-000076380000}"/>
    <cellStyle name="Normal 2 2 2 2 4 2 2 4 11" xfId="14464" xr:uid="{00000000-0005-0000-0000-000077380000}"/>
    <cellStyle name="Normal 2 2 2 2 4 2 2 4 12" xfId="14465" xr:uid="{00000000-0005-0000-0000-000078380000}"/>
    <cellStyle name="Normal 2 2 2 2 4 2 2 4 13" xfId="14466" xr:uid="{00000000-0005-0000-0000-000079380000}"/>
    <cellStyle name="Normal 2 2 2 2 4 2 2 4 14" xfId="14467" xr:uid="{00000000-0005-0000-0000-00007A380000}"/>
    <cellStyle name="Normal 2 2 2 2 4 2 2 4 2" xfId="14468" xr:uid="{00000000-0005-0000-0000-00007B380000}"/>
    <cellStyle name="Normal 2 2 2 2 4 2 2 4 2 10" xfId="14469" xr:uid="{00000000-0005-0000-0000-00007C380000}"/>
    <cellStyle name="Normal 2 2 2 2 4 2 2 4 2 2" xfId="14470" xr:uid="{00000000-0005-0000-0000-00007D380000}"/>
    <cellStyle name="Normal 2 2 2 2 4 2 2 4 2 3" xfId="14471" xr:uid="{00000000-0005-0000-0000-00007E380000}"/>
    <cellStyle name="Normal 2 2 2 2 4 2 2 4 2 4" xfId="14472" xr:uid="{00000000-0005-0000-0000-00007F380000}"/>
    <cellStyle name="Normal 2 2 2 2 4 2 2 4 2 5" xfId="14473" xr:uid="{00000000-0005-0000-0000-000080380000}"/>
    <cellStyle name="Normal 2 2 2 2 4 2 2 4 2 6" xfId="14474" xr:uid="{00000000-0005-0000-0000-000081380000}"/>
    <cellStyle name="Normal 2 2 2 2 4 2 2 4 2 7" xfId="14475" xr:uid="{00000000-0005-0000-0000-000082380000}"/>
    <cellStyle name="Normal 2 2 2 2 4 2 2 4 2 8" xfId="14476" xr:uid="{00000000-0005-0000-0000-000083380000}"/>
    <cellStyle name="Normal 2 2 2 2 4 2 2 4 2 9" xfId="14477" xr:uid="{00000000-0005-0000-0000-000084380000}"/>
    <cellStyle name="Normal 2 2 2 2 4 2 2 4 3" xfId="14478" xr:uid="{00000000-0005-0000-0000-000085380000}"/>
    <cellStyle name="Normal 2 2 2 2 4 2 2 4 3 10" xfId="14479" xr:uid="{00000000-0005-0000-0000-000086380000}"/>
    <cellStyle name="Normal 2 2 2 2 4 2 2 4 3 2" xfId="14480" xr:uid="{00000000-0005-0000-0000-000087380000}"/>
    <cellStyle name="Normal 2 2 2 2 4 2 2 4 3 3" xfId="14481" xr:uid="{00000000-0005-0000-0000-000088380000}"/>
    <cellStyle name="Normal 2 2 2 2 4 2 2 4 3 4" xfId="14482" xr:uid="{00000000-0005-0000-0000-000089380000}"/>
    <cellStyle name="Normal 2 2 2 2 4 2 2 4 3 5" xfId="14483" xr:uid="{00000000-0005-0000-0000-00008A380000}"/>
    <cellStyle name="Normal 2 2 2 2 4 2 2 4 3 6" xfId="14484" xr:uid="{00000000-0005-0000-0000-00008B380000}"/>
    <cellStyle name="Normal 2 2 2 2 4 2 2 4 3 7" xfId="14485" xr:uid="{00000000-0005-0000-0000-00008C380000}"/>
    <cellStyle name="Normal 2 2 2 2 4 2 2 4 3 8" xfId="14486" xr:uid="{00000000-0005-0000-0000-00008D380000}"/>
    <cellStyle name="Normal 2 2 2 2 4 2 2 4 3 9" xfId="14487" xr:uid="{00000000-0005-0000-0000-00008E380000}"/>
    <cellStyle name="Normal 2 2 2 2 4 2 2 4 4" xfId="14488" xr:uid="{00000000-0005-0000-0000-00008F380000}"/>
    <cellStyle name="Normal 2 2 2 2 4 2 2 4 4 10" xfId="14489" xr:uid="{00000000-0005-0000-0000-000090380000}"/>
    <cellStyle name="Normal 2 2 2 2 4 2 2 4 4 2" xfId="14490" xr:uid="{00000000-0005-0000-0000-000091380000}"/>
    <cellStyle name="Normal 2 2 2 2 4 2 2 4 4 3" xfId="14491" xr:uid="{00000000-0005-0000-0000-000092380000}"/>
    <cellStyle name="Normal 2 2 2 2 4 2 2 4 4 4" xfId="14492" xr:uid="{00000000-0005-0000-0000-000093380000}"/>
    <cellStyle name="Normal 2 2 2 2 4 2 2 4 4 5" xfId="14493" xr:uid="{00000000-0005-0000-0000-000094380000}"/>
    <cellStyle name="Normal 2 2 2 2 4 2 2 4 4 6" xfId="14494" xr:uid="{00000000-0005-0000-0000-000095380000}"/>
    <cellStyle name="Normal 2 2 2 2 4 2 2 4 4 7" xfId="14495" xr:uid="{00000000-0005-0000-0000-000096380000}"/>
    <cellStyle name="Normal 2 2 2 2 4 2 2 4 4 8" xfId="14496" xr:uid="{00000000-0005-0000-0000-000097380000}"/>
    <cellStyle name="Normal 2 2 2 2 4 2 2 4 4 9" xfId="14497" xr:uid="{00000000-0005-0000-0000-000098380000}"/>
    <cellStyle name="Normal 2 2 2 2 4 2 2 4 5" xfId="14498" xr:uid="{00000000-0005-0000-0000-000099380000}"/>
    <cellStyle name="Normal 2 2 2 2 4 2 2 4 5 10" xfId="14499" xr:uid="{00000000-0005-0000-0000-00009A380000}"/>
    <cellStyle name="Normal 2 2 2 2 4 2 2 4 5 2" xfId="14500" xr:uid="{00000000-0005-0000-0000-00009B380000}"/>
    <cellStyle name="Normal 2 2 2 2 4 2 2 4 5 3" xfId="14501" xr:uid="{00000000-0005-0000-0000-00009C380000}"/>
    <cellStyle name="Normal 2 2 2 2 4 2 2 4 5 4" xfId="14502" xr:uid="{00000000-0005-0000-0000-00009D380000}"/>
    <cellStyle name="Normal 2 2 2 2 4 2 2 4 5 5" xfId="14503" xr:uid="{00000000-0005-0000-0000-00009E380000}"/>
    <cellStyle name="Normal 2 2 2 2 4 2 2 4 5 6" xfId="14504" xr:uid="{00000000-0005-0000-0000-00009F380000}"/>
    <cellStyle name="Normal 2 2 2 2 4 2 2 4 5 7" xfId="14505" xr:uid="{00000000-0005-0000-0000-0000A0380000}"/>
    <cellStyle name="Normal 2 2 2 2 4 2 2 4 5 8" xfId="14506" xr:uid="{00000000-0005-0000-0000-0000A1380000}"/>
    <cellStyle name="Normal 2 2 2 2 4 2 2 4 5 9" xfId="14507" xr:uid="{00000000-0005-0000-0000-0000A2380000}"/>
    <cellStyle name="Normal 2 2 2 2 4 2 2 4 6" xfId="14508" xr:uid="{00000000-0005-0000-0000-0000A3380000}"/>
    <cellStyle name="Normal 2 2 2 2 4 2 2 4 7" xfId="14509" xr:uid="{00000000-0005-0000-0000-0000A4380000}"/>
    <cellStyle name="Normal 2 2 2 2 4 2 2 4 8" xfId="14510" xr:uid="{00000000-0005-0000-0000-0000A5380000}"/>
    <cellStyle name="Normal 2 2 2 2 4 2 2 4 9" xfId="14511" xr:uid="{00000000-0005-0000-0000-0000A6380000}"/>
    <cellStyle name="Normal 2 2 2 2 4 2 2 5" xfId="14512" xr:uid="{00000000-0005-0000-0000-0000A7380000}"/>
    <cellStyle name="Normal 2 2 2 2 4 2 2 5 10" xfId="14513" xr:uid="{00000000-0005-0000-0000-0000A8380000}"/>
    <cellStyle name="Normal 2 2 2 2 4 2 2 5 11" xfId="14514" xr:uid="{00000000-0005-0000-0000-0000A9380000}"/>
    <cellStyle name="Normal 2 2 2 2 4 2 2 5 12" xfId="14515" xr:uid="{00000000-0005-0000-0000-0000AA380000}"/>
    <cellStyle name="Normal 2 2 2 2 4 2 2 5 13" xfId="14516" xr:uid="{00000000-0005-0000-0000-0000AB380000}"/>
    <cellStyle name="Normal 2 2 2 2 4 2 2 5 14" xfId="14517" xr:uid="{00000000-0005-0000-0000-0000AC380000}"/>
    <cellStyle name="Normal 2 2 2 2 4 2 2 5 2" xfId="14518" xr:uid="{00000000-0005-0000-0000-0000AD380000}"/>
    <cellStyle name="Normal 2 2 2 2 4 2 2 5 2 10" xfId="14519" xr:uid="{00000000-0005-0000-0000-0000AE380000}"/>
    <cellStyle name="Normal 2 2 2 2 4 2 2 5 2 2" xfId="14520" xr:uid="{00000000-0005-0000-0000-0000AF380000}"/>
    <cellStyle name="Normal 2 2 2 2 4 2 2 5 2 3" xfId="14521" xr:uid="{00000000-0005-0000-0000-0000B0380000}"/>
    <cellStyle name="Normal 2 2 2 2 4 2 2 5 2 4" xfId="14522" xr:uid="{00000000-0005-0000-0000-0000B1380000}"/>
    <cellStyle name="Normal 2 2 2 2 4 2 2 5 2 5" xfId="14523" xr:uid="{00000000-0005-0000-0000-0000B2380000}"/>
    <cellStyle name="Normal 2 2 2 2 4 2 2 5 2 6" xfId="14524" xr:uid="{00000000-0005-0000-0000-0000B3380000}"/>
    <cellStyle name="Normal 2 2 2 2 4 2 2 5 2 7" xfId="14525" xr:uid="{00000000-0005-0000-0000-0000B4380000}"/>
    <cellStyle name="Normal 2 2 2 2 4 2 2 5 2 8" xfId="14526" xr:uid="{00000000-0005-0000-0000-0000B5380000}"/>
    <cellStyle name="Normal 2 2 2 2 4 2 2 5 2 9" xfId="14527" xr:uid="{00000000-0005-0000-0000-0000B6380000}"/>
    <cellStyle name="Normal 2 2 2 2 4 2 2 5 3" xfId="14528" xr:uid="{00000000-0005-0000-0000-0000B7380000}"/>
    <cellStyle name="Normal 2 2 2 2 4 2 2 5 3 10" xfId="14529" xr:uid="{00000000-0005-0000-0000-0000B8380000}"/>
    <cellStyle name="Normal 2 2 2 2 4 2 2 5 3 2" xfId="14530" xr:uid="{00000000-0005-0000-0000-0000B9380000}"/>
    <cellStyle name="Normal 2 2 2 2 4 2 2 5 3 3" xfId="14531" xr:uid="{00000000-0005-0000-0000-0000BA380000}"/>
    <cellStyle name="Normal 2 2 2 2 4 2 2 5 3 4" xfId="14532" xr:uid="{00000000-0005-0000-0000-0000BB380000}"/>
    <cellStyle name="Normal 2 2 2 2 4 2 2 5 3 5" xfId="14533" xr:uid="{00000000-0005-0000-0000-0000BC380000}"/>
    <cellStyle name="Normal 2 2 2 2 4 2 2 5 3 6" xfId="14534" xr:uid="{00000000-0005-0000-0000-0000BD380000}"/>
    <cellStyle name="Normal 2 2 2 2 4 2 2 5 3 7" xfId="14535" xr:uid="{00000000-0005-0000-0000-0000BE380000}"/>
    <cellStyle name="Normal 2 2 2 2 4 2 2 5 3 8" xfId="14536" xr:uid="{00000000-0005-0000-0000-0000BF380000}"/>
    <cellStyle name="Normal 2 2 2 2 4 2 2 5 3 9" xfId="14537" xr:uid="{00000000-0005-0000-0000-0000C0380000}"/>
    <cellStyle name="Normal 2 2 2 2 4 2 2 5 4" xfId="14538" xr:uid="{00000000-0005-0000-0000-0000C1380000}"/>
    <cellStyle name="Normal 2 2 2 2 4 2 2 5 4 10" xfId="14539" xr:uid="{00000000-0005-0000-0000-0000C2380000}"/>
    <cellStyle name="Normal 2 2 2 2 4 2 2 5 4 2" xfId="14540" xr:uid="{00000000-0005-0000-0000-0000C3380000}"/>
    <cellStyle name="Normal 2 2 2 2 4 2 2 5 4 3" xfId="14541" xr:uid="{00000000-0005-0000-0000-0000C4380000}"/>
    <cellStyle name="Normal 2 2 2 2 4 2 2 5 4 4" xfId="14542" xr:uid="{00000000-0005-0000-0000-0000C5380000}"/>
    <cellStyle name="Normal 2 2 2 2 4 2 2 5 4 5" xfId="14543" xr:uid="{00000000-0005-0000-0000-0000C6380000}"/>
    <cellStyle name="Normal 2 2 2 2 4 2 2 5 4 6" xfId="14544" xr:uid="{00000000-0005-0000-0000-0000C7380000}"/>
    <cellStyle name="Normal 2 2 2 2 4 2 2 5 4 7" xfId="14545" xr:uid="{00000000-0005-0000-0000-0000C8380000}"/>
    <cellStyle name="Normal 2 2 2 2 4 2 2 5 4 8" xfId="14546" xr:uid="{00000000-0005-0000-0000-0000C9380000}"/>
    <cellStyle name="Normal 2 2 2 2 4 2 2 5 4 9" xfId="14547" xr:uid="{00000000-0005-0000-0000-0000CA380000}"/>
    <cellStyle name="Normal 2 2 2 2 4 2 2 5 5" xfId="14548" xr:uid="{00000000-0005-0000-0000-0000CB380000}"/>
    <cellStyle name="Normal 2 2 2 2 4 2 2 5 5 10" xfId="14549" xr:uid="{00000000-0005-0000-0000-0000CC380000}"/>
    <cellStyle name="Normal 2 2 2 2 4 2 2 5 5 2" xfId="14550" xr:uid="{00000000-0005-0000-0000-0000CD380000}"/>
    <cellStyle name="Normal 2 2 2 2 4 2 2 5 5 3" xfId="14551" xr:uid="{00000000-0005-0000-0000-0000CE380000}"/>
    <cellStyle name="Normal 2 2 2 2 4 2 2 5 5 4" xfId="14552" xr:uid="{00000000-0005-0000-0000-0000CF380000}"/>
    <cellStyle name="Normal 2 2 2 2 4 2 2 5 5 5" xfId="14553" xr:uid="{00000000-0005-0000-0000-0000D0380000}"/>
    <cellStyle name="Normal 2 2 2 2 4 2 2 5 5 6" xfId="14554" xr:uid="{00000000-0005-0000-0000-0000D1380000}"/>
    <cellStyle name="Normal 2 2 2 2 4 2 2 5 5 7" xfId="14555" xr:uid="{00000000-0005-0000-0000-0000D2380000}"/>
    <cellStyle name="Normal 2 2 2 2 4 2 2 5 5 8" xfId="14556" xr:uid="{00000000-0005-0000-0000-0000D3380000}"/>
    <cellStyle name="Normal 2 2 2 2 4 2 2 5 5 9" xfId="14557" xr:uid="{00000000-0005-0000-0000-0000D4380000}"/>
    <cellStyle name="Normal 2 2 2 2 4 2 2 5 6" xfId="14558" xr:uid="{00000000-0005-0000-0000-0000D5380000}"/>
    <cellStyle name="Normal 2 2 2 2 4 2 2 5 7" xfId="14559" xr:uid="{00000000-0005-0000-0000-0000D6380000}"/>
    <cellStyle name="Normal 2 2 2 2 4 2 2 5 8" xfId="14560" xr:uid="{00000000-0005-0000-0000-0000D7380000}"/>
    <cellStyle name="Normal 2 2 2 2 4 2 2 5 9" xfId="14561" xr:uid="{00000000-0005-0000-0000-0000D8380000}"/>
    <cellStyle name="Normal 2 2 2 2 4 2 2 6" xfId="14562" xr:uid="{00000000-0005-0000-0000-0000D9380000}"/>
    <cellStyle name="Normal 2 2 2 2 4 2 2 6 10" xfId="14563" xr:uid="{00000000-0005-0000-0000-0000DA380000}"/>
    <cellStyle name="Normal 2 2 2 2 4 2 2 6 11" xfId="14564" xr:uid="{00000000-0005-0000-0000-0000DB380000}"/>
    <cellStyle name="Normal 2 2 2 2 4 2 2 6 12" xfId="14565" xr:uid="{00000000-0005-0000-0000-0000DC380000}"/>
    <cellStyle name="Normal 2 2 2 2 4 2 2 6 13" xfId="14566" xr:uid="{00000000-0005-0000-0000-0000DD380000}"/>
    <cellStyle name="Normal 2 2 2 2 4 2 2 6 14" xfId="14567" xr:uid="{00000000-0005-0000-0000-0000DE380000}"/>
    <cellStyle name="Normal 2 2 2 2 4 2 2 6 2" xfId="14568" xr:uid="{00000000-0005-0000-0000-0000DF380000}"/>
    <cellStyle name="Normal 2 2 2 2 4 2 2 6 2 10" xfId="14569" xr:uid="{00000000-0005-0000-0000-0000E0380000}"/>
    <cellStyle name="Normal 2 2 2 2 4 2 2 6 2 2" xfId="14570" xr:uid="{00000000-0005-0000-0000-0000E1380000}"/>
    <cellStyle name="Normal 2 2 2 2 4 2 2 6 2 3" xfId="14571" xr:uid="{00000000-0005-0000-0000-0000E2380000}"/>
    <cellStyle name="Normal 2 2 2 2 4 2 2 6 2 4" xfId="14572" xr:uid="{00000000-0005-0000-0000-0000E3380000}"/>
    <cellStyle name="Normal 2 2 2 2 4 2 2 6 2 5" xfId="14573" xr:uid="{00000000-0005-0000-0000-0000E4380000}"/>
    <cellStyle name="Normal 2 2 2 2 4 2 2 6 2 6" xfId="14574" xr:uid="{00000000-0005-0000-0000-0000E5380000}"/>
    <cellStyle name="Normal 2 2 2 2 4 2 2 6 2 7" xfId="14575" xr:uid="{00000000-0005-0000-0000-0000E6380000}"/>
    <cellStyle name="Normal 2 2 2 2 4 2 2 6 2 8" xfId="14576" xr:uid="{00000000-0005-0000-0000-0000E7380000}"/>
    <cellStyle name="Normal 2 2 2 2 4 2 2 6 2 9" xfId="14577" xr:uid="{00000000-0005-0000-0000-0000E8380000}"/>
    <cellStyle name="Normal 2 2 2 2 4 2 2 6 3" xfId="14578" xr:uid="{00000000-0005-0000-0000-0000E9380000}"/>
    <cellStyle name="Normal 2 2 2 2 4 2 2 6 3 10" xfId="14579" xr:uid="{00000000-0005-0000-0000-0000EA380000}"/>
    <cellStyle name="Normal 2 2 2 2 4 2 2 6 3 2" xfId="14580" xr:uid="{00000000-0005-0000-0000-0000EB380000}"/>
    <cellStyle name="Normal 2 2 2 2 4 2 2 6 3 3" xfId="14581" xr:uid="{00000000-0005-0000-0000-0000EC380000}"/>
    <cellStyle name="Normal 2 2 2 2 4 2 2 6 3 4" xfId="14582" xr:uid="{00000000-0005-0000-0000-0000ED380000}"/>
    <cellStyle name="Normal 2 2 2 2 4 2 2 6 3 5" xfId="14583" xr:uid="{00000000-0005-0000-0000-0000EE380000}"/>
    <cellStyle name="Normal 2 2 2 2 4 2 2 6 3 6" xfId="14584" xr:uid="{00000000-0005-0000-0000-0000EF380000}"/>
    <cellStyle name="Normal 2 2 2 2 4 2 2 6 3 7" xfId="14585" xr:uid="{00000000-0005-0000-0000-0000F0380000}"/>
    <cellStyle name="Normal 2 2 2 2 4 2 2 6 3 8" xfId="14586" xr:uid="{00000000-0005-0000-0000-0000F1380000}"/>
    <cellStyle name="Normal 2 2 2 2 4 2 2 6 3 9" xfId="14587" xr:uid="{00000000-0005-0000-0000-0000F2380000}"/>
    <cellStyle name="Normal 2 2 2 2 4 2 2 6 4" xfId="14588" xr:uid="{00000000-0005-0000-0000-0000F3380000}"/>
    <cellStyle name="Normal 2 2 2 2 4 2 2 6 4 10" xfId="14589" xr:uid="{00000000-0005-0000-0000-0000F4380000}"/>
    <cellStyle name="Normal 2 2 2 2 4 2 2 6 4 2" xfId="14590" xr:uid="{00000000-0005-0000-0000-0000F5380000}"/>
    <cellStyle name="Normal 2 2 2 2 4 2 2 6 4 3" xfId="14591" xr:uid="{00000000-0005-0000-0000-0000F6380000}"/>
    <cellStyle name="Normal 2 2 2 2 4 2 2 6 4 4" xfId="14592" xr:uid="{00000000-0005-0000-0000-0000F7380000}"/>
    <cellStyle name="Normal 2 2 2 2 4 2 2 6 4 5" xfId="14593" xr:uid="{00000000-0005-0000-0000-0000F8380000}"/>
    <cellStyle name="Normal 2 2 2 2 4 2 2 6 4 6" xfId="14594" xr:uid="{00000000-0005-0000-0000-0000F9380000}"/>
    <cellStyle name="Normal 2 2 2 2 4 2 2 6 4 7" xfId="14595" xr:uid="{00000000-0005-0000-0000-0000FA380000}"/>
    <cellStyle name="Normal 2 2 2 2 4 2 2 6 4 8" xfId="14596" xr:uid="{00000000-0005-0000-0000-0000FB380000}"/>
    <cellStyle name="Normal 2 2 2 2 4 2 2 6 4 9" xfId="14597" xr:uid="{00000000-0005-0000-0000-0000FC380000}"/>
    <cellStyle name="Normal 2 2 2 2 4 2 2 6 5" xfId="14598" xr:uid="{00000000-0005-0000-0000-0000FD380000}"/>
    <cellStyle name="Normal 2 2 2 2 4 2 2 6 5 10" xfId="14599" xr:uid="{00000000-0005-0000-0000-0000FE380000}"/>
    <cellStyle name="Normal 2 2 2 2 4 2 2 6 5 2" xfId="14600" xr:uid="{00000000-0005-0000-0000-0000FF380000}"/>
    <cellStyle name="Normal 2 2 2 2 4 2 2 6 5 3" xfId="14601" xr:uid="{00000000-0005-0000-0000-000000390000}"/>
    <cellStyle name="Normal 2 2 2 2 4 2 2 6 5 4" xfId="14602" xr:uid="{00000000-0005-0000-0000-000001390000}"/>
    <cellStyle name="Normal 2 2 2 2 4 2 2 6 5 5" xfId="14603" xr:uid="{00000000-0005-0000-0000-000002390000}"/>
    <cellStyle name="Normal 2 2 2 2 4 2 2 6 5 6" xfId="14604" xr:uid="{00000000-0005-0000-0000-000003390000}"/>
    <cellStyle name="Normal 2 2 2 2 4 2 2 6 5 7" xfId="14605" xr:uid="{00000000-0005-0000-0000-000004390000}"/>
    <cellStyle name="Normal 2 2 2 2 4 2 2 6 5 8" xfId="14606" xr:uid="{00000000-0005-0000-0000-000005390000}"/>
    <cellStyle name="Normal 2 2 2 2 4 2 2 6 5 9" xfId="14607" xr:uid="{00000000-0005-0000-0000-000006390000}"/>
    <cellStyle name="Normal 2 2 2 2 4 2 2 6 6" xfId="14608" xr:uid="{00000000-0005-0000-0000-000007390000}"/>
    <cellStyle name="Normal 2 2 2 2 4 2 2 6 7" xfId="14609" xr:uid="{00000000-0005-0000-0000-000008390000}"/>
    <cellStyle name="Normal 2 2 2 2 4 2 2 6 8" xfId="14610" xr:uid="{00000000-0005-0000-0000-000009390000}"/>
    <cellStyle name="Normal 2 2 2 2 4 2 2 6 9" xfId="14611" xr:uid="{00000000-0005-0000-0000-00000A390000}"/>
    <cellStyle name="Normal 2 2 2 2 4 2 2 7" xfId="14612" xr:uid="{00000000-0005-0000-0000-00000B390000}"/>
    <cellStyle name="Normal 2 2 2 2 4 2 2 7 10" xfId="14613" xr:uid="{00000000-0005-0000-0000-00000C390000}"/>
    <cellStyle name="Normal 2 2 2 2 4 2 2 7 11" xfId="14614" xr:uid="{00000000-0005-0000-0000-00000D390000}"/>
    <cellStyle name="Normal 2 2 2 2 4 2 2 7 12" xfId="14615" xr:uid="{00000000-0005-0000-0000-00000E390000}"/>
    <cellStyle name="Normal 2 2 2 2 4 2 2 7 13" xfId="14616" xr:uid="{00000000-0005-0000-0000-00000F390000}"/>
    <cellStyle name="Normal 2 2 2 2 4 2 2 7 14" xfId="14617" xr:uid="{00000000-0005-0000-0000-000010390000}"/>
    <cellStyle name="Normal 2 2 2 2 4 2 2 7 2" xfId="14618" xr:uid="{00000000-0005-0000-0000-000011390000}"/>
    <cellStyle name="Normal 2 2 2 2 4 2 2 7 2 10" xfId="14619" xr:uid="{00000000-0005-0000-0000-000012390000}"/>
    <cellStyle name="Normal 2 2 2 2 4 2 2 7 2 2" xfId="14620" xr:uid="{00000000-0005-0000-0000-000013390000}"/>
    <cellStyle name="Normal 2 2 2 2 4 2 2 7 2 3" xfId="14621" xr:uid="{00000000-0005-0000-0000-000014390000}"/>
    <cellStyle name="Normal 2 2 2 2 4 2 2 7 2 4" xfId="14622" xr:uid="{00000000-0005-0000-0000-000015390000}"/>
    <cellStyle name="Normal 2 2 2 2 4 2 2 7 2 5" xfId="14623" xr:uid="{00000000-0005-0000-0000-000016390000}"/>
    <cellStyle name="Normal 2 2 2 2 4 2 2 7 2 6" xfId="14624" xr:uid="{00000000-0005-0000-0000-000017390000}"/>
    <cellStyle name="Normal 2 2 2 2 4 2 2 7 2 7" xfId="14625" xr:uid="{00000000-0005-0000-0000-000018390000}"/>
    <cellStyle name="Normal 2 2 2 2 4 2 2 7 2 8" xfId="14626" xr:uid="{00000000-0005-0000-0000-000019390000}"/>
    <cellStyle name="Normal 2 2 2 2 4 2 2 7 2 9" xfId="14627" xr:uid="{00000000-0005-0000-0000-00001A390000}"/>
    <cellStyle name="Normal 2 2 2 2 4 2 2 7 3" xfId="14628" xr:uid="{00000000-0005-0000-0000-00001B390000}"/>
    <cellStyle name="Normal 2 2 2 2 4 2 2 7 3 10" xfId="14629" xr:uid="{00000000-0005-0000-0000-00001C390000}"/>
    <cellStyle name="Normal 2 2 2 2 4 2 2 7 3 2" xfId="14630" xr:uid="{00000000-0005-0000-0000-00001D390000}"/>
    <cellStyle name="Normal 2 2 2 2 4 2 2 7 3 3" xfId="14631" xr:uid="{00000000-0005-0000-0000-00001E390000}"/>
    <cellStyle name="Normal 2 2 2 2 4 2 2 7 3 4" xfId="14632" xr:uid="{00000000-0005-0000-0000-00001F390000}"/>
    <cellStyle name="Normal 2 2 2 2 4 2 2 7 3 5" xfId="14633" xr:uid="{00000000-0005-0000-0000-000020390000}"/>
    <cellStyle name="Normal 2 2 2 2 4 2 2 7 3 6" xfId="14634" xr:uid="{00000000-0005-0000-0000-000021390000}"/>
    <cellStyle name="Normal 2 2 2 2 4 2 2 7 3 7" xfId="14635" xr:uid="{00000000-0005-0000-0000-000022390000}"/>
    <cellStyle name="Normal 2 2 2 2 4 2 2 7 3 8" xfId="14636" xr:uid="{00000000-0005-0000-0000-000023390000}"/>
    <cellStyle name="Normal 2 2 2 2 4 2 2 7 3 9" xfId="14637" xr:uid="{00000000-0005-0000-0000-000024390000}"/>
    <cellStyle name="Normal 2 2 2 2 4 2 2 7 4" xfId="14638" xr:uid="{00000000-0005-0000-0000-000025390000}"/>
    <cellStyle name="Normal 2 2 2 2 4 2 2 7 4 10" xfId="14639" xr:uid="{00000000-0005-0000-0000-000026390000}"/>
    <cellStyle name="Normal 2 2 2 2 4 2 2 7 4 2" xfId="14640" xr:uid="{00000000-0005-0000-0000-000027390000}"/>
    <cellStyle name="Normal 2 2 2 2 4 2 2 7 4 3" xfId="14641" xr:uid="{00000000-0005-0000-0000-000028390000}"/>
    <cellStyle name="Normal 2 2 2 2 4 2 2 7 4 4" xfId="14642" xr:uid="{00000000-0005-0000-0000-000029390000}"/>
    <cellStyle name="Normal 2 2 2 2 4 2 2 7 4 5" xfId="14643" xr:uid="{00000000-0005-0000-0000-00002A390000}"/>
    <cellStyle name="Normal 2 2 2 2 4 2 2 7 4 6" xfId="14644" xr:uid="{00000000-0005-0000-0000-00002B390000}"/>
    <cellStyle name="Normal 2 2 2 2 4 2 2 7 4 7" xfId="14645" xr:uid="{00000000-0005-0000-0000-00002C390000}"/>
    <cellStyle name="Normal 2 2 2 2 4 2 2 7 4 8" xfId="14646" xr:uid="{00000000-0005-0000-0000-00002D390000}"/>
    <cellStyle name="Normal 2 2 2 2 4 2 2 7 4 9" xfId="14647" xr:uid="{00000000-0005-0000-0000-00002E390000}"/>
    <cellStyle name="Normal 2 2 2 2 4 2 2 7 5" xfId="14648" xr:uid="{00000000-0005-0000-0000-00002F390000}"/>
    <cellStyle name="Normal 2 2 2 2 4 2 2 7 5 10" xfId="14649" xr:uid="{00000000-0005-0000-0000-000030390000}"/>
    <cellStyle name="Normal 2 2 2 2 4 2 2 7 5 2" xfId="14650" xr:uid="{00000000-0005-0000-0000-000031390000}"/>
    <cellStyle name="Normal 2 2 2 2 4 2 2 7 5 3" xfId="14651" xr:uid="{00000000-0005-0000-0000-000032390000}"/>
    <cellStyle name="Normal 2 2 2 2 4 2 2 7 5 4" xfId="14652" xr:uid="{00000000-0005-0000-0000-000033390000}"/>
    <cellStyle name="Normal 2 2 2 2 4 2 2 7 5 5" xfId="14653" xr:uid="{00000000-0005-0000-0000-000034390000}"/>
    <cellStyle name="Normal 2 2 2 2 4 2 2 7 5 6" xfId="14654" xr:uid="{00000000-0005-0000-0000-000035390000}"/>
    <cellStyle name="Normal 2 2 2 2 4 2 2 7 5 7" xfId="14655" xr:uid="{00000000-0005-0000-0000-000036390000}"/>
    <cellStyle name="Normal 2 2 2 2 4 2 2 7 5 8" xfId="14656" xr:uid="{00000000-0005-0000-0000-000037390000}"/>
    <cellStyle name="Normal 2 2 2 2 4 2 2 7 5 9" xfId="14657" xr:uid="{00000000-0005-0000-0000-000038390000}"/>
    <cellStyle name="Normal 2 2 2 2 4 2 2 7 6" xfId="14658" xr:uid="{00000000-0005-0000-0000-000039390000}"/>
    <cellStyle name="Normal 2 2 2 2 4 2 2 7 7" xfId="14659" xr:uid="{00000000-0005-0000-0000-00003A390000}"/>
    <cellStyle name="Normal 2 2 2 2 4 2 2 7 8" xfId="14660" xr:uid="{00000000-0005-0000-0000-00003B390000}"/>
    <cellStyle name="Normal 2 2 2 2 4 2 2 7 9" xfId="14661" xr:uid="{00000000-0005-0000-0000-00003C390000}"/>
    <cellStyle name="Normal 2 2 2 2 4 2 2 8" xfId="14662" xr:uid="{00000000-0005-0000-0000-00003D390000}"/>
    <cellStyle name="Normal 2 2 2 2 4 2 2 8 10" xfId="14663" xr:uid="{00000000-0005-0000-0000-00003E390000}"/>
    <cellStyle name="Normal 2 2 2 2 4 2 2 8 11" xfId="14664" xr:uid="{00000000-0005-0000-0000-00003F390000}"/>
    <cellStyle name="Normal 2 2 2 2 4 2 2 8 12" xfId="14665" xr:uid="{00000000-0005-0000-0000-000040390000}"/>
    <cellStyle name="Normal 2 2 2 2 4 2 2 8 13" xfId="14666" xr:uid="{00000000-0005-0000-0000-000041390000}"/>
    <cellStyle name="Normal 2 2 2 2 4 2 2 8 14" xfId="14667" xr:uid="{00000000-0005-0000-0000-000042390000}"/>
    <cellStyle name="Normal 2 2 2 2 4 2 2 8 2" xfId="14668" xr:uid="{00000000-0005-0000-0000-000043390000}"/>
    <cellStyle name="Normal 2 2 2 2 4 2 2 8 2 10" xfId="14669" xr:uid="{00000000-0005-0000-0000-000044390000}"/>
    <cellStyle name="Normal 2 2 2 2 4 2 2 8 2 2" xfId="14670" xr:uid="{00000000-0005-0000-0000-000045390000}"/>
    <cellStyle name="Normal 2 2 2 2 4 2 2 8 2 3" xfId="14671" xr:uid="{00000000-0005-0000-0000-000046390000}"/>
    <cellStyle name="Normal 2 2 2 2 4 2 2 8 2 4" xfId="14672" xr:uid="{00000000-0005-0000-0000-000047390000}"/>
    <cellStyle name="Normal 2 2 2 2 4 2 2 8 2 5" xfId="14673" xr:uid="{00000000-0005-0000-0000-000048390000}"/>
    <cellStyle name="Normal 2 2 2 2 4 2 2 8 2 6" xfId="14674" xr:uid="{00000000-0005-0000-0000-000049390000}"/>
    <cellStyle name="Normal 2 2 2 2 4 2 2 8 2 7" xfId="14675" xr:uid="{00000000-0005-0000-0000-00004A390000}"/>
    <cellStyle name="Normal 2 2 2 2 4 2 2 8 2 8" xfId="14676" xr:uid="{00000000-0005-0000-0000-00004B390000}"/>
    <cellStyle name="Normal 2 2 2 2 4 2 2 8 2 9" xfId="14677" xr:uid="{00000000-0005-0000-0000-00004C390000}"/>
    <cellStyle name="Normal 2 2 2 2 4 2 2 8 3" xfId="14678" xr:uid="{00000000-0005-0000-0000-00004D390000}"/>
    <cellStyle name="Normal 2 2 2 2 4 2 2 8 3 10" xfId="14679" xr:uid="{00000000-0005-0000-0000-00004E390000}"/>
    <cellStyle name="Normal 2 2 2 2 4 2 2 8 3 2" xfId="14680" xr:uid="{00000000-0005-0000-0000-00004F390000}"/>
    <cellStyle name="Normal 2 2 2 2 4 2 2 8 3 3" xfId="14681" xr:uid="{00000000-0005-0000-0000-000050390000}"/>
    <cellStyle name="Normal 2 2 2 2 4 2 2 8 3 4" xfId="14682" xr:uid="{00000000-0005-0000-0000-000051390000}"/>
    <cellStyle name="Normal 2 2 2 2 4 2 2 8 3 5" xfId="14683" xr:uid="{00000000-0005-0000-0000-000052390000}"/>
    <cellStyle name="Normal 2 2 2 2 4 2 2 8 3 6" xfId="14684" xr:uid="{00000000-0005-0000-0000-000053390000}"/>
    <cellStyle name="Normal 2 2 2 2 4 2 2 8 3 7" xfId="14685" xr:uid="{00000000-0005-0000-0000-000054390000}"/>
    <cellStyle name="Normal 2 2 2 2 4 2 2 8 3 8" xfId="14686" xr:uid="{00000000-0005-0000-0000-000055390000}"/>
    <cellStyle name="Normal 2 2 2 2 4 2 2 8 3 9" xfId="14687" xr:uid="{00000000-0005-0000-0000-000056390000}"/>
    <cellStyle name="Normal 2 2 2 2 4 2 2 8 4" xfId="14688" xr:uid="{00000000-0005-0000-0000-000057390000}"/>
    <cellStyle name="Normal 2 2 2 2 4 2 2 8 4 10" xfId="14689" xr:uid="{00000000-0005-0000-0000-000058390000}"/>
    <cellStyle name="Normal 2 2 2 2 4 2 2 8 4 2" xfId="14690" xr:uid="{00000000-0005-0000-0000-000059390000}"/>
    <cellStyle name="Normal 2 2 2 2 4 2 2 8 4 3" xfId="14691" xr:uid="{00000000-0005-0000-0000-00005A390000}"/>
    <cellStyle name="Normal 2 2 2 2 4 2 2 8 4 4" xfId="14692" xr:uid="{00000000-0005-0000-0000-00005B390000}"/>
    <cellStyle name="Normal 2 2 2 2 4 2 2 8 4 5" xfId="14693" xr:uid="{00000000-0005-0000-0000-00005C390000}"/>
    <cellStyle name="Normal 2 2 2 2 4 2 2 8 4 6" xfId="14694" xr:uid="{00000000-0005-0000-0000-00005D390000}"/>
    <cellStyle name="Normal 2 2 2 2 4 2 2 8 4 7" xfId="14695" xr:uid="{00000000-0005-0000-0000-00005E390000}"/>
    <cellStyle name="Normal 2 2 2 2 4 2 2 8 4 8" xfId="14696" xr:uid="{00000000-0005-0000-0000-00005F390000}"/>
    <cellStyle name="Normal 2 2 2 2 4 2 2 8 4 9" xfId="14697" xr:uid="{00000000-0005-0000-0000-000060390000}"/>
    <cellStyle name="Normal 2 2 2 2 4 2 2 8 5" xfId="14698" xr:uid="{00000000-0005-0000-0000-000061390000}"/>
    <cellStyle name="Normal 2 2 2 2 4 2 2 8 5 10" xfId="14699" xr:uid="{00000000-0005-0000-0000-000062390000}"/>
    <cellStyle name="Normal 2 2 2 2 4 2 2 8 5 2" xfId="14700" xr:uid="{00000000-0005-0000-0000-000063390000}"/>
    <cellStyle name="Normal 2 2 2 2 4 2 2 8 5 3" xfId="14701" xr:uid="{00000000-0005-0000-0000-000064390000}"/>
    <cellStyle name="Normal 2 2 2 2 4 2 2 8 5 4" xfId="14702" xr:uid="{00000000-0005-0000-0000-000065390000}"/>
    <cellStyle name="Normal 2 2 2 2 4 2 2 8 5 5" xfId="14703" xr:uid="{00000000-0005-0000-0000-000066390000}"/>
    <cellStyle name="Normal 2 2 2 2 4 2 2 8 5 6" xfId="14704" xr:uid="{00000000-0005-0000-0000-000067390000}"/>
    <cellStyle name="Normal 2 2 2 2 4 2 2 8 5 7" xfId="14705" xr:uid="{00000000-0005-0000-0000-000068390000}"/>
    <cellStyle name="Normal 2 2 2 2 4 2 2 8 5 8" xfId="14706" xr:uid="{00000000-0005-0000-0000-000069390000}"/>
    <cellStyle name="Normal 2 2 2 2 4 2 2 8 5 9" xfId="14707" xr:uid="{00000000-0005-0000-0000-00006A390000}"/>
    <cellStyle name="Normal 2 2 2 2 4 2 2 8 6" xfId="14708" xr:uid="{00000000-0005-0000-0000-00006B390000}"/>
    <cellStyle name="Normal 2 2 2 2 4 2 2 8 7" xfId="14709" xr:uid="{00000000-0005-0000-0000-00006C390000}"/>
    <cellStyle name="Normal 2 2 2 2 4 2 2 8 8" xfId="14710" xr:uid="{00000000-0005-0000-0000-00006D390000}"/>
    <cellStyle name="Normal 2 2 2 2 4 2 2 8 9" xfId="14711" xr:uid="{00000000-0005-0000-0000-00006E390000}"/>
    <cellStyle name="Normal 2 2 2 2 4 2 2 9" xfId="14712" xr:uid="{00000000-0005-0000-0000-00006F390000}"/>
    <cellStyle name="Normal 2 2 2 2 4 2 2 9 10" xfId="14713" xr:uid="{00000000-0005-0000-0000-000070390000}"/>
    <cellStyle name="Normal 2 2 2 2 4 2 2 9 11" xfId="14714" xr:uid="{00000000-0005-0000-0000-000071390000}"/>
    <cellStyle name="Normal 2 2 2 2 4 2 2 9 12" xfId="14715" xr:uid="{00000000-0005-0000-0000-000072390000}"/>
    <cellStyle name="Normal 2 2 2 2 4 2 2 9 13" xfId="14716" xr:uid="{00000000-0005-0000-0000-000073390000}"/>
    <cellStyle name="Normal 2 2 2 2 4 2 2 9 14" xfId="14717" xr:uid="{00000000-0005-0000-0000-000074390000}"/>
    <cellStyle name="Normal 2 2 2 2 4 2 2 9 2" xfId="14718" xr:uid="{00000000-0005-0000-0000-000075390000}"/>
    <cellStyle name="Normal 2 2 2 2 4 2 2 9 2 10" xfId="14719" xr:uid="{00000000-0005-0000-0000-000076390000}"/>
    <cellStyle name="Normal 2 2 2 2 4 2 2 9 2 2" xfId="14720" xr:uid="{00000000-0005-0000-0000-000077390000}"/>
    <cellStyle name="Normal 2 2 2 2 4 2 2 9 2 3" xfId="14721" xr:uid="{00000000-0005-0000-0000-000078390000}"/>
    <cellStyle name="Normal 2 2 2 2 4 2 2 9 2 4" xfId="14722" xr:uid="{00000000-0005-0000-0000-000079390000}"/>
    <cellStyle name="Normal 2 2 2 2 4 2 2 9 2 5" xfId="14723" xr:uid="{00000000-0005-0000-0000-00007A390000}"/>
    <cellStyle name="Normal 2 2 2 2 4 2 2 9 2 6" xfId="14724" xr:uid="{00000000-0005-0000-0000-00007B390000}"/>
    <cellStyle name="Normal 2 2 2 2 4 2 2 9 2 7" xfId="14725" xr:uid="{00000000-0005-0000-0000-00007C390000}"/>
    <cellStyle name="Normal 2 2 2 2 4 2 2 9 2 8" xfId="14726" xr:uid="{00000000-0005-0000-0000-00007D390000}"/>
    <cellStyle name="Normal 2 2 2 2 4 2 2 9 2 9" xfId="14727" xr:uid="{00000000-0005-0000-0000-00007E390000}"/>
    <cellStyle name="Normal 2 2 2 2 4 2 2 9 3" xfId="14728" xr:uid="{00000000-0005-0000-0000-00007F390000}"/>
    <cellStyle name="Normal 2 2 2 2 4 2 2 9 3 10" xfId="14729" xr:uid="{00000000-0005-0000-0000-000080390000}"/>
    <cellStyle name="Normal 2 2 2 2 4 2 2 9 3 2" xfId="14730" xr:uid="{00000000-0005-0000-0000-000081390000}"/>
    <cellStyle name="Normal 2 2 2 2 4 2 2 9 3 3" xfId="14731" xr:uid="{00000000-0005-0000-0000-000082390000}"/>
    <cellStyle name="Normal 2 2 2 2 4 2 2 9 3 4" xfId="14732" xr:uid="{00000000-0005-0000-0000-000083390000}"/>
    <cellStyle name="Normal 2 2 2 2 4 2 2 9 3 5" xfId="14733" xr:uid="{00000000-0005-0000-0000-000084390000}"/>
    <cellStyle name="Normal 2 2 2 2 4 2 2 9 3 6" xfId="14734" xr:uid="{00000000-0005-0000-0000-000085390000}"/>
    <cellStyle name="Normal 2 2 2 2 4 2 2 9 3 7" xfId="14735" xr:uid="{00000000-0005-0000-0000-000086390000}"/>
    <cellStyle name="Normal 2 2 2 2 4 2 2 9 3 8" xfId="14736" xr:uid="{00000000-0005-0000-0000-000087390000}"/>
    <cellStyle name="Normal 2 2 2 2 4 2 2 9 3 9" xfId="14737" xr:uid="{00000000-0005-0000-0000-000088390000}"/>
    <cellStyle name="Normal 2 2 2 2 4 2 2 9 4" xfId="14738" xr:uid="{00000000-0005-0000-0000-000089390000}"/>
    <cellStyle name="Normal 2 2 2 2 4 2 2 9 4 10" xfId="14739" xr:uid="{00000000-0005-0000-0000-00008A390000}"/>
    <cellStyle name="Normal 2 2 2 2 4 2 2 9 4 2" xfId="14740" xr:uid="{00000000-0005-0000-0000-00008B390000}"/>
    <cellStyle name="Normal 2 2 2 2 4 2 2 9 4 3" xfId="14741" xr:uid="{00000000-0005-0000-0000-00008C390000}"/>
    <cellStyle name="Normal 2 2 2 2 4 2 2 9 4 4" xfId="14742" xr:uid="{00000000-0005-0000-0000-00008D390000}"/>
    <cellStyle name="Normal 2 2 2 2 4 2 2 9 4 5" xfId="14743" xr:uid="{00000000-0005-0000-0000-00008E390000}"/>
    <cellStyle name="Normal 2 2 2 2 4 2 2 9 4 6" xfId="14744" xr:uid="{00000000-0005-0000-0000-00008F390000}"/>
    <cellStyle name="Normal 2 2 2 2 4 2 2 9 4 7" xfId="14745" xr:uid="{00000000-0005-0000-0000-000090390000}"/>
    <cellStyle name="Normal 2 2 2 2 4 2 2 9 4 8" xfId="14746" xr:uid="{00000000-0005-0000-0000-000091390000}"/>
    <cellStyle name="Normal 2 2 2 2 4 2 2 9 4 9" xfId="14747" xr:uid="{00000000-0005-0000-0000-000092390000}"/>
    <cellStyle name="Normal 2 2 2 2 4 2 2 9 5" xfId="14748" xr:uid="{00000000-0005-0000-0000-000093390000}"/>
    <cellStyle name="Normal 2 2 2 2 4 2 2 9 5 10" xfId="14749" xr:uid="{00000000-0005-0000-0000-000094390000}"/>
    <cellStyle name="Normal 2 2 2 2 4 2 2 9 5 2" xfId="14750" xr:uid="{00000000-0005-0000-0000-000095390000}"/>
    <cellStyle name="Normal 2 2 2 2 4 2 2 9 5 3" xfId="14751" xr:uid="{00000000-0005-0000-0000-000096390000}"/>
    <cellStyle name="Normal 2 2 2 2 4 2 2 9 5 4" xfId="14752" xr:uid="{00000000-0005-0000-0000-000097390000}"/>
    <cellStyle name="Normal 2 2 2 2 4 2 2 9 5 5" xfId="14753" xr:uid="{00000000-0005-0000-0000-000098390000}"/>
    <cellStyle name="Normal 2 2 2 2 4 2 2 9 5 6" xfId="14754" xr:uid="{00000000-0005-0000-0000-000099390000}"/>
    <cellStyle name="Normal 2 2 2 2 4 2 2 9 5 7" xfId="14755" xr:uid="{00000000-0005-0000-0000-00009A390000}"/>
    <cellStyle name="Normal 2 2 2 2 4 2 2 9 5 8" xfId="14756" xr:uid="{00000000-0005-0000-0000-00009B390000}"/>
    <cellStyle name="Normal 2 2 2 2 4 2 2 9 5 9" xfId="14757" xr:uid="{00000000-0005-0000-0000-00009C390000}"/>
    <cellStyle name="Normal 2 2 2 2 4 2 2 9 6" xfId="14758" xr:uid="{00000000-0005-0000-0000-00009D390000}"/>
    <cellStyle name="Normal 2 2 2 2 4 2 2 9 7" xfId="14759" xr:uid="{00000000-0005-0000-0000-00009E390000}"/>
    <cellStyle name="Normal 2 2 2 2 4 2 2 9 8" xfId="14760" xr:uid="{00000000-0005-0000-0000-00009F390000}"/>
    <cellStyle name="Normal 2 2 2 2 4 2 2 9 9" xfId="14761" xr:uid="{00000000-0005-0000-0000-0000A0390000}"/>
    <cellStyle name="Normal 2 2 2 2 4 2 20" xfId="14762" xr:uid="{00000000-0005-0000-0000-0000A1390000}"/>
    <cellStyle name="Normal 2 2 2 2 4 2 21" xfId="14763" xr:uid="{00000000-0005-0000-0000-0000A2390000}"/>
    <cellStyle name="Normal 2 2 2 2 4 2 21 10" xfId="14764" xr:uid="{00000000-0005-0000-0000-0000A3390000}"/>
    <cellStyle name="Normal 2 2 2 2 4 2 21 2" xfId="14765" xr:uid="{00000000-0005-0000-0000-0000A4390000}"/>
    <cellStyle name="Normal 2 2 2 2 4 2 21 3" xfId="14766" xr:uid="{00000000-0005-0000-0000-0000A5390000}"/>
    <cellStyle name="Normal 2 2 2 2 4 2 21 4" xfId="14767" xr:uid="{00000000-0005-0000-0000-0000A6390000}"/>
    <cellStyle name="Normal 2 2 2 2 4 2 21 5" xfId="14768" xr:uid="{00000000-0005-0000-0000-0000A7390000}"/>
    <cellStyle name="Normal 2 2 2 2 4 2 21 6" xfId="14769" xr:uid="{00000000-0005-0000-0000-0000A8390000}"/>
    <cellStyle name="Normal 2 2 2 2 4 2 21 7" xfId="14770" xr:uid="{00000000-0005-0000-0000-0000A9390000}"/>
    <cellStyle name="Normal 2 2 2 2 4 2 21 8" xfId="14771" xr:uid="{00000000-0005-0000-0000-0000AA390000}"/>
    <cellStyle name="Normal 2 2 2 2 4 2 21 9" xfId="14772" xr:uid="{00000000-0005-0000-0000-0000AB390000}"/>
    <cellStyle name="Normal 2 2 2 2 4 2 22" xfId="14773" xr:uid="{00000000-0005-0000-0000-0000AC390000}"/>
    <cellStyle name="Normal 2 2 2 2 4 2 22 10" xfId="14774" xr:uid="{00000000-0005-0000-0000-0000AD390000}"/>
    <cellStyle name="Normal 2 2 2 2 4 2 22 2" xfId="14775" xr:uid="{00000000-0005-0000-0000-0000AE390000}"/>
    <cellStyle name="Normal 2 2 2 2 4 2 22 3" xfId="14776" xr:uid="{00000000-0005-0000-0000-0000AF390000}"/>
    <cellStyle name="Normal 2 2 2 2 4 2 22 4" xfId="14777" xr:uid="{00000000-0005-0000-0000-0000B0390000}"/>
    <cellStyle name="Normal 2 2 2 2 4 2 22 5" xfId="14778" xr:uid="{00000000-0005-0000-0000-0000B1390000}"/>
    <cellStyle name="Normal 2 2 2 2 4 2 22 6" xfId="14779" xr:uid="{00000000-0005-0000-0000-0000B2390000}"/>
    <cellStyle name="Normal 2 2 2 2 4 2 22 7" xfId="14780" xr:uid="{00000000-0005-0000-0000-0000B3390000}"/>
    <cellStyle name="Normal 2 2 2 2 4 2 22 8" xfId="14781" xr:uid="{00000000-0005-0000-0000-0000B4390000}"/>
    <cellStyle name="Normal 2 2 2 2 4 2 22 9" xfId="14782" xr:uid="{00000000-0005-0000-0000-0000B5390000}"/>
    <cellStyle name="Normal 2 2 2 2 4 2 23" xfId="14783" xr:uid="{00000000-0005-0000-0000-0000B6390000}"/>
    <cellStyle name="Normal 2 2 2 2 4 2 23 10" xfId="14784" xr:uid="{00000000-0005-0000-0000-0000B7390000}"/>
    <cellStyle name="Normal 2 2 2 2 4 2 23 2" xfId="14785" xr:uid="{00000000-0005-0000-0000-0000B8390000}"/>
    <cellStyle name="Normal 2 2 2 2 4 2 23 3" xfId="14786" xr:uid="{00000000-0005-0000-0000-0000B9390000}"/>
    <cellStyle name="Normal 2 2 2 2 4 2 23 4" xfId="14787" xr:uid="{00000000-0005-0000-0000-0000BA390000}"/>
    <cellStyle name="Normal 2 2 2 2 4 2 23 5" xfId="14788" xr:uid="{00000000-0005-0000-0000-0000BB390000}"/>
    <cellStyle name="Normal 2 2 2 2 4 2 23 6" xfId="14789" xr:uid="{00000000-0005-0000-0000-0000BC390000}"/>
    <cellStyle name="Normal 2 2 2 2 4 2 23 7" xfId="14790" xr:uid="{00000000-0005-0000-0000-0000BD390000}"/>
    <cellStyle name="Normal 2 2 2 2 4 2 23 8" xfId="14791" xr:uid="{00000000-0005-0000-0000-0000BE390000}"/>
    <cellStyle name="Normal 2 2 2 2 4 2 23 9" xfId="14792" xr:uid="{00000000-0005-0000-0000-0000BF390000}"/>
    <cellStyle name="Normal 2 2 2 2 4 2 24" xfId="14793" xr:uid="{00000000-0005-0000-0000-0000C0390000}"/>
    <cellStyle name="Normal 2 2 2 2 4 2 24 10" xfId="14794" xr:uid="{00000000-0005-0000-0000-0000C1390000}"/>
    <cellStyle name="Normal 2 2 2 2 4 2 24 2" xfId="14795" xr:uid="{00000000-0005-0000-0000-0000C2390000}"/>
    <cellStyle name="Normal 2 2 2 2 4 2 24 3" xfId="14796" xr:uid="{00000000-0005-0000-0000-0000C3390000}"/>
    <cellStyle name="Normal 2 2 2 2 4 2 24 4" xfId="14797" xr:uid="{00000000-0005-0000-0000-0000C4390000}"/>
    <cellStyle name="Normal 2 2 2 2 4 2 24 5" xfId="14798" xr:uid="{00000000-0005-0000-0000-0000C5390000}"/>
    <cellStyle name="Normal 2 2 2 2 4 2 24 6" xfId="14799" xr:uid="{00000000-0005-0000-0000-0000C6390000}"/>
    <cellStyle name="Normal 2 2 2 2 4 2 24 7" xfId="14800" xr:uid="{00000000-0005-0000-0000-0000C7390000}"/>
    <cellStyle name="Normal 2 2 2 2 4 2 24 8" xfId="14801" xr:uid="{00000000-0005-0000-0000-0000C8390000}"/>
    <cellStyle name="Normal 2 2 2 2 4 2 24 9" xfId="14802" xr:uid="{00000000-0005-0000-0000-0000C9390000}"/>
    <cellStyle name="Normal 2 2 2 2 4 2 25" xfId="14803" xr:uid="{00000000-0005-0000-0000-0000CA390000}"/>
    <cellStyle name="Normal 2 2 2 2 4 2 26" xfId="14804" xr:uid="{00000000-0005-0000-0000-0000CB390000}"/>
    <cellStyle name="Normal 2 2 2 2 4 2 27" xfId="14805" xr:uid="{00000000-0005-0000-0000-0000CC390000}"/>
    <cellStyle name="Normal 2 2 2 2 4 2 28" xfId="14806" xr:uid="{00000000-0005-0000-0000-0000CD390000}"/>
    <cellStyle name="Normal 2 2 2 2 4 2 29" xfId="14807" xr:uid="{00000000-0005-0000-0000-0000CE390000}"/>
    <cellStyle name="Normal 2 2 2 2 4 2 3" xfId="14808" xr:uid="{00000000-0005-0000-0000-0000CF390000}"/>
    <cellStyle name="Normal 2 2 2 2 4 2 30" xfId="14809" xr:uid="{00000000-0005-0000-0000-0000D0390000}"/>
    <cellStyle name="Normal 2 2 2 2 4 2 31" xfId="14810" xr:uid="{00000000-0005-0000-0000-0000D1390000}"/>
    <cellStyle name="Normal 2 2 2 2 4 2 32" xfId="14811" xr:uid="{00000000-0005-0000-0000-0000D2390000}"/>
    <cellStyle name="Normal 2 2 2 2 4 2 33" xfId="14812" xr:uid="{00000000-0005-0000-0000-0000D3390000}"/>
    <cellStyle name="Normal 2 2 2 2 4 2 34" xfId="14813" xr:uid="{00000000-0005-0000-0000-0000D4390000}"/>
    <cellStyle name="Normal 2 2 2 2 4 2 35" xfId="14814" xr:uid="{00000000-0005-0000-0000-0000D5390000}"/>
    <cellStyle name="Normal 2 2 2 2 4 2 4" xfId="14815" xr:uid="{00000000-0005-0000-0000-0000D6390000}"/>
    <cellStyle name="Normal 2 2 2 2 4 2 5" xfId="14816" xr:uid="{00000000-0005-0000-0000-0000D7390000}"/>
    <cellStyle name="Normal 2 2 2 2 4 2 6" xfId="14817" xr:uid="{00000000-0005-0000-0000-0000D8390000}"/>
    <cellStyle name="Normal 2 2 2 2 4 2 7" xfId="14818" xr:uid="{00000000-0005-0000-0000-0000D9390000}"/>
    <cellStyle name="Normal 2 2 2 2 4 2 8" xfId="14819" xr:uid="{00000000-0005-0000-0000-0000DA390000}"/>
    <cellStyle name="Normal 2 2 2 2 4 2 9" xfId="14820" xr:uid="{00000000-0005-0000-0000-0000DB390000}"/>
    <cellStyle name="Normal 2 2 2 2 4 20" xfId="14821" xr:uid="{00000000-0005-0000-0000-0000DC390000}"/>
    <cellStyle name="Normal 2 2 2 2 4 20 10" xfId="14822" xr:uid="{00000000-0005-0000-0000-0000DD390000}"/>
    <cellStyle name="Normal 2 2 2 2 4 20 11" xfId="14823" xr:uid="{00000000-0005-0000-0000-0000DE390000}"/>
    <cellStyle name="Normal 2 2 2 2 4 20 12" xfId="14824" xr:uid="{00000000-0005-0000-0000-0000DF390000}"/>
    <cellStyle name="Normal 2 2 2 2 4 20 13" xfId="14825" xr:uid="{00000000-0005-0000-0000-0000E0390000}"/>
    <cellStyle name="Normal 2 2 2 2 4 20 14" xfId="14826" xr:uid="{00000000-0005-0000-0000-0000E1390000}"/>
    <cellStyle name="Normal 2 2 2 2 4 20 2" xfId="14827" xr:uid="{00000000-0005-0000-0000-0000E2390000}"/>
    <cellStyle name="Normal 2 2 2 2 4 20 2 10" xfId="14828" xr:uid="{00000000-0005-0000-0000-0000E3390000}"/>
    <cellStyle name="Normal 2 2 2 2 4 20 2 2" xfId="14829" xr:uid="{00000000-0005-0000-0000-0000E4390000}"/>
    <cellStyle name="Normal 2 2 2 2 4 20 2 3" xfId="14830" xr:uid="{00000000-0005-0000-0000-0000E5390000}"/>
    <cellStyle name="Normal 2 2 2 2 4 20 2 4" xfId="14831" xr:uid="{00000000-0005-0000-0000-0000E6390000}"/>
    <cellStyle name="Normal 2 2 2 2 4 20 2 5" xfId="14832" xr:uid="{00000000-0005-0000-0000-0000E7390000}"/>
    <cellStyle name="Normal 2 2 2 2 4 20 2 6" xfId="14833" xr:uid="{00000000-0005-0000-0000-0000E8390000}"/>
    <cellStyle name="Normal 2 2 2 2 4 20 2 7" xfId="14834" xr:uid="{00000000-0005-0000-0000-0000E9390000}"/>
    <cellStyle name="Normal 2 2 2 2 4 20 2 8" xfId="14835" xr:uid="{00000000-0005-0000-0000-0000EA390000}"/>
    <cellStyle name="Normal 2 2 2 2 4 20 2 9" xfId="14836" xr:uid="{00000000-0005-0000-0000-0000EB390000}"/>
    <cellStyle name="Normal 2 2 2 2 4 20 3" xfId="14837" xr:uid="{00000000-0005-0000-0000-0000EC390000}"/>
    <cellStyle name="Normal 2 2 2 2 4 20 3 10" xfId="14838" xr:uid="{00000000-0005-0000-0000-0000ED390000}"/>
    <cellStyle name="Normal 2 2 2 2 4 20 3 2" xfId="14839" xr:uid="{00000000-0005-0000-0000-0000EE390000}"/>
    <cellStyle name="Normal 2 2 2 2 4 20 3 3" xfId="14840" xr:uid="{00000000-0005-0000-0000-0000EF390000}"/>
    <cellStyle name="Normal 2 2 2 2 4 20 3 4" xfId="14841" xr:uid="{00000000-0005-0000-0000-0000F0390000}"/>
    <cellStyle name="Normal 2 2 2 2 4 20 3 5" xfId="14842" xr:uid="{00000000-0005-0000-0000-0000F1390000}"/>
    <cellStyle name="Normal 2 2 2 2 4 20 3 6" xfId="14843" xr:uid="{00000000-0005-0000-0000-0000F2390000}"/>
    <cellStyle name="Normal 2 2 2 2 4 20 3 7" xfId="14844" xr:uid="{00000000-0005-0000-0000-0000F3390000}"/>
    <cellStyle name="Normal 2 2 2 2 4 20 3 8" xfId="14845" xr:uid="{00000000-0005-0000-0000-0000F4390000}"/>
    <cellStyle name="Normal 2 2 2 2 4 20 3 9" xfId="14846" xr:uid="{00000000-0005-0000-0000-0000F5390000}"/>
    <cellStyle name="Normal 2 2 2 2 4 20 4" xfId="14847" xr:uid="{00000000-0005-0000-0000-0000F6390000}"/>
    <cellStyle name="Normal 2 2 2 2 4 20 4 10" xfId="14848" xr:uid="{00000000-0005-0000-0000-0000F7390000}"/>
    <cellStyle name="Normal 2 2 2 2 4 20 4 2" xfId="14849" xr:uid="{00000000-0005-0000-0000-0000F8390000}"/>
    <cellStyle name="Normal 2 2 2 2 4 20 4 3" xfId="14850" xr:uid="{00000000-0005-0000-0000-0000F9390000}"/>
    <cellStyle name="Normal 2 2 2 2 4 20 4 4" xfId="14851" xr:uid="{00000000-0005-0000-0000-0000FA390000}"/>
    <cellStyle name="Normal 2 2 2 2 4 20 4 5" xfId="14852" xr:uid="{00000000-0005-0000-0000-0000FB390000}"/>
    <cellStyle name="Normal 2 2 2 2 4 20 4 6" xfId="14853" xr:uid="{00000000-0005-0000-0000-0000FC390000}"/>
    <cellStyle name="Normal 2 2 2 2 4 20 4 7" xfId="14854" xr:uid="{00000000-0005-0000-0000-0000FD390000}"/>
    <cellStyle name="Normal 2 2 2 2 4 20 4 8" xfId="14855" xr:uid="{00000000-0005-0000-0000-0000FE390000}"/>
    <cellStyle name="Normal 2 2 2 2 4 20 4 9" xfId="14856" xr:uid="{00000000-0005-0000-0000-0000FF390000}"/>
    <cellStyle name="Normal 2 2 2 2 4 20 5" xfId="14857" xr:uid="{00000000-0005-0000-0000-0000003A0000}"/>
    <cellStyle name="Normal 2 2 2 2 4 20 5 10" xfId="14858" xr:uid="{00000000-0005-0000-0000-0000013A0000}"/>
    <cellStyle name="Normal 2 2 2 2 4 20 5 2" xfId="14859" xr:uid="{00000000-0005-0000-0000-0000023A0000}"/>
    <cellStyle name="Normal 2 2 2 2 4 20 5 3" xfId="14860" xr:uid="{00000000-0005-0000-0000-0000033A0000}"/>
    <cellStyle name="Normal 2 2 2 2 4 20 5 4" xfId="14861" xr:uid="{00000000-0005-0000-0000-0000043A0000}"/>
    <cellStyle name="Normal 2 2 2 2 4 20 5 5" xfId="14862" xr:uid="{00000000-0005-0000-0000-0000053A0000}"/>
    <cellStyle name="Normal 2 2 2 2 4 20 5 6" xfId="14863" xr:uid="{00000000-0005-0000-0000-0000063A0000}"/>
    <cellStyle name="Normal 2 2 2 2 4 20 5 7" xfId="14864" xr:uid="{00000000-0005-0000-0000-0000073A0000}"/>
    <cellStyle name="Normal 2 2 2 2 4 20 5 8" xfId="14865" xr:uid="{00000000-0005-0000-0000-0000083A0000}"/>
    <cellStyle name="Normal 2 2 2 2 4 20 5 9" xfId="14866" xr:uid="{00000000-0005-0000-0000-0000093A0000}"/>
    <cellStyle name="Normal 2 2 2 2 4 20 6" xfId="14867" xr:uid="{00000000-0005-0000-0000-00000A3A0000}"/>
    <cellStyle name="Normal 2 2 2 2 4 20 7" xfId="14868" xr:uid="{00000000-0005-0000-0000-00000B3A0000}"/>
    <cellStyle name="Normal 2 2 2 2 4 20 8" xfId="14869" xr:uid="{00000000-0005-0000-0000-00000C3A0000}"/>
    <cellStyle name="Normal 2 2 2 2 4 20 9" xfId="14870" xr:uid="{00000000-0005-0000-0000-00000D3A0000}"/>
    <cellStyle name="Normal 2 2 2 2 4 21" xfId="14871" xr:uid="{00000000-0005-0000-0000-00000E3A0000}"/>
    <cellStyle name="Normal 2 2 2 2 4 21 10" xfId="14872" xr:uid="{00000000-0005-0000-0000-00000F3A0000}"/>
    <cellStyle name="Normal 2 2 2 2 4 21 11" xfId="14873" xr:uid="{00000000-0005-0000-0000-0000103A0000}"/>
    <cellStyle name="Normal 2 2 2 2 4 21 12" xfId="14874" xr:uid="{00000000-0005-0000-0000-0000113A0000}"/>
    <cellStyle name="Normal 2 2 2 2 4 21 13" xfId="14875" xr:uid="{00000000-0005-0000-0000-0000123A0000}"/>
    <cellStyle name="Normal 2 2 2 2 4 21 14" xfId="14876" xr:uid="{00000000-0005-0000-0000-0000133A0000}"/>
    <cellStyle name="Normal 2 2 2 2 4 21 2" xfId="14877" xr:uid="{00000000-0005-0000-0000-0000143A0000}"/>
    <cellStyle name="Normal 2 2 2 2 4 21 2 10" xfId="14878" xr:uid="{00000000-0005-0000-0000-0000153A0000}"/>
    <cellStyle name="Normal 2 2 2 2 4 21 2 2" xfId="14879" xr:uid="{00000000-0005-0000-0000-0000163A0000}"/>
    <cellStyle name="Normal 2 2 2 2 4 21 2 3" xfId="14880" xr:uid="{00000000-0005-0000-0000-0000173A0000}"/>
    <cellStyle name="Normal 2 2 2 2 4 21 2 4" xfId="14881" xr:uid="{00000000-0005-0000-0000-0000183A0000}"/>
    <cellStyle name="Normal 2 2 2 2 4 21 2 5" xfId="14882" xr:uid="{00000000-0005-0000-0000-0000193A0000}"/>
    <cellStyle name="Normal 2 2 2 2 4 21 2 6" xfId="14883" xr:uid="{00000000-0005-0000-0000-00001A3A0000}"/>
    <cellStyle name="Normal 2 2 2 2 4 21 2 7" xfId="14884" xr:uid="{00000000-0005-0000-0000-00001B3A0000}"/>
    <cellStyle name="Normal 2 2 2 2 4 21 2 8" xfId="14885" xr:uid="{00000000-0005-0000-0000-00001C3A0000}"/>
    <cellStyle name="Normal 2 2 2 2 4 21 2 9" xfId="14886" xr:uid="{00000000-0005-0000-0000-00001D3A0000}"/>
    <cellStyle name="Normal 2 2 2 2 4 21 3" xfId="14887" xr:uid="{00000000-0005-0000-0000-00001E3A0000}"/>
    <cellStyle name="Normal 2 2 2 2 4 21 3 10" xfId="14888" xr:uid="{00000000-0005-0000-0000-00001F3A0000}"/>
    <cellStyle name="Normal 2 2 2 2 4 21 3 2" xfId="14889" xr:uid="{00000000-0005-0000-0000-0000203A0000}"/>
    <cellStyle name="Normal 2 2 2 2 4 21 3 3" xfId="14890" xr:uid="{00000000-0005-0000-0000-0000213A0000}"/>
    <cellStyle name="Normal 2 2 2 2 4 21 3 4" xfId="14891" xr:uid="{00000000-0005-0000-0000-0000223A0000}"/>
    <cellStyle name="Normal 2 2 2 2 4 21 3 5" xfId="14892" xr:uid="{00000000-0005-0000-0000-0000233A0000}"/>
    <cellStyle name="Normal 2 2 2 2 4 21 3 6" xfId="14893" xr:uid="{00000000-0005-0000-0000-0000243A0000}"/>
    <cellStyle name="Normal 2 2 2 2 4 21 3 7" xfId="14894" xr:uid="{00000000-0005-0000-0000-0000253A0000}"/>
    <cellStyle name="Normal 2 2 2 2 4 21 3 8" xfId="14895" xr:uid="{00000000-0005-0000-0000-0000263A0000}"/>
    <cellStyle name="Normal 2 2 2 2 4 21 3 9" xfId="14896" xr:uid="{00000000-0005-0000-0000-0000273A0000}"/>
    <cellStyle name="Normal 2 2 2 2 4 21 4" xfId="14897" xr:uid="{00000000-0005-0000-0000-0000283A0000}"/>
    <cellStyle name="Normal 2 2 2 2 4 21 4 10" xfId="14898" xr:uid="{00000000-0005-0000-0000-0000293A0000}"/>
    <cellStyle name="Normal 2 2 2 2 4 21 4 2" xfId="14899" xr:uid="{00000000-0005-0000-0000-00002A3A0000}"/>
    <cellStyle name="Normal 2 2 2 2 4 21 4 3" xfId="14900" xr:uid="{00000000-0005-0000-0000-00002B3A0000}"/>
    <cellStyle name="Normal 2 2 2 2 4 21 4 4" xfId="14901" xr:uid="{00000000-0005-0000-0000-00002C3A0000}"/>
    <cellStyle name="Normal 2 2 2 2 4 21 4 5" xfId="14902" xr:uid="{00000000-0005-0000-0000-00002D3A0000}"/>
    <cellStyle name="Normal 2 2 2 2 4 21 4 6" xfId="14903" xr:uid="{00000000-0005-0000-0000-00002E3A0000}"/>
    <cellStyle name="Normal 2 2 2 2 4 21 4 7" xfId="14904" xr:uid="{00000000-0005-0000-0000-00002F3A0000}"/>
    <cellStyle name="Normal 2 2 2 2 4 21 4 8" xfId="14905" xr:uid="{00000000-0005-0000-0000-0000303A0000}"/>
    <cellStyle name="Normal 2 2 2 2 4 21 4 9" xfId="14906" xr:uid="{00000000-0005-0000-0000-0000313A0000}"/>
    <cellStyle name="Normal 2 2 2 2 4 21 5" xfId="14907" xr:uid="{00000000-0005-0000-0000-0000323A0000}"/>
    <cellStyle name="Normal 2 2 2 2 4 21 5 10" xfId="14908" xr:uid="{00000000-0005-0000-0000-0000333A0000}"/>
    <cellStyle name="Normal 2 2 2 2 4 21 5 2" xfId="14909" xr:uid="{00000000-0005-0000-0000-0000343A0000}"/>
    <cellStyle name="Normal 2 2 2 2 4 21 5 3" xfId="14910" xr:uid="{00000000-0005-0000-0000-0000353A0000}"/>
    <cellStyle name="Normal 2 2 2 2 4 21 5 4" xfId="14911" xr:uid="{00000000-0005-0000-0000-0000363A0000}"/>
    <cellStyle name="Normal 2 2 2 2 4 21 5 5" xfId="14912" xr:uid="{00000000-0005-0000-0000-0000373A0000}"/>
    <cellStyle name="Normal 2 2 2 2 4 21 5 6" xfId="14913" xr:uid="{00000000-0005-0000-0000-0000383A0000}"/>
    <cellStyle name="Normal 2 2 2 2 4 21 5 7" xfId="14914" xr:uid="{00000000-0005-0000-0000-0000393A0000}"/>
    <cellStyle name="Normal 2 2 2 2 4 21 5 8" xfId="14915" xr:uid="{00000000-0005-0000-0000-00003A3A0000}"/>
    <cellStyle name="Normal 2 2 2 2 4 21 5 9" xfId="14916" xr:uid="{00000000-0005-0000-0000-00003B3A0000}"/>
    <cellStyle name="Normal 2 2 2 2 4 21 6" xfId="14917" xr:uid="{00000000-0005-0000-0000-00003C3A0000}"/>
    <cellStyle name="Normal 2 2 2 2 4 21 7" xfId="14918" xr:uid="{00000000-0005-0000-0000-00003D3A0000}"/>
    <cellStyle name="Normal 2 2 2 2 4 21 8" xfId="14919" xr:uid="{00000000-0005-0000-0000-00003E3A0000}"/>
    <cellStyle name="Normal 2 2 2 2 4 21 9" xfId="14920" xr:uid="{00000000-0005-0000-0000-00003F3A0000}"/>
    <cellStyle name="Normal 2 2 2 2 4 22" xfId="14921" xr:uid="{00000000-0005-0000-0000-0000403A0000}"/>
    <cellStyle name="Normal 2 2 2 2 4 22 10" xfId="14922" xr:uid="{00000000-0005-0000-0000-0000413A0000}"/>
    <cellStyle name="Normal 2 2 2 2 4 22 11" xfId="14923" xr:uid="{00000000-0005-0000-0000-0000423A0000}"/>
    <cellStyle name="Normal 2 2 2 2 4 22 12" xfId="14924" xr:uid="{00000000-0005-0000-0000-0000433A0000}"/>
    <cellStyle name="Normal 2 2 2 2 4 22 13" xfId="14925" xr:uid="{00000000-0005-0000-0000-0000443A0000}"/>
    <cellStyle name="Normal 2 2 2 2 4 22 14" xfId="14926" xr:uid="{00000000-0005-0000-0000-0000453A0000}"/>
    <cellStyle name="Normal 2 2 2 2 4 22 2" xfId="14927" xr:uid="{00000000-0005-0000-0000-0000463A0000}"/>
    <cellStyle name="Normal 2 2 2 2 4 22 2 10" xfId="14928" xr:uid="{00000000-0005-0000-0000-0000473A0000}"/>
    <cellStyle name="Normal 2 2 2 2 4 22 2 2" xfId="14929" xr:uid="{00000000-0005-0000-0000-0000483A0000}"/>
    <cellStyle name="Normal 2 2 2 2 4 22 2 3" xfId="14930" xr:uid="{00000000-0005-0000-0000-0000493A0000}"/>
    <cellStyle name="Normal 2 2 2 2 4 22 2 4" xfId="14931" xr:uid="{00000000-0005-0000-0000-00004A3A0000}"/>
    <cellStyle name="Normal 2 2 2 2 4 22 2 5" xfId="14932" xr:uid="{00000000-0005-0000-0000-00004B3A0000}"/>
    <cellStyle name="Normal 2 2 2 2 4 22 2 6" xfId="14933" xr:uid="{00000000-0005-0000-0000-00004C3A0000}"/>
    <cellStyle name="Normal 2 2 2 2 4 22 2 7" xfId="14934" xr:uid="{00000000-0005-0000-0000-00004D3A0000}"/>
    <cellStyle name="Normal 2 2 2 2 4 22 2 8" xfId="14935" xr:uid="{00000000-0005-0000-0000-00004E3A0000}"/>
    <cellStyle name="Normal 2 2 2 2 4 22 2 9" xfId="14936" xr:uid="{00000000-0005-0000-0000-00004F3A0000}"/>
    <cellStyle name="Normal 2 2 2 2 4 22 3" xfId="14937" xr:uid="{00000000-0005-0000-0000-0000503A0000}"/>
    <cellStyle name="Normal 2 2 2 2 4 22 3 10" xfId="14938" xr:uid="{00000000-0005-0000-0000-0000513A0000}"/>
    <cellStyle name="Normal 2 2 2 2 4 22 3 2" xfId="14939" xr:uid="{00000000-0005-0000-0000-0000523A0000}"/>
    <cellStyle name="Normal 2 2 2 2 4 22 3 3" xfId="14940" xr:uid="{00000000-0005-0000-0000-0000533A0000}"/>
    <cellStyle name="Normal 2 2 2 2 4 22 3 4" xfId="14941" xr:uid="{00000000-0005-0000-0000-0000543A0000}"/>
    <cellStyle name="Normal 2 2 2 2 4 22 3 5" xfId="14942" xr:uid="{00000000-0005-0000-0000-0000553A0000}"/>
    <cellStyle name="Normal 2 2 2 2 4 22 3 6" xfId="14943" xr:uid="{00000000-0005-0000-0000-0000563A0000}"/>
    <cellStyle name="Normal 2 2 2 2 4 22 3 7" xfId="14944" xr:uid="{00000000-0005-0000-0000-0000573A0000}"/>
    <cellStyle name="Normal 2 2 2 2 4 22 3 8" xfId="14945" xr:uid="{00000000-0005-0000-0000-0000583A0000}"/>
    <cellStyle name="Normal 2 2 2 2 4 22 3 9" xfId="14946" xr:uid="{00000000-0005-0000-0000-0000593A0000}"/>
    <cellStyle name="Normal 2 2 2 2 4 22 4" xfId="14947" xr:uid="{00000000-0005-0000-0000-00005A3A0000}"/>
    <cellStyle name="Normal 2 2 2 2 4 22 4 10" xfId="14948" xr:uid="{00000000-0005-0000-0000-00005B3A0000}"/>
    <cellStyle name="Normal 2 2 2 2 4 22 4 2" xfId="14949" xr:uid="{00000000-0005-0000-0000-00005C3A0000}"/>
    <cellStyle name="Normal 2 2 2 2 4 22 4 3" xfId="14950" xr:uid="{00000000-0005-0000-0000-00005D3A0000}"/>
    <cellStyle name="Normal 2 2 2 2 4 22 4 4" xfId="14951" xr:uid="{00000000-0005-0000-0000-00005E3A0000}"/>
    <cellStyle name="Normal 2 2 2 2 4 22 4 5" xfId="14952" xr:uid="{00000000-0005-0000-0000-00005F3A0000}"/>
    <cellStyle name="Normal 2 2 2 2 4 22 4 6" xfId="14953" xr:uid="{00000000-0005-0000-0000-0000603A0000}"/>
    <cellStyle name="Normal 2 2 2 2 4 22 4 7" xfId="14954" xr:uid="{00000000-0005-0000-0000-0000613A0000}"/>
    <cellStyle name="Normal 2 2 2 2 4 22 4 8" xfId="14955" xr:uid="{00000000-0005-0000-0000-0000623A0000}"/>
    <cellStyle name="Normal 2 2 2 2 4 22 4 9" xfId="14956" xr:uid="{00000000-0005-0000-0000-0000633A0000}"/>
    <cellStyle name="Normal 2 2 2 2 4 22 5" xfId="14957" xr:uid="{00000000-0005-0000-0000-0000643A0000}"/>
    <cellStyle name="Normal 2 2 2 2 4 22 5 10" xfId="14958" xr:uid="{00000000-0005-0000-0000-0000653A0000}"/>
    <cellStyle name="Normal 2 2 2 2 4 22 5 2" xfId="14959" xr:uid="{00000000-0005-0000-0000-0000663A0000}"/>
    <cellStyle name="Normal 2 2 2 2 4 22 5 3" xfId="14960" xr:uid="{00000000-0005-0000-0000-0000673A0000}"/>
    <cellStyle name="Normal 2 2 2 2 4 22 5 4" xfId="14961" xr:uid="{00000000-0005-0000-0000-0000683A0000}"/>
    <cellStyle name="Normal 2 2 2 2 4 22 5 5" xfId="14962" xr:uid="{00000000-0005-0000-0000-0000693A0000}"/>
    <cellStyle name="Normal 2 2 2 2 4 22 5 6" xfId="14963" xr:uid="{00000000-0005-0000-0000-00006A3A0000}"/>
    <cellStyle name="Normal 2 2 2 2 4 22 5 7" xfId="14964" xr:uid="{00000000-0005-0000-0000-00006B3A0000}"/>
    <cellStyle name="Normal 2 2 2 2 4 22 5 8" xfId="14965" xr:uid="{00000000-0005-0000-0000-00006C3A0000}"/>
    <cellStyle name="Normal 2 2 2 2 4 22 5 9" xfId="14966" xr:uid="{00000000-0005-0000-0000-00006D3A0000}"/>
    <cellStyle name="Normal 2 2 2 2 4 22 6" xfId="14967" xr:uid="{00000000-0005-0000-0000-00006E3A0000}"/>
    <cellStyle name="Normal 2 2 2 2 4 22 7" xfId="14968" xr:uid="{00000000-0005-0000-0000-00006F3A0000}"/>
    <cellStyle name="Normal 2 2 2 2 4 22 8" xfId="14969" xr:uid="{00000000-0005-0000-0000-0000703A0000}"/>
    <cellStyle name="Normal 2 2 2 2 4 22 9" xfId="14970" xr:uid="{00000000-0005-0000-0000-0000713A0000}"/>
    <cellStyle name="Normal 2 2 2 2 4 23" xfId="14971" xr:uid="{00000000-0005-0000-0000-0000723A0000}"/>
    <cellStyle name="Normal 2 2 2 2 4 23 10" xfId="14972" xr:uid="{00000000-0005-0000-0000-0000733A0000}"/>
    <cellStyle name="Normal 2 2 2 2 4 23 11" xfId="14973" xr:uid="{00000000-0005-0000-0000-0000743A0000}"/>
    <cellStyle name="Normal 2 2 2 2 4 23 12" xfId="14974" xr:uid="{00000000-0005-0000-0000-0000753A0000}"/>
    <cellStyle name="Normal 2 2 2 2 4 23 13" xfId="14975" xr:uid="{00000000-0005-0000-0000-0000763A0000}"/>
    <cellStyle name="Normal 2 2 2 2 4 23 14" xfId="14976" xr:uid="{00000000-0005-0000-0000-0000773A0000}"/>
    <cellStyle name="Normal 2 2 2 2 4 23 2" xfId="14977" xr:uid="{00000000-0005-0000-0000-0000783A0000}"/>
    <cellStyle name="Normal 2 2 2 2 4 23 2 10" xfId="14978" xr:uid="{00000000-0005-0000-0000-0000793A0000}"/>
    <cellStyle name="Normal 2 2 2 2 4 23 2 2" xfId="14979" xr:uid="{00000000-0005-0000-0000-00007A3A0000}"/>
    <cellStyle name="Normal 2 2 2 2 4 23 2 3" xfId="14980" xr:uid="{00000000-0005-0000-0000-00007B3A0000}"/>
    <cellStyle name="Normal 2 2 2 2 4 23 2 4" xfId="14981" xr:uid="{00000000-0005-0000-0000-00007C3A0000}"/>
    <cellStyle name="Normal 2 2 2 2 4 23 2 5" xfId="14982" xr:uid="{00000000-0005-0000-0000-00007D3A0000}"/>
    <cellStyle name="Normal 2 2 2 2 4 23 2 6" xfId="14983" xr:uid="{00000000-0005-0000-0000-00007E3A0000}"/>
    <cellStyle name="Normal 2 2 2 2 4 23 2 7" xfId="14984" xr:uid="{00000000-0005-0000-0000-00007F3A0000}"/>
    <cellStyle name="Normal 2 2 2 2 4 23 2 8" xfId="14985" xr:uid="{00000000-0005-0000-0000-0000803A0000}"/>
    <cellStyle name="Normal 2 2 2 2 4 23 2 9" xfId="14986" xr:uid="{00000000-0005-0000-0000-0000813A0000}"/>
    <cellStyle name="Normal 2 2 2 2 4 23 3" xfId="14987" xr:uid="{00000000-0005-0000-0000-0000823A0000}"/>
    <cellStyle name="Normal 2 2 2 2 4 23 3 10" xfId="14988" xr:uid="{00000000-0005-0000-0000-0000833A0000}"/>
    <cellStyle name="Normal 2 2 2 2 4 23 3 2" xfId="14989" xr:uid="{00000000-0005-0000-0000-0000843A0000}"/>
    <cellStyle name="Normal 2 2 2 2 4 23 3 3" xfId="14990" xr:uid="{00000000-0005-0000-0000-0000853A0000}"/>
    <cellStyle name="Normal 2 2 2 2 4 23 3 4" xfId="14991" xr:uid="{00000000-0005-0000-0000-0000863A0000}"/>
    <cellStyle name="Normal 2 2 2 2 4 23 3 5" xfId="14992" xr:uid="{00000000-0005-0000-0000-0000873A0000}"/>
    <cellStyle name="Normal 2 2 2 2 4 23 3 6" xfId="14993" xr:uid="{00000000-0005-0000-0000-0000883A0000}"/>
    <cellStyle name="Normal 2 2 2 2 4 23 3 7" xfId="14994" xr:uid="{00000000-0005-0000-0000-0000893A0000}"/>
    <cellStyle name="Normal 2 2 2 2 4 23 3 8" xfId="14995" xr:uid="{00000000-0005-0000-0000-00008A3A0000}"/>
    <cellStyle name="Normal 2 2 2 2 4 23 3 9" xfId="14996" xr:uid="{00000000-0005-0000-0000-00008B3A0000}"/>
    <cellStyle name="Normal 2 2 2 2 4 23 4" xfId="14997" xr:uid="{00000000-0005-0000-0000-00008C3A0000}"/>
    <cellStyle name="Normal 2 2 2 2 4 23 4 10" xfId="14998" xr:uid="{00000000-0005-0000-0000-00008D3A0000}"/>
    <cellStyle name="Normal 2 2 2 2 4 23 4 2" xfId="14999" xr:uid="{00000000-0005-0000-0000-00008E3A0000}"/>
    <cellStyle name="Normal 2 2 2 2 4 23 4 3" xfId="15000" xr:uid="{00000000-0005-0000-0000-00008F3A0000}"/>
    <cellStyle name="Normal 2 2 2 2 4 23 4 4" xfId="15001" xr:uid="{00000000-0005-0000-0000-0000903A0000}"/>
    <cellStyle name="Normal 2 2 2 2 4 23 4 5" xfId="15002" xr:uid="{00000000-0005-0000-0000-0000913A0000}"/>
    <cellStyle name="Normal 2 2 2 2 4 23 4 6" xfId="15003" xr:uid="{00000000-0005-0000-0000-0000923A0000}"/>
    <cellStyle name="Normal 2 2 2 2 4 23 4 7" xfId="15004" xr:uid="{00000000-0005-0000-0000-0000933A0000}"/>
    <cellStyle name="Normal 2 2 2 2 4 23 4 8" xfId="15005" xr:uid="{00000000-0005-0000-0000-0000943A0000}"/>
    <cellStyle name="Normal 2 2 2 2 4 23 4 9" xfId="15006" xr:uid="{00000000-0005-0000-0000-0000953A0000}"/>
    <cellStyle name="Normal 2 2 2 2 4 23 5" xfId="15007" xr:uid="{00000000-0005-0000-0000-0000963A0000}"/>
    <cellStyle name="Normal 2 2 2 2 4 23 5 10" xfId="15008" xr:uid="{00000000-0005-0000-0000-0000973A0000}"/>
    <cellStyle name="Normal 2 2 2 2 4 23 5 2" xfId="15009" xr:uid="{00000000-0005-0000-0000-0000983A0000}"/>
    <cellStyle name="Normal 2 2 2 2 4 23 5 3" xfId="15010" xr:uid="{00000000-0005-0000-0000-0000993A0000}"/>
    <cellStyle name="Normal 2 2 2 2 4 23 5 4" xfId="15011" xr:uid="{00000000-0005-0000-0000-00009A3A0000}"/>
    <cellStyle name="Normal 2 2 2 2 4 23 5 5" xfId="15012" xr:uid="{00000000-0005-0000-0000-00009B3A0000}"/>
    <cellStyle name="Normal 2 2 2 2 4 23 5 6" xfId="15013" xr:uid="{00000000-0005-0000-0000-00009C3A0000}"/>
    <cellStyle name="Normal 2 2 2 2 4 23 5 7" xfId="15014" xr:uid="{00000000-0005-0000-0000-00009D3A0000}"/>
    <cellStyle name="Normal 2 2 2 2 4 23 5 8" xfId="15015" xr:uid="{00000000-0005-0000-0000-00009E3A0000}"/>
    <cellStyle name="Normal 2 2 2 2 4 23 5 9" xfId="15016" xr:uid="{00000000-0005-0000-0000-00009F3A0000}"/>
    <cellStyle name="Normal 2 2 2 2 4 23 6" xfId="15017" xr:uid="{00000000-0005-0000-0000-0000A03A0000}"/>
    <cellStyle name="Normal 2 2 2 2 4 23 7" xfId="15018" xr:uid="{00000000-0005-0000-0000-0000A13A0000}"/>
    <cellStyle name="Normal 2 2 2 2 4 23 8" xfId="15019" xr:uid="{00000000-0005-0000-0000-0000A23A0000}"/>
    <cellStyle name="Normal 2 2 2 2 4 23 9" xfId="15020" xr:uid="{00000000-0005-0000-0000-0000A33A0000}"/>
    <cellStyle name="Normal 2 2 2 2 4 24" xfId="15021" xr:uid="{00000000-0005-0000-0000-0000A43A0000}"/>
    <cellStyle name="Normal 2 2 2 2 4 24 10" xfId="15022" xr:uid="{00000000-0005-0000-0000-0000A53A0000}"/>
    <cellStyle name="Normal 2 2 2 2 4 24 11" xfId="15023" xr:uid="{00000000-0005-0000-0000-0000A63A0000}"/>
    <cellStyle name="Normal 2 2 2 2 4 24 12" xfId="15024" xr:uid="{00000000-0005-0000-0000-0000A73A0000}"/>
    <cellStyle name="Normal 2 2 2 2 4 24 13" xfId="15025" xr:uid="{00000000-0005-0000-0000-0000A83A0000}"/>
    <cellStyle name="Normal 2 2 2 2 4 24 14" xfId="15026" xr:uid="{00000000-0005-0000-0000-0000A93A0000}"/>
    <cellStyle name="Normal 2 2 2 2 4 24 2" xfId="15027" xr:uid="{00000000-0005-0000-0000-0000AA3A0000}"/>
    <cellStyle name="Normal 2 2 2 2 4 24 2 10" xfId="15028" xr:uid="{00000000-0005-0000-0000-0000AB3A0000}"/>
    <cellStyle name="Normal 2 2 2 2 4 24 2 2" xfId="15029" xr:uid="{00000000-0005-0000-0000-0000AC3A0000}"/>
    <cellStyle name="Normal 2 2 2 2 4 24 2 3" xfId="15030" xr:uid="{00000000-0005-0000-0000-0000AD3A0000}"/>
    <cellStyle name="Normal 2 2 2 2 4 24 2 4" xfId="15031" xr:uid="{00000000-0005-0000-0000-0000AE3A0000}"/>
    <cellStyle name="Normal 2 2 2 2 4 24 2 5" xfId="15032" xr:uid="{00000000-0005-0000-0000-0000AF3A0000}"/>
    <cellStyle name="Normal 2 2 2 2 4 24 2 6" xfId="15033" xr:uid="{00000000-0005-0000-0000-0000B03A0000}"/>
    <cellStyle name="Normal 2 2 2 2 4 24 2 7" xfId="15034" xr:uid="{00000000-0005-0000-0000-0000B13A0000}"/>
    <cellStyle name="Normal 2 2 2 2 4 24 2 8" xfId="15035" xr:uid="{00000000-0005-0000-0000-0000B23A0000}"/>
    <cellStyle name="Normal 2 2 2 2 4 24 2 9" xfId="15036" xr:uid="{00000000-0005-0000-0000-0000B33A0000}"/>
    <cellStyle name="Normal 2 2 2 2 4 24 3" xfId="15037" xr:uid="{00000000-0005-0000-0000-0000B43A0000}"/>
    <cellStyle name="Normal 2 2 2 2 4 24 3 10" xfId="15038" xr:uid="{00000000-0005-0000-0000-0000B53A0000}"/>
    <cellStyle name="Normal 2 2 2 2 4 24 3 2" xfId="15039" xr:uid="{00000000-0005-0000-0000-0000B63A0000}"/>
    <cellStyle name="Normal 2 2 2 2 4 24 3 3" xfId="15040" xr:uid="{00000000-0005-0000-0000-0000B73A0000}"/>
    <cellStyle name="Normal 2 2 2 2 4 24 3 4" xfId="15041" xr:uid="{00000000-0005-0000-0000-0000B83A0000}"/>
    <cellStyle name="Normal 2 2 2 2 4 24 3 5" xfId="15042" xr:uid="{00000000-0005-0000-0000-0000B93A0000}"/>
    <cellStyle name="Normal 2 2 2 2 4 24 3 6" xfId="15043" xr:uid="{00000000-0005-0000-0000-0000BA3A0000}"/>
    <cellStyle name="Normal 2 2 2 2 4 24 3 7" xfId="15044" xr:uid="{00000000-0005-0000-0000-0000BB3A0000}"/>
    <cellStyle name="Normal 2 2 2 2 4 24 3 8" xfId="15045" xr:uid="{00000000-0005-0000-0000-0000BC3A0000}"/>
    <cellStyle name="Normal 2 2 2 2 4 24 3 9" xfId="15046" xr:uid="{00000000-0005-0000-0000-0000BD3A0000}"/>
    <cellStyle name="Normal 2 2 2 2 4 24 4" xfId="15047" xr:uid="{00000000-0005-0000-0000-0000BE3A0000}"/>
    <cellStyle name="Normal 2 2 2 2 4 24 4 10" xfId="15048" xr:uid="{00000000-0005-0000-0000-0000BF3A0000}"/>
    <cellStyle name="Normal 2 2 2 2 4 24 4 2" xfId="15049" xr:uid="{00000000-0005-0000-0000-0000C03A0000}"/>
    <cellStyle name="Normal 2 2 2 2 4 24 4 3" xfId="15050" xr:uid="{00000000-0005-0000-0000-0000C13A0000}"/>
    <cellStyle name="Normal 2 2 2 2 4 24 4 4" xfId="15051" xr:uid="{00000000-0005-0000-0000-0000C23A0000}"/>
    <cellStyle name="Normal 2 2 2 2 4 24 4 5" xfId="15052" xr:uid="{00000000-0005-0000-0000-0000C33A0000}"/>
    <cellStyle name="Normal 2 2 2 2 4 24 4 6" xfId="15053" xr:uid="{00000000-0005-0000-0000-0000C43A0000}"/>
    <cellStyle name="Normal 2 2 2 2 4 24 4 7" xfId="15054" xr:uid="{00000000-0005-0000-0000-0000C53A0000}"/>
    <cellStyle name="Normal 2 2 2 2 4 24 4 8" xfId="15055" xr:uid="{00000000-0005-0000-0000-0000C63A0000}"/>
    <cellStyle name="Normal 2 2 2 2 4 24 4 9" xfId="15056" xr:uid="{00000000-0005-0000-0000-0000C73A0000}"/>
    <cellStyle name="Normal 2 2 2 2 4 24 5" xfId="15057" xr:uid="{00000000-0005-0000-0000-0000C83A0000}"/>
    <cellStyle name="Normal 2 2 2 2 4 24 5 10" xfId="15058" xr:uid="{00000000-0005-0000-0000-0000C93A0000}"/>
    <cellStyle name="Normal 2 2 2 2 4 24 5 2" xfId="15059" xr:uid="{00000000-0005-0000-0000-0000CA3A0000}"/>
    <cellStyle name="Normal 2 2 2 2 4 24 5 3" xfId="15060" xr:uid="{00000000-0005-0000-0000-0000CB3A0000}"/>
    <cellStyle name="Normal 2 2 2 2 4 24 5 4" xfId="15061" xr:uid="{00000000-0005-0000-0000-0000CC3A0000}"/>
    <cellStyle name="Normal 2 2 2 2 4 24 5 5" xfId="15062" xr:uid="{00000000-0005-0000-0000-0000CD3A0000}"/>
    <cellStyle name="Normal 2 2 2 2 4 24 5 6" xfId="15063" xr:uid="{00000000-0005-0000-0000-0000CE3A0000}"/>
    <cellStyle name="Normal 2 2 2 2 4 24 5 7" xfId="15064" xr:uid="{00000000-0005-0000-0000-0000CF3A0000}"/>
    <cellStyle name="Normal 2 2 2 2 4 24 5 8" xfId="15065" xr:uid="{00000000-0005-0000-0000-0000D03A0000}"/>
    <cellStyle name="Normal 2 2 2 2 4 24 5 9" xfId="15066" xr:uid="{00000000-0005-0000-0000-0000D13A0000}"/>
    <cellStyle name="Normal 2 2 2 2 4 24 6" xfId="15067" xr:uid="{00000000-0005-0000-0000-0000D23A0000}"/>
    <cellStyle name="Normal 2 2 2 2 4 24 7" xfId="15068" xr:uid="{00000000-0005-0000-0000-0000D33A0000}"/>
    <cellStyle name="Normal 2 2 2 2 4 24 8" xfId="15069" xr:uid="{00000000-0005-0000-0000-0000D43A0000}"/>
    <cellStyle name="Normal 2 2 2 2 4 24 9" xfId="15070" xr:uid="{00000000-0005-0000-0000-0000D53A0000}"/>
    <cellStyle name="Normal 2 2 2 2 4 25" xfId="15071" xr:uid="{00000000-0005-0000-0000-0000D63A0000}"/>
    <cellStyle name="Normal 2 2 2 2 4 25 10" xfId="15072" xr:uid="{00000000-0005-0000-0000-0000D73A0000}"/>
    <cellStyle name="Normal 2 2 2 2 4 25 11" xfId="15073" xr:uid="{00000000-0005-0000-0000-0000D83A0000}"/>
    <cellStyle name="Normal 2 2 2 2 4 25 12" xfId="15074" xr:uid="{00000000-0005-0000-0000-0000D93A0000}"/>
    <cellStyle name="Normal 2 2 2 2 4 25 13" xfId="15075" xr:uid="{00000000-0005-0000-0000-0000DA3A0000}"/>
    <cellStyle name="Normal 2 2 2 2 4 25 14" xfId="15076" xr:uid="{00000000-0005-0000-0000-0000DB3A0000}"/>
    <cellStyle name="Normal 2 2 2 2 4 25 2" xfId="15077" xr:uid="{00000000-0005-0000-0000-0000DC3A0000}"/>
    <cellStyle name="Normal 2 2 2 2 4 25 2 10" xfId="15078" xr:uid="{00000000-0005-0000-0000-0000DD3A0000}"/>
    <cellStyle name="Normal 2 2 2 2 4 25 2 2" xfId="15079" xr:uid="{00000000-0005-0000-0000-0000DE3A0000}"/>
    <cellStyle name="Normal 2 2 2 2 4 25 2 3" xfId="15080" xr:uid="{00000000-0005-0000-0000-0000DF3A0000}"/>
    <cellStyle name="Normal 2 2 2 2 4 25 2 4" xfId="15081" xr:uid="{00000000-0005-0000-0000-0000E03A0000}"/>
    <cellStyle name="Normal 2 2 2 2 4 25 2 5" xfId="15082" xr:uid="{00000000-0005-0000-0000-0000E13A0000}"/>
    <cellStyle name="Normal 2 2 2 2 4 25 2 6" xfId="15083" xr:uid="{00000000-0005-0000-0000-0000E23A0000}"/>
    <cellStyle name="Normal 2 2 2 2 4 25 2 7" xfId="15084" xr:uid="{00000000-0005-0000-0000-0000E33A0000}"/>
    <cellStyle name="Normal 2 2 2 2 4 25 2 8" xfId="15085" xr:uid="{00000000-0005-0000-0000-0000E43A0000}"/>
    <cellStyle name="Normal 2 2 2 2 4 25 2 9" xfId="15086" xr:uid="{00000000-0005-0000-0000-0000E53A0000}"/>
    <cellStyle name="Normal 2 2 2 2 4 25 3" xfId="15087" xr:uid="{00000000-0005-0000-0000-0000E63A0000}"/>
    <cellStyle name="Normal 2 2 2 2 4 25 3 10" xfId="15088" xr:uid="{00000000-0005-0000-0000-0000E73A0000}"/>
    <cellStyle name="Normal 2 2 2 2 4 25 3 2" xfId="15089" xr:uid="{00000000-0005-0000-0000-0000E83A0000}"/>
    <cellStyle name="Normal 2 2 2 2 4 25 3 3" xfId="15090" xr:uid="{00000000-0005-0000-0000-0000E93A0000}"/>
    <cellStyle name="Normal 2 2 2 2 4 25 3 4" xfId="15091" xr:uid="{00000000-0005-0000-0000-0000EA3A0000}"/>
    <cellStyle name="Normal 2 2 2 2 4 25 3 5" xfId="15092" xr:uid="{00000000-0005-0000-0000-0000EB3A0000}"/>
    <cellStyle name="Normal 2 2 2 2 4 25 3 6" xfId="15093" xr:uid="{00000000-0005-0000-0000-0000EC3A0000}"/>
    <cellStyle name="Normal 2 2 2 2 4 25 3 7" xfId="15094" xr:uid="{00000000-0005-0000-0000-0000ED3A0000}"/>
    <cellStyle name="Normal 2 2 2 2 4 25 3 8" xfId="15095" xr:uid="{00000000-0005-0000-0000-0000EE3A0000}"/>
    <cellStyle name="Normal 2 2 2 2 4 25 3 9" xfId="15096" xr:uid="{00000000-0005-0000-0000-0000EF3A0000}"/>
    <cellStyle name="Normal 2 2 2 2 4 25 4" xfId="15097" xr:uid="{00000000-0005-0000-0000-0000F03A0000}"/>
    <cellStyle name="Normal 2 2 2 2 4 25 4 10" xfId="15098" xr:uid="{00000000-0005-0000-0000-0000F13A0000}"/>
    <cellStyle name="Normal 2 2 2 2 4 25 4 2" xfId="15099" xr:uid="{00000000-0005-0000-0000-0000F23A0000}"/>
    <cellStyle name="Normal 2 2 2 2 4 25 4 3" xfId="15100" xr:uid="{00000000-0005-0000-0000-0000F33A0000}"/>
    <cellStyle name="Normal 2 2 2 2 4 25 4 4" xfId="15101" xr:uid="{00000000-0005-0000-0000-0000F43A0000}"/>
    <cellStyle name="Normal 2 2 2 2 4 25 4 5" xfId="15102" xr:uid="{00000000-0005-0000-0000-0000F53A0000}"/>
    <cellStyle name="Normal 2 2 2 2 4 25 4 6" xfId="15103" xr:uid="{00000000-0005-0000-0000-0000F63A0000}"/>
    <cellStyle name="Normal 2 2 2 2 4 25 4 7" xfId="15104" xr:uid="{00000000-0005-0000-0000-0000F73A0000}"/>
    <cellStyle name="Normal 2 2 2 2 4 25 4 8" xfId="15105" xr:uid="{00000000-0005-0000-0000-0000F83A0000}"/>
    <cellStyle name="Normal 2 2 2 2 4 25 4 9" xfId="15106" xr:uid="{00000000-0005-0000-0000-0000F93A0000}"/>
    <cellStyle name="Normal 2 2 2 2 4 25 5" xfId="15107" xr:uid="{00000000-0005-0000-0000-0000FA3A0000}"/>
    <cellStyle name="Normal 2 2 2 2 4 25 5 10" xfId="15108" xr:uid="{00000000-0005-0000-0000-0000FB3A0000}"/>
    <cellStyle name="Normal 2 2 2 2 4 25 5 2" xfId="15109" xr:uid="{00000000-0005-0000-0000-0000FC3A0000}"/>
    <cellStyle name="Normal 2 2 2 2 4 25 5 3" xfId="15110" xr:uid="{00000000-0005-0000-0000-0000FD3A0000}"/>
    <cellStyle name="Normal 2 2 2 2 4 25 5 4" xfId="15111" xr:uid="{00000000-0005-0000-0000-0000FE3A0000}"/>
    <cellStyle name="Normal 2 2 2 2 4 25 5 5" xfId="15112" xr:uid="{00000000-0005-0000-0000-0000FF3A0000}"/>
    <cellStyle name="Normal 2 2 2 2 4 25 5 6" xfId="15113" xr:uid="{00000000-0005-0000-0000-0000003B0000}"/>
    <cellStyle name="Normal 2 2 2 2 4 25 5 7" xfId="15114" xr:uid="{00000000-0005-0000-0000-0000013B0000}"/>
    <cellStyle name="Normal 2 2 2 2 4 25 5 8" xfId="15115" xr:uid="{00000000-0005-0000-0000-0000023B0000}"/>
    <cellStyle name="Normal 2 2 2 2 4 25 5 9" xfId="15116" xr:uid="{00000000-0005-0000-0000-0000033B0000}"/>
    <cellStyle name="Normal 2 2 2 2 4 25 6" xfId="15117" xr:uid="{00000000-0005-0000-0000-0000043B0000}"/>
    <cellStyle name="Normal 2 2 2 2 4 25 7" xfId="15118" xr:uid="{00000000-0005-0000-0000-0000053B0000}"/>
    <cellStyle name="Normal 2 2 2 2 4 25 8" xfId="15119" xr:uid="{00000000-0005-0000-0000-0000063B0000}"/>
    <cellStyle name="Normal 2 2 2 2 4 25 9" xfId="15120" xr:uid="{00000000-0005-0000-0000-0000073B0000}"/>
    <cellStyle name="Normal 2 2 2 2 4 26" xfId="15121" xr:uid="{00000000-0005-0000-0000-0000083B0000}"/>
    <cellStyle name="Normal 2 2 2 2 4 26 10" xfId="15122" xr:uid="{00000000-0005-0000-0000-0000093B0000}"/>
    <cellStyle name="Normal 2 2 2 2 4 26 11" xfId="15123" xr:uid="{00000000-0005-0000-0000-00000A3B0000}"/>
    <cellStyle name="Normal 2 2 2 2 4 26 12" xfId="15124" xr:uid="{00000000-0005-0000-0000-00000B3B0000}"/>
    <cellStyle name="Normal 2 2 2 2 4 26 13" xfId="15125" xr:uid="{00000000-0005-0000-0000-00000C3B0000}"/>
    <cellStyle name="Normal 2 2 2 2 4 26 14" xfId="15126" xr:uid="{00000000-0005-0000-0000-00000D3B0000}"/>
    <cellStyle name="Normal 2 2 2 2 4 26 2" xfId="15127" xr:uid="{00000000-0005-0000-0000-00000E3B0000}"/>
    <cellStyle name="Normal 2 2 2 2 4 26 2 10" xfId="15128" xr:uid="{00000000-0005-0000-0000-00000F3B0000}"/>
    <cellStyle name="Normal 2 2 2 2 4 26 2 2" xfId="15129" xr:uid="{00000000-0005-0000-0000-0000103B0000}"/>
    <cellStyle name="Normal 2 2 2 2 4 26 2 3" xfId="15130" xr:uid="{00000000-0005-0000-0000-0000113B0000}"/>
    <cellStyle name="Normal 2 2 2 2 4 26 2 4" xfId="15131" xr:uid="{00000000-0005-0000-0000-0000123B0000}"/>
    <cellStyle name="Normal 2 2 2 2 4 26 2 5" xfId="15132" xr:uid="{00000000-0005-0000-0000-0000133B0000}"/>
    <cellStyle name="Normal 2 2 2 2 4 26 2 6" xfId="15133" xr:uid="{00000000-0005-0000-0000-0000143B0000}"/>
    <cellStyle name="Normal 2 2 2 2 4 26 2 7" xfId="15134" xr:uid="{00000000-0005-0000-0000-0000153B0000}"/>
    <cellStyle name="Normal 2 2 2 2 4 26 2 8" xfId="15135" xr:uid="{00000000-0005-0000-0000-0000163B0000}"/>
    <cellStyle name="Normal 2 2 2 2 4 26 2 9" xfId="15136" xr:uid="{00000000-0005-0000-0000-0000173B0000}"/>
    <cellStyle name="Normal 2 2 2 2 4 26 3" xfId="15137" xr:uid="{00000000-0005-0000-0000-0000183B0000}"/>
    <cellStyle name="Normal 2 2 2 2 4 26 3 10" xfId="15138" xr:uid="{00000000-0005-0000-0000-0000193B0000}"/>
    <cellStyle name="Normal 2 2 2 2 4 26 3 2" xfId="15139" xr:uid="{00000000-0005-0000-0000-00001A3B0000}"/>
    <cellStyle name="Normal 2 2 2 2 4 26 3 3" xfId="15140" xr:uid="{00000000-0005-0000-0000-00001B3B0000}"/>
    <cellStyle name="Normal 2 2 2 2 4 26 3 4" xfId="15141" xr:uid="{00000000-0005-0000-0000-00001C3B0000}"/>
    <cellStyle name="Normal 2 2 2 2 4 26 3 5" xfId="15142" xr:uid="{00000000-0005-0000-0000-00001D3B0000}"/>
    <cellStyle name="Normal 2 2 2 2 4 26 3 6" xfId="15143" xr:uid="{00000000-0005-0000-0000-00001E3B0000}"/>
    <cellStyle name="Normal 2 2 2 2 4 26 3 7" xfId="15144" xr:uid="{00000000-0005-0000-0000-00001F3B0000}"/>
    <cellStyle name="Normal 2 2 2 2 4 26 3 8" xfId="15145" xr:uid="{00000000-0005-0000-0000-0000203B0000}"/>
    <cellStyle name="Normal 2 2 2 2 4 26 3 9" xfId="15146" xr:uid="{00000000-0005-0000-0000-0000213B0000}"/>
    <cellStyle name="Normal 2 2 2 2 4 26 4" xfId="15147" xr:uid="{00000000-0005-0000-0000-0000223B0000}"/>
    <cellStyle name="Normal 2 2 2 2 4 26 4 10" xfId="15148" xr:uid="{00000000-0005-0000-0000-0000233B0000}"/>
    <cellStyle name="Normal 2 2 2 2 4 26 4 2" xfId="15149" xr:uid="{00000000-0005-0000-0000-0000243B0000}"/>
    <cellStyle name="Normal 2 2 2 2 4 26 4 3" xfId="15150" xr:uid="{00000000-0005-0000-0000-0000253B0000}"/>
    <cellStyle name="Normal 2 2 2 2 4 26 4 4" xfId="15151" xr:uid="{00000000-0005-0000-0000-0000263B0000}"/>
    <cellStyle name="Normal 2 2 2 2 4 26 4 5" xfId="15152" xr:uid="{00000000-0005-0000-0000-0000273B0000}"/>
    <cellStyle name="Normal 2 2 2 2 4 26 4 6" xfId="15153" xr:uid="{00000000-0005-0000-0000-0000283B0000}"/>
    <cellStyle name="Normal 2 2 2 2 4 26 4 7" xfId="15154" xr:uid="{00000000-0005-0000-0000-0000293B0000}"/>
    <cellStyle name="Normal 2 2 2 2 4 26 4 8" xfId="15155" xr:uid="{00000000-0005-0000-0000-00002A3B0000}"/>
    <cellStyle name="Normal 2 2 2 2 4 26 4 9" xfId="15156" xr:uid="{00000000-0005-0000-0000-00002B3B0000}"/>
    <cellStyle name="Normal 2 2 2 2 4 26 5" xfId="15157" xr:uid="{00000000-0005-0000-0000-00002C3B0000}"/>
    <cellStyle name="Normal 2 2 2 2 4 26 5 10" xfId="15158" xr:uid="{00000000-0005-0000-0000-00002D3B0000}"/>
    <cellStyle name="Normal 2 2 2 2 4 26 5 2" xfId="15159" xr:uid="{00000000-0005-0000-0000-00002E3B0000}"/>
    <cellStyle name="Normal 2 2 2 2 4 26 5 3" xfId="15160" xr:uid="{00000000-0005-0000-0000-00002F3B0000}"/>
    <cellStyle name="Normal 2 2 2 2 4 26 5 4" xfId="15161" xr:uid="{00000000-0005-0000-0000-0000303B0000}"/>
    <cellStyle name="Normal 2 2 2 2 4 26 5 5" xfId="15162" xr:uid="{00000000-0005-0000-0000-0000313B0000}"/>
    <cellStyle name="Normal 2 2 2 2 4 26 5 6" xfId="15163" xr:uid="{00000000-0005-0000-0000-0000323B0000}"/>
    <cellStyle name="Normal 2 2 2 2 4 26 5 7" xfId="15164" xr:uid="{00000000-0005-0000-0000-0000333B0000}"/>
    <cellStyle name="Normal 2 2 2 2 4 26 5 8" xfId="15165" xr:uid="{00000000-0005-0000-0000-0000343B0000}"/>
    <cellStyle name="Normal 2 2 2 2 4 26 5 9" xfId="15166" xr:uid="{00000000-0005-0000-0000-0000353B0000}"/>
    <cellStyle name="Normal 2 2 2 2 4 26 6" xfId="15167" xr:uid="{00000000-0005-0000-0000-0000363B0000}"/>
    <cellStyle name="Normal 2 2 2 2 4 26 7" xfId="15168" xr:uid="{00000000-0005-0000-0000-0000373B0000}"/>
    <cellStyle name="Normal 2 2 2 2 4 26 8" xfId="15169" xr:uid="{00000000-0005-0000-0000-0000383B0000}"/>
    <cellStyle name="Normal 2 2 2 2 4 26 9" xfId="15170" xr:uid="{00000000-0005-0000-0000-0000393B0000}"/>
    <cellStyle name="Normal 2 2 2 2 4 27" xfId="15171" xr:uid="{00000000-0005-0000-0000-00003A3B0000}"/>
    <cellStyle name="Normal 2 2 2 2 4 27 10" xfId="15172" xr:uid="{00000000-0005-0000-0000-00003B3B0000}"/>
    <cellStyle name="Normal 2 2 2 2 4 27 11" xfId="15173" xr:uid="{00000000-0005-0000-0000-00003C3B0000}"/>
    <cellStyle name="Normal 2 2 2 2 4 27 12" xfId="15174" xr:uid="{00000000-0005-0000-0000-00003D3B0000}"/>
    <cellStyle name="Normal 2 2 2 2 4 27 13" xfId="15175" xr:uid="{00000000-0005-0000-0000-00003E3B0000}"/>
    <cellStyle name="Normal 2 2 2 2 4 27 14" xfId="15176" xr:uid="{00000000-0005-0000-0000-00003F3B0000}"/>
    <cellStyle name="Normal 2 2 2 2 4 27 2" xfId="15177" xr:uid="{00000000-0005-0000-0000-0000403B0000}"/>
    <cellStyle name="Normal 2 2 2 2 4 27 2 10" xfId="15178" xr:uid="{00000000-0005-0000-0000-0000413B0000}"/>
    <cellStyle name="Normal 2 2 2 2 4 27 2 2" xfId="15179" xr:uid="{00000000-0005-0000-0000-0000423B0000}"/>
    <cellStyle name="Normal 2 2 2 2 4 27 2 3" xfId="15180" xr:uid="{00000000-0005-0000-0000-0000433B0000}"/>
    <cellStyle name="Normal 2 2 2 2 4 27 2 4" xfId="15181" xr:uid="{00000000-0005-0000-0000-0000443B0000}"/>
    <cellStyle name="Normal 2 2 2 2 4 27 2 5" xfId="15182" xr:uid="{00000000-0005-0000-0000-0000453B0000}"/>
    <cellStyle name="Normal 2 2 2 2 4 27 2 6" xfId="15183" xr:uid="{00000000-0005-0000-0000-0000463B0000}"/>
    <cellStyle name="Normal 2 2 2 2 4 27 2 7" xfId="15184" xr:uid="{00000000-0005-0000-0000-0000473B0000}"/>
    <cellStyle name="Normal 2 2 2 2 4 27 2 8" xfId="15185" xr:uid="{00000000-0005-0000-0000-0000483B0000}"/>
    <cellStyle name="Normal 2 2 2 2 4 27 2 9" xfId="15186" xr:uid="{00000000-0005-0000-0000-0000493B0000}"/>
    <cellStyle name="Normal 2 2 2 2 4 27 3" xfId="15187" xr:uid="{00000000-0005-0000-0000-00004A3B0000}"/>
    <cellStyle name="Normal 2 2 2 2 4 27 3 10" xfId="15188" xr:uid="{00000000-0005-0000-0000-00004B3B0000}"/>
    <cellStyle name="Normal 2 2 2 2 4 27 3 2" xfId="15189" xr:uid="{00000000-0005-0000-0000-00004C3B0000}"/>
    <cellStyle name="Normal 2 2 2 2 4 27 3 3" xfId="15190" xr:uid="{00000000-0005-0000-0000-00004D3B0000}"/>
    <cellStyle name="Normal 2 2 2 2 4 27 3 4" xfId="15191" xr:uid="{00000000-0005-0000-0000-00004E3B0000}"/>
    <cellStyle name="Normal 2 2 2 2 4 27 3 5" xfId="15192" xr:uid="{00000000-0005-0000-0000-00004F3B0000}"/>
    <cellStyle name="Normal 2 2 2 2 4 27 3 6" xfId="15193" xr:uid="{00000000-0005-0000-0000-0000503B0000}"/>
    <cellStyle name="Normal 2 2 2 2 4 27 3 7" xfId="15194" xr:uid="{00000000-0005-0000-0000-0000513B0000}"/>
    <cellStyle name="Normal 2 2 2 2 4 27 3 8" xfId="15195" xr:uid="{00000000-0005-0000-0000-0000523B0000}"/>
    <cellStyle name="Normal 2 2 2 2 4 27 3 9" xfId="15196" xr:uid="{00000000-0005-0000-0000-0000533B0000}"/>
    <cellStyle name="Normal 2 2 2 2 4 27 4" xfId="15197" xr:uid="{00000000-0005-0000-0000-0000543B0000}"/>
    <cellStyle name="Normal 2 2 2 2 4 27 4 10" xfId="15198" xr:uid="{00000000-0005-0000-0000-0000553B0000}"/>
    <cellStyle name="Normal 2 2 2 2 4 27 4 2" xfId="15199" xr:uid="{00000000-0005-0000-0000-0000563B0000}"/>
    <cellStyle name="Normal 2 2 2 2 4 27 4 3" xfId="15200" xr:uid="{00000000-0005-0000-0000-0000573B0000}"/>
    <cellStyle name="Normal 2 2 2 2 4 27 4 4" xfId="15201" xr:uid="{00000000-0005-0000-0000-0000583B0000}"/>
    <cellStyle name="Normal 2 2 2 2 4 27 4 5" xfId="15202" xr:uid="{00000000-0005-0000-0000-0000593B0000}"/>
    <cellStyle name="Normal 2 2 2 2 4 27 4 6" xfId="15203" xr:uid="{00000000-0005-0000-0000-00005A3B0000}"/>
    <cellStyle name="Normal 2 2 2 2 4 27 4 7" xfId="15204" xr:uid="{00000000-0005-0000-0000-00005B3B0000}"/>
    <cellStyle name="Normal 2 2 2 2 4 27 4 8" xfId="15205" xr:uid="{00000000-0005-0000-0000-00005C3B0000}"/>
    <cellStyle name="Normal 2 2 2 2 4 27 4 9" xfId="15206" xr:uid="{00000000-0005-0000-0000-00005D3B0000}"/>
    <cellStyle name="Normal 2 2 2 2 4 27 5" xfId="15207" xr:uid="{00000000-0005-0000-0000-00005E3B0000}"/>
    <cellStyle name="Normal 2 2 2 2 4 27 5 10" xfId="15208" xr:uid="{00000000-0005-0000-0000-00005F3B0000}"/>
    <cellStyle name="Normal 2 2 2 2 4 27 5 2" xfId="15209" xr:uid="{00000000-0005-0000-0000-0000603B0000}"/>
    <cellStyle name="Normal 2 2 2 2 4 27 5 3" xfId="15210" xr:uid="{00000000-0005-0000-0000-0000613B0000}"/>
    <cellStyle name="Normal 2 2 2 2 4 27 5 4" xfId="15211" xr:uid="{00000000-0005-0000-0000-0000623B0000}"/>
    <cellStyle name="Normal 2 2 2 2 4 27 5 5" xfId="15212" xr:uid="{00000000-0005-0000-0000-0000633B0000}"/>
    <cellStyle name="Normal 2 2 2 2 4 27 5 6" xfId="15213" xr:uid="{00000000-0005-0000-0000-0000643B0000}"/>
    <cellStyle name="Normal 2 2 2 2 4 27 5 7" xfId="15214" xr:uid="{00000000-0005-0000-0000-0000653B0000}"/>
    <cellStyle name="Normal 2 2 2 2 4 27 5 8" xfId="15215" xr:uid="{00000000-0005-0000-0000-0000663B0000}"/>
    <cellStyle name="Normal 2 2 2 2 4 27 5 9" xfId="15216" xr:uid="{00000000-0005-0000-0000-0000673B0000}"/>
    <cellStyle name="Normal 2 2 2 2 4 27 6" xfId="15217" xr:uid="{00000000-0005-0000-0000-0000683B0000}"/>
    <cellStyle name="Normal 2 2 2 2 4 27 7" xfId="15218" xr:uid="{00000000-0005-0000-0000-0000693B0000}"/>
    <cellStyle name="Normal 2 2 2 2 4 27 8" xfId="15219" xr:uid="{00000000-0005-0000-0000-00006A3B0000}"/>
    <cellStyle name="Normal 2 2 2 2 4 27 9" xfId="15220" xr:uid="{00000000-0005-0000-0000-00006B3B0000}"/>
    <cellStyle name="Normal 2 2 2 2 4 28" xfId="15221" xr:uid="{00000000-0005-0000-0000-00006C3B0000}"/>
    <cellStyle name="Normal 2 2 2 2 4 28 10" xfId="15222" xr:uid="{00000000-0005-0000-0000-00006D3B0000}"/>
    <cellStyle name="Normal 2 2 2 2 4 28 11" xfId="15223" xr:uid="{00000000-0005-0000-0000-00006E3B0000}"/>
    <cellStyle name="Normal 2 2 2 2 4 28 12" xfId="15224" xr:uid="{00000000-0005-0000-0000-00006F3B0000}"/>
    <cellStyle name="Normal 2 2 2 2 4 28 13" xfId="15225" xr:uid="{00000000-0005-0000-0000-0000703B0000}"/>
    <cellStyle name="Normal 2 2 2 2 4 28 14" xfId="15226" xr:uid="{00000000-0005-0000-0000-0000713B0000}"/>
    <cellStyle name="Normal 2 2 2 2 4 28 2" xfId="15227" xr:uid="{00000000-0005-0000-0000-0000723B0000}"/>
    <cellStyle name="Normal 2 2 2 2 4 28 2 10" xfId="15228" xr:uid="{00000000-0005-0000-0000-0000733B0000}"/>
    <cellStyle name="Normal 2 2 2 2 4 28 2 2" xfId="15229" xr:uid="{00000000-0005-0000-0000-0000743B0000}"/>
    <cellStyle name="Normal 2 2 2 2 4 28 2 3" xfId="15230" xr:uid="{00000000-0005-0000-0000-0000753B0000}"/>
    <cellStyle name="Normal 2 2 2 2 4 28 2 4" xfId="15231" xr:uid="{00000000-0005-0000-0000-0000763B0000}"/>
    <cellStyle name="Normal 2 2 2 2 4 28 2 5" xfId="15232" xr:uid="{00000000-0005-0000-0000-0000773B0000}"/>
    <cellStyle name="Normal 2 2 2 2 4 28 2 6" xfId="15233" xr:uid="{00000000-0005-0000-0000-0000783B0000}"/>
    <cellStyle name="Normal 2 2 2 2 4 28 2 7" xfId="15234" xr:uid="{00000000-0005-0000-0000-0000793B0000}"/>
    <cellStyle name="Normal 2 2 2 2 4 28 2 8" xfId="15235" xr:uid="{00000000-0005-0000-0000-00007A3B0000}"/>
    <cellStyle name="Normal 2 2 2 2 4 28 2 9" xfId="15236" xr:uid="{00000000-0005-0000-0000-00007B3B0000}"/>
    <cellStyle name="Normal 2 2 2 2 4 28 3" xfId="15237" xr:uid="{00000000-0005-0000-0000-00007C3B0000}"/>
    <cellStyle name="Normal 2 2 2 2 4 28 3 10" xfId="15238" xr:uid="{00000000-0005-0000-0000-00007D3B0000}"/>
    <cellStyle name="Normal 2 2 2 2 4 28 3 2" xfId="15239" xr:uid="{00000000-0005-0000-0000-00007E3B0000}"/>
    <cellStyle name="Normal 2 2 2 2 4 28 3 3" xfId="15240" xr:uid="{00000000-0005-0000-0000-00007F3B0000}"/>
    <cellStyle name="Normal 2 2 2 2 4 28 3 4" xfId="15241" xr:uid="{00000000-0005-0000-0000-0000803B0000}"/>
    <cellStyle name="Normal 2 2 2 2 4 28 3 5" xfId="15242" xr:uid="{00000000-0005-0000-0000-0000813B0000}"/>
    <cellStyle name="Normal 2 2 2 2 4 28 3 6" xfId="15243" xr:uid="{00000000-0005-0000-0000-0000823B0000}"/>
    <cellStyle name="Normal 2 2 2 2 4 28 3 7" xfId="15244" xr:uid="{00000000-0005-0000-0000-0000833B0000}"/>
    <cellStyle name="Normal 2 2 2 2 4 28 3 8" xfId="15245" xr:uid="{00000000-0005-0000-0000-0000843B0000}"/>
    <cellStyle name="Normal 2 2 2 2 4 28 3 9" xfId="15246" xr:uid="{00000000-0005-0000-0000-0000853B0000}"/>
    <cellStyle name="Normal 2 2 2 2 4 28 4" xfId="15247" xr:uid="{00000000-0005-0000-0000-0000863B0000}"/>
    <cellStyle name="Normal 2 2 2 2 4 28 4 10" xfId="15248" xr:uid="{00000000-0005-0000-0000-0000873B0000}"/>
    <cellStyle name="Normal 2 2 2 2 4 28 4 2" xfId="15249" xr:uid="{00000000-0005-0000-0000-0000883B0000}"/>
    <cellStyle name="Normal 2 2 2 2 4 28 4 3" xfId="15250" xr:uid="{00000000-0005-0000-0000-0000893B0000}"/>
    <cellStyle name="Normal 2 2 2 2 4 28 4 4" xfId="15251" xr:uid="{00000000-0005-0000-0000-00008A3B0000}"/>
    <cellStyle name="Normal 2 2 2 2 4 28 4 5" xfId="15252" xr:uid="{00000000-0005-0000-0000-00008B3B0000}"/>
    <cellStyle name="Normal 2 2 2 2 4 28 4 6" xfId="15253" xr:uid="{00000000-0005-0000-0000-00008C3B0000}"/>
    <cellStyle name="Normal 2 2 2 2 4 28 4 7" xfId="15254" xr:uid="{00000000-0005-0000-0000-00008D3B0000}"/>
    <cellStyle name="Normal 2 2 2 2 4 28 4 8" xfId="15255" xr:uid="{00000000-0005-0000-0000-00008E3B0000}"/>
    <cellStyle name="Normal 2 2 2 2 4 28 4 9" xfId="15256" xr:uid="{00000000-0005-0000-0000-00008F3B0000}"/>
    <cellStyle name="Normal 2 2 2 2 4 28 5" xfId="15257" xr:uid="{00000000-0005-0000-0000-0000903B0000}"/>
    <cellStyle name="Normal 2 2 2 2 4 28 5 10" xfId="15258" xr:uid="{00000000-0005-0000-0000-0000913B0000}"/>
    <cellStyle name="Normal 2 2 2 2 4 28 5 2" xfId="15259" xr:uid="{00000000-0005-0000-0000-0000923B0000}"/>
    <cellStyle name="Normal 2 2 2 2 4 28 5 3" xfId="15260" xr:uid="{00000000-0005-0000-0000-0000933B0000}"/>
    <cellStyle name="Normal 2 2 2 2 4 28 5 4" xfId="15261" xr:uid="{00000000-0005-0000-0000-0000943B0000}"/>
    <cellStyle name="Normal 2 2 2 2 4 28 5 5" xfId="15262" xr:uid="{00000000-0005-0000-0000-0000953B0000}"/>
    <cellStyle name="Normal 2 2 2 2 4 28 5 6" xfId="15263" xr:uid="{00000000-0005-0000-0000-0000963B0000}"/>
    <cellStyle name="Normal 2 2 2 2 4 28 5 7" xfId="15264" xr:uid="{00000000-0005-0000-0000-0000973B0000}"/>
    <cellStyle name="Normal 2 2 2 2 4 28 5 8" xfId="15265" xr:uid="{00000000-0005-0000-0000-0000983B0000}"/>
    <cellStyle name="Normal 2 2 2 2 4 28 5 9" xfId="15266" xr:uid="{00000000-0005-0000-0000-0000993B0000}"/>
    <cellStyle name="Normal 2 2 2 2 4 28 6" xfId="15267" xr:uid="{00000000-0005-0000-0000-00009A3B0000}"/>
    <cellStyle name="Normal 2 2 2 2 4 28 7" xfId="15268" xr:uid="{00000000-0005-0000-0000-00009B3B0000}"/>
    <cellStyle name="Normal 2 2 2 2 4 28 8" xfId="15269" xr:uid="{00000000-0005-0000-0000-00009C3B0000}"/>
    <cellStyle name="Normal 2 2 2 2 4 28 9" xfId="15270" xr:uid="{00000000-0005-0000-0000-00009D3B0000}"/>
    <cellStyle name="Normal 2 2 2 2 4 29" xfId="15271" xr:uid="{00000000-0005-0000-0000-00009E3B0000}"/>
    <cellStyle name="Normal 2 2 2 2 4 29 10" xfId="15272" xr:uid="{00000000-0005-0000-0000-00009F3B0000}"/>
    <cellStyle name="Normal 2 2 2 2 4 29 11" xfId="15273" xr:uid="{00000000-0005-0000-0000-0000A03B0000}"/>
    <cellStyle name="Normal 2 2 2 2 4 29 12" xfId="15274" xr:uid="{00000000-0005-0000-0000-0000A13B0000}"/>
    <cellStyle name="Normal 2 2 2 2 4 29 13" xfId="15275" xr:uid="{00000000-0005-0000-0000-0000A23B0000}"/>
    <cellStyle name="Normal 2 2 2 2 4 29 14" xfId="15276" xr:uid="{00000000-0005-0000-0000-0000A33B0000}"/>
    <cellStyle name="Normal 2 2 2 2 4 29 2" xfId="15277" xr:uid="{00000000-0005-0000-0000-0000A43B0000}"/>
    <cellStyle name="Normal 2 2 2 2 4 29 2 10" xfId="15278" xr:uid="{00000000-0005-0000-0000-0000A53B0000}"/>
    <cellStyle name="Normal 2 2 2 2 4 29 2 2" xfId="15279" xr:uid="{00000000-0005-0000-0000-0000A63B0000}"/>
    <cellStyle name="Normal 2 2 2 2 4 29 2 3" xfId="15280" xr:uid="{00000000-0005-0000-0000-0000A73B0000}"/>
    <cellStyle name="Normal 2 2 2 2 4 29 2 4" xfId="15281" xr:uid="{00000000-0005-0000-0000-0000A83B0000}"/>
    <cellStyle name="Normal 2 2 2 2 4 29 2 5" xfId="15282" xr:uid="{00000000-0005-0000-0000-0000A93B0000}"/>
    <cellStyle name="Normal 2 2 2 2 4 29 2 6" xfId="15283" xr:uid="{00000000-0005-0000-0000-0000AA3B0000}"/>
    <cellStyle name="Normal 2 2 2 2 4 29 2 7" xfId="15284" xr:uid="{00000000-0005-0000-0000-0000AB3B0000}"/>
    <cellStyle name="Normal 2 2 2 2 4 29 2 8" xfId="15285" xr:uid="{00000000-0005-0000-0000-0000AC3B0000}"/>
    <cellStyle name="Normal 2 2 2 2 4 29 2 9" xfId="15286" xr:uid="{00000000-0005-0000-0000-0000AD3B0000}"/>
    <cellStyle name="Normal 2 2 2 2 4 29 3" xfId="15287" xr:uid="{00000000-0005-0000-0000-0000AE3B0000}"/>
    <cellStyle name="Normal 2 2 2 2 4 29 3 10" xfId="15288" xr:uid="{00000000-0005-0000-0000-0000AF3B0000}"/>
    <cellStyle name="Normal 2 2 2 2 4 29 3 2" xfId="15289" xr:uid="{00000000-0005-0000-0000-0000B03B0000}"/>
    <cellStyle name="Normal 2 2 2 2 4 29 3 3" xfId="15290" xr:uid="{00000000-0005-0000-0000-0000B13B0000}"/>
    <cellStyle name="Normal 2 2 2 2 4 29 3 4" xfId="15291" xr:uid="{00000000-0005-0000-0000-0000B23B0000}"/>
    <cellStyle name="Normal 2 2 2 2 4 29 3 5" xfId="15292" xr:uid="{00000000-0005-0000-0000-0000B33B0000}"/>
    <cellStyle name="Normal 2 2 2 2 4 29 3 6" xfId="15293" xr:uid="{00000000-0005-0000-0000-0000B43B0000}"/>
    <cellStyle name="Normal 2 2 2 2 4 29 3 7" xfId="15294" xr:uid="{00000000-0005-0000-0000-0000B53B0000}"/>
    <cellStyle name="Normal 2 2 2 2 4 29 3 8" xfId="15295" xr:uid="{00000000-0005-0000-0000-0000B63B0000}"/>
    <cellStyle name="Normal 2 2 2 2 4 29 3 9" xfId="15296" xr:uid="{00000000-0005-0000-0000-0000B73B0000}"/>
    <cellStyle name="Normal 2 2 2 2 4 29 4" xfId="15297" xr:uid="{00000000-0005-0000-0000-0000B83B0000}"/>
    <cellStyle name="Normal 2 2 2 2 4 29 4 10" xfId="15298" xr:uid="{00000000-0005-0000-0000-0000B93B0000}"/>
    <cellStyle name="Normal 2 2 2 2 4 29 4 2" xfId="15299" xr:uid="{00000000-0005-0000-0000-0000BA3B0000}"/>
    <cellStyle name="Normal 2 2 2 2 4 29 4 3" xfId="15300" xr:uid="{00000000-0005-0000-0000-0000BB3B0000}"/>
    <cellStyle name="Normal 2 2 2 2 4 29 4 4" xfId="15301" xr:uid="{00000000-0005-0000-0000-0000BC3B0000}"/>
    <cellStyle name="Normal 2 2 2 2 4 29 4 5" xfId="15302" xr:uid="{00000000-0005-0000-0000-0000BD3B0000}"/>
    <cellStyle name="Normal 2 2 2 2 4 29 4 6" xfId="15303" xr:uid="{00000000-0005-0000-0000-0000BE3B0000}"/>
    <cellStyle name="Normal 2 2 2 2 4 29 4 7" xfId="15304" xr:uid="{00000000-0005-0000-0000-0000BF3B0000}"/>
    <cellStyle name="Normal 2 2 2 2 4 29 4 8" xfId="15305" xr:uid="{00000000-0005-0000-0000-0000C03B0000}"/>
    <cellStyle name="Normal 2 2 2 2 4 29 4 9" xfId="15306" xr:uid="{00000000-0005-0000-0000-0000C13B0000}"/>
    <cellStyle name="Normal 2 2 2 2 4 29 5" xfId="15307" xr:uid="{00000000-0005-0000-0000-0000C23B0000}"/>
    <cellStyle name="Normal 2 2 2 2 4 29 5 10" xfId="15308" xr:uid="{00000000-0005-0000-0000-0000C33B0000}"/>
    <cellStyle name="Normal 2 2 2 2 4 29 5 2" xfId="15309" xr:uid="{00000000-0005-0000-0000-0000C43B0000}"/>
    <cellStyle name="Normal 2 2 2 2 4 29 5 3" xfId="15310" xr:uid="{00000000-0005-0000-0000-0000C53B0000}"/>
    <cellStyle name="Normal 2 2 2 2 4 29 5 4" xfId="15311" xr:uid="{00000000-0005-0000-0000-0000C63B0000}"/>
    <cellStyle name="Normal 2 2 2 2 4 29 5 5" xfId="15312" xr:uid="{00000000-0005-0000-0000-0000C73B0000}"/>
    <cellStyle name="Normal 2 2 2 2 4 29 5 6" xfId="15313" xr:uid="{00000000-0005-0000-0000-0000C83B0000}"/>
    <cellStyle name="Normal 2 2 2 2 4 29 5 7" xfId="15314" xr:uid="{00000000-0005-0000-0000-0000C93B0000}"/>
    <cellStyle name="Normal 2 2 2 2 4 29 5 8" xfId="15315" xr:uid="{00000000-0005-0000-0000-0000CA3B0000}"/>
    <cellStyle name="Normal 2 2 2 2 4 29 5 9" xfId="15316" xr:uid="{00000000-0005-0000-0000-0000CB3B0000}"/>
    <cellStyle name="Normal 2 2 2 2 4 29 6" xfId="15317" xr:uid="{00000000-0005-0000-0000-0000CC3B0000}"/>
    <cellStyle name="Normal 2 2 2 2 4 29 7" xfId="15318" xr:uid="{00000000-0005-0000-0000-0000CD3B0000}"/>
    <cellStyle name="Normal 2 2 2 2 4 29 8" xfId="15319" xr:uid="{00000000-0005-0000-0000-0000CE3B0000}"/>
    <cellStyle name="Normal 2 2 2 2 4 29 9" xfId="15320" xr:uid="{00000000-0005-0000-0000-0000CF3B0000}"/>
    <cellStyle name="Normal 2 2 2 2 4 3" xfId="15321" xr:uid="{00000000-0005-0000-0000-0000D03B0000}"/>
    <cellStyle name="Normal 2 2 2 2 4 3 10" xfId="15322" xr:uid="{00000000-0005-0000-0000-0000D13B0000}"/>
    <cellStyle name="Normal 2 2 2 2 4 3 11" xfId="15323" xr:uid="{00000000-0005-0000-0000-0000D23B0000}"/>
    <cellStyle name="Normal 2 2 2 2 4 3 12" xfId="15324" xr:uid="{00000000-0005-0000-0000-0000D33B0000}"/>
    <cellStyle name="Normal 2 2 2 2 4 3 13" xfId="15325" xr:uid="{00000000-0005-0000-0000-0000D43B0000}"/>
    <cellStyle name="Normal 2 2 2 2 4 3 14" xfId="15326" xr:uid="{00000000-0005-0000-0000-0000D53B0000}"/>
    <cellStyle name="Normal 2 2 2 2 4 3 2" xfId="15327" xr:uid="{00000000-0005-0000-0000-0000D63B0000}"/>
    <cellStyle name="Normal 2 2 2 2 4 3 2 10" xfId="15328" xr:uid="{00000000-0005-0000-0000-0000D73B0000}"/>
    <cellStyle name="Normal 2 2 2 2 4 3 2 2" xfId="15329" xr:uid="{00000000-0005-0000-0000-0000D83B0000}"/>
    <cellStyle name="Normal 2 2 2 2 4 3 2 3" xfId="15330" xr:uid="{00000000-0005-0000-0000-0000D93B0000}"/>
    <cellStyle name="Normal 2 2 2 2 4 3 2 4" xfId="15331" xr:uid="{00000000-0005-0000-0000-0000DA3B0000}"/>
    <cellStyle name="Normal 2 2 2 2 4 3 2 5" xfId="15332" xr:uid="{00000000-0005-0000-0000-0000DB3B0000}"/>
    <cellStyle name="Normal 2 2 2 2 4 3 2 6" xfId="15333" xr:uid="{00000000-0005-0000-0000-0000DC3B0000}"/>
    <cellStyle name="Normal 2 2 2 2 4 3 2 7" xfId="15334" xr:uid="{00000000-0005-0000-0000-0000DD3B0000}"/>
    <cellStyle name="Normal 2 2 2 2 4 3 2 8" xfId="15335" xr:uid="{00000000-0005-0000-0000-0000DE3B0000}"/>
    <cellStyle name="Normal 2 2 2 2 4 3 2 9" xfId="15336" xr:uid="{00000000-0005-0000-0000-0000DF3B0000}"/>
    <cellStyle name="Normal 2 2 2 2 4 3 3" xfId="15337" xr:uid="{00000000-0005-0000-0000-0000E03B0000}"/>
    <cellStyle name="Normal 2 2 2 2 4 3 3 10" xfId="15338" xr:uid="{00000000-0005-0000-0000-0000E13B0000}"/>
    <cellStyle name="Normal 2 2 2 2 4 3 3 2" xfId="15339" xr:uid="{00000000-0005-0000-0000-0000E23B0000}"/>
    <cellStyle name="Normal 2 2 2 2 4 3 3 3" xfId="15340" xr:uid="{00000000-0005-0000-0000-0000E33B0000}"/>
    <cellStyle name="Normal 2 2 2 2 4 3 3 4" xfId="15341" xr:uid="{00000000-0005-0000-0000-0000E43B0000}"/>
    <cellStyle name="Normal 2 2 2 2 4 3 3 5" xfId="15342" xr:uid="{00000000-0005-0000-0000-0000E53B0000}"/>
    <cellStyle name="Normal 2 2 2 2 4 3 3 6" xfId="15343" xr:uid="{00000000-0005-0000-0000-0000E63B0000}"/>
    <cellStyle name="Normal 2 2 2 2 4 3 3 7" xfId="15344" xr:uid="{00000000-0005-0000-0000-0000E73B0000}"/>
    <cellStyle name="Normal 2 2 2 2 4 3 3 8" xfId="15345" xr:uid="{00000000-0005-0000-0000-0000E83B0000}"/>
    <cellStyle name="Normal 2 2 2 2 4 3 3 9" xfId="15346" xr:uid="{00000000-0005-0000-0000-0000E93B0000}"/>
    <cellStyle name="Normal 2 2 2 2 4 3 4" xfId="15347" xr:uid="{00000000-0005-0000-0000-0000EA3B0000}"/>
    <cellStyle name="Normal 2 2 2 2 4 3 4 10" xfId="15348" xr:uid="{00000000-0005-0000-0000-0000EB3B0000}"/>
    <cellStyle name="Normal 2 2 2 2 4 3 4 2" xfId="15349" xr:uid="{00000000-0005-0000-0000-0000EC3B0000}"/>
    <cellStyle name="Normal 2 2 2 2 4 3 4 3" xfId="15350" xr:uid="{00000000-0005-0000-0000-0000ED3B0000}"/>
    <cellStyle name="Normal 2 2 2 2 4 3 4 4" xfId="15351" xr:uid="{00000000-0005-0000-0000-0000EE3B0000}"/>
    <cellStyle name="Normal 2 2 2 2 4 3 4 5" xfId="15352" xr:uid="{00000000-0005-0000-0000-0000EF3B0000}"/>
    <cellStyle name="Normal 2 2 2 2 4 3 4 6" xfId="15353" xr:uid="{00000000-0005-0000-0000-0000F03B0000}"/>
    <cellStyle name="Normal 2 2 2 2 4 3 4 7" xfId="15354" xr:uid="{00000000-0005-0000-0000-0000F13B0000}"/>
    <cellStyle name="Normal 2 2 2 2 4 3 4 8" xfId="15355" xr:uid="{00000000-0005-0000-0000-0000F23B0000}"/>
    <cellStyle name="Normal 2 2 2 2 4 3 4 9" xfId="15356" xr:uid="{00000000-0005-0000-0000-0000F33B0000}"/>
    <cellStyle name="Normal 2 2 2 2 4 3 5" xfId="15357" xr:uid="{00000000-0005-0000-0000-0000F43B0000}"/>
    <cellStyle name="Normal 2 2 2 2 4 3 5 10" xfId="15358" xr:uid="{00000000-0005-0000-0000-0000F53B0000}"/>
    <cellStyle name="Normal 2 2 2 2 4 3 5 2" xfId="15359" xr:uid="{00000000-0005-0000-0000-0000F63B0000}"/>
    <cellStyle name="Normal 2 2 2 2 4 3 5 3" xfId="15360" xr:uid="{00000000-0005-0000-0000-0000F73B0000}"/>
    <cellStyle name="Normal 2 2 2 2 4 3 5 4" xfId="15361" xr:uid="{00000000-0005-0000-0000-0000F83B0000}"/>
    <cellStyle name="Normal 2 2 2 2 4 3 5 5" xfId="15362" xr:uid="{00000000-0005-0000-0000-0000F93B0000}"/>
    <cellStyle name="Normal 2 2 2 2 4 3 5 6" xfId="15363" xr:uid="{00000000-0005-0000-0000-0000FA3B0000}"/>
    <cellStyle name="Normal 2 2 2 2 4 3 5 7" xfId="15364" xr:uid="{00000000-0005-0000-0000-0000FB3B0000}"/>
    <cellStyle name="Normal 2 2 2 2 4 3 5 8" xfId="15365" xr:uid="{00000000-0005-0000-0000-0000FC3B0000}"/>
    <cellStyle name="Normal 2 2 2 2 4 3 5 9" xfId="15366" xr:uid="{00000000-0005-0000-0000-0000FD3B0000}"/>
    <cellStyle name="Normal 2 2 2 2 4 3 6" xfId="15367" xr:uid="{00000000-0005-0000-0000-0000FE3B0000}"/>
    <cellStyle name="Normal 2 2 2 2 4 3 7" xfId="15368" xr:uid="{00000000-0005-0000-0000-0000FF3B0000}"/>
    <cellStyle name="Normal 2 2 2 2 4 3 8" xfId="15369" xr:uid="{00000000-0005-0000-0000-0000003C0000}"/>
    <cellStyle name="Normal 2 2 2 2 4 3 9" xfId="15370" xr:uid="{00000000-0005-0000-0000-0000013C0000}"/>
    <cellStyle name="Normal 2 2 2 2 4 30" xfId="15371" xr:uid="{00000000-0005-0000-0000-0000023C0000}"/>
    <cellStyle name="Normal 2 2 2 2 4 30 10" xfId="15372" xr:uid="{00000000-0005-0000-0000-0000033C0000}"/>
    <cellStyle name="Normal 2 2 2 2 4 30 11" xfId="15373" xr:uid="{00000000-0005-0000-0000-0000043C0000}"/>
    <cellStyle name="Normal 2 2 2 2 4 30 12" xfId="15374" xr:uid="{00000000-0005-0000-0000-0000053C0000}"/>
    <cellStyle name="Normal 2 2 2 2 4 30 13" xfId="15375" xr:uid="{00000000-0005-0000-0000-0000063C0000}"/>
    <cellStyle name="Normal 2 2 2 2 4 30 14" xfId="15376" xr:uid="{00000000-0005-0000-0000-0000073C0000}"/>
    <cellStyle name="Normal 2 2 2 2 4 30 2" xfId="15377" xr:uid="{00000000-0005-0000-0000-0000083C0000}"/>
    <cellStyle name="Normal 2 2 2 2 4 30 2 10" xfId="15378" xr:uid="{00000000-0005-0000-0000-0000093C0000}"/>
    <cellStyle name="Normal 2 2 2 2 4 30 2 2" xfId="15379" xr:uid="{00000000-0005-0000-0000-00000A3C0000}"/>
    <cellStyle name="Normal 2 2 2 2 4 30 2 3" xfId="15380" xr:uid="{00000000-0005-0000-0000-00000B3C0000}"/>
    <cellStyle name="Normal 2 2 2 2 4 30 2 4" xfId="15381" xr:uid="{00000000-0005-0000-0000-00000C3C0000}"/>
    <cellStyle name="Normal 2 2 2 2 4 30 2 5" xfId="15382" xr:uid="{00000000-0005-0000-0000-00000D3C0000}"/>
    <cellStyle name="Normal 2 2 2 2 4 30 2 6" xfId="15383" xr:uid="{00000000-0005-0000-0000-00000E3C0000}"/>
    <cellStyle name="Normal 2 2 2 2 4 30 2 7" xfId="15384" xr:uid="{00000000-0005-0000-0000-00000F3C0000}"/>
    <cellStyle name="Normal 2 2 2 2 4 30 2 8" xfId="15385" xr:uid="{00000000-0005-0000-0000-0000103C0000}"/>
    <cellStyle name="Normal 2 2 2 2 4 30 2 9" xfId="15386" xr:uid="{00000000-0005-0000-0000-0000113C0000}"/>
    <cellStyle name="Normal 2 2 2 2 4 30 3" xfId="15387" xr:uid="{00000000-0005-0000-0000-0000123C0000}"/>
    <cellStyle name="Normal 2 2 2 2 4 30 3 10" xfId="15388" xr:uid="{00000000-0005-0000-0000-0000133C0000}"/>
    <cellStyle name="Normal 2 2 2 2 4 30 3 2" xfId="15389" xr:uid="{00000000-0005-0000-0000-0000143C0000}"/>
    <cellStyle name="Normal 2 2 2 2 4 30 3 3" xfId="15390" xr:uid="{00000000-0005-0000-0000-0000153C0000}"/>
    <cellStyle name="Normal 2 2 2 2 4 30 3 4" xfId="15391" xr:uid="{00000000-0005-0000-0000-0000163C0000}"/>
    <cellStyle name="Normal 2 2 2 2 4 30 3 5" xfId="15392" xr:uid="{00000000-0005-0000-0000-0000173C0000}"/>
    <cellStyle name="Normal 2 2 2 2 4 30 3 6" xfId="15393" xr:uid="{00000000-0005-0000-0000-0000183C0000}"/>
    <cellStyle name="Normal 2 2 2 2 4 30 3 7" xfId="15394" xr:uid="{00000000-0005-0000-0000-0000193C0000}"/>
    <cellStyle name="Normal 2 2 2 2 4 30 3 8" xfId="15395" xr:uid="{00000000-0005-0000-0000-00001A3C0000}"/>
    <cellStyle name="Normal 2 2 2 2 4 30 3 9" xfId="15396" xr:uid="{00000000-0005-0000-0000-00001B3C0000}"/>
    <cellStyle name="Normal 2 2 2 2 4 30 4" xfId="15397" xr:uid="{00000000-0005-0000-0000-00001C3C0000}"/>
    <cellStyle name="Normal 2 2 2 2 4 30 4 10" xfId="15398" xr:uid="{00000000-0005-0000-0000-00001D3C0000}"/>
    <cellStyle name="Normal 2 2 2 2 4 30 4 2" xfId="15399" xr:uid="{00000000-0005-0000-0000-00001E3C0000}"/>
    <cellStyle name="Normal 2 2 2 2 4 30 4 3" xfId="15400" xr:uid="{00000000-0005-0000-0000-00001F3C0000}"/>
    <cellStyle name="Normal 2 2 2 2 4 30 4 4" xfId="15401" xr:uid="{00000000-0005-0000-0000-0000203C0000}"/>
    <cellStyle name="Normal 2 2 2 2 4 30 4 5" xfId="15402" xr:uid="{00000000-0005-0000-0000-0000213C0000}"/>
    <cellStyle name="Normal 2 2 2 2 4 30 4 6" xfId="15403" xr:uid="{00000000-0005-0000-0000-0000223C0000}"/>
    <cellStyle name="Normal 2 2 2 2 4 30 4 7" xfId="15404" xr:uid="{00000000-0005-0000-0000-0000233C0000}"/>
    <cellStyle name="Normal 2 2 2 2 4 30 4 8" xfId="15405" xr:uid="{00000000-0005-0000-0000-0000243C0000}"/>
    <cellStyle name="Normal 2 2 2 2 4 30 4 9" xfId="15406" xr:uid="{00000000-0005-0000-0000-0000253C0000}"/>
    <cellStyle name="Normal 2 2 2 2 4 30 5" xfId="15407" xr:uid="{00000000-0005-0000-0000-0000263C0000}"/>
    <cellStyle name="Normal 2 2 2 2 4 30 5 10" xfId="15408" xr:uid="{00000000-0005-0000-0000-0000273C0000}"/>
    <cellStyle name="Normal 2 2 2 2 4 30 5 2" xfId="15409" xr:uid="{00000000-0005-0000-0000-0000283C0000}"/>
    <cellStyle name="Normal 2 2 2 2 4 30 5 3" xfId="15410" xr:uid="{00000000-0005-0000-0000-0000293C0000}"/>
    <cellStyle name="Normal 2 2 2 2 4 30 5 4" xfId="15411" xr:uid="{00000000-0005-0000-0000-00002A3C0000}"/>
    <cellStyle name="Normal 2 2 2 2 4 30 5 5" xfId="15412" xr:uid="{00000000-0005-0000-0000-00002B3C0000}"/>
    <cellStyle name="Normal 2 2 2 2 4 30 5 6" xfId="15413" xr:uid="{00000000-0005-0000-0000-00002C3C0000}"/>
    <cellStyle name="Normal 2 2 2 2 4 30 5 7" xfId="15414" xr:uid="{00000000-0005-0000-0000-00002D3C0000}"/>
    <cellStyle name="Normal 2 2 2 2 4 30 5 8" xfId="15415" xr:uid="{00000000-0005-0000-0000-00002E3C0000}"/>
    <cellStyle name="Normal 2 2 2 2 4 30 5 9" xfId="15416" xr:uid="{00000000-0005-0000-0000-00002F3C0000}"/>
    <cellStyle name="Normal 2 2 2 2 4 30 6" xfId="15417" xr:uid="{00000000-0005-0000-0000-0000303C0000}"/>
    <cellStyle name="Normal 2 2 2 2 4 30 7" xfId="15418" xr:uid="{00000000-0005-0000-0000-0000313C0000}"/>
    <cellStyle name="Normal 2 2 2 2 4 30 8" xfId="15419" xr:uid="{00000000-0005-0000-0000-0000323C0000}"/>
    <cellStyle name="Normal 2 2 2 2 4 30 9" xfId="15420" xr:uid="{00000000-0005-0000-0000-0000333C0000}"/>
    <cellStyle name="Normal 2 2 2 2 4 31" xfId="15421" xr:uid="{00000000-0005-0000-0000-0000343C0000}"/>
    <cellStyle name="Normal 2 2 2 2 4 31 10" xfId="15422" xr:uid="{00000000-0005-0000-0000-0000353C0000}"/>
    <cellStyle name="Normal 2 2 2 2 4 31 11" xfId="15423" xr:uid="{00000000-0005-0000-0000-0000363C0000}"/>
    <cellStyle name="Normal 2 2 2 2 4 31 12" xfId="15424" xr:uid="{00000000-0005-0000-0000-0000373C0000}"/>
    <cellStyle name="Normal 2 2 2 2 4 31 13" xfId="15425" xr:uid="{00000000-0005-0000-0000-0000383C0000}"/>
    <cellStyle name="Normal 2 2 2 2 4 31 14" xfId="15426" xr:uid="{00000000-0005-0000-0000-0000393C0000}"/>
    <cellStyle name="Normal 2 2 2 2 4 31 2" xfId="15427" xr:uid="{00000000-0005-0000-0000-00003A3C0000}"/>
    <cellStyle name="Normal 2 2 2 2 4 31 2 10" xfId="15428" xr:uid="{00000000-0005-0000-0000-00003B3C0000}"/>
    <cellStyle name="Normal 2 2 2 2 4 31 2 2" xfId="15429" xr:uid="{00000000-0005-0000-0000-00003C3C0000}"/>
    <cellStyle name="Normal 2 2 2 2 4 31 2 3" xfId="15430" xr:uid="{00000000-0005-0000-0000-00003D3C0000}"/>
    <cellStyle name="Normal 2 2 2 2 4 31 2 4" xfId="15431" xr:uid="{00000000-0005-0000-0000-00003E3C0000}"/>
    <cellStyle name="Normal 2 2 2 2 4 31 2 5" xfId="15432" xr:uid="{00000000-0005-0000-0000-00003F3C0000}"/>
    <cellStyle name="Normal 2 2 2 2 4 31 2 6" xfId="15433" xr:uid="{00000000-0005-0000-0000-0000403C0000}"/>
    <cellStyle name="Normal 2 2 2 2 4 31 2 7" xfId="15434" xr:uid="{00000000-0005-0000-0000-0000413C0000}"/>
    <cellStyle name="Normal 2 2 2 2 4 31 2 8" xfId="15435" xr:uid="{00000000-0005-0000-0000-0000423C0000}"/>
    <cellStyle name="Normal 2 2 2 2 4 31 2 9" xfId="15436" xr:uid="{00000000-0005-0000-0000-0000433C0000}"/>
    <cellStyle name="Normal 2 2 2 2 4 31 3" xfId="15437" xr:uid="{00000000-0005-0000-0000-0000443C0000}"/>
    <cellStyle name="Normal 2 2 2 2 4 31 3 10" xfId="15438" xr:uid="{00000000-0005-0000-0000-0000453C0000}"/>
    <cellStyle name="Normal 2 2 2 2 4 31 3 2" xfId="15439" xr:uid="{00000000-0005-0000-0000-0000463C0000}"/>
    <cellStyle name="Normal 2 2 2 2 4 31 3 3" xfId="15440" xr:uid="{00000000-0005-0000-0000-0000473C0000}"/>
    <cellStyle name="Normal 2 2 2 2 4 31 3 4" xfId="15441" xr:uid="{00000000-0005-0000-0000-0000483C0000}"/>
    <cellStyle name="Normal 2 2 2 2 4 31 3 5" xfId="15442" xr:uid="{00000000-0005-0000-0000-0000493C0000}"/>
    <cellStyle name="Normal 2 2 2 2 4 31 3 6" xfId="15443" xr:uid="{00000000-0005-0000-0000-00004A3C0000}"/>
    <cellStyle name="Normal 2 2 2 2 4 31 3 7" xfId="15444" xr:uid="{00000000-0005-0000-0000-00004B3C0000}"/>
    <cellStyle name="Normal 2 2 2 2 4 31 3 8" xfId="15445" xr:uid="{00000000-0005-0000-0000-00004C3C0000}"/>
    <cellStyle name="Normal 2 2 2 2 4 31 3 9" xfId="15446" xr:uid="{00000000-0005-0000-0000-00004D3C0000}"/>
    <cellStyle name="Normal 2 2 2 2 4 31 4" xfId="15447" xr:uid="{00000000-0005-0000-0000-00004E3C0000}"/>
    <cellStyle name="Normal 2 2 2 2 4 31 4 10" xfId="15448" xr:uid="{00000000-0005-0000-0000-00004F3C0000}"/>
    <cellStyle name="Normal 2 2 2 2 4 31 4 2" xfId="15449" xr:uid="{00000000-0005-0000-0000-0000503C0000}"/>
    <cellStyle name="Normal 2 2 2 2 4 31 4 3" xfId="15450" xr:uid="{00000000-0005-0000-0000-0000513C0000}"/>
    <cellStyle name="Normal 2 2 2 2 4 31 4 4" xfId="15451" xr:uid="{00000000-0005-0000-0000-0000523C0000}"/>
    <cellStyle name="Normal 2 2 2 2 4 31 4 5" xfId="15452" xr:uid="{00000000-0005-0000-0000-0000533C0000}"/>
    <cellStyle name="Normal 2 2 2 2 4 31 4 6" xfId="15453" xr:uid="{00000000-0005-0000-0000-0000543C0000}"/>
    <cellStyle name="Normal 2 2 2 2 4 31 4 7" xfId="15454" xr:uid="{00000000-0005-0000-0000-0000553C0000}"/>
    <cellStyle name="Normal 2 2 2 2 4 31 4 8" xfId="15455" xr:uid="{00000000-0005-0000-0000-0000563C0000}"/>
    <cellStyle name="Normal 2 2 2 2 4 31 4 9" xfId="15456" xr:uid="{00000000-0005-0000-0000-0000573C0000}"/>
    <cellStyle name="Normal 2 2 2 2 4 31 5" xfId="15457" xr:uid="{00000000-0005-0000-0000-0000583C0000}"/>
    <cellStyle name="Normal 2 2 2 2 4 31 5 10" xfId="15458" xr:uid="{00000000-0005-0000-0000-0000593C0000}"/>
    <cellStyle name="Normal 2 2 2 2 4 31 5 2" xfId="15459" xr:uid="{00000000-0005-0000-0000-00005A3C0000}"/>
    <cellStyle name="Normal 2 2 2 2 4 31 5 3" xfId="15460" xr:uid="{00000000-0005-0000-0000-00005B3C0000}"/>
    <cellStyle name="Normal 2 2 2 2 4 31 5 4" xfId="15461" xr:uid="{00000000-0005-0000-0000-00005C3C0000}"/>
    <cellStyle name="Normal 2 2 2 2 4 31 5 5" xfId="15462" xr:uid="{00000000-0005-0000-0000-00005D3C0000}"/>
    <cellStyle name="Normal 2 2 2 2 4 31 5 6" xfId="15463" xr:uid="{00000000-0005-0000-0000-00005E3C0000}"/>
    <cellStyle name="Normal 2 2 2 2 4 31 5 7" xfId="15464" xr:uid="{00000000-0005-0000-0000-00005F3C0000}"/>
    <cellStyle name="Normal 2 2 2 2 4 31 5 8" xfId="15465" xr:uid="{00000000-0005-0000-0000-0000603C0000}"/>
    <cellStyle name="Normal 2 2 2 2 4 31 5 9" xfId="15466" xr:uid="{00000000-0005-0000-0000-0000613C0000}"/>
    <cellStyle name="Normal 2 2 2 2 4 31 6" xfId="15467" xr:uid="{00000000-0005-0000-0000-0000623C0000}"/>
    <cellStyle name="Normal 2 2 2 2 4 31 7" xfId="15468" xr:uid="{00000000-0005-0000-0000-0000633C0000}"/>
    <cellStyle name="Normal 2 2 2 2 4 31 8" xfId="15469" xr:uid="{00000000-0005-0000-0000-0000643C0000}"/>
    <cellStyle name="Normal 2 2 2 2 4 31 9" xfId="15470" xr:uid="{00000000-0005-0000-0000-0000653C0000}"/>
    <cellStyle name="Normal 2 2 2 2 4 32" xfId="15471" xr:uid="{00000000-0005-0000-0000-0000663C0000}"/>
    <cellStyle name="Normal 2 2 2 2 4 32 10" xfId="15472" xr:uid="{00000000-0005-0000-0000-0000673C0000}"/>
    <cellStyle name="Normal 2 2 2 2 4 32 11" xfId="15473" xr:uid="{00000000-0005-0000-0000-0000683C0000}"/>
    <cellStyle name="Normal 2 2 2 2 4 32 12" xfId="15474" xr:uid="{00000000-0005-0000-0000-0000693C0000}"/>
    <cellStyle name="Normal 2 2 2 2 4 32 13" xfId="15475" xr:uid="{00000000-0005-0000-0000-00006A3C0000}"/>
    <cellStyle name="Normal 2 2 2 2 4 32 14" xfId="15476" xr:uid="{00000000-0005-0000-0000-00006B3C0000}"/>
    <cellStyle name="Normal 2 2 2 2 4 32 2" xfId="15477" xr:uid="{00000000-0005-0000-0000-00006C3C0000}"/>
    <cellStyle name="Normal 2 2 2 2 4 32 2 10" xfId="15478" xr:uid="{00000000-0005-0000-0000-00006D3C0000}"/>
    <cellStyle name="Normal 2 2 2 2 4 32 2 2" xfId="15479" xr:uid="{00000000-0005-0000-0000-00006E3C0000}"/>
    <cellStyle name="Normal 2 2 2 2 4 32 2 3" xfId="15480" xr:uid="{00000000-0005-0000-0000-00006F3C0000}"/>
    <cellStyle name="Normal 2 2 2 2 4 32 2 4" xfId="15481" xr:uid="{00000000-0005-0000-0000-0000703C0000}"/>
    <cellStyle name="Normal 2 2 2 2 4 32 2 5" xfId="15482" xr:uid="{00000000-0005-0000-0000-0000713C0000}"/>
    <cellStyle name="Normal 2 2 2 2 4 32 2 6" xfId="15483" xr:uid="{00000000-0005-0000-0000-0000723C0000}"/>
    <cellStyle name="Normal 2 2 2 2 4 32 2 7" xfId="15484" xr:uid="{00000000-0005-0000-0000-0000733C0000}"/>
    <cellStyle name="Normal 2 2 2 2 4 32 2 8" xfId="15485" xr:uid="{00000000-0005-0000-0000-0000743C0000}"/>
    <cellStyle name="Normal 2 2 2 2 4 32 2 9" xfId="15486" xr:uid="{00000000-0005-0000-0000-0000753C0000}"/>
    <cellStyle name="Normal 2 2 2 2 4 32 3" xfId="15487" xr:uid="{00000000-0005-0000-0000-0000763C0000}"/>
    <cellStyle name="Normal 2 2 2 2 4 32 3 10" xfId="15488" xr:uid="{00000000-0005-0000-0000-0000773C0000}"/>
    <cellStyle name="Normal 2 2 2 2 4 32 3 2" xfId="15489" xr:uid="{00000000-0005-0000-0000-0000783C0000}"/>
    <cellStyle name="Normal 2 2 2 2 4 32 3 3" xfId="15490" xr:uid="{00000000-0005-0000-0000-0000793C0000}"/>
    <cellStyle name="Normal 2 2 2 2 4 32 3 4" xfId="15491" xr:uid="{00000000-0005-0000-0000-00007A3C0000}"/>
    <cellStyle name="Normal 2 2 2 2 4 32 3 5" xfId="15492" xr:uid="{00000000-0005-0000-0000-00007B3C0000}"/>
    <cellStyle name="Normal 2 2 2 2 4 32 3 6" xfId="15493" xr:uid="{00000000-0005-0000-0000-00007C3C0000}"/>
    <cellStyle name="Normal 2 2 2 2 4 32 3 7" xfId="15494" xr:uid="{00000000-0005-0000-0000-00007D3C0000}"/>
    <cellStyle name="Normal 2 2 2 2 4 32 3 8" xfId="15495" xr:uid="{00000000-0005-0000-0000-00007E3C0000}"/>
    <cellStyle name="Normal 2 2 2 2 4 32 3 9" xfId="15496" xr:uid="{00000000-0005-0000-0000-00007F3C0000}"/>
    <cellStyle name="Normal 2 2 2 2 4 32 4" xfId="15497" xr:uid="{00000000-0005-0000-0000-0000803C0000}"/>
    <cellStyle name="Normal 2 2 2 2 4 32 4 10" xfId="15498" xr:uid="{00000000-0005-0000-0000-0000813C0000}"/>
    <cellStyle name="Normal 2 2 2 2 4 32 4 2" xfId="15499" xr:uid="{00000000-0005-0000-0000-0000823C0000}"/>
    <cellStyle name="Normal 2 2 2 2 4 32 4 3" xfId="15500" xr:uid="{00000000-0005-0000-0000-0000833C0000}"/>
    <cellStyle name="Normal 2 2 2 2 4 32 4 4" xfId="15501" xr:uid="{00000000-0005-0000-0000-0000843C0000}"/>
    <cellStyle name="Normal 2 2 2 2 4 32 4 5" xfId="15502" xr:uid="{00000000-0005-0000-0000-0000853C0000}"/>
    <cellStyle name="Normal 2 2 2 2 4 32 4 6" xfId="15503" xr:uid="{00000000-0005-0000-0000-0000863C0000}"/>
    <cellStyle name="Normal 2 2 2 2 4 32 4 7" xfId="15504" xr:uid="{00000000-0005-0000-0000-0000873C0000}"/>
    <cellStyle name="Normal 2 2 2 2 4 32 4 8" xfId="15505" xr:uid="{00000000-0005-0000-0000-0000883C0000}"/>
    <cellStyle name="Normal 2 2 2 2 4 32 4 9" xfId="15506" xr:uid="{00000000-0005-0000-0000-0000893C0000}"/>
    <cellStyle name="Normal 2 2 2 2 4 32 5" xfId="15507" xr:uid="{00000000-0005-0000-0000-00008A3C0000}"/>
    <cellStyle name="Normal 2 2 2 2 4 32 5 10" xfId="15508" xr:uid="{00000000-0005-0000-0000-00008B3C0000}"/>
    <cellStyle name="Normal 2 2 2 2 4 32 5 2" xfId="15509" xr:uid="{00000000-0005-0000-0000-00008C3C0000}"/>
    <cellStyle name="Normal 2 2 2 2 4 32 5 3" xfId="15510" xr:uid="{00000000-0005-0000-0000-00008D3C0000}"/>
    <cellStyle name="Normal 2 2 2 2 4 32 5 4" xfId="15511" xr:uid="{00000000-0005-0000-0000-00008E3C0000}"/>
    <cellStyle name="Normal 2 2 2 2 4 32 5 5" xfId="15512" xr:uid="{00000000-0005-0000-0000-00008F3C0000}"/>
    <cellStyle name="Normal 2 2 2 2 4 32 5 6" xfId="15513" xr:uid="{00000000-0005-0000-0000-0000903C0000}"/>
    <cellStyle name="Normal 2 2 2 2 4 32 5 7" xfId="15514" xr:uid="{00000000-0005-0000-0000-0000913C0000}"/>
    <cellStyle name="Normal 2 2 2 2 4 32 5 8" xfId="15515" xr:uid="{00000000-0005-0000-0000-0000923C0000}"/>
    <cellStyle name="Normal 2 2 2 2 4 32 5 9" xfId="15516" xr:uid="{00000000-0005-0000-0000-0000933C0000}"/>
    <cellStyle name="Normal 2 2 2 2 4 32 6" xfId="15517" xr:uid="{00000000-0005-0000-0000-0000943C0000}"/>
    <cellStyle name="Normal 2 2 2 2 4 32 7" xfId="15518" xr:uid="{00000000-0005-0000-0000-0000953C0000}"/>
    <cellStyle name="Normal 2 2 2 2 4 32 8" xfId="15519" xr:uid="{00000000-0005-0000-0000-0000963C0000}"/>
    <cellStyle name="Normal 2 2 2 2 4 32 9" xfId="15520" xr:uid="{00000000-0005-0000-0000-0000973C0000}"/>
    <cellStyle name="Normal 2 2 2 2 4 33" xfId="15521" xr:uid="{00000000-0005-0000-0000-0000983C0000}"/>
    <cellStyle name="Normal 2 2 2 2 4 33 10" xfId="15522" xr:uid="{00000000-0005-0000-0000-0000993C0000}"/>
    <cellStyle name="Normal 2 2 2 2 4 33 11" xfId="15523" xr:uid="{00000000-0005-0000-0000-00009A3C0000}"/>
    <cellStyle name="Normal 2 2 2 2 4 33 12" xfId="15524" xr:uid="{00000000-0005-0000-0000-00009B3C0000}"/>
    <cellStyle name="Normal 2 2 2 2 4 33 13" xfId="15525" xr:uid="{00000000-0005-0000-0000-00009C3C0000}"/>
    <cellStyle name="Normal 2 2 2 2 4 33 14" xfId="15526" xr:uid="{00000000-0005-0000-0000-00009D3C0000}"/>
    <cellStyle name="Normal 2 2 2 2 4 33 2" xfId="15527" xr:uid="{00000000-0005-0000-0000-00009E3C0000}"/>
    <cellStyle name="Normal 2 2 2 2 4 33 2 10" xfId="15528" xr:uid="{00000000-0005-0000-0000-00009F3C0000}"/>
    <cellStyle name="Normal 2 2 2 2 4 33 2 2" xfId="15529" xr:uid="{00000000-0005-0000-0000-0000A03C0000}"/>
    <cellStyle name="Normal 2 2 2 2 4 33 2 3" xfId="15530" xr:uid="{00000000-0005-0000-0000-0000A13C0000}"/>
    <cellStyle name="Normal 2 2 2 2 4 33 2 4" xfId="15531" xr:uid="{00000000-0005-0000-0000-0000A23C0000}"/>
    <cellStyle name="Normal 2 2 2 2 4 33 2 5" xfId="15532" xr:uid="{00000000-0005-0000-0000-0000A33C0000}"/>
    <cellStyle name="Normal 2 2 2 2 4 33 2 6" xfId="15533" xr:uid="{00000000-0005-0000-0000-0000A43C0000}"/>
    <cellStyle name="Normal 2 2 2 2 4 33 2 7" xfId="15534" xr:uid="{00000000-0005-0000-0000-0000A53C0000}"/>
    <cellStyle name="Normal 2 2 2 2 4 33 2 8" xfId="15535" xr:uid="{00000000-0005-0000-0000-0000A63C0000}"/>
    <cellStyle name="Normal 2 2 2 2 4 33 2 9" xfId="15536" xr:uid="{00000000-0005-0000-0000-0000A73C0000}"/>
    <cellStyle name="Normal 2 2 2 2 4 33 3" xfId="15537" xr:uid="{00000000-0005-0000-0000-0000A83C0000}"/>
    <cellStyle name="Normal 2 2 2 2 4 33 3 10" xfId="15538" xr:uid="{00000000-0005-0000-0000-0000A93C0000}"/>
    <cellStyle name="Normal 2 2 2 2 4 33 3 2" xfId="15539" xr:uid="{00000000-0005-0000-0000-0000AA3C0000}"/>
    <cellStyle name="Normal 2 2 2 2 4 33 3 3" xfId="15540" xr:uid="{00000000-0005-0000-0000-0000AB3C0000}"/>
    <cellStyle name="Normal 2 2 2 2 4 33 3 4" xfId="15541" xr:uid="{00000000-0005-0000-0000-0000AC3C0000}"/>
    <cellStyle name="Normal 2 2 2 2 4 33 3 5" xfId="15542" xr:uid="{00000000-0005-0000-0000-0000AD3C0000}"/>
    <cellStyle name="Normal 2 2 2 2 4 33 3 6" xfId="15543" xr:uid="{00000000-0005-0000-0000-0000AE3C0000}"/>
    <cellStyle name="Normal 2 2 2 2 4 33 3 7" xfId="15544" xr:uid="{00000000-0005-0000-0000-0000AF3C0000}"/>
    <cellStyle name="Normal 2 2 2 2 4 33 3 8" xfId="15545" xr:uid="{00000000-0005-0000-0000-0000B03C0000}"/>
    <cellStyle name="Normal 2 2 2 2 4 33 3 9" xfId="15546" xr:uid="{00000000-0005-0000-0000-0000B13C0000}"/>
    <cellStyle name="Normal 2 2 2 2 4 33 4" xfId="15547" xr:uid="{00000000-0005-0000-0000-0000B23C0000}"/>
    <cellStyle name="Normal 2 2 2 2 4 33 4 10" xfId="15548" xr:uid="{00000000-0005-0000-0000-0000B33C0000}"/>
    <cellStyle name="Normal 2 2 2 2 4 33 4 2" xfId="15549" xr:uid="{00000000-0005-0000-0000-0000B43C0000}"/>
    <cellStyle name="Normal 2 2 2 2 4 33 4 3" xfId="15550" xr:uid="{00000000-0005-0000-0000-0000B53C0000}"/>
    <cellStyle name="Normal 2 2 2 2 4 33 4 4" xfId="15551" xr:uid="{00000000-0005-0000-0000-0000B63C0000}"/>
    <cellStyle name="Normal 2 2 2 2 4 33 4 5" xfId="15552" xr:uid="{00000000-0005-0000-0000-0000B73C0000}"/>
    <cellStyle name="Normal 2 2 2 2 4 33 4 6" xfId="15553" xr:uid="{00000000-0005-0000-0000-0000B83C0000}"/>
    <cellStyle name="Normal 2 2 2 2 4 33 4 7" xfId="15554" xr:uid="{00000000-0005-0000-0000-0000B93C0000}"/>
    <cellStyle name="Normal 2 2 2 2 4 33 4 8" xfId="15555" xr:uid="{00000000-0005-0000-0000-0000BA3C0000}"/>
    <cellStyle name="Normal 2 2 2 2 4 33 4 9" xfId="15556" xr:uid="{00000000-0005-0000-0000-0000BB3C0000}"/>
    <cellStyle name="Normal 2 2 2 2 4 33 5" xfId="15557" xr:uid="{00000000-0005-0000-0000-0000BC3C0000}"/>
    <cellStyle name="Normal 2 2 2 2 4 33 5 10" xfId="15558" xr:uid="{00000000-0005-0000-0000-0000BD3C0000}"/>
    <cellStyle name="Normal 2 2 2 2 4 33 5 2" xfId="15559" xr:uid="{00000000-0005-0000-0000-0000BE3C0000}"/>
    <cellStyle name="Normal 2 2 2 2 4 33 5 3" xfId="15560" xr:uid="{00000000-0005-0000-0000-0000BF3C0000}"/>
    <cellStyle name="Normal 2 2 2 2 4 33 5 4" xfId="15561" xr:uid="{00000000-0005-0000-0000-0000C03C0000}"/>
    <cellStyle name="Normal 2 2 2 2 4 33 5 5" xfId="15562" xr:uid="{00000000-0005-0000-0000-0000C13C0000}"/>
    <cellStyle name="Normal 2 2 2 2 4 33 5 6" xfId="15563" xr:uid="{00000000-0005-0000-0000-0000C23C0000}"/>
    <cellStyle name="Normal 2 2 2 2 4 33 5 7" xfId="15564" xr:uid="{00000000-0005-0000-0000-0000C33C0000}"/>
    <cellStyle name="Normal 2 2 2 2 4 33 5 8" xfId="15565" xr:uid="{00000000-0005-0000-0000-0000C43C0000}"/>
    <cellStyle name="Normal 2 2 2 2 4 33 5 9" xfId="15566" xr:uid="{00000000-0005-0000-0000-0000C53C0000}"/>
    <cellStyle name="Normal 2 2 2 2 4 33 6" xfId="15567" xr:uid="{00000000-0005-0000-0000-0000C63C0000}"/>
    <cellStyle name="Normal 2 2 2 2 4 33 7" xfId="15568" xr:uid="{00000000-0005-0000-0000-0000C73C0000}"/>
    <cellStyle name="Normal 2 2 2 2 4 33 8" xfId="15569" xr:uid="{00000000-0005-0000-0000-0000C83C0000}"/>
    <cellStyle name="Normal 2 2 2 2 4 33 9" xfId="15570" xr:uid="{00000000-0005-0000-0000-0000C93C0000}"/>
    <cellStyle name="Normal 2 2 2 2 4 34" xfId="15571" xr:uid="{00000000-0005-0000-0000-0000CA3C0000}"/>
    <cellStyle name="Normal 2 2 2 2 4 35" xfId="15572" xr:uid="{00000000-0005-0000-0000-0000CB3C0000}"/>
    <cellStyle name="Normal 2 2 2 2 4 4" xfId="15573" xr:uid="{00000000-0005-0000-0000-0000CC3C0000}"/>
    <cellStyle name="Normal 2 2 2 2 4 4 10" xfId="15574" xr:uid="{00000000-0005-0000-0000-0000CD3C0000}"/>
    <cellStyle name="Normal 2 2 2 2 4 4 11" xfId="15575" xr:uid="{00000000-0005-0000-0000-0000CE3C0000}"/>
    <cellStyle name="Normal 2 2 2 2 4 4 12" xfId="15576" xr:uid="{00000000-0005-0000-0000-0000CF3C0000}"/>
    <cellStyle name="Normal 2 2 2 2 4 4 13" xfId="15577" xr:uid="{00000000-0005-0000-0000-0000D03C0000}"/>
    <cellStyle name="Normal 2 2 2 2 4 4 14" xfId="15578" xr:uid="{00000000-0005-0000-0000-0000D13C0000}"/>
    <cellStyle name="Normal 2 2 2 2 4 4 2" xfId="15579" xr:uid="{00000000-0005-0000-0000-0000D23C0000}"/>
    <cellStyle name="Normal 2 2 2 2 4 4 2 10" xfId="15580" xr:uid="{00000000-0005-0000-0000-0000D33C0000}"/>
    <cellStyle name="Normal 2 2 2 2 4 4 2 2" xfId="15581" xr:uid="{00000000-0005-0000-0000-0000D43C0000}"/>
    <cellStyle name="Normal 2 2 2 2 4 4 2 3" xfId="15582" xr:uid="{00000000-0005-0000-0000-0000D53C0000}"/>
    <cellStyle name="Normal 2 2 2 2 4 4 2 4" xfId="15583" xr:uid="{00000000-0005-0000-0000-0000D63C0000}"/>
    <cellStyle name="Normal 2 2 2 2 4 4 2 5" xfId="15584" xr:uid="{00000000-0005-0000-0000-0000D73C0000}"/>
    <cellStyle name="Normal 2 2 2 2 4 4 2 6" xfId="15585" xr:uid="{00000000-0005-0000-0000-0000D83C0000}"/>
    <cellStyle name="Normal 2 2 2 2 4 4 2 7" xfId="15586" xr:uid="{00000000-0005-0000-0000-0000D93C0000}"/>
    <cellStyle name="Normal 2 2 2 2 4 4 2 8" xfId="15587" xr:uid="{00000000-0005-0000-0000-0000DA3C0000}"/>
    <cellStyle name="Normal 2 2 2 2 4 4 2 9" xfId="15588" xr:uid="{00000000-0005-0000-0000-0000DB3C0000}"/>
    <cellStyle name="Normal 2 2 2 2 4 4 3" xfId="15589" xr:uid="{00000000-0005-0000-0000-0000DC3C0000}"/>
    <cellStyle name="Normal 2 2 2 2 4 4 3 10" xfId="15590" xr:uid="{00000000-0005-0000-0000-0000DD3C0000}"/>
    <cellStyle name="Normal 2 2 2 2 4 4 3 2" xfId="15591" xr:uid="{00000000-0005-0000-0000-0000DE3C0000}"/>
    <cellStyle name="Normal 2 2 2 2 4 4 3 3" xfId="15592" xr:uid="{00000000-0005-0000-0000-0000DF3C0000}"/>
    <cellStyle name="Normal 2 2 2 2 4 4 3 4" xfId="15593" xr:uid="{00000000-0005-0000-0000-0000E03C0000}"/>
    <cellStyle name="Normal 2 2 2 2 4 4 3 5" xfId="15594" xr:uid="{00000000-0005-0000-0000-0000E13C0000}"/>
    <cellStyle name="Normal 2 2 2 2 4 4 3 6" xfId="15595" xr:uid="{00000000-0005-0000-0000-0000E23C0000}"/>
    <cellStyle name="Normal 2 2 2 2 4 4 3 7" xfId="15596" xr:uid="{00000000-0005-0000-0000-0000E33C0000}"/>
    <cellStyle name="Normal 2 2 2 2 4 4 3 8" xfId="15597" xr:uid="{00000000-0005-0000-0000-0000E43C0000}"/>
    <cellStyle name="Normal 2 2 2 2 4 4 3 9" xfId="15598" xr:uid="{00000000-0005-0000-0000-0000E53C0000}"/>
    <cellStyle name="Normal 2 2 2 2 4 4 4" xfId="15599" xr:uid="{00000000-0005-0000-0000-0000E63C0000}"/>
    <cellStyle name="Normal 2 2 2 2 4 4 4 10" xfId="15600" xr:uid="{00000000-0005-0000-0000-0000E73C0000}"/>
    <cellStyle name="Normal 2 2 2 2 4 4 4 2" xfId="15601" xr:uid="{00000000-0005-0000-0000-0000E83C0000}"/>
    <cellStyle name="Normal 2 2 2 2 4 4 4 3" xfId="15602" xr:uid="{00000000-0005-0000-0000-0000E93C0000}"/>
    <cellStyle name="Normal 2 2 2 2 4 4 4 4" xfId="15603" xr:uid="{00000000-0005-0000-0000-0000EA3C0000}"/>
    <cellStyle name="Normal 2 2 2 2 4 4 4 5" xfId="15604" xr:uid="{00000000-0005-0000-0000-0000EB3C0000}"/>
    <cellStyle name="Normal 2 2 2 2 4 4 4 6" xfId="15605" xr:uid="{00000000-0005-0000-0000-0000EC3C0000}"/>
    <cellStyle name="Normal 2 2 2 2 4 4 4 7" xfId="15606" xr:uid="{00000000-0005-0000-0000-0000ED3C0000}"/>
    <cellStyle name="Normal 2 2 2 2 4 4 4 8" xfId="15607" xr:uid="{00000000-0005-0000-0000-0000EE3C0000}"/>
    <cellStyle name="Normal 2 2 2 2 4 4 4 9" xfId="15608" xr:uid="{00000000-0005-0000-0000-0000EF3C0000}"/>
    <cellStyle name="Normal 2 2 2 2 4 4 5" xfId="15609" xr:uid="{00000000-0005-0000-0000-0000F03C0000}"/>
    <cellStyle name="Normal 2 2 2 2 4 4 5 10" xfId="15610" xr:uid="{00000000-0005-0000-0000-0000F13C0000}"/>
    <cellStyle name="Normal 2 2 2 2 4 4 5 2" xfId="15611" xr:uid="{00000000-0005-0000-0000-0000F23C0000}"/>
    <cellStyle name="Normal 2 2 2 2 4 4 5 3" xfId="15612" xr:uid="{00000000-0005-0000-0000-0000F33C0000}"/>
    <cellStyle name="Normal 2 2 2 2 4 4 5 4" xfId="15613" xr:uid="{00000000-0005-0000-0000-0000F43C0000}"/>
    <cellStyle name="Normal 2 2 2 2 4 4 5 5" xfId="15614" xr:uid="{00000000-0005-0000-0000-0000F53C0000}"/>
    <cellStyle name="Normal 2 2 2 2 4 4 5 6" xfId="15615" xr:uid="{00000000-0005-0000-0000-0000F63C0000}"/>
    <cellStyle name="Normal 2 2 2 2 4 4 5 7" xfId="15616" xr:uid="{00000000-0005-0000-0000-0000F73C0000}"/>
    <cellStyle name="Normal 2 2 2 2 4 4 5 8" xfId="15617" xr:uid="{00000000-0005-0000-0000-0000F83C0000}"/>
    <cellStyle name="Normal 2 2 2 2 4 4 5 9" xfId="15618" xr:uid="{00000000-0005-0000-0000-0000F93C0000}"/>
    <cellStyle name="Normal 2 2 2 2 4 4 6" xfId="15619" xr:uid="{00000000-0005-0000-0000-0000FA3C0000}"/>
    <cellStyle name="Normal 2 2 2 2 4 4 7" xfId="15620" xr:uid="{00000000-0005-0000-0000-0000FB3C0000}"/>
    <cellStyle name="Normal 2 2 2 2 4 4 8" xfId="15621" xr:uid="{00000000-0005-0000-0000-0000FC3C0000}"/>
    <cellStyle name="Normal 2 2 2 2 4 4 9" xfId="15622" xr:uid="{00000000-0005-0000-0000-0000FD3C0000}"/>
    <cellStyle name="Normal 2 2 2 2 4 5" xfId="15623" xr:uid="{00000000-0005-0000-0000-0000FE3C0000}"/>
    <cellStyle name="Normal 2 2 2 2 4 5 10" xfId="15624" xr:uid="{00000000-0005-0000-0000-0000FF3C0000}"/>
    <cellStyle name="Normal 2 2 2 2 4 5 11" xfId="15625" xr:uid="{00000000-0005-0000-0000-0000003D0000}"/>
    <cellStyle name="Normal 2 2 2 2 4 5 12" xfId="15626" xr:uid="{00000000-0005-0000-0000-0000013D0000}"/>
    <cellStyle name="Normal 2 2 2 2 4 5 13" xfId="15627" xr:uid="{00000000-0005-0000-0000-0000023D0000}"/>
    <cellStyle name="Normal 2 2 2 2 4 5 14" xfId="15628" xr:uid="{00000000-0005-0000-0000-0000033D0000}"/>
    <cellStyle name="Normal 2 2 2 2 4 5 2" xfId="15629" xr:uid="{00000000-0005-0000-0000-0000043D0000}"/>
    <cellStyle name="Normal 2 2 2 2 4 5 2 10" xfId="15630" xr:uid="{00000000-0005-0000-0000-0000053D0000}"/>
    <cellStyle name="Normal 2 2 2 2 4 5 2 2" xfId="15631" xr:uid="{00000000-0005-0000-0000-0000063D0000}"/>
    <cellStyle name="Normal 2 2 2 2 4 5 2 3" xfId="15632" xr:uid="{00000000-0005-0000-0000-0000073D0000}"/>
    <cellStyle name="Normal 2 2 2 2 4 5 2 4" xfId="15633" xr:uid="{00000000-0005-0000-0000-0000083D0000}"/>
    <cellStyle name="Normal 2 2 2 2 4 5 2 5" xfId="15634" xr:uid="{00000000-0005-0000-0000-0000093D0000}"/>
    <cellStyle name="Normal 2 2 2 2 4 5 2 6" xfId="15635" xr:uid="{00000000-0005-0000-0000-00000A3D0000}"/>
    <cellStyle name="Normal 2 2 2 2 4 5 2 7" xfId="15636" xr:uid="{00000000-0005-0000-0000-00000B3D0000}"/>
    <cellStyle name="Normal 2 2 2 2 4 5 2 8" xfId="15637" xr:uid="{00000000-0005-0000-0000-00000C3D0000}"/>
    <cellStyle name="Normal 2 2 2 2 4 5 2 9" xfId="15638" xr:uid="{00000000-0005-0000-0000-00000D3D0000}"/>
    <cellStyle name="Normal 2 2 2 2 4 5 3" xfId="15639" xr:uid="{00000000-0005-0000-0000-00000E3D0000}"/>
    <cellStyle name="Normal 2 2 2 2 4 5 3 10" xfId="15640" xr:uid="{00000000-0005-0000-0000-00000F3D0000}"/>
    <cellStyle name="Normal 2 2 2 2 4 5 3 2" xfId="15641" xr:uid="{00000000-0005-0000-0000-0000103D0000}"/>
    <cellStyle name="Normal 2 2 2 2 4 5 3 3" xfId="15642" xr:uid="{00000000-0005-0000-0000-0000113D0000}"/>
    <cellStyle name="Normal 2 2 2 2 4 5 3 4" xfId="15643" xr:uid="{00000000-0005-0000-0000-0000123D0000}"/>
    <cellStyle name="Normal 2 2 2 2 4 5 3 5" xfId="15644" xr:uid="{00000000-0005-0000-0000-0000133D0000}"/>
    <cellStyle name="Normal 2 2 2 2 4 5 3 6" xfId="15645" xr:uid="{00000000-0005-0000-0000-0000143D0000}"/>
    <cellStyle name="Normal 2 2 2 2 4 5 3 7" xfId="15646" xr:uid="{00000000-0005-0000-0000-0000153D0000}"/>
    <cellStyle name="Normal 2 2 2 2 4 5 3 8" xfId="15647" xr:uid="{00000000-0005-0000-0000-0000163D0000}"/>
    <cellStyle name="Normal 2 2 2 2 4 5 3 9" xfId="15648" xr:uid="{00000000-0005-0000-0000-0000173D0000}"/>
    <cellStyle name="Normal 2 2 2 2 4 5 4" xfId="15649" xr:uid="{00000000-0005-0000-0000-0000183D0000}"/>
    <cellStyle name="Normal 2 2 2 2 4 5 4 10" xfId="15650" xr:uid="{00000000-0005-0000-0000-0000193D0000}"/>
    <cellStyle name="Normal 2 2 2 2 4 5 4 2" xfId="15651" xr:uid="{00000000-0005-0000-0000-00001A3D0000}"/>
    <cellStyle name="Normal 2 2 2 2 4 5 4 3" xfId="15652" xr:uid="{00000000-0005-0000-0000-00001B3D0000}"/>
    <cellStyle name="Normal 2 2 2 2 4 5 4 4" xfId="15653" xr:uid="{00000000-0005-0000-0000-00001C3D0000}"/>
    <cellStyle name="Normal 2 2 2 2 4 5 4 5" xfId="15654" xr:uid="{00000000-0005-0000-0000-00001D3D0000}"/>
    <cellStyle name="Normal 2 2 2 2 4 5 4 6" xfId="15655" xr:uid="{00000000-0005-0000-0000-00001E3D0000}"/>
    <cellStyle name="Normal 2 2 2 2 4 5 4 7" xfId="15656" xr:uid="{00000000-0005-0000-0000-00001F3D0000}"/>
    <cellStyle name="Normal 2 2 2 2 4 5 4 8" xfId="15657" xr:uid="{00000000-0005-0000-0000-0000203D0000}"/>
    <cellStyle name="Normal 2 2 2 2 4 5 4 9" xfId="15658" xr:uid="{00000000-0005-0000-0000-0000213D0000}"/>
    <cellStyle name="Normal 2 2 2 2 4 5 5" xfId="15659" xr:uid="{00000000-0005-0000-0000-0000223D0000}"/>
    <cellStyle name="Normal 2 2 2 2 4 5 5 10" xfId="15660" xr:uid="{00000000-0005-0000-0000-0000233D0000}"/>
    <cellStyle name="Normal 2 2 2 2 4 5 5 2" xfId="15661" xr:uid="{00000000-0005-0000-0000-0000243D0000}"/>
    <cellStyle name="Normal 2 2 2 2 4 5 5 3" xfId="15662" xr:uid="{00000000-0005-0000-0000-0000253D0000}"/>
    <cellStyle name="Normal 2 2 2 2 4 5 5 4" xfId="15663" xr:uid="{00000000-0005-0000-0000-0000263D0000}"/>
    <cellStyle name="Normal 2 2 2 2 4 5 5 5" xfId="15664" xr:uid="{00000000-0005-0000-0000-0000273D0000}"/>
    <cellStyle name="Normal 2 2 2 2 4 5 5 6" xfId="15665" xr:uid="{00000000-0005-0000-0000-0000283D0000}"/>
    <cellStyle name="Normal 2 2 2 2 4 5 5 7" xfId="15666" xr:uid="{00000000-0005-0000-0000-0000293D0000}"/>
    <cellStyle name="Normal 2 2 2 2 4 5 5 8" xfId="15667" xr:uid="{00000000-0005-0000-0000-00002A3D0000}"/>
    <cellStyle name="Normal 2 2 2 2 4 5 5 9" xfId="15668" xr:uid="{00000000-0005-0000-0000-00002B3D0000}"/>
    <cellStyle name="Normal 2 2 2 2 4 5 6" xfId="15669" xr:uid="{00000000-0005-0000-0000-00002C3D0000}"/>
    <cellStyle name="Normal 2 2 2 2 4 5 7" xfId="15670" xr:uid="{00000000-0005-0000-0000-00002D3D0000}"/>
    <cellStyle name="Normal 2 2 2 2 4 5 8" xfId="15671" xr:uid="{00000000-0005-0000-0000-00002E3D0000}"/>
    <cellStyle name="Normal 2 2 2 2 4 5 9" xfId="15672" xr:uid="{00000000-0005-0000-0000-00002F3D0000}"/>
    <cellStyle name="Normal 2 2 2 2 4 6" xfId="15673" xr:uid="{00000000-0005-0000-0000-0000303D0000}"/>
    <cellStyle name="Normal 2 2 2 2 4 6 10" xfId="15674" xr:uid="{00000000-0005-0000-0000-0000313D0000}"/>
    <cellStyle name="Normal 2 2 2 2 4 6 11" xfId="15675" xr:uid="{00000000-0005-0000-0000-0000323D0000}"/>
    <cellStyle name="Normal 2 2 2 2 4 6 12" xfId="15676" xr:uid="{00000000-0005-0000-0000-0000333D0000}"/>
    <cellStyle name="Normal 2 2 2 2 4 6 13" xfId="15677" xr:uid="{00000000-0005-0000-0000-0000343D0000}"/>
    <cellStyle name="Normal 2 2 2 2 4 6 14" xfId="15678" xr:uid="{00000000-0005-0000-0000-0000353D0000}"/>
    <cellStyle name="Normal 2 2 2 2 4 6 2" xfId="15679" xr:uid="{00000000-0005-0000-0000-0000363D0000}"/>
    <cellStyle name="Normal 2 2 2 2 4 6 2 10" xfId="15680" xr:uid="{00000000-0005-0000-0000-0000373D0000}"/>
    <cellStyle name="Normal 2 2 2 2 4 6 2 2" xfId="15681" xr:uid="{00000000-0005-0000-0000-0000383D0000}"/>
    <cellStyle name="Normal 2 2 2 2 4 6 2 3" xfId="15682" xr:uid="{00000000-0005-0000-0000-0000393D0000}"/>
    <cellStyle name="Normal 2 2 2 2 4 6 2 4" xfId="15683" xr:uid="{00000000-0005-0000-0000-00003A3D0000}"/>
    <cellStyle name="Normal 2 2 2 2 4 6 2 5" xfId="15684" xr:uid="{00000000-0005-0000-0000-00003B3D0000}"/>
    <cellStyle name="Normal 2 2 2 2 4 6 2 6" xfId="15685" xr:uid="{00000000-0005-0000-0000-00003C3D0000}"/>
    <cellStyle name="Normal 2 2 2 2 4 6 2 7" xfId="15686" xr:uid="{00000000-0005-0000-0000-00003D3D0000}"/>
    <cellStyle name="Normal 2 2 2 2 4 6 2 8" xfId="15687" xr:uid="{00000000-0005-0000-0000-00003E3D0000}"/>
    <cellStyle name="Normal 2 2 2 2 4 6 2 9" xfId="15688" xr:uid="{00000000-0005-0000-0000-00003F3D0000}"/>
    <cellStyle name="Normal 2 2 2 2 4 6 3" xfId="15689" xr:uid="{00000000-0005-0000-0000-0000403D0000}"/>
    <cellStyle name="Normal 2 2 2 2 4 6 3 10" xfId="15690" xr:uid="{00000000-0005-0000-0000-0000413D0000}"/>
    <cellStyle name="Normal 2 2 2 2 4 6 3 2" xfId="15691" xr:uid="{00000000-0005-0000-0000-0000423D0000}"/>
    <cellStyle name="Normal 2 2 2 2 4 6 3 3" xfId="15692" xr:uid="{00000000-0005-0000-0000-0000433D0000}"/>
    <cellStyle name="Normal 2 2 2 2 4 6 3 4" xfId="15693" xr:uid="{00000000-0005-0000-0000-0000443D0000}"/>
    <cellStyle name="Normal 2 2 2 2 4 6 3 5" xfId="15694" xr:uid="{00000000-0005-0000-0000-0000453D0000}"/>
    <cellStyle name="Normal 2 2 2 2 4 6 3 6" xfId="15695" xr:uid="{00000000-0005-0000-0000-0000463D0000}"/>
    <cellStyle name="Normal 2 2 2 2 4 6 3 7" xfId="15696" xr:uid="{00000000-0005-0000-0000-0000473D0000}"/>
    <cellStyle name="Normal 2 2 2 2 4 6 3 8" xfId="15697" xr:uid="{00000000-0005-0000-0000-0000483D0000}"/>
    <cellStyle name="Normal 2 2 2 2 4 6 3 9" xfId="15698" xr:uid="{00000000-0005-0000-0000-0000493D0000}"/>
    <cellStyle name="Normal 2 2 2 2 4 6 4" xfId="15699" xr:uid="{00000000-0005-0000-0000-00004A3D0000}"/>
    <cellStyle name="Normal 2 2 2 2 4 6 4 10" xfId="15700" xr:uid="{00000000-0005-0000-0000-00004B3D0000}"/>
    <cellStyle name="Normal 2 2 2 2 4 6 4 2" xfId="15701" xr:uid="{00000000-0005-0000-0000-00004C3D0000}"/>
    <cellStyle name="Normal 2 2 2 2 4 6 4 3" xfId="15702" xr:uid="{00000000-0005-0000-0000-00004D3D0000}"/>
    <cellStyle name="Normal 2 2 2 2 4 6 4 4" xfId="15703" xr:uid="{00000000-0005-0000-0000-00004E3D0000}"/>
    <cellStyle name="Normal 2 2 2 2 4 6 4 5" xfId="15704" xr:uid="{00000000-0005-0000-0000-00004F3D0000}"/>
    <cellStyle name="Normal 2 2 2 2 4 6 4 6" xfId="15705" xr:uid="{00000000-0005-0000-0000-0000503D0000}"/>
    <cellStyle name="Normal 2 2 2 2 4 6 4 7" xfId="15706" xr:uid="{00000000-0005-0000-0000-0000513D0000}"/>
    <cellStyle name="Normal 2 2 2 2 4 6 4 8" xfId="15707" xr:uid="{00000000-0005-0000-0000-0000523D0000}"/>
    <cellStyle name="Normal 2 2 2 2 4 6 4 9" xfId="15708" xr:uid="{00000000-0005-0000-0000-0000533D0000}"/>
    <cellStyle name="Normal 2 2 2 2 4 6 5" xfId="15709" xr:uid="{00000000-0005-0000-0000-0000543D0000}"/>
    <cellStyle name="Normal 2 2 2 2 4 6 5 10" xfId="15710" xr:uid="{00000000-0005-0000-0000-0000553D0000}"/>
    <cellStyle name="Normal 2 2 2 2 4 6 5 2" xfId="15711" xr:uid="{00000000-0005-0000-0000-0000563D0000}"/>
    <cellStyle name="Normal 2 2 2 2 4 6 5 3" xfId="15712" xr:uid="{00000000-0005-0000-0000-0000573D0000}"/>
    <cellStyle name="Normal 2 2 2 2 4 6 5 4" xfId="15713" xr:uid="{00000000-0005-0000-0000-0000583D0000}"/>
    <cellStyle name="Normal 2 2 2 2 4 6 5 5" xfId="15714" xr:uid="{00000000-0005-0000-0000-0000593D0000}"/>
    <cellStyle name="Normal 2 2 2 2 4 6 5 6" xfId="15715" xr:uid="{00000000-0005-0000-0000-00005A3D0000}"/>
    <cellStyle name="Normal 2 2 2 2 4 6 5 7" xfId="15716" xr:uid="{00000000-0005-0000-0000-00005B3D0000}"/>
    <cellStyle name="Normal 2 2 2 2 4 6 5 8" xfId="15717" xr:uid="{00000000-0005-0000-0000-00005C3D0000}"/>
    <cellStyle name="Normal 2 2 2 2 4 6 5 9" xfId="15718" xr:uid="{00000000-0005-0000-0000-00005D3D0000}"/>
    <cellStyle name="Normal 2 2 2 2 4 6 6" xfId="15719" xr:uid="{00000000-0005-0000-0000-00005E3D0000}"/>
    <cellStyle name="Normal 2 2 2 2 4 6 7" xfId="15720" xr:uid="{00000000-0005-0000-0000-00005F3D0000}"/>
    <cellStyle name="Normal 2 2 2 2 4 6 8" xfId="15721" xr:uid="{00000000-0005-0000-0000-0000603D0000}"/>
    <cellStyle name="Normal 2 2 2 2 4 6 9" xfId="15722" xr:uid="{00000000-0005-0000-0000-0000613D0000}"/>
    <cellStyle name="Normal 2 2 2 2 4 7" xfId="15723" xr:uid="{00000000-0005-0000-0000-0000623D0000}"/>
    <cellStyle name="Normal 2 2 2 2 4 7 10" xfId="15724" xr:uid="{00000000-0005-0000-0000-0000633D0000}"/>
    <cellStyle name="Normal 2 2 2 2 4 7 11" xfId="15725" xr:uid="{00000000-0005-0000-0000-0000643D0000}"/>
    <cellStyle name="Normal 2 2 2 2 4 7 12" xfId="15726" xr:uid="{00000000-0005-0000-0000-0000653D0000}"/>
    <cellStyle name="Normal 2 2 2 2 4 7 13" xfId="15727" xr:uid="{00000000-0005-0000-0000-0000663D0000}"/>
    <cellStyle name="Normal 2 2 2 2 4 7 14" xfId="15728" xr:uid="{00000000-0005-0000-0000-0000673D0000}"/>
    <cellStyle name="Normal 2 2 2 2 4 7 2" xfId="15729" xr:uid="{00000000-0005-0000-0000-0000683D0000}"/>
    <cellStyle name="Normal 2 2 2 2 4 7 2 10" xfId="15730" xr:uid="{00000000-0005-0000-0000-0000693D0000}"/>
    <cellStyle name="Normal 2 2 2 2 4 7 2 2" xfId="15731" xr:uid="{00000000-0005-0000-0000-00006A3D0000}"/>
    <cellStyle name="Normal 2 2 2 2 4 7 2 3" xfId="15732" xr:uid="{00000000-0005-0000-0000-00006B3D0000}"/>
    <cellStyle name="Normal 2 2 2 2 4 7 2 4" xfId="15733" xr:uid="{00000000-0005-0000-0000-00006C3D0000}"/>
    <cellStyle name="Normal 2 2 2 2 4 7 2 5" xfId="15734" xr:uid="{00000000-0005-0000-0000-00006D3D0000}"/>
    <cellStyle name="Normal 2 2 2 2 4 7 2 6" xfId="15735" xr:uid="{00000000-0005-0000-0000-00006E3D0000}"/>
    <cellStyle name="Normal 2 2 2 2 4 7 2 7" xfId="15736" xr:uid="{00000000-0005-0000-0000-00006F3D0000}"/>
    <cellStyle name="Normal 2 2 2 2 4 7 2 8" xfId="15737" xr:uid="{00000000-0005-0000-0000-0000703D0000}"/>
    <cellStyle name="Normal 2 2 2 2 4 7 2 9" xfId="15738" xr:uid="{00000000-0005-0000-0000-0000713D0000}"/>
    <cellStyle name="Normal 2 2 2 2 4 7 3" xfId="15739" xr:uid="{00000000-0005-0000-0000-0000723D0000}"/>
    <cellStyle name="Normal 2 2 2 2 4 7 3 10" xfId="15740" xr:uid="{00000000-0005-0000-0000-0000733D0000}"/>
    <cellStyle name="Normal 2 2 2 2 4 7 3 2" xfId="15741" xr:uid="{00000000-0005-0000-0000-0000743D0000}"/>
    <cellStyle name="Normal 2 2 2 2 4 7 3 3" xfId="15742" xr:uid="{00000000-0005-0000-0000-0000753D0000}"/>
    <cellStyle name="Normal 2 2 2 2 4 7 3 4" xfId="15743" xr:uid="{00000000-0005-0000-0000-0000763D0000}"/>
    <cellStyle name="Normal 2 2 2 2 4 7 3 5" xfId="15744" xr:uid="{00000000-0005-0000-0000-0000773D0000}"/>
    <cellStyle name="Normal 2 2 2 2 4 7 3 6" xfId="15745" xr:uid="{00000000-0005-0000-0000-0000783D0000}"/>
    <cellStyle name="Normal 2 2 2 2 4 7 3 7" xfId="15746" xr:uid="{00000000-0005-0000-0000-0000793D0000}"/>
    <cellStyle name="Normal 2 2 2 2 4 7 3 8" xfId="15747" xr:uid="{00000000-0005-0000-0000-00007A3D0000}"/>
    <cellStyle name="Normal 2 2 2 2 4 7 3 9" xfId="15748" xr:uid="{00000000-0005-0000-0000-00007B3D0000}"/>
    <cellStyle name="Normal 2 2 2 2 4 7 4" xfId="15749" xr:uid="{00000000-0005-0000-0000-00007C3D0000}"/>
    <cellStyle name="Normal 2 2 2 2 4 7 4 10" xfId="15750" xr:uid="{00000000-0005-0000-0000-00007D3D0000}"/>
    <cellStyle name="Normal 2 2 2 2 4 7 4 2" xfId="15751" xr:uid="{00000000-0005-0000-0000-00007E3D0000}"/>
    <cellStyle name="Normal 2 2 2 2 4 7 4 3" xfId="15752" xr:uid="{00000000-0005-0000-0000-00007F3D0000}"/>
    <cellStyle name="Normal 2 2 2 2 4 7 4 4" xfId="15753" xr:uid="{00000000-0005-0000-0000-0000803D0000}"/>
    <cellStyle name="Normal 2 2 2 2 4 7 4 5" xfId="15754" xr:uid="{00000000-0005-0000-0000-0000813D0000}"/>
    <cellStyle name="Normal 2 2 2 2 4 7 4 6" xfId="15755" xr:uid="{00000000-0005-0000-0000-0000823D0000}"/>
    <cellStyle name="Normal 2 2 2 2 4 7 4 7" xfId="15756" xr:uid="{00000000-0005-0000-0000-0000833D0000}"/>
    <cellStyle name="Normal 2 2 2 2 4 7 4 8" xfId="15757" xr:uid="{00000000-0005-0000-0000-0000843D0000}"/>
    <cellStyle name="Normal 2 2 2 2 4 7 4 9" xfId="15758" xr:uid="{00000000-0005-0000-0000-0000853D0000}"/>
    <cellStyle name="Normal 2 2 2 2 4 7 5" xfId="15759" xr:uid="{00000000-0005-0000-0000-0000863D0000}"/>
    <cellStyle name="Normal 2 2 2 2 4 7 5 10" xfId="15760" xr:uid="{00000000-0005-0000-0000-0000873D0000}"/>
    <cellStyle name="Normal 2 2 2 2 4 7 5 2" xfId="15761" xr:uid="{00000000-0005-0000-0000-0000883D0000}"/>
    <cellStyle name="Normal 2 2 2 2 4 7 5 3" xfId="15762" xr:uid="{00000000-0005-0000-0000-0000893D0000}"/>
    <cellStyle name="Normal 2 2 2 2 4 7 5 4" xfId="15763" xr:uid="{00000000-0005-0000-0000-00008A3D0000}"/>
    <cellStyle name="Normal 2 2 2 2 4 7 5 5" xfId="15764" xr:uid="{00000000-0005-0000-0000-00008B3D0000}"/>
    <cellStyle name="Normal 2 2 2 2 4 7 5 6" xfId="15765" xr:uid="{00000000-0005-0000-0000-00008C3D0000}"/>
    <cellStyle name="Normal 2 2 2 2 4 7 5 7" xfId="15766" xr:uid="{00000000-0005-0000-0000-00008D3D0000}"/>
    <cellStyle name="Normal 2 2 2 2 4 7 5 8" xfId="15767" xr:uid="{00000000-0005-0000-0000-00008E3D0000}"/>
    <cellStyle name="Normal 2 2 2 2 4 7 5 9" xfId="15768" xr:uid="{00000000-0005-0000-0000-00008F3D0000}"/>
    <cellStyle name="Normal 2 2 2 2 4 7 6" xfId="15769" xr:uid="{00000000-0005-0000-0000-0000903D0000}"/>
    <cellStyle name="Normal 2 2 2 2 4 7 7" xfId="15770" xr:uid="{00000000-0005-0000-0000-0000913D0000}"/>
    <cellStyle name="Normal 2 2 2 2 4 7 8" xfId="15771" xr:uid="{00000000-0005-0000-0000-0000923D0000}"/>
    <cellStyle name="Normal 2 2 2 2 4 7 9" xfId="15772" xr:uid="{00000000-0005-0000-0000-0000933D0000}"/>
    <cellStyle name="Normal 2 2 2 2 4 8" xfId="15773" xr:uid="{00000000-0005-0000-0000-0000943D0000}"/>
    <cellStyle name="Normal 2 2 2 2 4 8 10" xfId="15774" xr:uid="{00000000-0005-0000-0000-0000953D0000}"/>
    <cellStyle name="Normal 2 2 2 2 4 8 11" xfId="15775" xr:uid="{00000000-0005-0000-0000-0000963D0000}"/>
    <cellStyle name="Normal 2 2 2 2 4 8 12" xfId="15776" xr:uid="{00000000-0005-0000-0000-0000973D0000}"/>
    <cellStyle name="Normal 2 2 2 2 4 8 13" xfId="15777" xr:uid="{00000000-0005-0000-0000-0000983D0000}"/>
    <cellStyle name="Normal 2 2 2 2 4 8 14" xfId="15778" xr:uid="{00000000-0005-0000-0000-0000993D0000}"/>
    <cellStyle name="Normal 2 2 2 2 4 8 2" xfId="15779" xr:uid="{00000000-0005-0000-0000-00009A3D0000}"/>
    <cellStyle name="Normal 2 2 2 2 4 8 2 10" xfId="15780" xr:uid="{00000000-0005-0000-0000-00009B3D0000}"/>
    <cellStyle name="Normal 2 2 2 2 4 8 2 2" xfId="15781" xr:uid="{00000000-0005-0000-0000-00009C3D0000}"/>
    <cellStyle name="Normal 2 2 2 2 4 8 2 3" xfId="15782" xr:uid="{00000000-0005-0000-0000-00009D3D0000}"/>
    <cellStyle name="Normal 2 2 2 2 4 8 2 4" xfId="15783" xr:uid="{00000000-0005-0000-0000-00009E3D0000}"/>
    <cellStyle name="Normal 2 2 2 2 4 8 2 5" xfId="15784" xr:uid="{00000000-0005-0000-0000-00009F3D0000}"/>
    <cellStyle name="Normal 2 2 2 2 4 8 2 6" xfId="15785" xr:uid="{00000000-0005-0000-0000-0000A03D0000}"/>
    <cellStyle name="Normal 2 2 2 2 4 8 2 7" xfId="15786" xr:uid="{00000000-0005-0000-0000-0000A13D0000}"/>
    <cellStyle name="Normal 2 2 2 2 4 8 2 8" xfId="15787" xr:uid="{00000000-0005-0000-0000-0000A23D0000}"/>
    <cellStyle name="Normal 2 2 2 2 4 8 2 9" xfId="15788" xr:uid="{00000000-0005-0000-0000-0000A33D0000}"/>
    <cellStyle name="Normal 2 2 2 2 4 8 3" xfId="15789" xr:uid="{00000000-0005-0000-0000-0000A43D0000}"/>
    <cellStyle name="Normal 2 2 2 2 4 8 3 10" xfId="15790" xr:uid="{00000000-0005-0000-0000-0000A53D0000}"/>
    <cellStyle name="Normal 2 2 2 2 4 8 3 2" xfId="15791" xr:uid="{00000000-0005-0000-0000-0000A63D0000}"/>
    <cellStyle name="Normal 2 2 2 2 4 8 3 3" xfId="15792" xr:uid="{00000000-0005-0000-0000-0000A73D0000}"/>
    <cellStyle name="Normal 2 2 2 2 4 8 3 4" xfId="15793" xr:uid="{00000000-0005-0000-0000-0000A83D0000}"/>
    <cellStyle name="Normal 2 2 2 2 4 8 3 5" xfId="15794" xr:uid="{00000000-0005-0000-0000-0000A93D0000}"/>
    <cellStyle name="Normal 2 2 2 2 4 8 3 6" xfId="15795" xr:uid="{00000000-0005-0000-0000-0000AA3D0000}"/>
    <cellStyle name="Normal 2 2 2 2 4 8 3 7" xfId="15796" xr:uid="{00000000-0005-0000-0000-0000AB3D0000}"/>
    <cellStyle name="Normal 2 2 2 2 4 8 3 8" xfId="15797" xr:uid="{00000000-0005-0000-0000-0000AC3D0000}"/>
    <cellStyle name="Normal 2 2 2 2 4 8 3 9" xfId="15798" xr:uid="{00000000-0005-0000-0000-0000AD3D0000}"/>
    <cellStyle name="Normal 2 2 2 2 4 8 4" xfId="15799" xr:uid="{00000000-0005-0000-0000-0000AE3D0000}"/>
    <cellStyle name="Normal 2 2 2 2 4 8 4 10" xfId="15800" xr:uid="{00000000-0005-0000-0000-0000AF3D0000}"/>
    <cellStyle name="Normal 2 2 2 2 4 8 4 2" xfId="15801" xr:uid="{00000000-0005-0000-0000-0000B03D0000}"/>
    <cellStyle name="Normal 2 2 2 2 4 8 4 3" xfId="15802" xr:uid="{00000000-0005-0000-0000-0000B13D0000}"/>
    <cellStyle name="Normal 2 2 2 2 4 8 4 4" xfId="15803" xr:uid="{00000000-0005-0000-0000-0000B23D0000}"/>
    <cellStyle name="Normal 2 2 2 2 4 8 4 5" xfId="15804" xr:uid="{00000000-0005-0000-0000-0000B33D0000}"/>
    <cellStyle name="Normal 2 2 2 2 4 8 4 6" xfId="15805" xr:uid="{00000000-0005-0000-0000-0000B43D0000}"/>
    <cellStyle name="Normal 2 2 2 2 4 8 4 7" xfId="15806" xr:uid="{00000000-0005-0000-0000-0000B53D0000}"/>
    <cellStyle name="Normal 2 2 2 2 4 8 4 8" xfId="15807" xr:uid="{00000000-0005-0000-0000-0000B63D0000}"/>
    <cellStyle name="Normal 2 2 2 2 4 8 4 9" xfId="15808" xr:uid="{00000000-0005-0000-0000-0000B73D0000}"/>
    <cellStyle name="Normal 2 2 2 2 4 8 5" xfId="15809" xr:uid="{00000000-0005-0000-0000-0000B83D0000}"/>
    <cellStyle name="Normal 2 2 2 2 4 8 5 10" xfId="15810" xr:uid="{00000000-0005-0000-0000-0000B93D0000}"/>
    <cellStyle name="Normal 2 2 2 2 4 8 5 2" xfId="15811" xr:uid="{00000000-0005-0000-0000-0000BA3D0000}"/>
    <cellStyle name="Normal 2 2 2 2 4 8 5 3" xfId="15812" xr:uid="{00000000-0005-0000-0000-0000BB3D0000}"/>
    <cellStyle name="Normal 2 2 2 2 4 8 5 4" xfId="15813" xr:uid="{00000000-0005-0000-0000-0000BC3D0000}"/>
    <cellStyle name="Normal 2 2 2 2 4 8 5 5" xfId="15814" xr:uid="{00000000-0005-0000-0000-0000BD3D0000}"/>
    <cellStyle name="Normal 2 2 2 2 4 8 5 6" xfId="15815" xr:uid="{00000000-0005-0000-0000-0000BE3D0000}"/>
    <cellStyle name="Normal 2 2 2 2 4 8 5 7" xfId="15816" xr:uid="{00000000-0005-0000-0000-0000BF3D0000}"/>
    <cellStyle name="Normal 2 2 2 2 4 8 5 8" xfId="15817" xr:uid="{00000000-0005-0000-0000-0000C03D0000}"/>
    <cellStyle name="Normal 2 2 2 2 4 8 5 9" xfId="15818" xr:uid="{00000000-0005-0000-0000-0000C13D0000}"/>
    <cellStyle name="Normal 2 2 2 2 4 8 6" xfId="15819" xr:uid="{00000000-0005-0000-0000-0000C23D0000}"/>
    <cellStyle name="Normal 2 2 2 2 4 8 7" xfId="15820" xr:uid="{00000000-0005-0000-0000-0000C33D0000}"/>
    <cellStyle name="Normal 2 2 2 2 4 8 8" xfId="15821" xr:uid="{00000000-0005-0000-0000-0000C43D0000}"/>
    <cellStyle name="Normal 2 2 2 2 4 8 9" xfId="15822" xr:uid="{00000000-0005-0000-0000-0000C53D0000}"/>
    <cellStyle name="Normal 2 2 2 2 4 9" xfId="15823" xr:uid="{00000000-0005-0000-0000-0000C63D0000}"/>
    <cellStyle name="Normal 2 2 2 2 4 9 10" xfId="15824" xr:uid="{00000000-0005-0000-0000-0000C73D0000}"/>
    <cellStyle name="Normal 2 2 2 2 4 9 11" xfId="15825" xr:uid="{00000000-0005-0000-0000-0000C83D0000}"/>
    <cellStyle name="Normal 2 2 2 2 4 9 12" xfId="15826" xr:uid="{00000000-0005-0000-0000-0000C93D0000}"/>
    <cellStyle name="Normal 2 2 2 2 4 9 13" xfId="15827" xr:uid="{00000000-0005-0000-0000-0000CA3D0000}"/>
    <cellStyle name="Normal 2 2 2 2 4 9 14" xfId="15828" xr:uid="{00000000-0005-0000-0000-0000CB3D0000}"/>
    <cellStyle name="Normal 2 2 2 2 4 9 2" xfId="15829" xr:uid="{00000000-0005-0000-0000-0000CC3D0000}"/>
    <cellStyle name="Normal 2 2 2 2 4 9 2 10" xfId="15830" xr:uid="{00000000-0005-0000-0000-0000CD3D0000}"/>
    <cellStyle name="Normal 2 2 2 2 4 9 2 2" xfId="15831" xr:uid="{00000000-0005-0000-0000-0000CE3D0000}"/>
    <cellStyle name="Normal 2 2 2 2 4 9 2 3" xfId="15832" xr:uid="{00000000-0005-0000-0000-0000CF3D0000}"/>
    <cellStyle name="Normal 2 2 2 2 4 9 2 4" xfId="15833" xr:uid="{00000000-0005-0000-0000-0000D03D0000}"/>
    <cellStyle name="Normal 2 2 2 2 4 9 2 5" xfId="15834" xr:uid="{00000000-0005-0000-0000-0000D13D0000}"/>
    <cellStyle name="Normal 2 2 2 2 4 9 2 6" xfId="15835" xr:uid="{00000000-0005-0000-0000-0000D23D0000}"/>
    <cellStyle name="Normal 2 2 2 2 4 9 2 7" xfId="15836" xr:uid="{00000000-0005-0000-0000-0000D33D0000}"/>
    <cellStyle name="Normal 2 2 2 2 4 9 2 8" xfId="15837" xr:uid="{00000000-0005-0000-0000-0000D43D0000}"/>
    <cellStyle name="Normal 2 2 2 2 4 9 2 9" xfId="15838" xr:uid="{00000000-0005-0000-0000-0000D53D0000}"/>
    <cellStyle name="Normal 2 2 2 2 4 9 3" xfId="15839" xr:uid="{00000000-0005-0000-0000-0000D63D0000}"/>
    <cellStyle name="Normal 2 2 2 2 4 9 3 10" xfId="15840" xr:uid="{00000000-0005-0000-0000-0000D73D0000}"/>
    <cellStyle name="Normal 2 2 2 2 4 9 3 2" xfId="15841" xr:uid="{00000000-0005-0000-0000-0000D83D0000}"/>
    <cellStyle name="Normal 2 2 2 2 4 9 3 3" xfId="15842" xr:uid="{00000000-0005-0000-0000-0000D93D0000}"/>
    <cellStyle name="Normal 2 2 2 2 4 9 3 4" xfId="15843" xr:uid="{00000000-0005-0000-0000-0000DA3D0000}"/>
    <cellStyle name="Normal 2 2 2 2 4 9 3 5" xfId="15844" xr:uid="{00000000-0005-0000-0000-0000DB3D0000}"/>
    <cellStyle name="Normal 2 2 2 2 4 9 3 6" xfId="15845" xr:uid="{00000000-0005-0000-0000-0000DC3D0000}"/>
    <cellStyle name="Normal 2 2 2 2 4 9 3 7" xfId="15846" xr:uid="{00000000-0005-0000-0000-0000DD3D0000}"/>
    <cellStyle name="Normal 2 2 2 2 4 9 3 8" xfId="15847" xr:uid="{00000000-0005-0000-0000-0000DE3D0000}"/>
    <cellStyle name="Normal 2 2 2 2 4 9 3 9" xfId="15848" xr:uid="{00000000-0005-0000-0000-0000DF3D0000}"/>
    <cellStyle name="Normal 2 2 2 2 4 9 4" xfId="15849" xr:uid="{00000000-0005-0000-0000-0000E03D0000}"/>
    <cellStyle name="Normal 2 2 2 2 4 9 4 10" xfId="15850" xr:uid="{00000000-0005-0000-0000-0000E13D0000}"/>
    <cellStyle name="Normal 2 2 2 2 4 9 4 2" xfId="15851" xr:uid="{00000000-0005-0000-0000-0000E23D0000}"/>
    <cellStyle name="Normal 2 2 2 2 4 9 4 3" xfId="15852" xr:uid="{00000000-0005-0000-0000-0000E33D0000}"/>
    <cellStyle name="Normal 2 2 2 2 4 9 4 4" xfId="15853" xr:uid="{00000000-0005-0000-0000-0000E43D0000}"/>
    <cellStyle name="Normal 2 2 2 2 4 9 4 5" xfId="15854" xr:uid="{00000000-0005-0000-0000-0000E53D0000}"/>
    <cellStyle name="Normal 2 2 2 2 4 9 4 6" xfId="15855" xr:uid="{00000000-0005-0000-0000-0000E63D0000}"/>
    <cellStyle name="Normal 2 2 2 2 4 9 4 7" xfId="15856" xr:uid="{00000000-0005-0000-0000-0000E73D0000}"/>
    <cellStyle name="Normal 2 2 2 2 4 9 4 8" xfId="15857" xr:uid="{00000000-0005-0000-0000-0000E83D0000}"/>
    <cellStyle name="Normal 2 2 2 2 4 9 4 9" xfId="15858" xr:uid="{00000000-0005-0000-0000-0000E93D0000}"/>
    <cellStyle name="Normal 2 2 2 2 4 9 5" xfId="15859" xr:uid="{00000000-0005-0000-0000-0000EA3D0000}"/>
    <cellStyle name="Normal 2 2 2 2 4 9 5 10" xfId="15860" xr:uid="{00000000-0005-0000-0000-0000EB3D0000}"/>
    <cellStyle name="Normal 2 2 2 2 4 9 5 2" xfId="15861" xr:uid="{00000000-0005-0000-0000-0000EC3D0000}"/>
    <cellStyle name="Normal 2 2 2 2 4 9 5 3" xfId="15862" xr:uid="{00000000-0005-0000-0000-0000ED3D0000}"/>
    <cellStyle name="Normal 2 2 2 2 4 9 5 4" xfId="15863" xr:uid="{00000000-0005-0000-0000-0000EE3D0000}"/>
    <cellStyle name="Normal 2 2 2 2 4 9 5 5" xfId="15864" xr:uid="{00000000-0005-0000-0000-0000EF3D0000}"/>
    <cellStyle name="Normal 2 2 2 2 4 9 5 6" xfId="15865" xr:uid="{00000000-0005-0000-0000-0000F03D0000}"/>
    <cellStyle name="Normal 2 2 2 2 4 9 5 7" xfId="15866" xr:uid="{00000000-0005-0000-0000-0000F13D0000}"/>
    <cellStyle name="Normal 2 2 2 2 4 9 5 8" xfId="15867" xr:uid="{00000000-0005-0000-0000-0000F23D0000}"/>
    <cellStyle name="Normal 2 2 2 2 4 9 5 9" xfId="15868" xr:uid="{00000000-0005-0000-0000-0000F33D0000}"/>
    <cellStyle name="Normal 2 2 2 2 4 9 6" xfId="15869" xr:uid="{00000000-0005-0000-0000-0000F43D0000}"/>
    <cellStyle name="Normal 2 2 2 2 4 9 7" xfId="15870" xr:uid="{00000000-0005-0000-0000-0000F53D0000}"/>
    <cellStyle name="Normal 2 2 2 2 4 9 8" xfId="15871" xr:uid="{00000000-0005-0000-0000-0000F63D0000}"/>
    <cellStyle name="Normal 2 2 2 2 4 9 9" xfId="15872" xr:uid="{00000000-0005-0000-0000-0000F73D0000}"/>
    <cellStyle name="Normal 2 2 2 2 40" xfId="15873" xr:uid="{00000000-0005-0000-0000-0000F83D0000}"/>
    <cellStyle name="Normal 2 2 2 2 40 10" xfId="15874" xr:uid="{00000000-0005-0000-0000-0000F93D0000}"/>
    <cellStyle name="Normal 2 2 2 2 40 2" xfId="15875" xr:uid="{00000000-0005-0000-0000-0000FA3D0000}"/>
    <cellStyle name="Normal 2 2 2 2 40 3" xfId="15876" xr:uid="{00000000-0005-0000-0000-0000FB3D0000}"/>
    <cellStyle name="Normal 2 2 2 2 40 4" xfId="15877" xr:uid="{00000000-0005-0000-0000-0000FC3D0000}"/>
    <cellStyle name="Normal 2 2 2 2 40 5" xfId="15878" xr:uid="{00000000-0005-0000-0000-0000FD3D0000}"/>
    <cellStyle name="Normal 2 2 2 2 40 6" xfId="15879" xr:uid="{00000000-0005-0000-0000-0000FE3D0000}"/>
    <cellStyle name="Normal 2 2 2 2 40 7" xfId="15880" xr:uid="{00000000-0005-0000-0000-0000FF3D0000}"/>
    <cellStyle name="Normal 2 2 2 2 40 8" xfId="15881" xr:uid="{00000000-0005-0000-0000-0000003E0000}"/>
    <cellStyle name="Normal 2 2 2 2 40 9" xfId="15882" xr:uid="{00000000-0005-0000-0000-0000013E0000}"/>
    <cellStyle name="Normal 2 2 2 2 41" xfId="15883" xr:uid="{00000000-0005-0000-0000-0000023E0000}"/>
    <cellStyle name="Normal 2 2 2 2 42" xfId="15884" xr:uid="{00000000-0005-0000-0000-0000033E0000}"/>
    <cellStyle name="Normal 2 2 2 2 43" xfId="15885" xr:uid="{00000000-0005-0000-0000-0000043E0000}"/>
    <cellStyle name="Normal 2 2 2 2 44" xfId="15886" xr:uid="{00000000-0005-0000-0000-0000053E0000}"/>
    <cellStyle name="Normal 2 2 2 2 45" xfId="15887" xr:uid="{00000000-0005-0000-0000-0000063E0000}"/>
    <cellStyle name="Normal 2 2 2 2 46" xfId="15888" xr:uid="{00000000-0005-0000-0000-0000073E0000}"/>
    <cellStyle name="Normal 2 2 2 2 47" xfId="15889" xr:uid="{00000000-0005-0000-0000-0000083E0000}"/>
    <cellStyle name="Normal 2 2 2 2 48" xfId="15890" xr:uid="{00000000-0005-0000-0000-0000093E0000}"/>
    <cellStyle name="Normal 2 2 2 2 49" xfId="15891" xr:uid="{00000000-0005-0000-0000-00000A3E0000}"/>
    <cellStyle name="Normal 2 2 2 2 5" xfId="15892" xr:uid="{00000000-0005-0000-0000-00000B3E0000}"/>
    <cellStyle name="Normal 2 2 2 2 5 10" xfId="15893" xr:uid="{00000000-0005-0000-0000-00000C3E0000}"/>
    <cellStyle name="Normal 2 2 2 2 5 10 10" xfId="15894" xr:uid="{00000000-0005-0000-0000-00000D3E0000}"/>
    <cellStyle name="Normal 2 2 2 2 5 10 11" xfId="15895" xr:uid="{00000000-0005-0000-0000-00000E3E0000}"/>
    <cellStyle name="Normal 2 2 2 2 5 10 12" xfId="15896" xr:uid="{00000000-0005-0000-0000-00000F3E0000}"/>
    <cellStyle name="Normal 2 2 2 2 5 10 13" xfId="15897" xr:uid="{00000000-0005-0000-0000-0000103E0000}"/>
    <cellStyle name="Normal 2 2 2 2 5 10 14" xfId="15898" xr:uid="{00000000-0005-0000-0000-0000113E0000}"/>
    <cellStyle name="Normal 2 2 2 2 5 10 2" xfId="15899" xr:uid="{00000000-0005-0000-0000-0000123E0000}"/>
    <cellStyle name="Normal 2 2 2 2 5 10 2 10" xfId="15900" xr:uid="{00000000-0005-0000-0000-0000133E0000}"/>
    <cellStyle name="Normal 2 2 2 2 5 10 2 2" xfId="15901" xr:uid="{00000000-0005-0000-0000-0000143E0000}"/>
    <cellStyle name="Normal 2 2 2 2 5 10 2 3" xfId="15902" xr:uid="{00000000-0005-0000-0000-0000153E0000}"/>
    <cellStyle name="Normal 2 2 2 2 5 10 2 4" xfId="15903" xr:uid="{00000000-0005-0000-0000-0000163E0000}"/>
    <cellStyle name="Normal 2 2 2 2 5 10 2 5" xfId="15904" xr:uid="{00000000-0005-0000-0000-0000173E0000}"/>
    <cellStyle name="Normal 2 2 2 2 5 10 2 6" xfId="15905" xr:uid="{00000000-0005-0000-0000-0000183E0000}"/>
    <cellStyle name="Normal 2 2 2 2 5 10 2 7" xfId="15906" xr:uid="{00000000-0005-0000-0000-0000193E0000}"/>
    <cellStyle name="Normal 2 2 2 2 5 10 2 8" xfId="15907" xr:uid="{00000000-0005-0000-0000-00001A3E0000}"/>
    <cellStyle name="Normal 2 2 2 2 5 10 2 9" xfId="15908" xr:uid="{00000000-0005-0000-0000-00001B3E0000}"/>
    <cellStyle name="Normal 2 2 2 2 5 10 3" xfId="15909" xr:uid="{00000000-0005-0000-0000-00001C3E0000}"/>
    <cellStyle name="Normal 2 2 2 2 5 10 3 10" xfId="15910" xr:uid="{00000000-0005-0000-0000-00001D3E0000}"/>
    <cellStyle name="Normal 2 2 2 2 5 10 3 2" xfId="15911" xr:uid="{00000000-0005-0000-0000-00001E3E0000}"/>
    <cellStyle name="Normal 2 2 2 2 5 10 3 3" xfId="15912" xr:uid="{00000000-0005-0000-0000-00001F3E0000}"/>
    <cellStyle name="Normal 2 2 2 2 5 10 3 4" xfId="15913" xr:uid="{00000000-0005-0000-0000-0000203E0000}"/>
    <cellStyle name="Normal 2 2 2 2 5 10 3 5" xfId="15914" xr:uid="{00000000-0005-0000-0000-0000213E0000}"/>
    <cellStyle name="Normal 2 2 2 2 5 10 3 6" xfId="15915" xr:uid="{00000000-0005-0000-0000-0000223E0000}"/>
    <cellStyle name="Normal 2 2 2 2 5 10 3 7" xfId="15916" xr:uid="{00000000-0005-0000-0000-0000233E0000}"/>
    <cellStyle name="Normal 2 2 2 2 5 10 3 8" xfId="15917" xr:uid="{00000000-0005-0000-0000-0000243E0000}"/>
    <cellStyle name="Normal 2 2 2 2 5 10 3 9" xfId="15918" xr:uid="{00000000-0005-0000-0000-0000253E0000}"/>
    <cellStyle name="Normal 2 2 2 2 5 10 4" xfId="15919" xr:uid="{00000000-0005-0000-0000-0000263E0000}"/>
    <cellStyle name="Normal 2 2 2 2 5 10 4 10" xfId="15920" xr:uid="{00000000-0005-0000-0000-0000273E0000}"/>
    <cellStyle name="Normal 2 2 2 2 5 10 4 2" xfId="15921" xr:uid="{00000000-0005-0000-0000-0000283E0000}"/>
    <cellStyle name="Normal 2 2 2 2 5 10 4 3" xfId="15922" xr:uid="{00000000-0005-0000-0000-0000293E0000}"/>
    <cellStyle name="Normal 2 2 2 2 5 10 4 4" xfId="15923" xr:uid="{00000000-0005-0000-0000-00002A3E0000}"/>
    <cellStyle name="Normal 2 2 2 2 5 10 4 5" xfId="15924" xr:uid="{00000000-0005-0000-0000-00002B3E0000}"/>
    <cellStyle name="Normal 2 2 2 2 5 10 4 6" xfId="15925" xr:uid="{00000000-0005-0000-0000-00002C3E0000}"/>
    <cellStyle name="Normal 2 2 2 2 5 10 4 7" xfId="15926" xr:uid="{00000000-0005-0000-0000-00002D3E0000}"/>
    <cellStyle name="Normal 2 2 2 2 5 10 4 8" xfId="15927" xr:uid="{00000000-0005-0000-0000-00002E3E0000}"/>
    <cellStyle name="Normal 2 2 2 2 5 10 4 9" xfId="15928" xr:uid="{00000000-0005-0000-0000-00002F3E0000}"/>
    <cellStyle name="Normal 2 2 2 2 5 10 5" xfId="15929" xr:uid="{00000000-0005-0000-0000-0000303E0000}"/>
    <cellStyle name="Normal 2 2 2 2 5 10 5 10" xfId="15930" xr:uid="{00000000-0005-0000-0000-0000313E0000}"/>
    <cellStyle name="Normal 2 2 2 2 5 10 5 2" xfId="15931" xr:uid="{00000000-0005-0000-0000-0000323E0000}"/>
    <cellStyle name="Normal 2 2 2 2 5 10 5 3" xfId="15932" xr:uid="{00000000-0005-0000-0000-0000333E0000}"/>
    <cellStyle name="Normal 2 2 2 2 5 10 5 4" xfId="15933" xr:uid="{00000000-0005-0000-0000-0000343E0000}"/>
    <cellStyle name="Normal 2 2 2 2 5 10 5 5" xfId="15934" xr:uid="{00000000-0005-0000-0000-0000353E0000}"/>
    <cellStyle name="Normal 2 2 2 2 5 10 5 6" xfId="15935" xr:uid="{00000000-0005-0000-0000-0000363E0000}"/>
    <cellStyle name="Normal 2 2 2 2 5 10 5 7" xfId="15936" xr:uid="{00000000-0005-0000-0000-0000373E0000}"/>
    <cellStyle name="Normal 2 2 2 2 5 10 5 8" xfId="15937" xr:uid="{00000000-0005-0000-0000-0000383E0000}"/>
    <cellStyle name="Normal 2 2 2 2 5 10 5 9" xfId="15938" xr:uid="{00000000-0005-0000-0000-0000393E0000}"/>
    <cellStyle name="Normal 2 2 2 2 5 10 6" xfId="15939" xr:uid="{00000000-0005-0000-0000-00003A3E0000}"/>
    <cellStyle name="Normal 2 2 2 2 5 10 7" xfId="15940" xr:uid="{00000000-0005-0000-0000-00003B3E0000}"/>
    <cellStyle name="Normal 2 2 2 2 5 10 8" xfId="15941" xr:uid="{00000000-0005-0000-0000-00003C3E0000}"/>
    <cellStyle name="Normal 2 2 2 2 5 10 9" xfId="15942" xr:uid="{00000000-0005-0000-0000-00003D3E0000}"/>
    <cellStyle name="Normal 2 2 2 2 5 11" xfId="15943" xr:uid="{00000000-0005-0000-0000-00003E3E0000}"/>
    <cellStyle name="Normal 2 2 2 2 5 11 10" xfId="15944" xr:uid="{00000000-0005-0000-0000-00003F3E0000}"/>
    <cellStyle name="Normal 2 2 2 2 5 11 11" xfId="15945" xr:uid="{00000000-0005-0000-0000-0000403E0000}"/>
    <cellStyle name="Normal 2 2 2 2 5 11 12" xfId="15946" xr:uid="{00000000-0005-0000-0000-0000413E0000}"/>
    <cellStyle name="Normal 2 2 2 2 5 11 13" xfId="15947" xr:uid="{00000000-0005-0000-0000-0000423E0000}"/>
    <cellStyle name="Normal 2 2 2 2 5 11 14" xfId="15948" xr:uid="{00000000-0005-0000-0000-0000433E0000}"/>
    <cellStyle name="Normal 2 2 2 2 5 11 2" xfId="15949" xr:uid="{00000000-0005-0000-0000-0000443E0000}"/>
    <cellStyle name="Normal 2 2 2 2 5 11 2 10" xfId="15950" xr:uid="{00000000-0005-0000-0000-0000453E0000}"/>
    <cellStyle name="Normal 2 2 2 2 5 11 2 2" xfId="15951" xr:uid="{00000000-0005-0000-0000-0000463E0000}"/>
    <cellStyle name="Normal 2 2 2 2 5 11 2 3" xfId="15952" xr:uid="{00000000-0005-0000-0000-0000473E0000}"/>
    <cellStyle name="Normal 2 2 2 2 5 11 2 4" xfId="15953" xr:uid="{00000000-0005-0000-0000-0000483E0000}"/>
    <cellStyle name="Normal 2 2 2 2 5 11 2 5" xfId="15954" xr:uid="{00000000-0005-0000-0000-0000493E0000}"/>
    <cellStyle name="Normal 2 2 2 2 5 11 2 6" xfId="15955" xr:uid="{00000000-0005-0000-0000-00004A3E0000}"/>
    <cellStyle name="Normal 2 2 2 2 5 11 2 7" xfId="15956" xr:uid="{00000000-0005-0000-0000-00004B3E0000}"/>
    <cellStyle name="Normal 2 2 2 2 5 11 2 8" xfId="15957" xr:uid="{00000000-0005-0000-0000-00004C3E0000}"/>
    <cellStyle name="Normal 2 2 2 2 5 11 2 9" xfId="15958" xr:uid="{00000000-0005-0000-0000-00004D3E0000}"/>
    <cellStyle name="Normal 2 2 2 2 5 11 3" xfId="15959" xr:uid="{00000000-0005-0000-0000-00004E3E0000}"/>
    <cellStyle name="Normal 2 2 2 2 5 11 3 10" xfId="15960" xr:uid="{00000000-0005-0000-0000-00004F3E0000}"/>
    <cellStyle name="Normal 2 2 2 2 5 11 3 2" xfId="15961" xr:uid="{00000000-0005-0000-0000-0000503E0000}"/>
    <cellStyle name="Normal 2 2 2 2 5 11 3 3" xfId="15962" xr:uid="{00000000-0005-0000-0000-0000513E0000}"/>
    <cellStyle name="Normal 2 2 2 2 5 11 3 4" xfId="15963" xr:uid="{00000000-0005-0000-0000-0000523E0000}"/>
    <cellStyle name="Normal 2 2 2 2 5 11 3 5" xfId="15964" xr:uid="{00000000-0005-0000-0000-0000533E0000}"/>
    <cellStyle name="Normal 2 2 2 2 5 11 3 6" xfId="15965" xr:uid="{00000000-0005-0000-0000-0000543E0000}"/>
    <cellStyle name="Normal 2 2 2 2 5 11 3 7" xfId="15966" xr:uid="{00000000-0005-0000-0000-0000553E0000}"/>
    <cellStyle name="Normal 2 2 2 2 5 11 3 8" xfId="15967" xr:uid="{00000000-0005-0000-0000-0000563E0000}"/>
    <cellStyle name="Normal 2 2 2 2 5 11 3 9" xfId="15968" xr:uid="{00000000-0005-0000-0000-0000573E0000}"/>
    <cellStyle name="Normal 2 2 2 2 5 11 4" xfId="15969" xr:uid="{00000000-0005-0000-0000-0000583E0000}"/>
    <cellStyle name="Normal 2 2 2 2 5 11 4 10" xfId="15970" xr:uid="{00000000-0005-0000-0000-0000593E0000}"/>
    <cellStyle name="Normal 2 2 2 2 5 11 4 2" xfId="15971" xr:uid="{00000000-0005-0000-0000-00005A3E0000}"/>
    <cellStyle name="Normal 2 2 2 2 5 11 4 3" xfId="15972" xr:uid="{00000000-0005-0000-0000-00005B3E0000}"/>
    <cellStyle name="Normal 2 2 2 2 5 11 4 4" xfId="15973" xr:uid="{00000000-0005-0000-0000-00005C3E0000}"/>
    <cellStyle name="Normal 2 2 2 2 5 11 4 5" xfId="15974" xr:uid="{00000000-0005-0000-0000-00005D3E0000}"/>
    <cellStyle name="Normal 2 2 2 2 5 11 4 6" xfId="15975" xr:uid="{00000000-0005-0000-0000-00005E3E0000}"/>
    <cellStyle name="Normal 2 2 2 2 5 11 4 7" xfId="15976" xr:uid="{00000000-0005-0000-0000-00005F3E0000}"/>
    <cellStyle name="Normal 2 2 2 2 5 11 4 8" xfId="15977" xr:uid="{00000000-0005-0000-0000-0000603E0000}"/>
    <cellStyle name="Normal 2 2 2 2 5 11 4 9" xfId="15978" xr:uid="{00000000-0005-0000-0000-0000613E0000}"/>
    <cellStyle name="Normal 2 2 2 2 5 11 5" xfId="15979" xr:uid="{00000000-0005-0000-0000-0000623E0000}"/>
    <cellStyle name="Normal 2 2 2 2 5 11 5 10" xfId="15980" xr:uid="{00000000-0005-0000-0000-0000633E0000}"/>
    <cellStyle name="Normal 2 2 2 2 5 11 5 2" xfId="15981" xr:uid="{00000000-0005-0000-0000-0000643E0000}"/>
    <cellStyle name="Normal 2 2 2 2 5 11 5 3" xfId="15982" xr:uid="{00000000-0005-0000-0000-0000653E0000}"/>
    <cellStyle name="Normal 2 2 2 2 5 11 5 4" xfId="15983" xr:uid="{00000000-0005-0000-0000-0000663E0000}"/>
    <cellStyle name="Normal 2 2 2 2 5 11 5 5" xfId="15984" xr:uid="{00000000-0005-0000-0000-0000673E0000}"/>
    <cellStyle name="Normal 2 2 2 2 5 11 5 6" xfId="15985" xr:uid="{00000000-0005-0000-0000-0000683E0000}"/>
    <cellStyle name="Normal 2 2 2 2 5 11 5 7" xfId="15986" xr:uid="{00000000-0005-0000-0000-0000693E0000}"/>
    <cellStyle name="Normal 2 2 2 2 5 11 5 8" xfId="15987" xr:uid="{00000000-0005-0000-0000-00006A3E0000}"/>
    <cellStyle name="Normal 2 2 2 2 5 11 5 9" xfId="15988" xr:uid="{00000000-0005-0000-0000-00006B3E0000}"/>
    <cellStyle name="Normal 2 2 2 2 5 11 6" xfId="15989" xr:uid="{00000000-0005-0000-0000-00006C3E0000}"/>
    <cellStyle name="Normal 2 2 2 2 5 11 7" xfId="15990" xr:uid="{00000000-0005-0000-0000-00006D3E0000}"/>
    <cellStyle name="Normal 2 2 2 2 5 11 8" xfId="15991" xr:uid="{00000000-0005-0000-0000-00006E3E0000}"/>
    <cellStyle name="Normal 2 2 2 2 5 11 9" xfId="15992" xr:uid="{00000000-0005-0000-0000-00006F3E0000}"/>
    <cellStyle name="Normal 2 2 2 2 5 12" xfId="15993" xr:uid="{00000000-0005-0000-0000-0000703E0000}"/>
    <cellStyle name="Normal 2 2 2 2 5 12 10" xfId="15994" xr:uid="{00000000-0005-0000-0000-0000713E0000}"/>
    <cellStyle name="Normal 2 2 2 2 5 12 11" xfId="15995" xr:uid="{00000000-0005-0000-0000-0000723E0000}"/>
    <cellStyle name="Normal 2 2 2 2 5 12 12" xfId="15996" xr:uid="{00000000-0005-0000-0000-0000733E0000}"/>
    <cellStyle name="Normal 2 2 2 2 5 12 13" xfId="15997" xr:uid="{00000000-0005-0000-0000-0000743E0000}"/>
    <cellStyle name="Normal 2 2 2 2 5 12 14" xfId="15998" xr:uid="{00000000-0005-0000-0000-0000753E0000}"/>
    <cellStyle name="Normal 2 2 2 2 5 12 2" xfId="15999" xr:uid="{00000000-0005-0000-0000-0000763E0000}"/>
    <cellStyle name="Normal 2 2 2 2 5 12 2 10" xfId="16000" xr:uid="{00000000-0005-0000-0000-0000773E0000}"/>
    <cellStyle name="Normal 2 2 2 2 5 12 2 2" xfId="16001" xr:uid="{00000000-0005-0000-0000-0000783E0000}"/>
    <cellStyle name="Normal 2 2 2 2 5 12 2 3" xfId="16002" xr:uid="{00000000-0005-0000-0000-0000793E0000}"/>
    <cellStyle name="Normal 2 2 2 2 5 12 2 4" xfId="16003" xr:uid="{00000000-0005-0000-0000-00007A3E0000}"/>
    <cellStyle name="Normal 2 2 2 2 5 12 2 5" xfId="16004" xr:uid="{00000000-0005-0000-0000-00007B3E0000}"/>
    <cellStyle name="Normal 2 2 2 2 5 12 2 6" xfId="16005" xr:uid="{00000000-0005-0000-0000-00007C3E0000}"/>
    <cellStyle name="Normal 2 2 2 2 5 12 2 7" xfId="16006" xr:uid="{00000000-0005-0000-0000-00007D3E0000}"/>
    <cellStyle name="Normal 2 2 2 2 5 12 2 8" xfId="16007" xr:uid="{00000000-0005-0000-0000-00007E3E0000}"/>
    <cellStyle name="Normal 2 2 2 2 5 12 2 9" xfId="16008" xr:uid="{00000000-0005-0000-0000-00007F3E0000}"/>
    <cellStyle name="Normal 2 2 2 2 5 12 3" xfId="16009" xr:uid="{00000000-0005-0000-0000-0000803E0000}"/>
    <cellStyle name="Normal 2 2 2 2 5 12 3 10" xfId="16010" xr:uid="{00000000-0005-0000-0000-0000813E0000}"/>
    <cellStyle name="Normal 2 2 2 2 5 12 3 2" xfId="16011" xr:uid="{00000000-0005-0000-0000-0000823E0000}"/>
    <cellStyle name="Normal 2 2 2 2 5 12 3 3" xfId="16012" xr:uid="{00000000-0005-0000-0000-0000833E0000}"/>
    <cellStyle name="Normal 2 2 2 2 5 12 3 4" xfId="16013" xr:uid="{00000000-0005-0000-0000-0000843E0000}"/>
    <cellStyle name="Normal 2 2 2 2 5 12 3 5" xfId="16014" xr:uid="{00000000-0005-0000-0000-0000853E0000}"/>
    <cellStyle name="Normal 2 2 2 2 5 12 3 6" xfId="16015" xr:uid="{00000000-0005-0000-0000-0000863E0000}"/>
    <cellStyle name="Normal 2 2 2 2 5 12 3 7" xfId="16016" xr:uid="{00000000-0005-0000-0000-0000873E0000}"/>
    <cellStyle name="Normal 2 2 2 2 5 12 3 8" xfId="16017" xr:uid="{00000000-0005-0000-0000-0000883E0000}"/>
    <cellStyle name="Normal 2 2 2 2 5 12 3 9" xfId="16018" xr:uid="{00000000-0005-0000-0000-0000893E0000}"/>
    <cellStyle name="Normal 2 2 2 2 5 12 4" xfId="16019" xr:uid="{00000000-0005-0000-0000-00008A3E0000}"/>
    <cellStyle name="Normal 2 2 2 2 5 12 4 10" xfId="16020" xr:uid="{00000000-0005-0000-0000-00008B3E0000}"/>
    <cellStyle name="Normal 2 2 2 2 5 12 4 2" xfId="16021" xr:uid="{00000000-0005-0000-0000-00008C3E0000}"/>
    <cellStyle name="Normal 2 2 2 2 5 12 4 3" xfId="16022" xr:uid="{00000000-0005-0000-0000-00008D3E0000}"/>
    <cellStyle name="Normal 2 2 2 2 5 12 4 4" xfId="16023" xr:uid="{00000000-0005-0000-0000-00008E3E0000}"/>
    <cellStyle name="Normal 2 2 2 2 5 12 4 5" xfId="16024" xr:uid="{00000000-0005-0000-0000-00008F3E0000}"/>
    <cellStyle name="Normal 2 2 2 2 5 12 4 6" xfId="16025" xr:uid="{00000000-0005-0000-0000-0000903E0000}"/>
    <cellStyle name="Normal 2 2 2 2 5 12 4 7" xfId="16026" xr:uid="{00000000-0005-0000-0000-0000913E0000}"/>
    <cellStyle name="Normal 2 2 2 2 5 12 4 8" xfId="16027" xr:uid="{00000000-0005-0000-0000-0000923E0000}"/>
    <cellStyle name="Normal 2 2 2 2 5 12 4 9" xfId="16028" xr:uid="{00000000-0005-0000-0000-0000933E0000}"/>
    <cellStyle name="Normal 2 2 2 2 5 12 5" xfId="16029" xr:uid="{00000000-0005-0000-0000-0000943E0000}"/>
    <cellStyle name="Normal 2 2 2 2 5 12 5 10" xfId="16030" xr:uid="{00000000-0005-0000-0000-0000953E0000}"/>
    <cellStyle name="Normal 2 2 2 2 5 12 5 2" xfId="16031" xr:uid="{00000000-0005-0000-0000-0000963E0000}"/>
    <cellStyle name="Normal 2 2 2 2 5 12 5 3" xfId="16032" xr:uid="{00000000-0005-0000-0000-0000973E0000}"/>
    <cellStyle name="Normal 2 2 2 2 5 12 5 4" xfId="16033" xr:uid="{00000000-0005-0000-0000-0000983E0000}"/>
    <cellStyle name="Normal 2 2 2 2 5 12 5 5" xfId="16034" xr:uid="{00000000-0005-0000-0000-0000993E0000}"/>
    <cellStyle name="Normal 2 2 2 2 5 12 5 6" xfId="16035" xr:uid="{00000000-0005-0000-0000-00009A3E0000}"/>
    <cellStyle name="Normal 2 2 2 2 5 12 5 7" xfId="16036" xr:uid="{00000000-0005-0000-0000-00009B3E0000}"/>
    <cellStyle name="Normal 2 2 2 2 5 12 5 8" xfId="16037" xr:uid="{00000000-0005-0000-0000-00009C3E0000}"/>
    <cellStyle name="Normal 2 2 2 2 5 12 5 9" xfId="16038" xr:uid="{00000000-0005-0000-0000-00009D3E0000}"/>
    <cellStyle name="Normal 2 2 2 2 5 12 6" xfId="16039" xr:uid="{00000000-0005-0000-0000-00009E3E0000}"/>
    <cellStyle name="Normal 2 2 2 2 5 12 7" xfId="16040" xr:uid="{00000000-0005-0000-0000-00009F3E0000}"/>
    <cellStyle name="Normal 2 2 2 2 5 12 8" xfId="16041" xr:uid="{00000000-0005-0000-0000-0000A03E0000}"/>
    <cellStyle name="Normal 2 2 2 2 5 12 9" xfId="16042" xr:uid="{00000000-0005-0000-0000-0000A13E0000}"/>
    <cellStyle name="Normal 2 2 2 2 5 13" xfId="16043" xr:uid="{00000000-0005-0000-0000-0000A23E0000}"/>
    <cellStyle name="Normal 2 2 2 2 5 13 10" xfId="16044" xr:uid="{00000000-0005-0000-0000-0000A33E0000}"/>
    <cellStyle name="Normal 2 2 2 2 5 13 11" xfId="16045" xr:uid="{00000000-0005-0000-0000-0000A43E0000}"/>
    <cellStyle name="Normal 2 2 2 2 5 13 12" xfId="16046" xr:uid="{00000000-0005-0000-0000-0000A53E0000}"/>
    <cellStyle name="Normal 2 2 2 2 5 13 13" xfId="16047" xr:uid="{00000000-0005-0000-0000-0000A63E0000}"/>
    <cellStyle name="Normal 2 2 2 2 5 13 14" xfId="16048" xr:uid="{00000000-0005-0000-0000-0000A73E0000}"/>
    <cellStyle name="Normal 2 2 2 2 5 13 2" xfId="16049" xr:uid="{00000000-0005-0000-0000-0000A83E0000}"/>
    <cellStyle name="Normal 2 2 2 2 5 13 2 10" xfId="16050" xr:uid="{00000000-0005-0000-0000-0000A93E0000}"/>
    <cellStyle name="Normal 2 2 2 2 5 13 2 2" xfId="16051" xr:uid="{00000000-0005-0000-0000-0000AA3E0000}"/>
    <cellStyle name="Normal 2 2 2 2 5 13 2 3" xfId="16052" xr:uid="{00000000-0005-0000-0000-0000AB3E0000}"/>
    <cellStyle name="Normal 2 2 2 2 5 13 2 4" xfId="16053" xr:uid="{00000000-0005-0000-0000-0000AC3E0000}"/>
    <cellStyle name="Normal 2 2 2 2 5 13 2 5" xfId="16054" xr:uid="{00000000-0005-0000-0000-0000AD3E0000}"/>
    <cellStyle name="Normal 2 2 2 2 5 13 2 6" xfId="16055" xr:uid="{00000000-0005-0000-0000-0000AE3E0000}"/>
    <cellStyle name="Normal 2 2 2 2 5 13 2 7" xfId="16056" xr:uid="{00000000-0005-0000-0000-0000AF3E0000}"/>
    <cellStyle name="Normal 2 2 2 2 5 13 2 8" xfId="16057" xr:uid="{00000000-0005-0000-0000-0000B03E0000}"/>
    <cellStyle name="Normal 2 2 2 2 5 13 2 9" xfId="16058" xr:uid="{00000000-0005-0000-0000-0000B13E0000}"/>
    <cellStyle name="Normal 2 2 2 2 5 13 3" xfId="16059" xr:uid="{00000000-0005-0000-0000-0000B23E0000}"/>
    <cellStyle name="Normal 2 2 2 2 5 13 3 10" xfId="16060" xr:uid="{00000000-0005-0000-0000-0000B33E0000}"/>
    <cellStyle name="Normal 2 2 2 2 5 13 3 2" xfId="16061" xr:uid="{00000000-0005-0000-0000-0000B43E0000}"/>
    <cellStyle name="Normal 2 2 2 2 5 13 3 3" xfId="16062" xr:uid="{00000000-0005-0000-0000-0000B53E0000}"/>
    <cellStyle name="Normal 2 2 2 2 5 13 3 4" xfId="16063" xr:uid="{00000000-0005-0000-0000-0000B63E0000}"/>
    <cellStyle name="Normal 2 2 2 2 5 13 3 5" xfId="16064" xr:uid="{00000000-0005-0000-0000-0000B73E0000}"/>
    <cellStyle name="Normal 2 2 2 2 5 13 3 6" xfId="16065" xr:uid="{00000000-0005-0000-0000-0000B83E0000}"/>
    <cellStyle name="Normal 2 2 2 2 5 13 3 7" xfId="16066" xr:uid="{00000000-0005-0000-0000-0000B93E0000}"/>
    <cellStyle name="Normal 2 2 2 2 5 13 3 8" xfId="16067" xr:uid="{00000000-0005-0000-0000-0000BA3E0000}"/>
    <cellStyle name="Normal 2 2 2 2 5 13 3 9" xfId="16068" xr:uid="{00000000-0005-0000-0000-0000BB3E0000}"/>
    <cellStyle name="Normal 2 2 2 2 5 13 4" xfId="16069" xr:uid="{00000000-0005-0000-0000-0000BC3E0000}"/>
    <cellStyle name="Normal 2 2 2 2 5 13 4 10" xfId="16070" xr:uid="{00000000-0005-0000-0000-0000BD3E0000}"/>
    <cellStyle name="Normal 2 2 2 2 5 13 4 2" xfId="16071" xr:uid="{00000000-0005-0000-0000-0000BE3E0000}"/>
    <cellStyle name="Normal 2 2 2 2 5 13 4 3" xfId="16072" xr:uid="{00000000-0005-0000-0000-0000BF3E0000}"/>
    <cellStyle name="Normal 2 2 2 2 5 13 4 4" xfId="16073" xr:uid="{00000000-0005-0000-0000-0000C03E0000}"/>
    <cellStyle name="Normal 2 2 2 2 5 13 4 5" xfId="16074" xr:uid="{00000000-0005-0000-0000-0000C13E0000}"/>
    <cellStyle name="Normal 2 2 2 2 5 13 4 6" xfId="16075" xr:uid="{00000000-0005-0000-0000-0000C23E0000}"/>
    <cellStyle name="Normal 2 2 2 2 5 13 4 7" xfId="16076" xr:uid="{00000000-0005-0000-0000-0000C33E0000}"/>
    <cellStyle name="Normal 2 2 2 2 5 13 4 8" xfId="16077" xr:uid="{00000000-0005-0000-0000-0000C43E0000}"/>
    <cellStyle name="Normal 2 2 2 2 5 13 4 9" xfId="16078" xr:uid="{00000000-0005-0000-0000-0000C53E0000}"/>
    <cellStyle name="Normal 2 2 2 2 5 13 5" xfId="16079" xr:uid="{00000000-0005-0000-0000-0000C63E0000}"/>
    <cellStyle name="Normal 2 2 2 2 5 13 5 10" xfId="16080" xr:uid="{00000000-0005-0000-0000-0000C73E0000}"/>
    <cellStyle name="Normal 2 2 2 2 5 13 5 2" xfId="16081" xr:uid="{00000000-0005-0000-0000-0000C83E0000}"/>
    <cellStyle name="Normal 2 2 2 2 5 13 5 3" xfId="16082" xr:uid="{00000000-0005-0000-0000-0000C93E0000}"/>
    <cellStyle name="Normal 2 2 2 2 5 13 5 4" xfId="16083" xr:uid="{00000000-0005-0000-0000-0000CA3E0000}"/>
    <cellStyle name="Normal 2 2 2 2 5 13 5 5" xfId="16084" xr:uid="{00000000-0005-0000-0000-0000CB3E0000}"/>
    <cellStyle name="Normal 2 2 2 2 5 13 5 6" xfId="16085" xr:uid="{00000000-0005-0000-0000-0000CC3E0000}"/>
    <cellStyle name="Normal 2 2 2 2 5 13 5 7" xfId="16086" xr:uid="{00000000-0005-0000-0000-0000CD3E0000}"/>
    <cellStyle name="Normal 2 2 2 2 5 13 5 8" xfId="16087" xr:uid="{00000000-0005-0000-0000-0000CE3E0000}"/>
    <cellStyle name="Normal 2 2 2 2 5 13 5 9" xfId="16088" xr:uid="{00000000-0005-0000-0000-0000CF3E0000}"/>
    <cellStyle name="Normal 2 2 2 2 5 13 6" xfId="16089" xr:uid="{00000000-0005-0000-0000-0000D03E0000}"/>
    <cellStyle name="Normal 2 2 2 2 5 13 7" xfId="16090" xr:uid="{00000000-0005-0000-0000-0000D13E0000}"/>
    <cellStyle name="Normal 2 2 2 2 5 13 8" xfId="16091" xr:uid="{00000000-0005-0000-0000-0000D23E0000}"/>
    <cellStyle name="Normal 2 2 2 2 5 13 9" xfId="16092" xr:uid="{00000000-0005-0000-0000-0000D33E0000}"/>
    <cellStyle name="Normal 2 2 2 2 5 14" xfId="16093" xr:uid="{00000000-0005-0000-0000-0000D43E0000}"/>
    <cellStyle name="Normal 2 2 2 2 5 14 10" xfId="16094" xr:uid="{00000000-0005-0000-0000-0000D53E0000}"/>
    <cellStyle name="Normal 2 2 2 2 5 14 11" xfId="16095" xr:uid="{00000000-0005-0000-0000-0000D63E0000}"/>
    <cellStyle name="Normal 2 2 2 2 5 14 12" xfId="16096" xr:uid="{00000000-0005-0000-0000-0000D73E0000}"/>
    <cellStyle name="Normal 2 2 2 2 5 14 13" xfId="16097" xr:uid="{00000000-0005-0000-0000-0000D83E0000}"/>
    <cellStyle name="Normal 2 2 2 2 5 14 14" xfId="16098" xr:uid="{00000000-0005-0000-0000-0000D93E0000}"/>
    <cellStyle name="Normal 2 2 2 2 5 14 2" xfId="16099" xr:uid="{00000000-0005-0000-0000-0000DA3E0000}"/>
    <cellStyle name="Normal 2 2 2 2 5 14 2 10" xfId="16100" xr:uid="{00000000-0005-0000-0000-0000DB3E0000}"/>
    <cellStyle name="Normal 2 2 2 2 5 14 2 2" xfId="16101" xr:uid="{00000000-0005-0000-0000-0000DC3E0000}"/>
    <cellStyle name="Normal 2 2 2 2 5 14 2 3" xfId="16102" xr:uid="{00000000-0005-0000-0000-0000DD3E0000}"/>
    <cellStyle name="Normal 2 2 2 2 5 14 2 4" xfId="16103" xr:uid="{00000000-0005-0000-0000-0000DE3E0000}"/>
    <cellStyle name="Normal 2 2 2 2 5 14 2 5" xfId="16104" xr:uid="{00000000-0005-0000-0000-0000DF3E0000}"/>
    <cellStyle name="Normal 2 2 2 2 5 14 2 6" xfId="16105" xr:uid="{00000000-0005-0000-0000-0000E03E0000}"/>
    <cellStyle name="Normal 2 2 2 2 5 14 2 7" xfId="16106" xr:uid="{00000000-0005-0000-0000-0000E13E0000}"/>
    <cellStyle name="Normal 2 2 2 2 5 14 2 8" xfId="16107" xr:uid="{00000000-0005-0000-0000-0000E23E0000}"/>
    <cellStyle name="Normal 2 2 2 2 5 14 2 9" xfId="16108" xr:uid="{00000000-0005-0000-0000-0000E33E0000}"/>
    <cellStyle name="Normal 2 2 2 2 5 14 3" xfId="16109" xr:uid="{00000000-0005-0000-0000-0000E43E0000}"/>
    <cellStyle name="Normal 2 2 2 2 5 14 3 10" xfId="16110" xr:uid="{00000000-0005-0000-0000-0000E53E0000}"/>
    <cellStyle name="Normal 2 2 2 2 5 14 3 2" xfId="16111" xr:uid="{00000000-0005-0000-0000-0000E63E0000}"/>
    <cellStyle name="Normal 2 2 2 2 5 14 3 3" xfId="16112" xr:uid="{00000000-0005-0000-0000-0000E73E0000}"/>
    <cellStyle name="Normal 2 2 2 2 5 14 3 4" xfId="16113" xr:uid="{00000000-0005-0000-0000-0000E83E0000}"/>
    <cellStyle name="Normal 2 2 2 2 5 14 3 5" xfId="16114" xr:uid="{00000000-0005-0000-0000-0000E93E0000}"/>
    <cellStyle name="Normal 2 2 2 2 5 14 3 6" xfId="16115" xr:uid="{00000000-0005-0000-0000-0000EA3E0000}"/>
    <cellStyle name="Normal 2 2 2 2 5 14 3 7" xfId="16116" xr:uid="{00000000-0005-0000-0000-0000EB3E0000}"/>
    <cellStyle name="Normal 2 2 2 2 5 14 3 8" xfId="16117" xr:uid="{00000000-0005-0000-0000-0000EC3E0000}"/>
    <cellStyle name="Normal 2 2 2 2 5 14 3 9" xfId="16118" xr:uid="{00000000-0005-0000-0000-0000ED3E0000}"/>
    <cellStyle name="Normal 2 2 2 2 5 14 4" xfId="16119" xr:uid="{00000000-0005-0000-0000-0000EE3E0000}"/>
    <cellStyle name="Normal 2 2 2 2 5 14 4 10" xfId="16120" xr:uid="{00000000-0005-0000-0000-0000EF3E0000}"/>
    <cellStyle name="Normal 2 2 2 2 5 14 4 2" xfId="16121" xr:uid="{00000000-0005-0000-0000-0000F03E0000}"/>
    <cellStyle name="Normal 2 2 2 2 5 14 4 3" xfId="16122" xr:uid="{00000000-0005-0000-0000-0000F13E0000}"/>
    <cellStyle name="Normal 2 2 2 2 5 14 4 4" xfId="16123" xr:uid="{00000000-0005-0000-0000-0000F23E0000}"/>
    <cellStyle name="Normal 2 2 2 2 5 14 4 5" xfId="16124" xr:uid="{00000000-0005-0000-0000-0000F33E0000}"/>
    <cellStyle name="Normal 2 2 2 2 5 14 4 6" xfId="16125" xr:uid="{00000000-0005-0000-0000-0000F43E0000}"/>
    <cellStyle name="Normal 2 2 2 2 5 14 4 7" xfId="16126" xr:uid="{00000000-0005-0000-0000-0000F53E0000}"/>
    <cellStyle name="Normal 2 2 2 2 5 14 4 8" xfId="16127" xr:uid="{00000000-0005-0000-0000-0000F63E0000}"/>
    <cellStyle name="Normal 2 2 2 2 5 14 4 9" xfId="16128" xr:uid="{00000000-0005-0000-0000-0000F73E0000}"/>
    <cellStyle name="Normal 2 2 2 2 5 14 5" xfId="16129" xr:uid="{00000000-0005-0000-0000-0000F83E0000}"/>
    <cellStyle name="Normal 2 2 2 2 5 14 5 10" xfId="16130" xr:uid="{00000000-0005-0000-0000-0000F93E0000}"/>
    <cellStyle name="Normal 2 2 2 2 5 14 5 2" xfId="16131" xr:uid="{00000000-0005-0000-0000-0000FA3E0000}"/>
    <cellStyle name="Normal 2 2 2 2 5 14 5 3" xfId="16132" xr:uid="{00000000-0005-0000-0000-0000FB3E0000}"/>
    <cellStyle name="Normal 2 2 2 2 5 14 5 4" xfId="16133" xr:uid="{00000000-0005-0000-0000-0000FC3E0000}"/>
    <cellStyle name="Normal 2 2 2 2 5 14 5 5" xfId="16134" xr:uid="{00000000-0005-0000-0000-0000FD3E0000}"/>
    <cellStyle name="Normal 2 2 2 2 5 14 5 6" xfId="16135" xr:uid="{00000000-0005-0000-0000-0000FE3E0000}"/>
    <cellStyle name="Normal 2 2 2 2 5 14 5 7" xfId="16136" xr:uid="{00000000-0005-0000-0000-0000FF3E0000}"/>
    <cellStyle name="Normal 2 2 2 2 5 14 5 8" xfId="16137" xr:uid="{00000000-0005-0000-0000-0000003F0000}"/>
    <cellStyle name="Normal 2 2 2 2 5 14 5 9" xfId="16138" xr:uid="{00000000-0005-0000-0000-0000013F0000}"/>
    <cellStyle name="Normal 2 2 2 2 5 14 6" xfId="16139" xr:uid="{00000000-0005-0000-0000-0000023F0000}"/>
    <cellStyle name="Normal 2 2 2 2 5 14 7" xfId="16140" xr:uid="{00000000-0005-0000-0000-0000033F0000}"/>
    <cellStyle name="Normal 2 2 2 2 5 14 8" xfId="16141" xr:uid="{00000000-0005-0000-0000-0000043F0000}"/>
    <cellStyle name="Normal 2 2 2 2 5 14 9" xfId="16142" xr:uid="{00000000-0005-0000-0000-0000053F0000}"/>
    <cellStyle name="Normal 2 2 2 2 5 15" xfId="16143" xr:uid="{00000000-0005-0000-0000-0000063F0000}"/>
    <cellStyle name="Normal 2 2 2 2 5 15 10" xfId="16144" xr:uid="{00000000-0005-0000-0000-0000073F0000}"/>
    <cellStyle name="Normal 2 2 2 2 5 15 11" xfId="16145" xr:uid="{00000000-0005-0000-0000-0000083F0000}"/>
    <cellStyle name="Normal 2 2 2 2 5 15 12" xfId="16146" xr:uid="{00000000-0005-0000-0000-0000093F0000}"/>
    <cellStyle name="Normal 2 2 2 2 5 15 13" xfId="16147" xr:uid="{00000000-0005-0000-0000-00000A3F0000}"/>
    <cellStyle name="Normal 2 2 2 2 5 15 14" xfId="16148" xr:uid="{00000000-0005-0000-0000-00000B3F0000}"/>
    <cellStyle name="Normal 2 2 2 2 5 15 2" xfId="16149" xr:uid="{00000000-0005-0000-0000-00000C3F0000}"/>
    <cellStyle name="Normal 2 2 2 2 5 15 2 10" xfId="16150" xr:uid="{00000000-0005-0000-0000-00000D3F0000}"/>
    <cellStyle name="Normal 2 2 2 2 5 15 2 2" xfId="16151" xr:uid="{00000000-0005-0000-0000-00000E3F0000}"/>
    <cellStyle name="Normal 2 2 2 2 5 15 2 3" xfId="16152" xr:uid="{00000000-0005-0000-0000-00000F3F0000}"/>
    <cellStyle name="Normal 2 2 2 2 5 15 2 4" xfId="16153" xr:uid="{00000000-0005-0000-0000-0000103F0000}"/>
    <cellStyle name="Normal 2 2 2 2 5 15 2 5" xfId="16154" xr:uid="{00000000-0005-0000-0000-0000113F0000}"/>
    <cellStyle name="Normal 2 2 2 2 5 15 2 6" xfId="16155" xr:uid="{00000000-0005-0000-0000-0000123F0000}"/>
    <cellStyle name="Normal 2 2 2 2 5 15 2 7" xfId="16156" xr:uid="{00000000-0005-0000-0000-0000133F0000}"/>
    <cellStyle name="Normal 2 2 2 2 5 15 2 8" xfId="16157" xr:uid="{00000000-0005-0000-0000-0000143F0000}"/>
    <cellStyle name="Normal 2 2 2 2 5 15 2 9" xfId="16158" xr:uid="{00000000-0005-0000-0000-0000153F0000}"/>
    <cellStyle name="Normal 2 2 2 2 5 15 3" xfId="16159" xr:uid="{00000000-0005-0000-0000-0000163F0000}"/>
    <cellStyle name="Normal 2 2 2 2 5 15 3 10" xfId="16160" xr:uid="{00000000-0005-0000-0000-0000173F0000}"/>
    <cellStyle name="Normal 2 2 2 2 5 15 3 2" xfId="16161" xr:uid="{00000000-0005-0000-0000-0000183F0000}"/>
    <cellStyle name="Normal 2 2 2 2 5 15 3 3" xfId="16162" xr:uid="{00000000-0005-0000-0000-0000193F0000}"/>
    <cellStyle name="Normal 2 2 2 2 5 15 3 4" xfId="16163" xr:uid="{00000000-0005-0000-0000-00001A3F0000}"/>
    <cellStyle name="Normal 2 2 2 2 5 15 3 5" xfId="16164" xr:uid="{00000000-0005-0000-0000-00001B3F0000}"/>
    <cellStyle name="Normal 2 2 2 2 5 15 3 6" xfId="16165" xr:uid="{00000000-0005-0000-0000-00001C3F0000}"/>
    <cellStyle name="Normal 2 2 2 2 5 15 3 7" xfId="16166" xr:uid="{00000000-0005-0000-0000-00001D3F0000}"/>
    <cellStyle name="Normal 2 2 2 2 5 15 3 8" xfId="16167" xr:uid="{00000000-0005-0000-0000-00001E3F0000}"/>
    <cellStyle name="Normal 2 2 2 2 5 15 3 9" xfId="16168" xr:uid="{00000000-0005-0000-0000-00001F3F0000}"/>
    <cellStyle name="Normal 2 2 2 2 5 15 4" xfId="16169" xr:uid="{00000000-0005-0000-0000-0000203F0000}"/>
    <cellStyle name="Normal 2 2 2 2 5 15 4 10" xfId="16170" xr:uid="{00000000-0005-0000-0000-0000213F0000}"/>
    <cellStyle name="Normal 2 2 2 2 5 15 4 2" xfId="16171" xr:uid="{00000000-0005-0000-0000-0000223F0000}"/>
    <cellStyle name="Normal 2 2 2 2 5 15 4 3" xfId="16172" xr:uid="{00000000-0005-0000-0000-0000233F0000}"/>
    <cellStyle name="Normal 2 2 2 2 5 15 4 4" xfId="16173" xr:uid="{00000000-0005-0000-0000-0000243F0000}"/>
    <cellStyle name="Normal 2 2 2 2 5 15 4 5" xfId="16174" xr:uid="{00000000-0005-0000-0000-0000253F0000}"/>
    <cellStyle name="Normal 2 2 2 2 5 15 4 6" xfId="16175" xr:uid="{00000000-0005-0000-0000-0000263F0000}"/>
    <cellStyle name="Normal 2 2 2 2 5 15 4 7" xfId="16176" xr:uid="{00000000-0005-0000-0000-0000273F0000}"/>
    <cellStyle name="Normal 2 2 2 2 5 15 4 8" xfId="16177" xr:uid="{00000000-0005-0000-0000-0000283F0000}"/>
    <cellStyle name="Normal 2 2 2 2 5 15 4 9" xfId="16178" xr:uid="{00000000-0005-0000-0000-0000293F0000}"/>
    <cellStyle name="Normal 2 2 2 2 5 15 5" xfId="16179" xr:uid="{00000000-0005-0000-0000-00002A3F0000}"/>
    <cellStyle name="Normal 2 2 2 2 5 15 5 10" xfId="16180" xr:uid="{00000000-0005-0000-0000-00002B3F0000}"/>
    <cellStyle name="Normal 2 2 2 2 5 15 5 2" xfId="16181" xr:uid="{00000000-0005-0000-0000-00002C3F0000}"/>
    <cellStyle name="Normal 2 2 2 2 5 15 5 3" xfId="16182" xr:uid="{00000000-0005-0000-0000-00002D3F0000}"/>
    <cellStyle name="Normal 2 2 2 2 5 15 5 4" xfId="16183" xr:uid="{00000000-0005-0000-0000-00002E3F0000}"/>
    <cellStyle name="Normal 2 2 2 2 5 15 5 5" xfId="16184" xr:uid="{00000000-0005-0000-0000-00002F3F0000}"/>
    <cellStyle name="Normal 2 2 2 2 5 15 5 6" xfId="16185" xr:uid="{00000000-0005-0000-0000-0000303F0000}"/>
    <cellStyle name="Normal 2 2 2 2 5 15 5 7" xfId="16186" xr:uid="{00000000-0005-0000-0000-0000313F0000}"/>
    <cellStyle name="Normal 2 2 2 2 5 15 5 8" xfId="16187" xr:uid="{00000000-0005-0000-0000-0000323F0000}"/>
    <cellStyle name="Normal 2 2 2 2 5 15 5 9" xfId="16188" xr:uid="{00000000-0005-0000-0000-0000333F0000}"/>
    <cellStyle name="Normal 2 2 2 2 5 15 6" xfId="16189" xr:uid="{00000000-0005-0000-0000-0000343F0000}"/>
    <cellStyle name="Normal 2 2 2 2 5 15 7" xfId="16190" xr:uid="{00000000-0005-0000-0000-0000353F0000}"/>
    <cellStyle name="Normal 2 2 2 2 5 15 8" xfId="16191" xr:uid="{00000000-0005-0000-0000-0000363F0000}"/>
    <cellStyle name="Normal 2 2 2 2 5 15 9" xfId="16192" xr:uid="{00000000-0005-0000-0000-0000373F0000}"/>
    <cellStyle name="Normal 2 2 2 2 5 16" xfId="16193" xr:uid="{00000000-0005-0000-0000-0000383F0000}"/>
    <cellStyle name="Normal 2 2 2 2 5 16 10" xfId="16194" xr:uid="{00000000-0005-0000-0000-0000393F0000}"/>
    <cellStyle name="Normal 2 2 2 2 5 16 11" xfId="16195" xr:uid="{00000000-0005-0000-0000-00003A3F0000}"/>
    <cellStyle name="Normal 2 2 2 2 5 16 12" xfId="16196" xr:uid="{00000000-0005-0000-0000-00003B3F0000}"/>
    <cellStyle name="Normal 2 2 2 2 5 16 13" xfId="16197" xr:uid="{00000000-0005-0000-0000-00003C3F0000}"/>
    <cellStyle name="Normal 2 2 2 2 5 16 14" xfId="16198" xr:uid="{00000000-0005-0000-0000-00003D3F0000}"/>
    <cellStyle name="Normal 2 2 2 2 5 16 2" xfId="16199" xr:uid="{00000000-0005-0000-0000-00003E3F0000}"/>
    <cellStyle name="Normal 2 2 2 2 5 16 2 10" xfId="16200" xr:uid="{00000000-0005-0000-0000-00003F3F0000}"/>
    <cellStyle name="Normal 2 2 2 2 5 16 2 2" xfId="16201" xr:uid="{00000000-0005-0000-0000-0000403F0000}"/>
    <cellStyle name="Normal 2 2 2 2 5 16 2 3" xfId="16202" xr:uid="{00000000-0005-0000-0000-0000413F0000}"/>
    <cellStyle name="Normal 2 2 2 2 5 16 2 4" xfId="16203" xr:uid="{00000000-0005-0000-0000-0000423F0000}"/>
    <cellStyle name="Normal 2 2 2 2 5 16 2 5" xfId="16204" xr:uid="{00000000-0005-0000-0000-0000433F0000}"/>
    <cellStyle name="Normal 2 2 2 2 5 16 2 6" xfId="16205" xr:uid="{00000000-0005-0000-0000-0000443F0000}"/>
    <cellStyle name="Normal 2 2 2 2 5 16 2 7" xfId="16206" xr:uid="{00000000-0005-0000-0000-0000453F0000}"/>
    <cellStyle name="Normal 2 2 2 2 5 16 2 8" xfId="16207" xr:uid="{00000000-0005-0000-0000-0000463F0000}"/>
    <cellStyle name="Normal 2 2 2 2 5 16 2 9" xfId="16208" xr:uid="{00000000-0005-0000-0000-0000473F0000}"/>
    <cellStyle name="Normal 2 2 2 2 5 16 3" xfId="16209" xr:uid="{00000000-0005-0000-0000-0000483F0000}"/>
    <cellStyle name="Normal 2 2 2 2 5 16 3 10" xfId="16210" xr:uid="{00000000-0005-0000-0000-0000493F0000}"/>
    <cellStyle name="Normal 2 2 2 2 5 16 3 2" xfId="16211" xr:uid="{00000000-0005-0000-0000-00004A3F0000}"/>
    <cellStyle name="Normal 2 2 2 2 5 16 3 3" xfId="16212" xr:uid="{00000000-0005-0000-0000-00004B3F0000}"/>
    <cellStyle name="Normal 2 2 2 2 5 16 3 4" xfId="16213" xr:uid="{00000000-0005-0000-0000-00004C3F0000}"/>
    <cellStyle name="Normal 2 2 2 2 5 16 3 5" xfId="16214" xr:uid="{00000000-0005-0000-0000-00004D3F0000}"/>
    <cellStyle name="Normal 2 2 2 2 5 16 3 6" xfId="16215" xr:uid="{00000000-0005-0000-0000-00004E3F0000}"/>
    <cellStyle name="Normal 2 2 2 2 5 16 3 7" xfId="16216" xr:uid="{00000000-0005-0000-0000-00004F3F0000}"/>
    <cellStyle name="Normal 2 2 2 2 5 16 3 8" xfId="16217" xr:uid="{00000000-0005-0000-0000-0000503F0000}"/>
    <cellStyle name="Normal 2 2 2 2 5 16 3 9" xfId="16218" xr:uid="{00000000-0005-0000-0000-0000513F0000}"/>
    <cellStyle name="Normal 2 2 2 2 5 16 4" xfId="16219" xr:uid="{00000000-0005-0000-0000-0000523F0000}"/>
    <cellStyle name="Normal 2 2 2 2 5 16 4 10" xfId="16220" xr:uid="{00000000-0005-0000-0000-0000533F0000}"/>
    <cellStyle name="Normal 2 2 2 2 5 16 4 2" xfId="16221" xr:uid="{00000000-0005-0000-0000-0000543F0000}"/>
    <cellStyle name="Normal 2 2 2 2 5 16 4 3" xfId="16222" xr:uid="{00000000-0005-0000-0000-0000553F0000}"/>
    <cellStyle name="Normal 2 2 2 2 5 16 4 4" xfId="16223" xr:uid="{00000000-0005-0000-0000-0000563F0000}"/>
    <cellStyle name="Normal 2 2 2 2 5 16 4 5" xfId="16224" xr:uid="{00000000-0005-0000-0000-0000573F0000}"/>
    <cellStyle name="Normal 2 2 2 2 5 16 4 6" xfId="16225" xr:uid="{00000000-0005-0000-0000-0000583F0000}"/>
    <cellStyle name="Normal 2 2 2 2 5 16 4 7" xfId="16226" xr:uid="{00000000-0005-0000-0000-0000593F0000}"/>
    <cellStyle name="Normal 2 2 2 2 5 16 4 8" xfId="16227" xr:uid="{00000000-0005-0000-0000-00005A3F0000}"/>
    <cellStyle name="Normal 2 2 2 2 5 16 4 9" xfId="16228" xr:uid="{00000000-0005-0000-0000-00005B3F0000}"/>
    <cellStyle name="Normal 2 2 2 2 5 16 5" xfId="16229" xr:uid="{00000000-0005-0000-0000-00005C3F0000}"/>
    <cellStyle name="Normal 2 2 2 2 5 16 5 10" xfId="16230" xr:uid="{00000000-0005-0000-0000-00005D3F0000}"/>
    <cellStyle name="Normal 2 2 2 2 5 16 5 2" xfId="16231" xr:uid="{00000000-0005-0000-0000-00005E3F0000}"/>
    <cellStyle name="Normal 2 2 2 2 5 16 5 3" xfId="16232" xr:uid="{00000000-0005-0000-0000-00005F3F0000}"/>
    <cellStyle name="Normal 2 2 2 2 5 16 5 4" xfId="16233" xr:uid="{00000000-0005-0000-0000-0000603F0000}"/>
    <cellStyle name="Normal 2 2 2 2 5 16 5 5" xfId="16234" xr:uid="{00000000-0005-0000-0000-0000613F0000}"/>
    <cellStyle name="Normal 2 2 2 2 5 16 5 6" xfId="16235" xr:uid="{00000000-0005-0000-0000-0000623F0000}"/>
    <cellStyle name="Normal 2 2 2 2 5 16 5 7" xfId="16236" xr:uid="{00000000-0005-0000-0000-0000633F0000}"/>
    <cellStyle name="Normal 2 2 2 2 5 16 5 8" xfId="16237" xr:uid="{00000000-0005-0000-0000-0000643F0000}"/>
    <cellStyle name="Normal 2 2 2 2 5 16 5 9" xfId="16238" xr:uid="{00000000-0005-0000-0000-0000653F0000}"/>
    <cellStyle name="Normal 2 2 2 2 5 16 6" xfId="16239" xr:uid="{00000000-0005-0000-0000-0000663F0000}"/>
    <cellStyle name="Normal 2 2 2 2 5 16 7" xfId="16240" xr:uid="{00000000-0005-0000-0000-0000673F0000}"/>
    <cellStyle name="Normal 2 2 2 2 5 16 8" xfId="16241" xr:uid="{00000000-0005-0000-0000-0000683F0000}"/>
    <cellStyle name="Normal 2 2 2 2 5 16 9" xfId="16242" xr:uid="{00000000-0005-0000-0000-0000693F0000}"/>
    <cellStyle name="Normal 2 2 2 2 5 17" xfId="16243" xr:uid="{00000000-0005-0000-0000-00006A3F0000}"/>
    <cellStyle name="Normal 2 2 2 2 5 17 10" xfId="16244" xr:uid="{00000000-0005-0000-0000-00006B3F0000}"/>
    <cellStyle name="Normal 2 2 2 2 5 17 11" xfId="16245" xr:uid="{00000000-0005-0000-0000-00006C3F0000}"/>
    <cellStyle name="Normal 2 2 2 2 5 17 12" xfId="16246" xr:uid="{00000000-0005-0000-0000-00006D3F0000}"/>
    <cellStyle name="Normal 2 2 2 2 5 17 13" xfId="16247" xr:uid="{00000000-0005-0000-0000-00006E3F0000}"/>
    <cellStyle name="Normal 2 2 2 2 5 17 14" xfId="16248" xr:uid="{00000000-0005-0000-0000-00006F3F0000}"/>
    <cellStyle name="Normal 2 2 2 2 5 17 2" xfId="16249" xr:uid="{00000000-0005-0000-0000-0000703F0000}"/>
    <cellStyle name="Normal 2 2 2 2 5 17 2 10" xfId="16250" xr:uid="{00000000-0005-0000-0000-0000713F0000}"/>
    <cellStyle name="Normal 2 2 2 2 5 17 2 2" xfId="16251" xr:uid="{00000000-0005-0000-0000-0000723F0000}"/>
    <cellStyle name="Normal 2 2 2 2 5 17 2 3" xfId="16252" xr:uid="{00000000-0005-0000-0000-0000733F0000}"/>
    <cellStyle name="Normal 2 2 2 2 5 17 2 4" xfId="16253" xr:uid="{00000000-0005-0000-0000-0000743F0000}"/>
    <cellStyle name="Normal 2 2 2 2 5 17 2 5" xfId="16254" xr:uid="{00000000-0005-0000-0000-0000753F0000}"/>
    <cellStyle name="Normal 2 2 2 2 5 17 2 6" xfId="16255" xr:uid="{00000000-0005-0000-0000-0000763F0000}"/>
    <cellStyle name="Normal 2 2 2 2 5 17 2 7" xfId="16256" xr:uid="{00000000-0005-0000-0000-0000773F0000}"/>
    <cellStyle name="Normal 2 2 2 2 5 17 2 8" xfId="16257" xr:uid="{00000000-0005-0000-0000-0000783F0000}"/>
    <cellStyle name="Normal 2 2 2 2 5 17 2 9" xfId="16258" xr:uid="{00000000-0005-0000-0000-0000793F0000}"/>
    <cellStyle name="Normal 2 2 2 2 5 17 3" xfId="16259" xr:uid="{00000000-0005-0000-0000-00007A3F0000}"/>
    <cellStyle name="Normal 2 2 2 2 5 17 3 10" xfId="16260" xr:uid="{00000000-0005-0000-0000-00007B3F0000}"/>
    <cellStyle name="Normal 2 2 2 2 5 17 3 2" xfId="16261" xr:uid="{00000000-0005-0000-0000-00007C3F0000}"/>
    <cellStyle name="Normal 2 2 2 2 5 17 3 3" xfId="16262" xr:uid="{00000000-0005-0000-0000-00007D3F0000}"/>
    <cellStyle name="Normal 2 2 2 2 5 17 3 4" xfId="16263" xr:uid="{00000000-0005-0000-0000-00007E3F0000}"/>
    <cellStyle name="Normal 2 2 2 2 5 17 3 5" xfId="16264" xr:uid="{00000000-0005-0000-0000-00007F3F0000}"/>
    <cellStyle name="Normal 2 2 2 2 5 17 3 6" xfId="16265" xr:uid="{00000000-0005-0000-0000-0000803F0000}"/>
    <cellStyle name="Normal 2 2 2 2 5 17 3 7" xfId="16266" xr:uid="{00000000-0005-0000-0000-0000813F0000}"/>
    <cellStyle name="Normal 2 2 2 2 5 17 3 8" xfId="16267" xr:uid="{00000000-0005-0000-0000-0000823F0000}"/>
    <cellStyle name="Normal 2 2 2 2 5 17 3 9" xfId="16268" xr:uid="{00000000-0005-0000-0000-0000833F0000}"/>
    <cellStyle name="Normal 2 2 2 2 5 17 4" xfId="16269" xr:uid="{00000000-0005-0000-0000-0000843F0000}"/>
    <cellStyle name="Normal 2 2 2 2 5 17 4 10" xfId="16270" xr:uid="{00000000-0005-0000-0000-0000853F0000}"/>
    <cellStyle name="Normal 2 2 2 2 5 17 4 2" xfId="16271" xr:uid="{00000000-0005-0000-0000-0000863F0000}"/>
    <cellStyle name="Normal 2 2 2 2 5 17 4 3" xfId="16272" xr:uid="{00000000-0005-0000-0000-0000873F0000}"/>
    <cellStyle name="Normal 2 2 2 2 5 17 4 4" xfId="16273" xr:uid="{00000000-0005-0000-0000-0000883F0000}"/>
    <cellStyle name="Normal 2 2 2 2 5 17 4 5" xfId="16274" xr:uid="{00000000-0005-0000-0000-0000893F0000}"/>
    <cellStyle name="Normal 2 2 2 2 5 17 4 6" xfId="16275" xr:uid="{00000000-0005-0000-0000-00008A3F0000}"/>
    <cellStyle name="Normal 2 2 2 2 5 17 4 7" xfId="16276" xr:uid="{00000000-0005-0000-0000-00008B3F0000}"/>
    <cellStyle name="Normal 2 2 2 2 5 17 4 8" xfId="16277" xr:uid="{00000000-0005-0000-0000-00008C3F0000}"/>
    <cellStyle name="Normal 2 2 2 2 5 17 4 9" xfId="16278" xr:uid="{00000000-0005-0000-0000-00008D3F0000}"/>
    <cellStyle name="Normal 2 2 2 2 5 17 5" xfId="16279" xr:uid="{00000000-0005-0000-0000-00008E3F0000}"/>
    <cellStyle name="Normal 2 2 2 2 5 17 5 10" xfId="16280" xr:uid="{00000000-0005-0000-0000-00008F3F0000}"/>
    <cellStyle name="Normal 2 2 2 2 5 17 5 2" xfId="16281" xr:uid="{00000000-0005-0000-0000-0000903F0000}"/>
    <cellStyle name="Normal 2 2 2 2 5 17 5 3" xfId="16282" xr:uid="{00000000-0005-0000-0000-0000913F0000}"/>
    <cellStyle name="Normal 2 2 2 2 5 17 5 4" xfId="16283" xr:uid="{00000000-0005-0000-0000-0000923F0000}"/>
    <cellStyle name="Normal 2 2 2 2 5 17 5 5" xfId="16284" xr:uid="{00000000-0005-0000-0000-0000933F0000}"/>
    <cellStyle name="Normal 2 2 2 2 5 17 5 6" xfId="16285" xr:uid="{00000000-0005-0000-0000-0000943F0000}"/>
    <cellStyle name="Normal 2 2 2 2 5 17 5 7" xfId="16286" xr:uid="{00000000-0005-0000-0000-0000953F0000}"/>
    <cellStyle name="Normal 2 2 2 2 5 17 5 8" xfId="16287" xr:uid="{00000000-0005-0000-0000-0000963F0000}"/>
    <cellStyle name="Normal 2 2 2 2 5 17 5 9" xfId="16288" xr:uid="{00000000-0005-0000-0000-0000973F0000}"/>
    <cellStyle name="Normal 2 2 2 2 5 17 6" xfId="16289" xr:uid="{00000000-0005-0000-0000-0000983F0000}"/>
    <cellStyle name="Normal 2 2 2 2 5 17 7" xfId="16290" xr:uid="{00000000-0005-0000-0000-0000993F0000}"/>
    <cellStyle name="Normal 2 2 2 2 5 17 8" xfId="16291" xr:uid="{00000000-0005-0000-0000-00009A3F0000}"/>
    <cellStyle name="Normal 2 2 2 2 5 17 9" xfId="16292" xr:uid="{00000000-0005-0000-0000-00009B3F0000}"/>
    <cellStyle name="Normal 2 2 2 2 5 18" xfId="16293" xr:uid="{00000000-0005-0000-0000-00009C3F0000}"/>
    <cellStyle name="Normal 2 2 2 2 5 18 10" xfId="16294" xr:uid="{00000000-0005-0000-0000-00009D3F0000}"/>
    <cellStyle name="Normal 2 2 2 2 5 18 11" xfId="16295" xr:uid="{00000000-0005-0000-0000-00009E3F0000}"/>
    <cellStyle name="Normal 2 2 2 2 5 18 12" xfId="16296" xr:uid="{00000000-0005-0000-0000-00009F3F0000}"/>
    <cellStyle name="Normal 2 2 2 2 5 18 13" xfId="16297" xr:uid="{00000000-0005-0000-0000-0000A03F0000}"/>
    <cellStyle name="Normal 2 2 2 2 5 18 14" xfId="16298" xr:uid="{00000000-0005-0000-0000-0000A13F0000}"/>
    <cellStyle name="Normal 2 2 2 2 5 18 2" xfId="16299" xr:uid="{00000000-0005-0000-0000-0000A23F0000}"/>
    <cellStyle name="Normal 2 2 2 2 5 18 2 10" xfId="16300" xr:uid="{00000000-0005-0000-0000-0000A33F0000}"/>
    <cellStyle name="Normal 2 2 2 2 5 18 2 2" xfId="16301" xr:uid="{00000000-0005-0000-0000-0000A43F0000}"/>
    <cellStyle name="Normal 2 2 2 2 5 18 2 3" xfId="16302" xr:uid="{00000000-0005-0000-0000-0000A53F0000}"/>
    <cellStyle name="Normal 2 2 2 2 5 18 2 4" xfId="16303" xr:uid="{00000000-0005-0000-0000-0000A63F0000}"/>
    <cellStyle name="Normal 2 2 2 2 5 18 2 5" xfId="16304" xr:uid="{00000000-0005-0000-0000-0000A73F0000}"/>
    <cellStyle name="Normal 2 2 2 2 5 18 2 6" xfId="16305" xr:uid="{00000000-0005-0000-0000-0000A83F0000}"/>
    <cellStyle name="Normal 2 2 2 2 5 18 2 7" xfId="16306" xr:uid="{00000000-0005-0000-0000-0000A93F0000}"/>
    <cellStyle name="Normal 2 2 2 2 5 18 2 8" xfId="16307" xr:uid="{00000000-0005-0000-0000-0000AA3F0000}"/>
    <cellStyle name="Normal 2 2 2 2 5 18 2 9" xfId="16308" xr:uid="{00000000-0005-0000-0000-0000AB3F0000}"/>
    <cellStyle name="Normal 2 2 2 2 5 18 3" xfId="16309" xr:uid="{00000000-0005-0000-0000-0000AC3F0000}"/>
    <cellStyle name="Normal 2 2 2 2 5 18 3 10" xfId="16310" xr:uid="{00000000-0005-0000-0000-0000AD3F0000}"/>
    <cellStyle name="Normal 2 2 2 2 5 18 3 2" xfId="16311" xr:uid="{00000000-0005-0000-0000-0000AE3F0000}"/>
    <cellStyle name="Normal 2 2 2 2 5 18 3 3" xfId="16312" xr:uid="{00000000-0005-0000-0000-0000AF3F0000}"/>
    <cellStyle name="Normal 2 2 2 2 5 18 3 4" xfId="16313" xr:uid="{00000000-0005-0000-0000-0000B03F0000}"/>
    <cellStyle name="Normal 2 2 2 2 5 18 3 5" xfId="16314" xr:uid="{00000000-0005-0000-0000-0000B13F0000}"/>
    <cellStyle name="Normal 2 2 2 2 5 18 3 6" xfId="16315" xr:uid="{00000000-0005-0000-0000-0000B23F0000}"/>
    <cellStyle name="Normal 2 2 2 2 5 18 3 7" xfId="16316" xr:uid="{00000000-0005-0000-0000-0000B33F0000}"/>
    <cellStyle name="Normal 2 2 2 2 5 18 3 8" xfId="16317" xr:uid="{00000000-0005-0000-0000-0000B43F0000}"/>
    <cellStyle name="Normal 2 2 2 2 5 18 3 9" xfId="16318" xr:uid="{00000000-0005-0000-0000-0000B53F0000}"/>
    <cellStyle name="Normal 2 2 2 2 5 18 4" xfId="16319" xr:uid="{00000000-0005-0000-0000-0000B63F0000}"/>
    <cellStyle name="Normal 2 2 2 2 5 18 4 10" xfId="16320" xr:uid="{00000000-0005-0000-0000-0000B73F0000}"/>
    <cellStyle name="Normal 2 2 2 2 5 18 4 2" xfId="16321" xr:uid="{00000000-0005-0000-0000-0000B83F0000}"/>
    <cellStyle name="Normal 2 2 2 2 5 18 4 3" xfId="16322" xr:uid="{00000000-0005-0000-0000-0000B93F0000}"/>
    <cellStyle name="Normal 2 2 2 2 5 18 4 4" xfId="16323" xr:uid="{00000000-0005-0000-0000-0000BA3F0000}"/>
    <cellStyle name="Normal 2 2 2 2 5 18 4 5" xfId="16324" xr:uid="{00000000-0005-0000-0000-0000BB3F0000}"/>
    <cellStyle name="Normal 2 2 2 2 5 18 4 6" xfId="16325" xr:uid="{00000000-0005-0000-0000-0000BC3F0000}"/>
    <cellStyle name="Normal 2 2 2 2 5 18 4 7" xfId="16326" xr:uid="{00000000-0005-0000-0000-0000BD3F0000}"/>
    <cellStyle name="Normal 2 2 2 2 5 18 4 8" xfId="16327" xr:uid="{00000000-0005-0000-0000-0000BE3F0000}"/>
    <cellStyle name="Normal 2 2 2 2 5 18 4 9" xfId="16328" xr:uid="{00000000-0005-0000-0000-0000BF3F0000}"/>
    <cellStyle name="Normal 2 2 2 2 5 18 5" xfId="16329" xr:uid="{00000000-0005-0000-0000-0000C03F0000}"/>
    <cellStyle name="Normal 2 2 2 2 5 18 5 10" xfId="16330" xr:uid="{00000000-0005-0000-0000-0000C13F0000}"/>
    <cellStyle name="Normal 2 2 2 2 5 18 5 2" xfId="16331" xr:uid="{00000000-0005-0000-0000-0000C23F0000}"/>
    <cellStyle name="Normal 2 2 2 2 5 18 5 3" xfId="16332" xr:uid="{00000000-0005-0000-0000-0000C33F0000}"/>
    <cellStyle name="Normal 2 2 2 2 5 18 5 4" xfId="16333" xr:uid="{00000000-0005-0000-0000-0000C43F0000}"/>
    <cellStyle name="Normal 2 2 2 2 5 18 5 5" xfId="16334" xr:uid="{00000000-0005-0000-0000-0000C53F0000}"/>
    <cellStyle name="Normal 2 2 2 2 5 18 5 6" xfId="16335" xr:uid="{00000000-0005-0000-0000-0000C63F0000}"/>
    <cellStyle name="Normal 2 2 2 2 5 18 5 7" xfId="16336" xr:uid="{00000000-0005-0000-0000-0000C73F0000}"/>
    <cellStyle name="Normal 2 2 2 2 5 18 5 8" xfId="16337" xr:uid="{00000000-0005-0000-0000-0000C83F0000}"/>
    <cellStyle name="Normal 2 2 2 2 5 18 5 9" xfId="16338" xr:uid="{00000000-0005-0000-0000-0000C93F0000}"/>
    <cellStyle name="Normal 2 2 2 2 5 18 6" xfId="16339" xr:uid="{00000000-0005-0000-0000-0000CA3F0000}"/>
    <cellStyle name="Normal 2 2 2 2 5 18 7" xfId="16340" xr:uid="{00000000-0005-0000-0000-0000CB3F0000}"/>
    <cellStyle name="Normal 2 2 2 2 5 18 8" xfId="16341" xr:uid="{00000000-0005-0000-0000-0000CC3F0000}"/>
    <cellStyle name="Normal 2 2 2 2 5 18 9" xfId="16342" xr:uid="{00000000-0005-0000-0000-0000CD3F0000}"/>
    <cellStyle name="Normal 2 2 2 2 5 19" xfId="16343" xr:uid="{00000000-0005-0000-0000-0000CE3F0000}"/>
    <cellStyle name="Normal 2 2 2 2 5 19 10" xfId="16344" xr:uid="{00000000-0005-0000-0000-0000CF3F0000}"/>
    <cellStyle name="Normal 2 2 2 2 5 19 11" xfId="16345" xr:uid="{00000000-0005-0000-0000-0000D03F0000}"/>
    <cellStyle name="Normal 2 2 2 2 5 19 12" xfId="16346" xr:uid="{00000000-0005-0000-0000-0000D13F0000}"/>
    <cellStyle name="Normal 2 2 2 2 5 19 13" xfId="16347" xr:uid="{00000000-0005-0000-0000-0000D23F0000}"/>
    <cellStyle name="Normal 2 2 2 2 5 19 14" xfId="16348" xr:uid="{00000000-0005-0000-0000-0000D33F0000}"/>
    <cellStyle name="Normal 2 2 2 2 5 19 2" xfId="16349" xr:uid="{00000000-0005-0000-0000-0000D43F0000}"/>
    <cellStyle name="Normal 2 2 2 2 5 19 2 10" xfId="16350" xr:uid="{00000000-0005-0000-0000-0000D53F0000}"/>
    <cellStyle name="Normal 2 2 2 2 5 19 2 2" xfId="16351" xr:uid="{00000000-0005-0000-0000-0000D63F0000}"/>
    <cellStyle name="Normal 2 2 2 2 5 19 2 3" xfId="16352" xr:uid="{00000000-0005-0000-0000-0000D73F0000}"/>
    <cellStyle name="Normal 2 2 2 2 5 19 2 4" xfId="16353" xr:uid="{00000000-0005-0000-0000-0000D83F0000}"/>
    <cellStyle name="Normal 2 2 2 2 5 19 2 5" xfId="16354" xr:uid="{00000000-0005-0000-0000-0000D93F0000}"/>
    <cellStyle name="Normal 2 2 2 2 5 19 2 6" xfId="16355" xr:uid="{00000000-0005-0000-0000-0000DA3F0000}"/>
    <cellStyle name="Normal 2 2 2 2 5 19 2 7" xfId="16356" xr:uid="{00000000-0005-0000-0000-0000DB3F0000}"/>
    <cellStyle name="Normal 2 2 2 2 5 19 2 8" xfId="16357" xr:uid="{00000000-0005-0000-0000-0000DC3F0000}"/>
    <cellStyle name="Normal 2 2 2 2 5 19 2 9" xfId="16358" xr:uid="{00000000-0005-0000-0000-0000DD3F0000}"/>
    <cellStyle name="Normal 2 2 2 2 5 19 3" xfId="16359" xr:uid="{00000000-0005-0000-0000-0000DE3F0000}"/>
    <cellStyle name="Normal 2 2 2 2 5 19 3 10" xfId="16360" xr:uid="{00000000-0005-0000-0000-0000DF3F0000}"/>
    <cellStyle name="Normal 2 2 2 2 5 19 3 2" xfId="16361" xr:uid="{00000000-0005-0000-0000-0000E03F0000}"/>
    <cellStyle name="Normal 2 2 2 2 5 19 3 3" xfId="16362" xr:uid="{00000000-0005-0000-0000-0000E13F0000}"/>
    <cellStyle name="Normal 2 2 2 2 5 19 3 4" xfId="16363" xr:uid="{00000000-0005-0000-0000-0000E23F0000}"/>
    <cellStyle name="Normal 2 2 2 2 5 19 3 5" xfId="16364" xr:uid="{00000000-0005-0000-0000-0000E33F0000}"/>
    <cellStyle name="Normal 2 2 2 2 5 19 3 6" xfId="16365" xr:uid="{00000000-0005-0000-0000-0000E43F0000}"/>
    <cellStyle name="Normal 2 2 2 2 5 19 3 7" xfId="16366" xr:uid="{00000000-0005-0000-0000-0000E53F0000}"/>
    <cellStyle name="Normal 2 2 2 2 5 19 3 8" xfId="16367" xr:uid="{00000000-0005-0000-0000-0000E63F0000}"/>
    <cellStyle name="Normal 2 2 2 2 5 19 3 9" xfId="16368" xr:uid="{00000000-0005-0000-0000-0000E73F0000}"/>
    <cellStyle name="Normal 2 2 2 2 5 19 4" xfId="16369" xr:uid="{00000000-0005-0000-0000-0000E83F0000}"/>
    <cellStyle name="Normal 2 2 2 2 5 19 4 10" xfId="16370" xr:uid="{00000000-0005-0000-0000-0000E93F0000}"/>
    <cellStyle name="Normal 2 2 2 2 5 19 4 2" xfId="16371" xr:uid="{00000000-0005-0000-0000-0000EA3F0000}"/>
    <cellStyle name="Normal 2 2 2 2 5 19 4 3" xfId="16372" xr:uid="{00000000-0005-0000-0000-0000EB3F0000}"/>
    <cellStyle name="Normal 2 2 2 2 5 19 4 4" xfId="16373" xr:uid="{00000000-0005-0000-0000-0000EC3F0000}"/>
    <cellStyle name="Normal 2 2 2 2 5 19 4 5" xfId="16374" xr:uid="{00000000-0005-0000-0000-0000ED3F0000}"/>
    <cellStyle name="Normal 2 2 2 2 5 19 4 6" xfId="16375" xr:uid="{00000000-0005-0000-0000-0000EE3F0000}"/>
    <cellStyle name="Normal 2 2 2 2 5 19 4 7" xfId="16376" xr:uid="{00000000-0005-0000-0000-0000EF3F0000}"/>
    <cellStyle name="Normal 2 2 2 2 5 19 4 8" xfId="16377" xr:uid="{00000000-0005-0000-0000-0000F03F0000}"/>
    <cellStyle name="Normal 2 2 2 2 5 19 4 9" xfId="16378" xr:uid="{00000000-0005-0000-0000-0000F13F0000}"/>
    <cellStyle name="Normal 2 2 2 2 5 19 5" xfId="16379" xr:uid="{00000000-0005-0000-0000-0000F23F0000}"/>
    <cellStyle name="Normal 2 2 2 2 5 19 5 10" xfId="16380" xr:uid="{00000000-0005-0000-0000-0000F33F0000}"/>
    <cellStyle name="Normal 2 2 2 2 5 19 5 2" xfId="16381" xr:uid="{00000000-0005-0000-0000-0000F43F0000}"/>
    <cellStyle name="Normal 2 2 2 2 5 19 5 3" xfId="16382" xr:uid="{00000000-0005-0000-0000-0000F53F0000}"/>
    <cellStyle name="Normal 2 2 2 2 5 19 5 4" xfId="16383" xr:uid="{00000000-0005-0000-0000-0000F63F0000}"/>
    <cellStyle name="Normal 2 2 2 2 5 19 5 5" xfId="16384" xr:uid="{00000000-0005-0000-0000-0000F73F0000}"/>
    <cellStyle name="Normal 2 2 2 2 5 19 5 6" xfId="16385" xr:uid="{00000000-0005-0000-0000-0000F83F0000}"/>
    <cellStyle name="Normal 2 2 2 2 5 19 5 7" xfId="16386" xr:uid="{00000000-0005-0000-0000-0000F93F0000}"/>
    <cellStyle name="Normal 2 2 2 2 5 19 5 8" xfId="16387" xr:uid="{00000000-0005-0000-0000-0000FA3F0000}"/>
    <cellStyle name="Normal 2 2 2 2 5 19 5 9" xfId="16388" xr:uid="{00000000-0005-0000-0000-0000FB3F0000}"/>
    <cellStyle name="Normal 2 2 2 2 5 19 6" xfId="16389" xr:uid="{00000000-0005-0000-0000-0000FC3F0000}"/>
    <cellStyle name="Normal 2 2 2 2 5 19 7" xfId="16390" xr:uid="{00000000-0005-0000-0000-0000FD3F0000}"/>
    <cellStyle name="Normal 2 2 2 2 5 19 8" xfId="16391" xr:uid="{00000000-0005-0000-0000-0000FE3F0000}"/>
    <cellStyle name="Normal 2 2 2 2 5 19 9" xfId="16392" xr:uid="{00000000-0005-0000-0000-0000FF3F0000}"/>
    <cellStyle name="Normal 2 2 2 2 5 2" xfId="16393" xr:uid="{00000000-0005-0000-0000-000000400000}"/>
    <cellStyle name="Normal 2 2 2 2 5 2 10" xfId="16394" xr:uid="{00000000-0005-0000-0000-000001400000}"/>
    <cellStyle name="Normal 2 2 2 2 5 2 11" xfId="16395" xr:uid="{00000000-0005-0000-0000-000002400000}"/>
    <cellStyle name="Normal 2 2 2 2 5 2 12" xfId="16396" xr:uid="{00000000-0005-0000-0000-000003400000}"/>
    <cellStyle name="Normal 2 2 2 2 5 2 13" xfId="16397" xr:uid="{00000000-0005-0000-0000-000004400000}"/>
    <cellStyle name="Normal 2 2 2 2 5 2 14" xfId="16398" xr:uid="{00000000-0005-0000-0000-000005400000}"/>
    <cellStyle name="Normal 2 2 2 2 5 2 15" xfId="16399" xr:uid="{00000000-0005-0000-0000-000006400000}"/>
    <cellStyle name="Normal 2 2 2 2 5 2 16" xfId="16400" xr:uid="{00000000-0005-0000-0000-000007400000}"/>
    <cellStyle name="Normal 2 2 2 2 5 2 17" xfId="16401" xr:uid="{00000000-0005-0000-0000-000008400000}"/>
    <cellStyle name="Normal 2 2 2 2 5 2 18" xfId="16402" xr:uid="{00000000-0005-0000-0000-000009400000}"/>
    <cellStyle name="Normal 2 2 2 2 5 2 19" xfId="16403" xr:uid="{00000000-0005-0000-0000-00000A400000}"/>
    <cellStyle name="Normal 2 2 2 2 5 2 2" xfId="16404" xr:uid="{00000000-0005-0000-0000-00000B400000}"/>
    <cellStyle name="Normal 2 2 2 2 5 2 20" xfId="16405" xr:uid="{00000000-0005-0000-0000-00000C400000}"/>
    <cellStyle name="Normal 2 2 2 2 5 2 21" xfId="16406" xr:uid="{00000000-0005-0000-0000-00000D400000}"/>
    <cellStyle name="Normal 2 2 2 2 5 2 21 10" xfId="16407" xr:uid="{00000000-0005-0000-0000-00000E400000}"/>
    <cellStyle name="Normal 2 2 2 2 5 2 21 2" xfId="16408" xr:uid="{00000000-0005-0000-0000-00000F400000}"/>
    <cellStyle name="Normal 2 2 2 2 5 2 21 3" xfId="16409" xr:uid="{00000000-0005-0000-0000-000010400000}"/>
    <cellStyle name="Normal 2 2 2 2 5 2 21 4" xfId="16410" xr:uid="{00000000-0005-0000-0000-000011400000}"/>
    <cellStyle name="Normal 2 2 2 2 5 2 21 5" xfId="16411" xr:uid="{00000000-0005-0000-0000-000012400000}"/>
    <cellStyle name="Normal 2 2 2 2 5 2 21 6" xfId="16412" xr:uid="{00000000-0005-0000-0000-000013400000}"/>
    <cellStyle name="Normal 2 2 2 2 5 2 21 7" xfId="16413" xr:uid="{00000000-0005-0000-0000-000014400000}"/>
    <cellStyle name="Normal 2 2 2 2 5 2 21 8" xfId="16414" xr:uid="{00000000-0005-0000-0000-000015400000}"/>
    <cellStyle name="Normal 2 2 2 2 5 2 21 9" xfId="16415" xr:uid="{00000000-0005-0000-0000-000016400000}"/>
    <cellStyle name="Normal 2 2 2 2 5 2 22" xfId="16416" xr:uid="{00000000-0005-0000-0000-000017400000}"/>
    <cellStyle name="Normal 2 2 2 2 5 2 22 10" xfId="16417" xr:uid="{00000000-0005-0000-0000-000018400000}"/>
    <cellStyle name="Normal 2 2 2 2 5 2 22 2" xfId="16418" xr:uid="{00000000-0005-0000-0000-000019400000}"/>
    <cellStyle name="Normal 2 2 2 2 5 2 22 3" xfId="16419" xr:uid="{00000000-0005-0000-0000-00001A400000}"/>
    <cellStyle name="Normal 2 2 2 2 5 2 22 4" xfId="16420" xr:uid="{00000000-0005-0000-0000-00001B400000}"/>
    <cellStyle name="Normal 2 2 2 2 5 2 22 5" xfId="16421" xr:uid="{00000000-0005-0000-0000-00001C400000}"/>
    <cellStyle name="Normal 2 2 2 2 5 2 22 6" xfId="16422" xr:uid="{00000000-0005-0000-0000-00001D400000}"/>
    <cellStyle name="Normal 2 2 2 2 5 2 22 7" xfId="16423" xr:uid="{00000000-0005-0000-0000-00001E400000}"/>
    <cellStyle name="Normal 2 2 2 2 5 2 22 8" xfId="16424" xr:uid="{00000000-0005-0000-0000-00001F400000}"/>
    <cellStyle name="Normal 2 2 2 2 5 2 22 9" xfId="16425" xr:uid="{00000000-0005-0000-0000-000020400000}"/>
    <cellStyle name="Normal 2 2 2 2 5 2 23" xfId="16426" xr:uid="{00000000-0005-0000-0000-000021400000}"/>
    <cellStyle name="Normal 2 2 2 2 5 2 23 10" xfId="16427" xr:uid="{00000000-0005-0000-0000-000022400000}"/>
    <cellStyle name="Normal 2 2 2 2 5 2 23 2" xfId="16428" xr:uid="{00000000-0005-0000-0000-000023400000}"/>
    <cellStyle name="Normal 2 2 2 2 5 2 23 3" xfId="16429" xr:uid="{00000000-0005-0000-0000-000024400000}"/>
    <cellStyle name="Normal 2 2 2 2 5 2 23 4" xfId="16430" xr:uid="{00000000-0005-0000-0000-000025400000}"/>
    <cellStyle name="Normal 2 2 2 2 5 2 23 5" xfId="16431" xr:uid="{00000000-0005-0000-0000-000026400000}"/>
    <cellStyle name="Normal 2 2 2 2 5 2 23 6" xfId="16432" xr:uid="{00000000-0005-0000-0000-000027400000}"/>
    <cellStyle name="Normal 2 2 2 2 5 2 23 7" xfId="16433" xr:uid="{00000000-0005-0000-0000-000028400000}"/>
    <cellStyle name="Normal 2 2 2 2 5 2 23 8" xfId="16434" xr:uid="{00000000-0005-0000-0000-000029400000}"/>
    <cellStyle name="Normal 2 2 2 2 5 2 23 9" xfId="16435" xr:uid="{00000000-0005-0000-0000-00002A400000}"/>
    <cellStyle name="Normal 2 2 2 2 5 2 24" xfId="16436" xr:uid="{00000000-0005-0000-0000-00002B400000}"/>
    <cellStyle name="Normal 2 2 2 2 5 2 24 10" xfId="16437" xr:uid="{00000000-0005-0000-0000-00002C400000}"/>
    <cellStyle name="Normal 2 2 2 2 5 2 24 2" xfId="16438" xr:uid="{00000000-0005-0000-0000-00002D400000}"/>
    <cellStyle name="Normal 2 2 2 2 5 2 24 3" xfId="16439" xr:uid="{00000000-0005-0000-0000-00002E400000}"/>
    <cellStyle name="Normal 2 2 2 2 5 2 24 4" xfId="16440" xr:uid="{00000000-0005-0000-0000-00002F400000}"/>
    <cellStyle name="Normal 2 2 2 2 5 2 24 5" xfId="16441" xr:uid="{00000000-0005-0000-0000-000030400000}"/>
    <cellStyle name="Normal 2 2 2 2 5 2 24 6" xfId="16442" xr:uid="{00000000-0005-0000-0000-000031400000}"/>
    <cellStyle name="Normal 2 2 2 2 5 2 24 7" xfId="16443" xr:uid="{00000000-0005-0000-0000-000032400000}"/>
    <cellStyle name="Normal 2 2 2 2 5 2 24 8" xfId="16444" xr:uid="{00000000-0005-0000-0000-000033400000}"/>
    <cellStyle name="Normal 2 2 2 2 5 2 24 9" xfId="16445" xr:uid="{00000000-0005-0000-0000-000034400000}"/>
    <cellStyle name="Normal 2 2 2 2 5 2 25" xfId="16446" xr:uid="{00000000-0005-0000-0000-000035400000}"/>
    <cellStyle name="Normal 2 2 2 2 5 2 26" xfId="16447" xr:uid="{00000000-0005-0000-0000-000036400000}"/>
    <cellStyle name="Normal 2 2 2 2 5 2 27" xfId="16448" xr:uid="{00000000-0005-0000-0000-000037400000}"/>
    <cellStyle name="Normal 2 2 2 2 5 2 28" xfId="16449" xr:uid="{00000000-0005-0000-0000-000038400000}"/>
    <cellStyle name="Normal 2 2 2 2 5 2 29" xfId="16450" xr:uid="{00000000-0005-0000-0000-000039400000}"/>
    <cellStyle name="Normal 2 2 2 2 5 2 3" xfId="16451" xr:uid="{00000000-0005-0000-0000-00003A400000}"/>
    <cellStyle name="Normal 2 2 2 2 5 2 30" xfId="16452" xr:uid="{00000000-0005-0000-0000-00003B400000}"/>
    <cellStyle name="Normal 2 2 2 2 5 2 31" xfId="16453" xr:uid="{00000000-0005-0000-0000-00003C400000}"/>
    <cellStyle name="Normal 2 2 2 2 5 2 32" xfId="16454" xr:uid="{00000000-0005-0000-0000-00003D400000}"/>
    <cellStyle name="Normal 2 2 2 2 5 2 33" xfId="16455" xr:uid="{00000000-0005-0000-0000-00003E400000}"/>
    <cellStyle name="Normal 2 2 2 2 5 2 4" xfId="16456" xr:uid="{00000000-0005-0000-0000-00003F400000}"/>
    <cellStyle name="Normal 2 2 2 2 5 2 5" xfId="16457" xr:uid="{00000000-0005-0000-0000-000040400000}"/>
    <cellStyle name="Normal 2 2 2 2 5 2 6" xfId="16458" xr:uid="{00000000-0005-0000-0000-000041400000}"/>
    <cellStyle name="Normal 2 2 2 2 5 2 7" xfId="16459" xr:uid="{00000000-0005-0000-0000-000042400000}"/>
    <cellStyle name="Normal 2 2 2 2 5 2 8" xfId="16460" xr:uid="{00000000-0005-0000-0000-000043400000}"/>
    <cellStyle name="Normal 2 2 2 2 5 2 9" xfId="16461" xr:uid="{00000000-0005-0000-0000-000044400000}"/>
    <cellStyle name="Normal 2 2 2 2 5 20" xfId="16462" xr:uid="{00000000-0005-0000-0000-000045400000}"/>
    <cellStyle name="Normal 2 2 2 2 5 20 10" xfId="16463" xr:uid="{00000000-0005-0000-0000-000046400000}"/>
    <cellStyle name="Normal 2 2 2 2 5 20 11" xfId="16464" xr:uid="{00000000-0005-0000-0000-000047400000}"/>
    <cellStyle name="Normal 2 2 2 2 5 20 12" xfId="16465" xr:uid="{00000000-0005-0000-0000-000048400000}"/>
    <cellStyle name="Normal 2 2 2 2 5 20 13" xfId="16466" xr:uid="{00000000-0005-0000-0000-000049400000}"/>
    <cellStyle name="Normal 2 2 2 2 5 20 14" xfId="16467" xr:uid="{00000000-0005-0000-0000-00004A400000}"/>
    <cellStyle name="Normal 2 2 2 2 5 20 2" xfId="16468" xr:uid="{00000000-0005-0000-0000-00004B400000}"/>
    <cellStyle name="Normal 2 2 2 2 5 20 2 10" xfId="16469" xr:uid="{00000000-0005-0000-0000-00004C400000}"/>
    <cellStyle name="Normal 2 2 2 2 5 20 2 2" xfId="16470" xr:uid="{00000000-0005-0000-0000-00004D400000}"/>
    <cellStyle name="Normal 2 2 2 2 5 20 2 3" xfId="16471" xr:uid="{00000000-0005-0000-0000-00004E400000}"/>
    <cellStyle name="Normal 2 2 2 2 5 20 2 4" xfId="16472" xr:uid="{00000000-0005-0000-0000-00004F400000}"/>
    <cellStyle name="Normal 2 2 2 2 5 20 2 5" xfId="16473" xr:uid="{00000000-0005-0000-0000-000050400000}"/>
    <cellStyle name="Normal 2 2 2 2 5 20 2 6" xfId="16474" xr:uid="{00000000-0005-0000-0000-000051400000}"/>
    <cellStyle name="Normal 2 2 2 2 5 20 2 7" xfId="16475" xr:uid="{00000000-0005-0000-0000-000052400000}"/>
    <cellStyle name="Normal 2 2 2 2 5 20 2 8" xfId="16476" xr:uid="{00000000-0005-0000-0000-000053400000}"/>
    <cellStyle name="Normal 2 2 2 2 5 20 2 9" xfId="16477" xr:uid="{00000000-0005-0000-0000-000054400000}"/>
    <cellStyle name="Normal 2 2 2 2 5 20 3" xfId="16478" xr:uid="{00000000-0005-0000-0000-000055400000}"/>
    <cellStyle name="Normal 2 2 2 2 5 20 3 10" xfId="16479" xr:uid="{00000000-0005-0000-0000-000056400000}"/>
    <cellStyle name="Normal 2 2 2 2 5 20 3 2" xfId="16480" xr:uid="{00000000-0005-0000-0000-000057400000}"/>
    <cellStyle name="Normal 2 2 2 2 5 20 3 3" xfId="16481" xr:uid="{00000000-0005-0000-0000-000058400000}"/>
    <cellStyle name="Normal 2 2 2 2 5 20 3 4" xfId="16482" xr:uid="{00000000-0005-0000-0000-000059400000}"/>
    <cellStyle name="Normal 2 2 2 2 5 20 3 5" xfId="16483" xr:uid="{00000000-0005-0000-0000-00005A400000}"/>
    <cellStyle name="Normal 2 2 2 2 5 20 3 6" xfId="16484" xr:uid="{00000000-0005-0000-0000-00005B400000}"/>
    <cellStyle name="Normal 2 2 2 2 5 20 3 7" xfId="16485" xr:uid="{00000000-0005-0000-0000-00005C400000}"/>
    <cellStyle name="Normal 2 2 2 2 5 20 3 8" xfId="16486" xr:uid="{00000000-0005-0000-0000-00005D400000}"/>
    <cellStyle name="Normal 2 2 2 2 5 20 3 9" xfId="16487" xr:uid="{00000000-0005-0000-0000-00005E400000}"/>
    <cellStyle name="Normal 2 2 2 2 5 20 4" xfId="16488" xr:uid="{00000000-0005-0000-0000-00005F400000}"/>
    <cellStyle name="Normal 2 2 2 2 5 20 4 10" xfId="16489" xr:uid="{00000000-0005-0000-0000-000060400000}"/>
    <cellStyle name="Normal 2 2 2 2 5 20 4 2" xfId="16490" xr:uid="{00000000-0005-0000-0000-000061400000}"/>
    <cellStyle name="Normal 2 2 2 2 5 20 4 3" xfId="16491" xr:uid="{00000000-0005-0000-0000-000062400000}"/>
    <cellStyle name="Normal 2 2 2 2 5 20 4 4" xfId="16492" xr:uid="{00000000-0005-0000-0000-000063400000}"/>
    <cellStyle name="Normal 2 2 2 2 5 20 4 5" xfId="16493" xr:uid="{00000000-0005-0000-0000-000064400000}"/>
    <cellStyle name="Normal 2 2 2 2 5 20 4 6" xfId="16494" xr:uid="{00000000-0005-0000-0000-000065400000}"/>
    <cellStyle name="Normal 2 2 2 2 5 20 4 7" xfId="16495" xr:uid="{00000000-0005-0000-0000-000066400000}"/>
    <cellStyle name="Normal 2 2 2 2 5 20 4 8" xfId="16496" xr:uid="{00000000-0005-0000-0000-000067400000}"/>
    <cellStyle name="Normal 2 2 2 2 5 20 4 9" xfId="16497" xr:uid="{00000000-0005-0000-0000-000068400000}"/>
    <cellStyle name="Normal 2 2 2 2 5 20 5" xfId="16498" xr:uid="{00000000-0005-0000-0000-000069400000}"/>
    <cellStyle name="Normal 2 2 2 2 5 20 5 10" xfId="16499" xr:uid="{00000000-0005-0000-0000-00006A400000}"/>
    <cellStyle name="Normal 2 2 2 2 5 20 5 2" xfId="16500" xr:uid="{00000000-0005-0000-0000-00006B400000}"/>
    <cellStyle name="Normal 2 2 2 2 5 20 5 3" xfId="16501" xr:uid="{00000000-0005-0000-0000-00006C400000}"/>
    <cellStyle name="Normal 2 2 2 2 5 20 5 4" xfId="16502" xr:uid="{00000000-0005-0000-0000-00006D400000}"/>
    <cellStyle name="Normal 2 2 2 2 5 20 5 5" xfId="16503" xr:uid="{00000000-0005-0000-0000-00006E400000}"/>
    <cellStyle name="Normal 2 2 2 2 5 20 5 6" xfId="16504" xr:uid="{00000000-0005-0000-0000-00006F400000}"/>
    <cellStyle name="Normal 2 2 2 2 5 20 5 7" xfId="16505" xr:uid="{00000000-0005-0000-0000-000070400000}"/>
    <cellStyle name="Normal 2 2 2 2 5 20 5 8" xfId="16506" xr:uid="{00000000-0005-0000-0000-000071400000}"/>
    <cellStyle name="Normal 2 2 2 2 5 20 5 9" xfId="16507" xr:uid="{00000000-0005-0000-0000-000072400000}"/>
    <cellStyle name="Normal 2 2 2 2 5 20 6" xfId="16508" xr:uid="{00000000-0005-0000-0000-000073400000}"/>
    <cellStyle name="Normal 2 2 2 2 5 20 7" xfId="16509" xr:uid="{00000000-0005-0000-0000-000074400000}"/>
    <cellStyle name="Normal 2 2 2 2 5 20 8" xfId="16510" xr:uid="{00000000-0005-0000-0000-000075400000}"/>
    <cellStyle name="Normal 2 2 2 2 5 20 9" xfId="16511" xr:uid="{00000000-0005-0000-0000-000076400000}"/>
    <cellStyle name="Normal 2 2 2 2 5 21" xfId="16512" xr:uid="{00000000-0005-0000-0000-000077400000}"/>
    <cellStyle name="Normal 2 2 2 2 5 22" xfId="16513" xr:uid="{00000000-0005-0000-0000-000078400000}"/>
    <cellStyle name="Normal 2 2 2 2 5 3" xfId="16514" xr:uid="{00000000-0005-0000-0000-000079400000}"/>
    <cellStyle name="Normal 2 2 2 2 5 3 10" xfId="16515" xr:uid="{00000000-0005-0000-0000-00007A400000}"/>
    <cellStyle name="Normal 2 2 2 2 5 3 11" xfId="16516" xr:uid="{00000000-0005-0000-0000-00007B400000}"/>
    <cellStyle name="Normal 2 2 2 2 5 3 12" xfId="16517" xr:uid="{00000000-0005-0000-0000-00007C400000}"/>
    <cellStyle name="Normal 2 2 2 2 5 3 13" xfId="16518" xr:uid="{00000000-0005-0000-0000-00007D400000}"/>
    <cellStyle name="Normal 2 2 2 2 5 3 14" xfId="16519" xr:uid="{00000000-0005-0000-0000-00007E400000}"/>
    <cellStyle name="Normal 2 2 2 2 5 3 2" xfId="16520" xr:uid="{00000000-0005-0000-0000-00007F400000}"/>
    <cellStyle name="Normal 2 2 2 2 5 3 2 10" xfId="16521" xr:uid="{00000000-0005-0000-0000-000080400000}"/>
    <cellStyle name="Normal 2 2 2 2 5 3 2 2" xfId="16522" xr:uid="{00000000-0005-0000-0000-000081400000}"/>
    <cellStyle name="Normal 2 2 2 2 5 3 2 3" xfId="16523" xr:uid="{00000000-0005-0000-0000-000082400000}"/>
    <cellStyle name="Normal 2 2 2 2 5 3 2 4" xfId="16524" xr:uid="{00000000-0005-0000-0000-000083400000}"/>
    <cellStyle name="Normal 2 2 2 2 5 3 2 5" xfId="16525" xr:uid="{00000000-0005-0000-0000-000084400000}"/>
    <cellStyle name="Normal 2 2 2 2 5 3 2 6" xfId="16526" xr:uid="{00000000-0005-0000-0000-000085400000}"/>
    <cellStyle name="Normal 2 2 2 2 5 3 2 7" xfId="16527" xr:uid="{00000000-0005-0000-0000-000086400000}"/>
    <cellStyle name="Normal 2 2 2 2 5 3 2 8" xfId="16528" xr:uid="{00000000-0005-0000-0000-000087400000}"/>
    <cellStyle name="Normal 2 2 2 2 5 3 2 9" xfId="16529" xr:uid="{00000000-0005-0000-0000-000088400000}"/>
    <cellStyle name="Normal 2 2 2 2 5 3 3" xfId="16530" xr:uid="{00000000-0005-0000-0000-000089400000}"/>
    <cellStyle name="Normal 2 2 2 2 5 3 3 10" xfId="16531" xr:uid="{00000000-0005-0000-0000-00008A400000}"/>
    <cellStyle name="Normal 2 2 2 2 5 3 3 2" xfId="16532" xr:uid="{00000000-0005-0000-0000-00008B400000}"/>
    <cellStyle name="Normal 2 2 2 2 5 3 3 3" xfId="16533" xr:uid="{00000000-0005-0000-0000-00008C400000}"/>
    <cellStyle name="Normal 2 2 2 2 5 3 3 4" xfId="16534" xr:uid="{00000000-0005-0000-0000-00008D400000}"/>
    <cellStyle name="Normal 2 2 2 2 5 3 3 5" xfId="16535" xr:uid="{00000000-0005-0000-0000-00008E400000}"/>
    <cellStyle name="Normal 2 2 2 2 5 3 3 6" xfId="16536" xr:uid="{00000000-0005-0000-0000-00008F400000}"/>
    <cellStyle name="Normal 2 2 2 2 5 3 3 7" xfId="16537" xr:uid="{00000000-0005-0000-0000-000090400000}"/>
    <cellStyle name="Normal 2 2 2 2 5 3 3 8" xfId="16538" xr:uid="{00000000-0005-0000-0000-000091400000}"/>
    <cellStyle name="Normal 2 2 2 2 5 3 3 9" xfId="16539" xr:uid="{00000000-0005-0000-0000-000092400000}"/>
    <cellStyle name="Normal 2 2 2 2 5 3 4" xfId="16540" xr:uid="{00000000-0005-0000-0000-000093400000}"/>
    <cellStyle name="Normal 2 2 2 2 5 3 4 10" xfId="16541" xr:uid="{00000000-0005-0000-0000-000094400000}"/>
    <cellStyle name="Normal 2 2 2 2 5 3 4 2" xfId="16542" xr:uid="{00000000-0005-0000-0000-000095400000}"/>
    <cellStyle name="Normal 2 2 2 2 5 3 4 3" xfId="16543" xr:uid="{00000000-0005-0000-0000-000096400000}"/>
    <cellStyle name="Normal 2 2 2 2 5 3 4 4" xfId="16544" xr:uid="{00000000-0005-0000-0000-000097400000}"/>
    <cellStyle name="Normal 2 2 2 2 5 3 4 5" xfId="16545" xr:uid="{00000000-0005-0000-0000-000098400000}"/>
    <cellStyle name="Normal 2 2 2 2 5 3 4 6" xfId="16546" xr:uid="{00000000-0005-0000-0000-000099400000}"/>
    <cellStyle name="Normal 2 2 2 2 5 3 4 7" xfId="16547" xr:uid="{00000000-0005-0000-0000-00009A400000}"/>
    <cellStyle name="Normal 2 2 2 2 5 3 4 8" xfId="16548" xr:uid="{00000000-0005-0000-0000-00009B400000}"/>
    <cellStyle name="Normal 2 2 2 2 5 3 4 9" xfId="16549" xr:uid="{00000000-0005-0000-0000-00009C400000}"/>
    <cellStyle name="Normal 2 2 2 2 5 3 5" xfId="16550" xr:uid="{00000000-0005-0000-0000-00009D400000}"/>
    <cellStyle name="Normal 2 2 2 2 5 3 5 10" xfId="16551" xr:uid="{00000000-0005-0000-0000-00009E400000}"/>
    <cellStyle name="Normal 2 2 2 2 5 3 5 2" xfId="16552" xr:uid="{00000000-0005-0000-0000-00009F400000}"/>
    <cellStyle name="Normal 2 2 2 2 5 3 5 3" xfId="16553" xr:uid="{00000000-0005-0000-0000-0000A0400000}"/>
    <cellStyle name="Normal 2 2 2 2 5 3 5 4" xfId="16554" xr:uid="{00000000-0005-0000-0000-0000A1400000}"/>
    <cellStyle name="Normal 2 2 2 2 5 3 5 5" xfId="16555" xr:uid="{00000000-0005-0000-0000-0000A2400000}"/>
    <cellStyle name="Normal 2 2 2 2 5 3 5 6" xfId="16556" xr:uid="{00000000-0005-0000-0000-0000A3400000}"/>
    <cellStyle name="Normal 2 2 2 2 5 3 5 7" xfId="16557" xr:uid="{00000000-0005-0000-0000-0000A4400000}"/>
    <cellStyle name="Normal 2 2 2 2 5 3 5 8" xfId="16558" xr:uid="{00000000-0005-0000-0000-0000A5400000}"/>
    <cellStyle name="Normal 2 2 2 2 5 3 5 9" xfId="16559" xr:uid="{00000000-0005-0000-0000-0000A6400000}"/>
    <cellStyle name="Normal 2 2 2 2 5 3 6" xfId="16560" xr:uid="{00000000-0005-0000-0000-0000A7400000}"/>
    <cellStyle name="Normal 2 2 2 2 5 3 7" xfId="16561" xr:uid="{00000000-0005-0000-0000-0000A8400000}"/>
    <cellStyle name="Normal 2 2 2 2 5 3 8" xfId="16562" xr:uid="{00000000-0005-0000-0000-0000A9400000}"/>
    <cellStyle name="Normal 2 2 2 2 5 3 9" xfId="16563" xr:uid="{00000000-0005-0000-0000-0000AA400000}"/>
    <cellStyle name="Normal 2 2 2 2 5 4" xfId="16564" xr:uid="{00000000-0005-0000-0000-0000AB400000}"/>
    <cellStyle name="Normal 2 2 2 2 5 4 10" xfId="16565" xr:uid="{00000000-0005-0000-0000-0000AC400000}"/>
    <cellStyle name="Normal 2 2 2 2 5 4 11" xfId="16566" xr:uid="{00000000-0005-0000-0000-0000AD400000}"/>
    <cellStyle name="Normal 2 2 2 2 5 4 12" xfId="16567" xr:uid="{00000000-0005-0000-0000-0000AE400000}"/>
    <cellStyle name="Normal 2 2 2 2 5 4 13" xfId="16568" xr:uid="{00000000-0005-0000-0000-0000AF400000}"/>
    <cellStyle name="Normal 2 2 2 2 5 4 14" xfId="16569" xr:uid="{00000000-0005-0000-0000-0000B0400000}"/>
    <cellStyle name="Normal 2 2 2 2 5 4 2" xfId="16570" xr:uid="{00000000-0005-0000-0000-0000B1400000}"/>
    <cellStyle name="Normal 2 2 2 2 5 4 2 10" xfId="16571" xr:uid="{00000000-0005-0000-0000-0000B2400000}"/>
    <cellStyle name="Normal 2 2 2 2 5 4 2 2" xfId="16572" xr:uid="{00000000-0005-0000-0000-0000B3400000}"/>
    <cellStyle name="Normal 2 2 2 2 5 4 2 3" xfId="16573" xr:uid="{00000000-0005-0000-0000-0000B4400000}"/>
    <cellStyle name="Normal 2 2 2 2 5 4 2 4" xfId="16574" xr:uid="{00000000-0005-0000-0000-0000B5400000}"/>
    <cellStyle name="Normal 2 2 2 2 5 4 2 5" xfId="16575" xr:uid="{00000000-0005-0000-0000-0000B6400000}"/>
    <cellStyle name="Normal 2 2 2 2 5 4 2 6" xfId="16576" xr:uid="{00000000-0005-0000-0000-0000B7400000}"/>
    <cellStyle name="Normal 2 2 2 2 5 4 2 7" xfId="16577" xr:uid="{00000000-0005-0000-0000-0000B8400000}"/>
    <cellStyle name="Normal 2 2 2 2 5 4 2 8" xfId="16578" xr:uid="{00000000-0005-0000-0000-0000B9400000}"/>
    <cellStyle name="Normal 2 2 2 2 5 4 2 9" xfId="16579" xr:uid="{00000000-0005-0000-0000-0000BA400000}"/>
    <cellStyle name="Normal 2 2 2 2 5 4 3" xfId="16580" xr:uid="{00000000-0005-0000-0000-0000BB400000}"/>
    <cellStyle name="Normal 2 2 2 2 5 4 3 10" xfId="16581" xr:uid="{00000000-0005-0000-0000-0000BC400000}"/>
    <cellStyle name="Normal 2 2 2 2 5 4 3 2" xfId="16582" xr:uid="{00000000-0005-0000-0000-0000BD400000}"/>
    <cellStyle name="Normal 2 2 2 2 5 4 3 3" xfId="16583" xr:uid="{00000000-0005-0000-0000-0000BE400000}"/>
    <cellStyle name="Normal 2 2 2 2 5 4 3 4" xfId="16584" xr:uid="{00000000-0005-0000-0000-0000BF400000}"/>
    <cellStyle name="Normal 2 2 2 2 5 4 3 5" xfId="16585" xr:uid="{00000000-0005-0000-0000-0000C0400000}"/>
    <cellStyle name="Normal 2 2 2 2 5 4 3 6" xfId="16586" xr:uid="{00000000-0005-0000-0000-0000C1400000}"/>
    <cellStyle name="Normal 2 2 2 2 5 4 3 7" xfId="16587" xr:uid="{00000000-0005-0000-0000-0000C2400000}"/>
    <cellStyle name="Normal 2 2 2 2 5 4 3 8" xfId="16588" xr:uid="{00000000-0005-0000-0000-0000C3400000}"/>
    <cellStyle name="Normal 2 2 2 2 5 4 3 9" xfId="16589" xr:uid="{00000000-0005-0000-0000-0000C4400000}"/>
    <cellStyle name="Normal 2 2 2 2 5 4 4" xfId="16590" xr:uid="{00000000-0005-0000-0000-0000C5400000}"/>
    <cellStyle name="Normal 2 2 2 2 5 4 4 10" xfId="16591" xr:uid="{00000000-0005-0000-0000-0000C6400000}"/>
    <cellStyle name="Normal 2 2 2 2 5 4 4 2" xfId="16592" xr:uid="{00000000-0005-0000-0000-0000C7400000}"/>
    <cellStyle name="Normal 2 2 2 2 5 4 4 3" xfId="16593" xr:uid="{00000000-0005-0000-0000-0000C8400000}"/>
    <cellStyle name="Normal 2 2 2 2 5 4 4 4" xfId="16594" xr:uid="{00000000-0005-0000-0000-0000C9400000}"/>
    <cellStyle name="Normal 2 2 2 2 5 4 4 5" xfId="16595" xr:uid="{00000000-0005-0000-0000-0000CA400000}"/>
    <cellStyle name="Normal 2 2 2 2 5 4 4 6" xfId="16596" xr:uid="{00000000-0005-0000-0000-0000CB400000}"/>
    <cellStyle name="Normal 2 2 2 2 5 4 4 7" xfId="16597" xr:uid="{00000000-0005-0000-0000-0000CC400000}"/>
    <cellStyle name="Normal 2 2 2 2 5 4 4 8" xfId="16598" xr:uid="{00000000-0005-0000-0000-0000CD400000}"/>
    <cellStyle name="Normal 2 2 2 2 5 4 4 9" xfId="16599" xr:uid="{00000000-0005-0000-0000-0000CE400000}"/>
    <cellStyle name="Normal 2 2 2 2 5 4 5" xfId="16600" xr:uid="{00000000-0005-0000-0000-0000CF400000}"/>
    <cellStyle name="Normal 2 2 2 2 5 4 5 10" xfId="16601" xr:uid="{00000000-0005-0000-0000-0000D0400000}"/>
    <cellStyle name="Normal 2 2 2 2 5 4 5 2" xfId="16602" xr:uid="{00000000-0005-0000-0000-0000D1400000}"/>
    <cellStyle name="Normal 2 2 2 2 5 4 5 3" xfId="16603" xr:uid="{00000000-0005-0000-0000-0000D2400000}"/>
    <cellStyle name="Normal 2 2 2 2 5 4 5 4" xfId="16604" xr:uid="{00000000-0005-0000-0000-0000D3400000}"/>
    <cellStyle name="Normal 2 2 2 2 5 4 5 5" xfId="16605" xr:uid="{00000000-0005-0000-0000-0000D4400000}"/>
    <cellStyle name="Normal 2 2 2 2 5 4 5 6" xfId="16606" xr:uid="{00000000-0005-0000-0000-0000D5400000}"/>
    <cellStyle name="Normal 2 2 2 2 5 4 5 7" xfId="16607" xr:uid="{00000000-0005-0000-0000-0000D6400000}"/>
    <cellStyle name="Normal 2 2 2 2 5 4 5 8" xfId="16608" xr:uid="{00000000-0005-0000-0000-0000D7400000}"/>
    <cellStyle name="Normal 2 2 2 2 5 4 5 9" xfId="16609" xr:uid="{00000000-0005-0000-0000-0000D8400000}"/>
    <cellStyle name="Normal 2 2 2 2 5 4 6" xfId="16610" xr:uid="{00000000-0005-0000-0000-0000D9400000}"/>
    <cellStyle name="Normal 2 2 2 2 5 4 7" xfId="16611" xr:uid="{00000000-0005-0000-0000-0000DA400000}"/>
    <cellStyle name="Normal 2 2 2 2 5 4 8" xfId="16612" xr:uid="{00000000-0005-0000-0000-0000DB400000}"/>
    <cellStyle name="Normal 2 2 2 2 5 4 9" xfId="16613" xr:uid="{00000000-0005-0000-0000-0000DC400000}"/>
    <cellStyle name="Normal 2 2 2 2 5 5" xfId="16614" xr:uid="{00000000-0005-0000-0000-0000DD400000}"/>
    <cellStyle name="Normal 2 2 2 2 5 5 10" xfId="16615" xr:uid="{00000000-0005-0000-0000-0000DE400000}"/>
    <cellStyle name="Normal 2 2 2 2 5 5 11" xfId="16616" xr:uid="{00000000-0005-0000-0000-0000DF400000}"/>
    <cellStyle name="Normal 2 2 2 2 5 5 12" xfId="16617" xr:uid="{00000000-0005-0000-0000-0000E0400000}"/>
    <cellStyle name="Normal 2 2 2 2 5 5 13" xfId="16618" xr:uid="{00000000-0005-0000-0000-0000E1400000}"/>
    <cellStyle name="Normal 2 2 2 2 5 5 14" xfId="16619" xr:uid="{00000000-0005-0000-0000-0000E2400000}"/>
    <cellStyle name="Normal 2 2 2 2 5 5 2" xfId="16620" xr:uid="{00000000-0005-0000-0000-0000E3400000}"/>
    <cellStyle name="Normal 2 2 2 2 5 5 2 10" xfId="16621" xr:uid="{00000000-0005-0000-0000-0000E4400000}"/>
    <cellStyle name="Normal 2 2 2 2 5 5 2 2" xfId="16622" xr:uid="{00000000-0005-0000-0000-0000E5400000}"/>
    <cellStyle name="Normal 2 2 2 2 5 5 2 3" xfId="16623" xr:uid="{00000000-0005-0000-0000-0000E6400000}"/>
    <cellStyle name="Normal 2 2 2 2 5 5 2 4" xfId="16624" xr:uid="{00000000-0005-0000-0000-0000E7400000}"/>
    <cellStyle name="Normal 2 2 2 2 5 5 2 5" xfId="16625" xr:uid="{00000000-0005-0000-0000-0000E8400000}"/>
    <cellStyle name="Normal 2 2 2 2 5 5 2 6" xfId="16626" xr:uid="{00000000-0005-0000-0000-0000E9400000}"/>
    <cellStyle name="Normal 2 2 2 2 5 5 2 7" xfId="16627" xr:uid="{00000000-0005-0000-0000-0000EA400000}"/>
    <cellStyle name="Normal 2 2 2 2 5 5 2 8" xfId="16628" xr:uid="{00000000-0005-0000-0000-0000EB400000}"/>
    <cellStyle name="Normal 2 2 2 2 5 5 2 9" xfId="16629" xr:uid="{00000000-0005-0000-0000-0000EC400000}"/>
    <cellStyle name="Normal 2 2 2 2 5 5 3" xfId="16630" xr:uid="{00000000-0005-0000-0000-0000ED400000}"/>
    <cellStyle name="Normal 2 2 2 2 5 5 3 10" xfId="16631" xr:uid="{00000000-0005-0000-0000-0000EE400000}"/>
    <cellStyle name="Normal 2 2 2 2 5 5 3 2" xfId="16632" xr:uid="{00000000-0005-0000-0000-0000EF400000}"/>
    <cellStyle name="Normal 2 2 2 2 5 5 3 3" xfId="16633" xr:uid="{00000000-0005-0000-0000-0000F0400000}"/>
    <cellStyle name="Normal 2 2 2 2 5 5 3 4" xfId="16634" xr:uid="{00000000-0005-0000-0000-0000F1400000}"/>
    <cellStyle name="Normal 2 2 2 2 5 5 3 5" xfId="16635" xr:uid="{00000000-0005-0000-0000-0000F2400000}"/>
    <cellStyle name="Normal 2 2 2 2 5 5 3 6" xfId="16636" xr:uid="{00000000-0005-0000-0000-0000F3400000}"/>
    <cellStyle name="Normal 2 2 2 2 5 5 3 7" xfId="16637" xr:uid="{00000000-0005-0000-0000-0000F4400000}"/>
    <cellStyle name="Normal 2 2 2 2 5 5 3 8" xfId="16638" xr:uid="{00000000-0005-0000-0000-0000F5400000}"/>
    <cellStyle name="Normal 2 2 2 2 5 5 3 9" xfId="16639" xr:uid="{00000000-0005-0000-0000-0000F6400000}"/>
    <cellStyle name="Normal 2 2 2 2 5 5 4" xfId="16640" xr:uid="{00000000-0005-0000-0000-0000F7400000}"/>
    <cellStyle name="Normal 2 2 2 2 5 5 4 10" xfId="16641" xr:uid="{00000000-0005-0000-0000-0000F8400000}"/>
    <cellStyle name="Normal 2 2 2 2 5 5 4 2" xfId="16642" xr:uid="{00000000-0005-0000-0000-0000F9400000}"/>
    <cellStyle name="Normal 2 2 2 2 5 5 4 3" xfId="16643" xr:uid="{00000000-0005-0000-0000-0000FA400000}"/>
    <cellStyle name="Normal 2 2 2 2 5 5 4 4" xfId="16644" xr:uid="{00000000-0005-0000-0000-0000FB400000}"/>
    <cellStyle name="Normal 2 2 2 2 5 5 4 5" xfId="16645" xr:uid="{00000000-0005-0000-0000-0000FC400000}"/>
    <cellStyle name="Normal 2 2 2 2 5 5 4 6" xfId="16646" xr:uid="{00000000-0005-0000-0000-0000FD400000}"/>
    <cellStyle name="Normal 2 2 2 2 5 5 4 7" xfId="16647" xr:uid="{00000000-0005-0000-0000-0000FE400000}"/>
    <cellStyle name="Normal 2 2 2 2 5 5 4 8" xfId="16648" xr:uid="{00000000-0005-0000-0000-0000FF400000}"/>
    <cellStyle name="Normal 2 2 2 2 5 5 4 9" xfId="16649" xr:uid="{00000000-0005-0000-0000-000000410000}"/>
    <cellStyle name="Normal 2 2 2 2 5 5 5" xfId="16650" xr:uid="{00000000-0005-0000-0000-000001410000}"/>
    <cellStyle name="Normal 2 2 2 2 5 5 5 10" xfId="16651" xr:uid="{00000000-0005-0000-0000-000002410000}"/>
    <cellStyle name="Normal 2 2 2 2 5 5 5 2" xfId="16652" xr:uid="{00000000-0005-0000-0000-000003410000}"/>
    <cellStyle name="Normal 2 2 2 2 5 5 5 3" xfId="16653" xr:uid="{00000000-0005-0000-0000-000004410000}"/>
    <cellStyle name="Normal 2 2 2 2 5 5 5 4" xfId="16654" xr:uid="{00000000-0005-0000-0000-000005410000}"/>
    <cellStyle name="Normal 2 2 2 2 5 5 5 5" xfId="16655" xr:uid="{00000000-0005-0000-0000-000006410000}"/>
    <cellStyle name="Normal 2 2 2 2 5 5 5 6" xfId="16656" xr:uid="{00000000-0005-0000-0000-000007410000}"/>
    <cellStyle name="Normal 2 2 2 2 5 5 5 7" xfId="16657" xr:uid="{00000000-0005-0000-0000-000008410000}"/>
    <cellStyle name="Normal 2 2 2 2 5 5 5 8" xfId="16658" xr:uid="{00000000-0005-0000-0000-000009410000}"/>
    <cellStyle name="Normal 2 2 2 2 5 5 5 9" xfId="16659" xr:uid="{00000000-0005-0000-0000-00000A410000}"/>
    <cellStyle name="Normal 2 2 2 2 5 5 6" xfId="16660" xr:uid="{00000000-0005-0000-0000-00000B410000}"/>
    <cellStyle name="Normal 2 2 2 2 5 5 7" xfId="16661" xr:uid="{00000000-0005-0000-0000-00000C410000}"/>
    <cellStyle name="Normal 2 2 2 2 5 5 8" xfId="16662" xr:uid="{00000000-0005-0000-0000-00000D410000}"/>
    <cellStyle name="Normal 2 2 2 2 5 5 9" xfId="16663" xr:uid="{00000000-0005-0000-0000-00000E410000}"/>
    <cellStyle name="Normal 2 2 2 2 5 6" xfId="16664" xr:uid="{00000000-0005-0000-0000-00000F410000}"/>
    <cellStyle name="Normal 2 2 2 2 5 6 10" xfId="16665" xr:uid="{00000000-0005-0000-0000-000010410000}"/>
    <cellStyle name="Normal 2 2 2 2 5 6 11" xfId="16666" xr:uid="{00000000-0005-0000-0000-000011410000}"/>
    <cellStyle name="Normal 2 2 2 2 5 6 12" xfId="16667" xr:uid="{00000000-0005-0000-0000-000012410000}"/>
    <cellStyle name="Normal 2 2 2 2 5 6 13" xfId="16668" xr:uid="{00000000-0005-0000-0000-000013410000}"/>
    <cellStyle name="Normal 2 2 2 2 5 6 14" xfId="16669" xr:uid="{00000000-0005-0000-0000-000014410000}"/>
    <cellStyle name="Normal 2 2 2 2 5 6 2" xfId="16670" xr:uid="{00000000-0005-0000-0000-000015410000}"/>
    <cellStyle name="Normal 2 2 2 2 5 6 2 10" xfId="16671" xr:uid="{00000000-0005-0000-0000-000016410000}"/>
    <cellStyle name="Normal 2 2 2 2 5 6 2 2" xfId="16672" xr:uid="{00000000-0005-0000-0000-000017410000}"/>
    <cellStyle name="Normal 2 2 2 2 5 6 2 3" xfId="16673" xr:uid="{00000000-0005-0000-0000-000018410000}"/>
    <cellStyle name="Normal 2 2 2 2 5 6 2 4" xfId="16674" xr:uid="{00000000-0005-0000-0000-000019410000}"/>
    <cellStyle name="Normal 2 2 2 2 5 6 2 5" xfId="16675" xr:uid="{00000000-0005-0000-0000-00001A410000}"/>
    <cellStyle name="Normal 2 2 2 2 5 6 2 6" xfId="16676" xr:uid="{00000000-0005-0000-0000-00001B410000}"/>
    <cellStyle name="Normal 2 2 2 2 5 6 2 7" xfId="16677" xr:uid="{00000000-0005-0000-0000-00001C410000}"/>
    <cellStyle name="Normal 2 2 2 2 5 6 2 8" xfId="16678" xr:uid="{00000000-0005-0000-0000-00001D410000}"/>
    <cellStyle name="Normal 2 2 2 2 5 6 2 9" xfId="16679" xr:uid="{00000000-0005-0000-0000-00001E410000}"/>
    <cellStyle name="Normal 2 2 2 2 5 6 3" xfId="16680" xr:uid="{00000000-0005-0000-0000-00001F410000}"/>
    <cellStyle name="Normal 2 2 2 2 5 6 3 10" xfId="16681" xr:uid="{00000000-0005-0000-0000-000020410000}"/>
    <cellStyle name="Normal 2 2 2 2 5 6 3 2" xfId="16682" xr:uid="{00000000-0005-0000-0000-000021410000}"/>
    <cellStyle name="Normal 2 2 2 2 5 6 3 3" xfId="16683" xr:uid="{00000000-0005-0000-0000-000022410000}"/>
    <cellStyle name="Normal 2 2 2 2 5 6 3 4" xfId="16684" xr:uid="{00000000-0005-0000-0000-000023410000}"/>
    <cellStyle name="Normal 2 2 2 2 5 6 3 5" xfId="16685" xr:uid="{00000000-0005-0000-0000-000024410000}"/>
    <cellStyle name="Normal 2 2 2 2 5 6 3 6" xfId="16686" xr:uid="{00000000-0005-0000-0000-000025410000}"/>
    <cellStyle name="Normal 2 2 2 2 5 6 3 7" xfId="16687" xr:uid="{00000000-0005-0000-0000-000026410000}"/>
    <cellStyle name="Normal 2 2 2 2 5 6 3 8" xfId="16688" xr:uid="{00000000-0005-0000-0000-000027410000}"/>
    <cellStyle name="Normal 2 2 2 2 5 6 3 9" xfId="16689" xr:uid="{00000000-0005-0000-0000-000028410000}"/>
    <cellStyle name="Normal 2 2 2 2 5 6 4" xfId="16690" xr:uid="{00000000-0005-0000-0000-000029410000}"/>
    <cellStyle name="Normal 2 2 2 2 5 6 4 10" xfId="16691" xr:uid="{00000000-0005-0000-0000-00002A410000}"/>
    <cellStyle name="Normal 2 2 2 2 5 6 4 2" xfId="16692" xr:uid="{00000000-0005-0000-0000-00002B410000}"/>
    <cellStyle name="Normal 2 2 2 2 5 6 4 3" xfId="16693" xr:uid="{00000000-0005-0000-0000-00002C410000}"/>
    <cellStyle name="Normal 2 2 2 2 5 6 4 4" xfId="16694" xr:uid="{00000000-0005-0000-0000-00002D410000}"/>
    <cellStyle name="Normal 2 2 2 2 5 6 4 5" xfId="16695" xr:uid="{00000000-0005-0000-0000-00002E410000}"/>
    <cellStyle name="Normal 2 2 2 2 5 6 4 6" xfId="16696" xr:uid="{00000000-0005-0000-0000-00002F410000}"/>
    <cellStyle name="Normal 2 2 2 2 5 6 4 7" xfId="16697" xr:uid="{00000000-0005-0000-0000-000030410000}"/>
    <cellStyle name="Normal 2 2 2 2 5 6 4 8" xfId="16698" xr:uid="{00000000-0005-0000-0000-000031410000}"/>
    <cellStyle name="Normal 2 2 2 2 5 6 4 9" xfId="16699" xr:uid="{00000000-0005-0000-0000-000032410000}"/>
    <cellStyle name="Normal 2 2 2 2 5 6 5" xfId="16700" xr:uid="{00000000-0005-0000-0000-000033410000}"/>
    <cellStyle name="Normal 2 2 2 2 5 6 5 10" xfId="16701" xr:uid="{00000000-0005-0000-0000-000034410000}"/>
    <cellStyle name="Normal 2 2 2 2 5 6 5 2" xfId="16702" xr:uid="{00000000-0005-0000-0000-000035410000}"/>
    <cellStyle name="Normal 2 2 2 2 5 6 5 3" xfId="16703" xr:uid="{00000000-0005-0000-0000-000036410000}"/>
    <cellStyle name="Normal 2 2 2 2 5 6 5 4" xfId="16704" xr:uid="{00000000-0005-0000-0000-000037410000}"/>
    <cellStyle name="Normal 2 2 2 2 5 6 5 5" xfId="16705" xr:uid="{00000000-0005-0000-0000-000038410000}"/>
    <cellStyle name="Normal 2 2 2 2 5 6 5 6" xfId="16706" xr:uid="{00000000-0005-0000-0000-000039410000}"/>
    <cellStyle name="Normal 2 2 2 2 5 6 5 7" xfId="16707" xr:uid="{00000000-0005-0000-0000-00003A410000}"/>
    <cellStyle name="Normal 2 2 2 2 5 6 5 8" xfId="16708" xr:uid="{00000000-0005-0000-0000-00003B410000}"/>
    <cellStyle name="Normal 2 2 2 2 5 6 5 9" xfId="16709" xr:uid="{00000000-0005-0000-0000-00003C410000}"/>
    <cellStyle name="Normal 2 2 2 2 5 6 6" xfId="16710" xr:uid="{00000000-0005-0000-0000-00003D410000}"/>
    <cellStyle name="Normal 2 2 2 2 5 6 7" xfId="16711" xr:uid="{00000000-0005-0000-0000-00003E410000}"/>
    <cellStyle name="Normal 2 2 2 2 5 6 8" xfId="16712" xr:uid="{00000000-0005-0000-0000-00003F410000}"/>
    <cellStyle name="Normal 2 2 2 2 5 6 9" xfId="16713" xr:uid="{00000000-0005-0000-0000-000040410000}"/>
    <cellStyle name="Normal 2 2 2 2 5 7" xfId="16714" xr:uid="{00000000-0005-0000-0000-000041410000}"/>
    <cellStyle name="Normal 2 2 2 2 5 7 10" xfId="16715" xr:uid="{00000000-0005-0000-0000-000042410000}"/>
    <cellStyle name="Normal 2 2 2 2 5 7 11" xfId="16716" xr:uid="{00000000-0005-0000-0000-000043410000}"/>
    <cellStyle name="Normal 2 2 2 2 5 7 12" xfId="16717" xr:uid="{00000000-0005-0000-0000-000044410000}"/>
    <cellStyle name="Normal 2 2 2 2 5 7 13" xfId="16718" xr:uid="{00000000-0005-0000-0000-000045410000}"/>
    <cellStyle name="Normal 2 2 2 2 5 7 14" xfId="16719" xr:uid="{00000000-0005-0000-0000-000046410000}"/>
    <cellStyle name="Normal 2 2 2 2 5 7 2" xfId="16720" xr:uid="{00000000-0005-0000-0000-000047410000}"/>
    <cellStyle name="Normal 2 2 2 2 5 7 2 10" xfId="16721" xr:uid="{00000000-0005-0000-0000-000048410000}"/>
    <cellStyle name="Normal 2 2 2 2 5 7 2 2" xfId="16722" xr:uid="{00000000-0005-0000-0000-000049410000}"/>
    <cellStyle name="Normal 2 2 2 2 5 7 2 3" xfId="16723" xr:uid="{00000000-0005-0000-0000-00004A410000}"/>
    <cellStyle name="Normal 2 2 2 2 5 7 2 4" xfId="16724" xr:uid="{00000000-0005-0000-0000-00004B410000}"/>
    <cellStyle name="Normal 2 2 2 2 5 7 2 5" xfId="16725" xr:uid="{00000000-0005-0000-0000-00004C410000}"/>
    <cellStyle name="Normal 2 2 2 2 5 7 2 6" xfId="16726" xr:uid="{00000000-0005-0000-0000-00004D410000}"/>
    <cellStyle name="Normal 2 2 2 2 5 7 2 7" xfId="16727" xr:uid="{00000000-0005-0000-0000-00004E410000}"/>
    <cellStyle name="Normal 2 2 2 2 5 7 2 8" xfId="16728" xr:uid="{00000000-0005-0000-0000-00004F410000}"/>
    <cellStyle name="Normal 2 2 2 2 5 7 2 9" xfId="16729" xr:uid="{00000000-0005-0000-0000-000050410000}"/>
    <cellStyle name="Normal 2 2 2 2 5 7 3" xfId="16730" xr:uid="{00000000-0005-0000-0000-000051410000}"/>
    <cellStyle name="Normal 2 2 2 2 5 7 3 10" xfId="16731" xr:uid="{00000000-0005-0000-0000-000052410000}"/>
    <cellStyle name="Normal 2 2 2 2 5 7 3 2" xfId="16732" xr:uid="{00000000-0005-0000-0000-000053410000}"/>
    <cellStyle name="Normal 2 2 2 2 5 7 3 3" xfId="16733" xr:uid="{00000000-0005-0000-0000-000054410000}"/>
    <cellStyle name="Normal 2 2 2 2 5 7 3 4" xfId="16734" xr:uid="{00000000-0005-0000-0000-000055410000}"/>
    <cellStyle name="Normal 2 2 2 2 5 7 3 5" xfId="16735" xr:uid="{00000000-0005-0000-0000-000056410000}"/>
    <cellStyle name="Normal 2 2 2 2 5 7 3 6" xfId="16736" xr:uid="{00000000-0005-0000-0000-000057410000}"/>
    <cellStyle name="Normal 2 2 2 2 5 7 3 7" xfId="16737" xr:uid="{00000000-0005-0000-0000-000058410000}"/>
    <cellStyle name="Normal 2 2 2 2 5 7 3 8" xfId="16738" xr:uid="{00000000-0005-0000-0000-000059410000}"/>
    <cellStyle name="Normal 2 2 2 2 5 7 3 9" xfId="16739" xr:uid="{00000000-0005-0000-0000-00005A410000}"/>
    <cellStyle name="Normal 2 2 2 2 5 7 4" xfId="16740" xr:uid="{00000000-0005-0000-0000-00005B410000}"/>
    <cellStyle name="Normal 2 2 2 2 5 7 4 10" xfId="16741" xr:uid="{00000000-0005-0000-0000-00005C410000}"/>
    <cellStyle name="Normal 2 2 2 2 5 7 4 2" xfId="16742" xr:uid="{00000000-0005-0000-0000-00005D410000}"/>
    <cellStyle name="Normal 2 2 2 2 5 7 4 3" xfId="16743" xr:uid="{00000000-0005-0000-0000-00005E410000}"/>
    <cellStyle name="Normal 2 2 2 2 5 7 4 4" xfId="16744" xr:uid="{00000000-0005-0000-0000-00005F410000}"/>
    <cellStyle name="Normal 2 2 2 2 5 7 4 5" xfId="16745" xr:uid="{00000000-0005-0000-0000-000060410000}"/>
    <cellStyle name="Normal 2 2 2 2 5 7 4 6" xfId="16746" xr:uid="{00000000-0005-0000-0000-000061410000}"/>
    <cellStyle name="Normal 2 2 2 2 5 7 4 7" xfId="16747" xr:uid="{00000000-0005-0000-0000-000062410000}"/>
    <cellStyle name="Normal 2 2 2 2 5 7 4 8" xfId="16748" xr:uid="{00000000-0005-0000-0000-000063410000}"/>
    <cellStyle name="Normal 2 2 2 2 5 7 4 9" xfId="16749" xr:uid="{00000000-0005-0000-0000-000064410000}"/>
    <cellStyle name="Normal 2 2 2 2 5 7 5" xfId="16750" xr:uid="{00000000-0005-0000-0000-000065410000}"/>
    <cellStyle name="Normal 2 2 2 2 5 7 5 10" xfId="16751" xr:uid="{00000000-0005-0000-0000-000066410000}"/>
    <cellStyle name="Normal 2 2 2 2 5 7 5 2" xfId="16752" xr:uid="{00000000-0005-0000-0000-000067410000}"/>
    <cellStyle name="Normal 2 2 2 2 5 7 5 3" xfId="16753" xr:uid="{00000000-0005-0000-0000-000068410000}"/>
    <cellStyle name="Normal 2 2 2 2 5 7 5 4" xfId="16754" xr:uid="{00000000-0005-0000-0000-000069410000}"/>
    <cellStyle name="Normal 2 2 2 2 5 7 5 5" xfId="16755" xr:uid="{00000000-0005-0000-0000-00006A410000}"/>
    <cellStyle name="Normal 2 2 2 2 5 7 5 6" xfId="16756" xr:uid="{00000000-0005-0000-0000-00006B410000}"/>
    <cellStyle name="Normal 2 2 2 2 5 7 5 7" xfId="16757" xr:uid="{00000000-0005-0000-0000-00006C410000}"/>
    <cellStyle name="Normal 2 2 2 2 5 7 5 8" xfId="16758" xr:uid="{00000000-0005-0000-0000-00006D410000}"/>
    <cellStyle name="Normal 2 2 2 2 5 7 5 9" xfId="16759" xr:uid="{00000000-0005-0000-0000-00006E410000}"/>
    <cellStyle name="Normal 2 2 2 2 5 7 6" xfId="16760" xr:uid="{00000000-0005-0000-0000-00006F410000}"/>
    <cellStyle name="Normal 2 2 2 2 5 7 7" xfId="16761" xr:uid="{00000000-0005-0000-0000-000070410000}"/>
    <cellStyle name="Normal 2 2 2 2 5 7 8" xfId="16762" xr:uid="{00000000-0005-0000-0000-000071410000}"/>
    <cellStyle name="Normal 2 2 2 2 5 7 9" xfId="16763" xr:uid="{00000000-0005-0000-0000-000072410000}"/>
    <cellStyle name="Normal 2 2 2 2 5 8" xfId="16764" xr:uid="{00000000-0005-0000-0000-000073410000}"/>
    <cellStyle name="Normal 2 2 2 2 5 8 10" xfId="16765" xr:uid="{00000000-0005-0000-0000-000074410000}"/>
    <cellStyle name="Normal 2 2 2 2 5 8 11" xfId="16766" xr:uid="{00000000-0005-0000-0000-000075410000}"/>
    <cellStyle name="Normal 2 2 2 2 5 8 12" xfId="16767" xr:uid="{00000000-0005-0000-0000-000076410000}"/>
    <cellStyle name="Normal 2 2 2 2 5 8 13" xfId="16768" xr:uid="{00000000-0005-0000-0000-000077410000}"/>
    <cellStyle name="Normal 2 2 2 2 5 8 14" xfId="16769" xr:uid="{00000000-0005-0000-0000-000078410000}"/>
    <cellStyle name="Normal 2 2 2 2 5 8 2" xfId="16770" xr:uid="{00000000-0005-0000-0000-000079410000}"/>
    <cellStyle name="Normal 2 2 2 2 5 8 2 10" xfId="16771" xr:uid="{00000000-0005-0000-0000-00007A410000}"/>
    <cellStyle name="Normal 2 2 2 2 5 8 2 2" xfId="16772" xr:uid="{00000000-0005-0000-0000-00007B410000}"/>
    <cellStyle name="Normal 2 2 2 2 5 8 2 3" xfId="16773" xr:uid="{00000000-0005-0000-0000-00007C410000}"/>
    <cellStyle name="Normal 2 2 2 2 5 8 2 4" xfId="16774" xr:uid="{00000000-0005-0000-0000-00007D410000}"/>
    <cellStyle name="Normal 2 2 2 2 5 8 2 5" xfId="16775" xr:uid="{00000000-0005-0000-0000-00007E410000}"/>
    <cellStyle name="Normal 2 2 2 2 5 8 2 6" xfId="16776" xr:uid="{00000000-0005-0000-0000-00007F410000}"/>
    <cellStyle name="Normal 2 2 2 2 5 8 2 7" xfId="16777" xr:uid="{00000000-0005-0000-0000-000080410000}"/>
    <cellStyle name="Normal 2 2 2 2 5 8 2 8" xfId="16778" xr:uid="{00000000-0005-0000-0000-000081410000}"/>
    <cellStyle name="Normal 2 2 2 2 5 8 2 9" xfId="16779" xr:uid="{00000000-0005-0000-0000-000082410000}"/>
    <cellStyle name="Normal 2 2 2 2 5 8 3" xfId="16780" xr:uid="{00000000-0005-0000-0000-000083410000}"/>
    <cellStyle name="Normal 2 2 2 2 5 8 3 10" xfId="16781" xr:uid="{00000000-0005-0000-0000-000084410000}"/>
    <cellStyle name="Normal 2 2 2 2 5 8 3 2" xfId="16782" xr:uid="{00000000-0005-0000-0000-000085410000}"/>
    <cellStyle name="Normal 2 2 2 2 5 8 3 3" xfId="16783" xr:uid="{00000000-0005-0000-0000-000086410000}"/>
    <cellStyle name="Normal 2 2 2 2 5 8 3 4" xfId="16784" xr:uid="{00000000-0005-0000-0000-000087410000}"/>
    <cellStyle name="Normal 2 2 2 2 5 8 3 5" xfId="16785" xr:uid="{00000000-0005-0000-0000-000088410000}"/>
    <cellStyle name="Normal 2 2 2 2 5 8 3 6" xfId="16786" xr:uid="{00000000-0005-0000-0000-000089410000}"/>
    <cellStyle name="Normal 2 2 2 2 5 8 3 7" xfId="16787" xr:uid="{00000000-0005-0000-0000-00008A410000}"/>
    <cellStyle name="Normal 2 2 2 2 5 8 3 8" xfId="16788" xr:uid="{00000000-0005-0000-0000-00008B410000}"/>
    <cellStyle name="Normal 2 2 2 2 5 8 3 9" xfId="16789" xr:uid="{00000000-0005-0000-0000-00008C410000}"/>
    <cellStyle name="Normal 2 2 2 2 5 8 4" xfId="16790" xr:uid="{00000000-0005-0000-0000-00008D410000}"/>
    <cellStyle name="Normal 2 2 2 2 5 8 4 10" xfId="16791" xr:uid="{00000000-0005-0000-0000-00008E410000}"/>
    <cellStyle name="Normal 2 2 2 2 5 8 4 2" xfId="16792" xr:uid="{00000000-0005-0000-0000-00008F410000}"/>
    <cellStyle name="Normal 2 2 2 2 5 8 4 3" xfId="16793" xr:uid="{00000000-0005-0000-0000-000090410000}"/>
    <cellStyle name="Normal 2 2 2 2 5 8 4 4" xfId="16794" xr:uid="{00000000-0005-0000-0000-000091410000}"/>
    <cellStyle name="Normal 2 2 2 2 5 8 4 5" xfId="16795" xr:uid="{00000000-0005-0000-0000-000092410000}"/>
    <cellStyle name="Normal 2 2 2 2 5 8 4 6" xfId="16796" xr:uid="{00000000-0005-0000-0000-000093410000}"/>
    <cellStyle name="Normal 2 2 2 2 5 8 4 7" xfId="16797" xr:uid="{00000000-0005-0000-0000-000094410000}"/>
    <cellStyle name="Normal 2 2 2 2 5 8 4 8" xfId="16798" xr:uid="{00000000-0005-0000-0000-000095410000}"/>
    <cellStyle name="Normal 2 2 2 2 5 8 4 9" xfId="16799" xr:uid="{00000000-0005-0000-0000-000096410000}"/>
    <cellStyle name="Normal 2 2 2 2 5 8 5" xfId="16800" xr:uid="{00000000-0005-0000-0000-000097410000}"/>
    <cellStyle name="Normal 2 2 2 2 5 8 5 10" xfId="16801" xr:uid="{00000000-0005-0000-0000-000098410000}"/>
    <cellStyle name="Normal 2 2 2 2 5 8 5 2" xfId="16802" xr:uid="{00000000-0005-0000-0000-000099410000}"/>
    <cellStyle name="Normal 2 2 2 2 5 8 5 3" xfId="16803" xr:uid="{00000000-0005-0000-0000-00009A410000}"/>
    <cellStyle name="Normal 2 2 2 2 5 8 5 4" xfId="16804" xr:uid="{00000000-0005-0000-0000-00009B410000}"/>
    <cellStyle name="Normal 2 2 2 2 5 8 5 5" xfId="16805" xr:uid="{00000000-0005-0000-0000-00009C410000}"/>
    <cellStyle name="Normal 2 2 2 2 5 8 5 6" xfId="16806" xr:uid="{00000000-0005-0000-0000-00009D410000}"/>
    <cellStyle name="Normal 2 2 2 2 5 8 5 7" xfId="16807" xr:uid="{00000000-0005-0000-0000-00009E410000}"/>
    <cellStyle name="Normal 2 2 2 2 5 8 5 8" xfId="16808" xr:uid="{00000000-0005-0000-0000-00009F410000}"/>
    <cellStyle name="Normal 2 2 2 2 5 8 5 9" xfId="16809" xr:uid="{00000000-0005-0000-0000-0000A0410000}"/>
    <cellStyle name="Normal 2 2 2 2 5 8 6" xfId="16810" xr:uid="{00000000-0005-0000-0000-0000A1410000}"/>
    <cellStyle name="Normal 2 2 2 2 5 8 7" xfId="16811" xr:uid="{00000000-0005-0000-0000-0000A2410000}"/>
    <cellStyle name="Normal 2 2 2 2 5 8 8" xfId="16812" xr:uid="{00000000-0005-0000-0000-0000A3410000}"/>
    <cellStyle name="Normal 2 2 2 2 5 8 9" xfId="16813" xr:uid="{00000000-0005-0000-0000-0000A4410000}"/>
    <cellStyle name="Normal 2 2 2 2 5 9" xfId="16814" xr:uid="{00000000-0005-0000-0000-0000A5410000}"/>
    <cellStyle name="Normal 2 2 2 2 5 9 10" xfId="16815" xr:uid="{00000000-0005-0000-0000-0000A6410000}"/>
    <cellStyle name="Normal 2 2 2 2 5 9 11" xfId="16816" xr:uid="{00000000-0005-0000-0000-0000A7410000}"/>
    <cellStyle name="Normal 2 2 2 2 5 9 12" xfId="16817" xr:uid="{00000000-0005-0000-0000-0000A8410000}"/>
    <cellStyle name="Normal 2 2 2 2 5 9 13" xfId="16818" xr:uid="{00000000-0005-0000-0000-0000A9410000}"/>
    <cellStyle name="Normal 2 2 2 2 5 9 14" xfId="16819" xr:uid="{00000000-0005-0000-0000-0000AA410000}"/>
    <cellStyle name="Normal 2 2 2 2 5 9 2" xfId="16820" xr:uid="{00000000-0005-0000-0000-0000AB410000}"/>
    <cellStyle name="Normal 2 2 2 2 5 9 2 10" xfId="16821" xr:uid="{00000000-0005-0000-0000-0000AC410000}"/>
    <cellStyle name="Normal 2 2 2 2 5 9 2 2" xfId="16822" xr:uid="{00000000-0005-0000-0000-0000AD410000}"/>
    <cellStyle name="Normal 2 2 2 2 5 9 2 3" xfId="16823" xr:uid="{00000000-0005-0000-0000-0000AE410000}"/>
    <cellStyle name="Normal 2 2 2 2 5 9 2 4" xfId="16824" xr:uid="{00000000-0005-0000-0000-0000AF410000}"/>
    <cellStyle name="Normal 2 2 2 2 5 9 2 5" xfId="16825" xr:uid="{00000000-0005-0000-0000-0000B0410000}"/>
    <cellStyle name="Normal 2 2 2 2 5 9 2 6" xfId="16826" xr:uid="{00000000-0005-0000-0000-0000B1410000}"/>
    <cellStyle name="Normal 2 2 2 2 5 9 2 7" xfId="16827" xr:uid="{00000000-0005-0000-0000-0000B2410000}"/>
    <cellStyle name="Normal 2 2 2 2 5 9 2 8" xfId="16828" xr:uid="{00000000-0005-0000-0000-0000B3410000}"/>
    <cellStyle name="Normal 2 2 2 2 5 9 2 9" xfId="16829" xr:uid="{00000000-0005-0000-0000-0000B4410000}"/>
    <cellStyle name="Normal 2 2 2 2 5 9 3" xfId="16830" xr:uid="{00000000-0005-0000-0000-0000B5410000}"/>
    <cellStyle name="Normal 2 2 2 2 5 9 3 10" xfId="16831" xr:uid="{00000000-0005-0000-0000-0000B6410000}"/>
    <cellStyle name="Normal 2 2 2 2 5 9 3 2" xfId="16832" xr:uid="{00000000-0005-0000-0000-0000B7410000}"/>
    <cellStyle name="Normal 2 2 2 2 5 9 3 3" xfId="16833" xr:uid="{00000000-0005-0000-0000-0000B8410000}"/>
    <cellStyle name="Normal 2 2 2 2 5 9 3 4" xfId="16834" xr:uid="{00000000-0005-0000-0000-0000B9410000}"/>
    <cellStyle name="Normal 2 2 2 2 5 9 3 5" xfId="16835" xr:uid="{00000000-0005-0000-0000-0000BA410000}"/>
    <cellStyle name="Normal 2 2 2 2 5 9 3 6" xfId="16836" xr:uid="{00000000-0005-0000-0000-0000BB410000}"/>
    <cellStyle name="Normal 2 2 2 2 5 9 3 7" xfId="16837" xr:uid="{00000000-0005-0000-0000-0000BC410000}"/>
    <cellStyle name="Normal 2 2 2 2 5 9 3 8" xfId="16838" xr:uid="{00000000-0005-0000-0000-0000BD410000}"/>
    <cellStyle name="Normal 2 2 2 2 5 9 3 9" xfId="16839" xr:uid="{00000000-0005-0000-0000-0000BE410000}"/>
    <cellStyle name="Normal 2 2 2 2 5 9 4" xfId="16840" xr:uid="{00000000-0005-0000-0000-0000BF410000}"/>
    <cellStyle name="Normal 2 2 2 2 5 9 4 10" xfId="16841" xr:uid="{00000000-0005-0000-0000-0000C0410000}"/>
    <cellStyle name="Normal 2 2 2 2 5 9 4 2" xfId="16842" xr:uid="{00000000-0005-0000-0000-0000C1410000}"/>
    <cellStyle name="Normal 2 2 2 2 5 9 4 3" xfId="16843" xr:uid="{00000000-0005-0000-0000-0000C2410000}"/>
    <cellStyle name="Normal 2 2 2 2 5 9 4 4" xfId="16844" xr:uid="{00000000-0005-0000-0000-0000C3410000}"/>
    <cellStyle name="Normal 2 2 2 2 5 9 4 5" xfId="16845" xr:uid="{00000000-0005-0000-0000-0000C4410000}"/>
    <cellStyle name="Normal 2 2 2 2 5 9 4 6" xfId="16846" xr:uid="{00000000-0005-0000-0000-0000C5410000}"/>
    <cellStyle name="Normal 2 2 2 2 5 9 4 7" xfId="16847" xr:uid="{00000000-0005-0000-0000-0000C6410000}"/>
    <cellStyle name="Normal 2 2 2 2 5 9 4 8" xfId="16848" xr:uid="{00000000-0005-0000-0000-0000C7410000}"/>
    <cellStyle name="Normal 2 2 2 2 5 9 4 9" xfId="16849" xr:uid="{00000000-0005-0000-0000-0000C8410000}"/>
    <cellStyle name="Normal 2 2 2 2 5 9 5" xfId="16850" xr:uid="{00000000-0005-0000-0000-0000C9410000}"/>
    <cellStyle name="Normal 2 2 2 2 5 9 5 10" xfId="16851" xr:uid="{00000000-0005-0000-0000-0000CA410000}"/>
    <cellStyle name="Normal 2 2 2 2 5 9 5 2" xfId="16852" xr:uid="{00000000-0005-0000-0000-0000CB410000}"/>
    <cellStyle name="Normal 2 2 2 2 5 9 5 3" xfId="16853" xr:uid="{00000000-0005-0000-0000-0000CC410000}"/>
    <cellStyle name="Normal 2 2 2 2 5 9 5 4" xfId="16854" xr:uid="{00000000-0005-0000-0000-0000CD410000}"/>
    <cellStyle name="Normal 2 2 2 2 5 9 5 5" xfId="16855" xr:uid="{00000000-0005-0000-0000-0000CE410000}"/>
    <cellStyle name="Normal 2 2 2 2 5 9 5 6" xfId="16856" xr:uid="{00000000-0005-0000-0000-0000CF410000}"/>
    <cellStyle name="Normal 2 2 2 2 5 9 5 7" xfId="16857" xr:uid="{00000000-0005-0000-0000-0000D0410000}"/>
    <cellStyle name="Normal 2 2 2 2 5 9 5 8" xfId="16858" xr:uid="{00000000-0005-0000-0000-0000D1410000}"/>
    <cellStyle name="Normal 2 2 2 2 5 9 5 9" xfId="16859" xr:uid="{00000000-0005-0000-0000-0000D2410000}"/>
    <cellStyle name="Normal 2 2 2 2 5 9 6" xfId="16860" xr:uid="{00000000-0005-0000-0000-0000D3410000}"/>
    <cellStyle name="Normal 2 2 2 2 5 9 7" xfId="16861" xr:uid="{00000000-0005-0000-0000-0000D4410000}"/>
    <cellStyle name="Normal 2 2 2 2 5 9 8" xfId="16862" xr:uid="{00000000-0005-0000-0000-0000D5410000}"/>
    <cellStyle name="Normal 2 2 2 2 5 9 9" xfId="16863" xr:uid="{00000000-0005-0000-0000-0000D6410000}"/>
    <cellStyle name="Normal 2 2 2 2 50" xfId="16864" xr:uid="{00000000-0005-0000-0000-0000D7410000}"/>
    <cellStyle name="Normal 2 2 2 2 51" xfId="16865" xr:uid="{00000000-0005-0000-0000-0000D8410000}"/>
    <cellStyle name="Normal 2 2 2 2 6" xfId="16866" xr:uid="{00000000-0005-0000-0000-0000D9410000}"/>
    <cellStyle name="Normal 2 2 2 2 6 2" xfId="16867" xr:uid="{00000000-0005-0000-0000-0000DA410000}"/>
    <cellStyle name="Normal 2 2 2 2 7" xfId="16868" xr:uid="{00000000-0005-0000-0000-0000DB410000}"/>
    <cellStyle name="Normal 2 2 2 2 8" xfId="16869" xr:uid="{00000000-0005-0000-0000-0000DC410000}"/>
    <cellStyle name="Normal 2 2 2 2 9" xfId="16870" xr:uid="{00000000-0005-0000-0000-0000DD410000}"/>
    <cellStyle name="Normal 2 2 2 20" xfId="16871" xr:uid="{00000000-0005-0000-0000-0000DE410000}"/>
    <cellStyle name="Normal 2 2 2 20 10" xfId="16872" xr:uid="{00000000-0005-0000-0000-0000DF410000}"/>
    <cellStyle name="Normal 2 2 2 20 11" xfId="16873" xr:uid="{00000000-0005-0000-0000-0000E0410000}"/>
    <cellStyle name="Normal 2 2 2 20 12" xfId="16874" xr:uid="{00000000-0005-0000-0000-0000E1410000}"/>
    <cellStyle name="Normal 2 2 2 20 13" xfId="16875" xr:uid="{00000000-0005-0000-0000-0000E2410000}"/>
    <cellStyle name="Normal 2 2 2 20 14" xfId="16876" xr:uid="{00000000-0005-0000-0000-0000E3410000}"/>
    <cellStyle name="Normal 2 2 2 20 2" xfId="16877" xr:uid="{00000000-0005-0000-0000-0000E4410000}"/>
    <cellStyle name="Normal 2 2 2 20 2 10" xfId="16878" xr:uid="{00000000-0005-0000-0000-0000E5410000}"/>
    <cellStyle name="Normal 2 2 2 20 2 2" xfId="16879" xr:uid="{00000000-0005-0000-0000-0000E6410000}"/>
    <cellStyle name="Normal 2 2 2 20 2 3" xfId="16880" xr:uid="{00000000-0005-0000-0000-0000E7410000}"/>
    <cellStyle name="Normal 2 2 2 20 2 4" xfId="16881" xr:uid="{00000000-0005-0000-0000-0000E8410000}"/>
    <cellStyle name="Normal 2 2 2 20 2 5" xfId="16882" xr:uid="{00000000-0005-0000-0000-0000E9410000}"/>
    <cellStyle name="Normal 2 2 2 20 2 6" xfId="16883" xr:uid="{00000000-0005-0000-0000-0000EA410000}"/>
    <cellStyle name="Normal 2 2 2 20 2 7" xfId="16884" xr:uid="{00000000-0005-0000-0000-0000EB410000}"/>
    <cellStyle name="Normal 2 2 2 20 2 8" xfId="16885" xr:uid="{00000000-0005-0000-0000-0000EC410000}"/>
    <cellStyle name="Normal 2 2 2 20 2 9" xfId="16886" xr:uid="{00000000-0005-0000-0000-0000ED410000}"/>
    <cellStyle name="Normal 2 2 2 20 3" xfId="16887" xr:uid="{00000000-0005-0000-0000-0000EE410000}"/>
    <cellStyle name="Normal 2 2 2 20 3 10" xfId="16888" xr:uid="{00000000-0005-0000-0000-0000EF410000}"/>
    <cellStyle name="Normal 2 2 2 20 3 2" xfId="16889" xr:uid="{00000000-0005-0000-0000-0000F0410000}"/>
    <cellStyle name="Normal 2 2 2 20 3 3" xfId="16890" xr:uid="{00000000-0005-0000-0000-0000F1410000}"/>
    <cellStyle name="Normal 2 2 2 20 3 4" xfId="16891" xr:uid="{00000000-0005-0000-0000-0000F2410000}"/>
    <cellStyle name="Normal 2 2 2 20 3 5" xfId="16892" xr:uid="{00000000-0005-0000-0000-0000F3410000}"/>
    <cellStyle name="Normal 2 2 2 20 3 6" xfId="16893" xr:uid="{00000000-0005-0000-0000-0000F4410000}"/>
    <cellStyle name="Normal 2 2 2 20 3 7" xfId="16894" xr:uid="{00000000-0005-0000-0000-0000F5410000}"/>
    <cellStyle name="Normal 2 2 2 20 3 8" xfId="16895" xr:uid="{00000000-0005-0000-0000-0000F6410000}"/>
    <cellStyle name="Normal 2 2 2 20 3 9" xfId="16896" xr:uid="{00000000-0005-0000-0000-0000F7410000}"/>
    <cellStyle name="Normal 2 2 2 20 4" xfId="16897" xr:uid="{00000000-0005-0000-0000-0000F8410000}"/>
    <cellStyle name="Normal 2 2 2 20 4 10" xfId="16898" xr:uid="{00000000-0005-0000-0000-0000F9410000}"/>
    <cellStyle name="Normal 2 2 2 20 4 2" xfId="16899" xr:uid="{00000000-0005-0000-0000-0000FA410000}"/>
    <cellStyle name="Normal 2 2 2 20 4 3" xfId="16900" xr:uid="{00000000-0005-0000-0000-0000FB410000}"/>
    <cellStyle name="Normal 2 2 2 20 4 4" xfId="16901" xr:uid="{00000000-0005-0000-0000-0000FC410000}"/>
    <cellStyle name="Normal 2 2 2 20 4 5" xfId="16902" xr:uid="{00000000-0005-0000-0000-0000FD410000}"/>
    <cellStyle name="Normal 2 2 2 20 4 6" xfId="16903" xr:uid="{00000000-0005-0000-0000-0000FE410000}"/>
    <cellStyle name="Normal 2 2 2 20 4 7" xfId="16904" xr:uid="{00000000-0005-0000-0000-0000FF410000}"/>
    <cellStyle name="Normal 2 2 2 20 4 8" xfId="16905" xr:uid="{00000000-0005-0000-0000-000000420000}"/>
    <cellStyle name="Normal 2 2 2 20 4 9" xfId="16906" xr:uid="{00000000-0005-0000-0000-000001420000}"/>
    <cellStyle name="Normal 2 2 2 20 5" xfId="16907" xr:uid="{00000000-0005-0000-0000-000002420000}"/>
    <cellStyle name="Normal 2 2 2 20 5 10" xfId="16908" xr:uid="{00000000-0005-0000-0000-000003420000}"/>
    <cellStyle name="Normal 2 2 2 20 5 2" xfId="16909" xr:uid="{00000000-0005-0000-0000-000004420000}"/>
    <cellStyle name="Normal 2 2 2 20 5 3" xfId="16910" xr:uid="{00000000-0005-0000-0000-000005420000}"/>
    <cellStyle name="Normal 2 2 2 20 5 4" xfId="16911" xr:uid="{00000000-0005-0000-0000-000006420000}"/>
    <cellStyle name="Normal 2 2 2 20 5 5" xfId="16912" xr:uid="{00000000-0005-0000-0000-000007420000}"/>
    <cellStyle name="Normal 2 2 2 20 5 6" xfId="16913" xr:uid="{00000000-0005-0000-0000-000008420000}"/>
    <cellStyle name="Normal 2 2 2 20 5 7" xfId="16914" xr:uid="{00000000-0005-0000-0000-000009420000}"/>
    <cellStyle name="Normal 2 2 2 20 5 8" xfId="16915" xr:uid="{00000000-0005-0000-0000-00000A420000}"/>
    <cellStyle name="Normal 2 2 2 20 5 9" xfId="16916" xr:uid="{00000000-0005-0000-0000-00000B420000}"/>
    <cellStyle name="Normal 2 2 2 20 6" xfId="16917" xr:uid="{00000000-0005-0000-0000-00000C420000}"/>
    <cellStyle name="Normal 2 2 2 20 7" xfId="16918" xr:uid="{00000000-0005-0000-0000-00000D420000}"/>
    <cellStyle name="Normal 2 2 2 20 8" xfId="16919" xr:uid="{00000000-0005-0000-0000-00000E420000}"/>
    <cellStyle name="Normal 2 2 2 20 9" xfId="16920" xr:uid="{00000000-0005-0000-0000-00000F420000}"/>
    <cellStyle name="Normal 2 2 2 21" xfId="16921" xr:uid="{00000000-0005-0000-0000-000010420000}"/>
    <cellStyle name="Normal 2 2 2 21 10" xfId="16922" xr:uid="{00000000-0005-0000-0000-000011420000}"/>
    <cellStyle name="Normal 2 2 2 21 11" xfId="16923" xr:uid="{00000000-0005-0000-0000-000012420000}"/>
    <cellStyle name="Normal 2 2 2 21 12" xfId="16924" xr:uid="{00000000-0005-0000-0000-000013420000}"/>
    <cellStyle name="Normal 2 2 2 21 13" xfId="16925" xr:uid="{00000000-0005-0000-0000-000014420000}"/>
    <cellStyle name="Normal 2 2 2 21 14" xfId="16926" xr:uid="{00000000-0005-0000-0000-000015420000}"/>
    <cellStyle name="Normal 2 2 2 21 2" xfId="16927" xr:uid="{00000000-0005-0000-0000-000016420000}"/>
    <cellStyle name="Normal 2 2 2 21 2 10" xfId="16928" xr:uid="{00000000-0005-0000-0000-000017420000}"/>
    <cellStyle name="Normal 2 2 2 21 2 2" xfId="16929" xr:uid="{00000000-0005-0000-0000-000018420000}"/>
    <cellStyle name="Normal 2 2 2 21 2 3" xfId="16930" xr:uid="{00000000-0005-0000-0000-000019420000}"/>
    <cellStyle name="Normal 2 2 2 21 2 4" xfId="16931" xr:uid="{00000000-0005-0000-0000-00001A420000}"/>
    <cellStyle name="Normal 2 2 2 21 2 5" xfId="16932" xr:uid="{00000000-0005-0000-0000-00001B420000}"/>
    <cellStyle name="Normal 2 2 2 21 2 6" xfId="16933" xr:uid="{00000000-0005-0000-0000-00001C420000}"/>
    <cellStyle name="Normal 2 2 2 21 2 7" xfId="16934" xr:uid="{00000000-0005-0000-0000-00001D420000}"/>
    <cellStyle name="Normal 2 2 2 21 2 8" xfId="16935" xr:uid="{00000000-0005-0000-0000-00001E420000}"/>
    <cellStyle name="Normal 2 2 2 21 2 9" xfId="16936" xr:uid="{00000000-0005-0000-0000-00001F420000}"/>
    <cellStyle name="Normal 2 2 2 21 3" xfId="16937" xr:uid="{00000000-0005-0000-0000-000020420000}"/>
    <cellStyle name="Normal 2 2 2 21 3 10" xfId="16938" xr:uid="{00000000-0005-0000-0000-000021420000}"/>
    <cellStyle name="Normal 2 2 2 21 3 2" xfId="16939" xr:uid="{00000000-0005-0000-0000-000022420000}"/>
    <cellStyle name="Normal 2 2 2 21 3 3" xfId="16940" xr:uid="{00000000-0005-0000-0000-000023420000}"/>
    <cellStyle name="Normal 2 2 2 21 3 4" xfId="16941" xr:uid="{00000000-0005-0000-0000-000024420000}"/>
    <cellStyle name="Normal 2 2 2 21 3 5" xfId="16942" xr:uid="{00000000-0005-0000-0000-000025420000}"/>
    <cellStyle name="Normal 2 2 2 21 3 6" xfId="16943" xr:uid="{00000000-0005-0000-0000-000026420000}"/>
    <cellStyle name="Normal 2 2 2 21 3 7" xfId="16944" xr:uid="{00000000-0005-0000-0000-000027420000}"/>
    <cellStyle name="Normal 2 2 2 21 3 8" xfId="16945" xr:uid="{00000000-0005-0000-0000-000028420000}"/>
    <cellStyle name="Normal 2 2 2 21 3 9" xfId="16946" xr:uid="{00000000-0005-0000-0000-000029420000}"/>
    <cellStyle name="Normal 2 2 2 21 4" xfId="16947" xr:uid="{00000000-0005-0000-0000-00002A420000}"/>
    <cellStyle name="Normal 2 2 2 21 4 10" xfId="16948" xr:uid="{00000000-0005-0000-0000-00002B420000}"/>
    <cellStyle name="Normal 2 2 2 21 4 2" xfId="16949" xr:uid="{00000000-0005-0000-0000-00002C420000}"/>
    <cellStyle name="Normal 2 2 2 21 4 3" xfId="16950" xr:uid="{00000000-0005-0000-0000-00002D420000}"/>
    <cellStyle name="Normal 2 2 2 21 4 4" xfId="16951" xr:uid="{00000000-0005-0000-0000-00002E420000}"/>
    <cellStyle name="Normal 2 2 2 21 4 5" xfId="16952" xr:uid="{00000000-0005-0000-0000-00002F420000}"/>
    <cellStyle name="Normal 2 2 2 21 4 6" xfId="16953" xr:uid="{00000000-0005-0000-0000-000030420000}"/>
    <cellStyle name="Normal 2 2 2 21 4 7" xfId="16954" xr:uid="{00000000-0005-0000-0000-000031420000}"/>
    <cellStyle name="Normal 2 2 2 21 4 8" xfId="16955" xr:uid="{00000000-0005-0000-0000-000032420000}"/>
    <cellStyle name="Normal 2 2 2 21 4 9" xfId="16956" xr:uid="{00000000-0005-0000-0000-000033420000}"/>
    <cellStyle name="Normal 2 2 2 21 5" xfId="16957" xr:uid="{00000000-0005-0000-0000-000034420000}"/>
    <cellStyle name="Normal 2 2 2 21 5 10" xfId="16958" xr:uid="{00000000-0005-0000-0000-000035420000}"/>
    <cellStyle name="Normal 2 2 2 21 5 2" xfId="16959" xr:uid="{00000000-0005-0000-0000-000036420000}"/>
    <cellStyle name="Normal 2 2 2 21 5 3" xfId="16960" xr:uid="{00000000-0005-0000-0000-000037420000}"/>
    <cellStyle name="Normal 2 2 2 21 5 4" xfId="16961" xr:uid="{00000000-0005-0000-0000-000038420000}"/>
    <cellStyle name="Normal 2 2 2 21 5 5" xfId="16962" xr:uid="{00000000-0005-0000-0000-000039420000}"/>
    <cellStyle name="Normal 2 2 2 21 5 6" xfId="16963" xr:uid="{00000000-0005-0000-0000-00003A420000}"/>
    <cellStyle name="Normal 2 2 2 21 5 7" xfId="16964" xr:uid="{00000000-0005-0000-0000-00003B420000}"/>
    <cellStyle name="Normal 2 2 2 21 5 8" xfId="16965" xr:uid="{00000000-0005-0000-0000-00003C420000}"/>
    <cellStyle name="Normal 2 2 2 21 5 9" xfId="16966" xr:uid="{00000000-0005-0000-0000-00003D420000}"/>
    <cellStyle name="Normal 2 2 2 21 6" xfId="16967" xr:uid="{00000000-0005-0000-0000-00003E420000}"/>
    <cellStyle name="Normal 2 2 2 21 7" xfId="16968" xr:uid="{00000000-0005-0000-0000-00003F420000}"/>
    <cellStyle name="Normal 2 2 2 21 8" xfId="16969" xr:uid="{00000000-0005-0000-0000-000040420000}"/>
    <cellStyle name="Normal 2 2 2 21 9" xfId="16970" xr:uid="{00000000-0005-0000-0000-000041420000}"/>
    <cellStyle name="Normal 2 2 2 22" xfId="16971" xr:uid="{00000000-0005-0000-0000-000042420000}"/>
    <cellStyle name="Normal 2 2 2 22 10" xfId="16972" xr:uid="{00000000-0005-0000-0000-000043420000}"/>
    <cellStyle name="Normal 2 2 2 22 11" xfId="16973" xr:uid="{00000000-0005-0000-0000-000044420000}"/>
    <cellStyle name="Normal 2 2 2 22 12" xfId="16974" xr:uid="{00000000-0005-0000-0000-000045420000}"/>
    <cellStyle name="Normal 2 2 2 22 13" xfId="16975" xr:uid="{00000000-0005-0000-0000-000046420000}"/>
    <cellStyle name="Normal 2 2 2 22 14" xfId="16976" xr:uid="{00000000-0005-0000-0000-000047420000}"/>
    <cellStyle name="Normal 2 2 2 22 2" xfId="16977" xr:uid="{00000000-0005-0000-0000-000048420000}"/>
    <cellStyle name="Normal 2 2 2 22 2 10" xfId="16978" xr:uid="{00000000-0005-0000-0000-000049420000}"/>
    <cellStyle name="Normal 2 2 2 22 2 2" xfId="16979" xr:uid="{00000000-0005-0000-0000-00004A420000}"/>
    <cellStyle name="Normal 2 2 2 22 2 3" xfId="16980" xr:uid="{00000000-0005-0000-0000-00004B420000}"/>
    <cellStyle name="Normal 2 2 2 22 2 4" xfId="16981" xr:uid="{00000000-0005-0000-0000-00004C420000}"/>
    <cellStyle name="Normal 2 2 2 22 2 5" xfId="16982" xr:uid="{00000000-0005-0000-0000-00004D420000}"/>
    <cellStyle name="Normal 2 2 2 22 2 6" xfId="16983" xr:uid="{00000000-0005-0000-0000-00004E420000}"/>
    <cellStyle name="Normal 2 2 2 22 2 7" xfId="16984" xr:uid="{00000000-0005-0000-0000-00004F420000}"/>
    <cellStyle name="Normal 2 2 2 22 2 8" xfId="16985" xr:uid="{00000000-0005-0000-0000-000050420000}"/>
    <cellStyle name="Normal 2 2 2 22 2 9" xfId="16986" xr:uid="{00000000-0005-0000-0000-000051420000}"/>
    <cellStyle name="Normal 2 2 2 22 3" xfId="16987" xr:uid="{00000000-0005-0000-0000-000052420000}"/>
    <cellStyle name="Normal 2 2 2 22 3 10" xfId="16988" xr:uid="{00000000-0005-0000-0000-000053420000}"/>
    <cellStyle name="Normal 2 2 2 22 3 2" xfId="16989" xr:uid="{00000000-0005-0000-0000-000054420000}"/>
    <cellStyle name="Normal 2 2 2 22 3 3" xfId="16990" xr:uid="{00000000-0005-0000-0000-000055420000}"/>
    <cellStyle name="Normal 2 2 2 22 3 4" xfId="16991" xr:uid="{00000000-0005-0000-0000-000056420000}"/>
    <cellStyle name="Normal 2 2 2 22 3 5" xfId="16992" xr:uid="{00000000-0005-0000-0000-000057420000}"/>
    <cellStyle name="Normal 2 2 2 22 3 6" xfId="16993" xr:uid="{00000000-0005-0000-0000-000058420000}"/>
    <cellStyle name="Normal 2 2 2 22 3 7" xfId="16994" xr:uid="{00000000-0005-0000-0000-000059420000}"/>
    <cellStyle name="Normal 2 2 2 22 3 8" xfId="16995" xr:uid="{00000000-0005-0000-0000-00005A420000}"/>
    <cellStyle name="Normal 2 2 2 22 3 9" xfId="16996" xr:uid="{00000000-0005-0000-0000-00005B420000}"/>
    <cellStyle name="Normal 2 2 2 22 4" xfId="16997" xr:uid="{00000000-0005-0000-0000-00005C420000}"/>
    <cellStyle name="Normal 2 2 2 22 4 10" xfId="16998" xr:uid="{00000000-0005-0000-0000-00005D420000}"/>
    <cellStyle name="Normal 2 2 2 22 4 2" xfId="16999" xr:uid="{00000000-0005-0000-0000-00005E420000}"/>
    <cellStyle name="Normal 2 2 2 22 4 3" xfId="17000" xr:uid="{00000000-0005-0000-0000-00005F420000}"/>
    <cellStyle name="Normal 2 2 2 22 4 4" xfId="17001" xr:uid="{00000000-0005-0000-0000-000060420000}"/>
    <cellStyle name="Normal 2 2 2 22 4 5" xfId="17002" xr:uid="{00000000-0005-0000-0000-000061420000}"/>
    <cellStyle name="Normal 2 2 2 22 4 6" xfId="17003" xr:uid="{00000000-0005-0000-0000-000062420000}"/>
    <cellStyle name="Normal 2 2 2 22 4 7" xfId="17004" xr:uid="{00000000-0005-0000-0000-000063420000}"/>
    <cellStyle name="Normal 2 2 2 22 4 8" xfId="17005" xr:uid="{00000000-0005-0000-0000-000064420000}"/>
    <cellStyle name="Normal 2 2 2 22 4 9" xfId="17006" xr:uid="{00000000-0005-0000-0000-000065420000}"/>
    <cellStyle name="Normal 2 2 2 22 5" xfId="17007" xr:uid="{00000000-0005-0000-0000-000066420000}"/>
    <cellStyle name="Normal 2 2 2 22 5 10" xfId="17008" xr:uid="{00000000-0005-0000-0000-000067420000}"/>
    <cellStyle name="Normal 2 2 2 22 5 2" xfId="17009" xr:uid="{00000000-0005-0000-0000-000068420000}"/>
    <cellStyle name="Normal 2 2 2 22 5 3" xfId="17010" xr:uid="{00000000-0005-0000-0000-000069420000}"/>
    <cellStyle name="Normal 2 2 2 22 5 4" xfId="17011" xr:uid="{00000000-0005-0000-0000-00006A420000}"/>
    <cellStyle name="Normal 2 2 2 22 5 5" xfId="17012" xr:uid="{00000000-0005-0000-0000-00006B420000}"/>
    <cellStyle name="Normal 2 2 2 22 5 6" xfId="17013" xr:uid="{00000000-0005-0000-0000-00006C420000}"/>
    <cellStyle name="Normal 2 2 2 22 5 7" xfId="17014" xr:uid="{00000000-0005-0000-0000-00006D420000}"/>
    <cellStyle name="Normal 2 2 2 22 5 8" xfId="17015" xr:uid="{00000000-0005-0000-0000-00006E420000}"/>
    <cellStyle name="Normal 2 2 2 22 5 9" xfId="17016" xr:uid="{00000000-0005-0000-0000-00006F420000}"/>
    <cellStyle name="Normal 2 2 2 22 6" xfId="17017" xr:uid="{00000000-0005-0000-0000-000070420000}"/>
    <cellStyle name="Normal 2 2 2 22 7" xfId="17018" xr:uid="{00000000-0005-0000-0000-000071420000}"/>
    <cellStyle name="Normal 2 2 2 22 8" xfId="17019" xr:uid="{00000000-0005-0000-0000-000072420000}"/>
    <cellStyle name="Normal 2 2 2 22 9" xfId="17020" xr:uid="{00000000-0005-0000-0000-000073420000}"/>
    <cellStyle name="Normal 2 2 2 23" xfId="17021" xr:uid="{00000000-0005-0000-0000-000074420000}"/>
    <cellStyle name="Normal 2 2 2 23 10" xfId="17022" xr:uid="{00000000-0005-0000-0000-000075420000}"/>
    <cellStyle name="Normal 2 2 2 23 11" xfId="17023" xr:uid="{00000000-0005-0000-0000-000076420000}"/>
    <cellStyle name="Normal 2 2 2 23 12" xfId="17024" xr:uid="{00000000-0005-0000-0000-000077420000}"/>
    <cellStyle name="Normal 2 2 2 23 13" xfId="17025" xr:uid="{00000000-0005-0000-0000-000078420000}"/>
    <cellStyle name="Normal 2 2 2 23 14" xfId="17026" xr:uid="{00000000-0005-0000-0000-000079420000}"/>
    <cellStyle name="Normal 2 2 2 23 2" xfId="17027" xr:uid="{00000000-0005-0000-0000-00007A420000}"/>
    <cellStyle name="Normal 2 2 2 23 2 10" xfId="17028" xr:uid="{00000000-0005-0000-0000-00007B420000}"/>
    <cellStyle name="Normal 2 2 2 23 2 2" xfId="17029" xr:uid="{00000000-0005-0000-0000-00007C420000}"/>
    <cellStyle name="Normal 2 2 2 23 2 3" xfId="17030" xr:uid="{00000000-0005-0000-0000-00007D420000}"/>
    <cellStyle name="Normal 2 2 2 23 2 4" xfId="17031" xr:uid="{00000000-0005-0000-0000-00007E420000}"/>
    <cellStyle name="Normal 2 2 2 23 2 5" xfId="17032" xr:uid="{00000000-0005-0000-0000-00007F420000}"/>
    <cellStyle name="Normal 2 2 2 23 2 6" xfId="17033" xr:uid="{00000000-0005-0000-0000-000080420000}"/>
    <cellStyle name="Normal 2 2 2 23 2 7" xfId="17034" xr:uid="{00000000-0005-0000-0000-000081420000}"/>
    <cellStyle name="Normal 2 2 2 23 2 8" xfId="17035" xr:uid="{00000000-0005-0000-0000-000082420000}"/>
    <cellStyle name="Normal 2 2 2 23 2 9" xfId="17036" xr:uid="{00000000-0005-0000-0000-000083420000}"/>
    <cellStyle name="Normal 2 2 2 23 3" xfId="17037" xr:uid="{00000000-0005-0000-0000-000084420000}"/>
    <cellStyle name="Normal 2 2 2 23 3 10" xfId="17038" xr:uid="{00000000-0005-0000-0000-000085420000}"/>
    <cellStyle name="Normal 2 2 2 23 3 2" xfId="17039" xr:uid="{00000000-0005-0000-0000-000086420000}"/>
    <cellStyle name="Normal 2 2 2 23 3 3" xfId="17040" xr:uid="{00000000-0005-0000-0000-000087420000}"/>
    <cellStyle name="Normal 2 2 2 23 3 4" xfId="17041" xr:uid="{00000000-0005-0000-0000-000088420000}"/>
    <cellStyle name="Normal 2 2 2 23 3 5" xfId="17042" xr:uid="{00000000-0005-0000-0000-000089420000}"/>
    <cellStyle name="Normal 2 2 2 23 3 6" xfId="17043" xr:uid="{00000000-0005-0000-0000-00008A420000}"/>
    <cellStyle name="Normal 2 2 2 23 3 7" xfId="17044" xr:uid="{00000000-0005-0000-0000-00008B420000}"/>
    <cellStyle name="Normal 2 2 2 23 3 8" xfId="17045" xr:uid="{00000000-0005-0000-0000-00008C420000}"/>
    <cellStyle name="Normal 2 2 2 23 3 9" xfId="17046" xr:uid="{00000000-0005-0000-0000-00008D420000}"/>
    <cellStyle name="Normal 2 2 2 23 4" xfId="17047" xr:uid="{00000000-0005-0000-0000-00008E420000}"/>
    <cellStyle name="Normal 2 2 2 23 4 10" xfId="17048" xr:uid="{00000000-0005-0000-0000-00008F420000}"/>
    <cellStyle name="Normal 2 2 2 23 4 2" xfId="17049" xr:uid="{00000000-0005-0000-0000-000090420000}"/>
    <cellStyle name="Normal 2 2 2 23 4 3" xfId="17050" xr:uid="{00000000-0005-0000-0000-000091420000}"/>
    <cellStyle name="Normal 2 2 2 23 4 4" xfId="17051" xr:uid="{00000000-0005-0000-0000-000092420000}"/>
    <cellStyle name="Normal 2 2 2 23 4 5" xfId="17052" xr:uid="{00000000-0005-0000-0000-000093420000}"/>
    <cellStyle name="Normal 2 2 2 23 4 6" xfId="17053" xr:uid="{00000000-0005-0000-0000-000094420000}"/>
    <cellStyle name="Normal 2 2 2 23 4 7" xfId="17054" xr:uid="{00000000-0005-0000-0000-000095420000}"/>
    <cellStyle name="Normal 2 2 2 23 4 8" xfId="17055" xr:uid="{00000000-0005-0000-0000-000096420000}"/>
    <cellStyle name="Normal 2 2 2 23 4 9" xfId="17056" xr:uid="{00000000-0005-0000-0000-000097420000}"/>
    <cellStyle name="Normal 2 2 2 23 5" xfId="17057" xr:uid="{00000000-0005-0000-0000-000098420000}"/>
    <cellStyle name="Normal 2 2 2 23 5 10" xfId="17058" xr:uid="{00000000-0005-0000-0000-000099420000}"/>
    <cellStyle name="Normal 2 2 2 23 5 2" xfId="17059" xr:uid="{00000000-0005-0000-0000-00009A420000}"/>
    <cellStyle name="Normal 2 2 2 23 5 3" xfId="17060" xr:uid="{00000000-0005-0000-0000-00009B420000}"/>
    <cellStyle name="Normal 2 2 2 23 5 4" xfId="17061" xr:uid="{00000000-0005-0000-0000-00009C420000}"/>
    <cellStyle name="Normal 2 2 2 23 5 5" xfId="17062" xr:uid="{00000000-0005-0000-0000-00009D420000}"/>
    <cellStyle name="Normal 2 2 2 23 5 6" xfId="17063" xr:uid="{00000000-0005-0000-0000-00009E420000}"/>
    <cellStyle name="Normal 2 2 2 23 5 7" xfId="17064" xr:uid="{00000000-0005-0000-0000-00009F420000}"/>
    <cellStyle name="Normal 2 2 2 23 5 8" xfId="17065" xr:uid="{00000000-0005-0000-0000-0000A0420000}"/>
    <cellStyle name="Normal 2 2 2 23 5 9" xfId="17066" xr:uid="{00000000-0005-0000-0000-0000A1420000}"/>
    <cellStyle name="Normal 2 2 2 23 6" xfId="17067" xr:uid="{00000000-0005-0000-0000-0000A2420000}"/>
    <cellStyle name="Normal 2 2 2 23 7" xfId="17068" xr:uid="{00000000-0005-0000-0000-0000A3420000}"/>
    <cellStyle name="Normal 2 2 2 23 8" xfId="17069" xr:uid="{00000000-0005-0000-0000-0000A4420000}"/>
    <cellStyle name="Normal 2 2 2 23 9" xfId="17070" xr:uid="{00000000-0005-0000-0000-0000A5420000}"/>
    <cellStyle name="Normal 2 2 2 24" xfId="17071" xr:uid="{00000000-0005-0000-0000-0000A6420000}"/>
    <cellStyle name="Normal 2 2 2 24 10" xfId="17072" xr:uid="{00000000-0005-0000-0000-0000A7420000}"/>
    <cellStyle name="Normal 2 2 2 24 11" xfId="17073" xr:uid="{00000000-0005-0000-0000-0000A8420000}"/>
    <cellStyle name="Normal 2 2 2 24 12" xfId="17074" xr:uid="{00000000-0005-0000-0000-0000A9420000}"/>
    <cellStyle name="Normal 2 2 2 24 13" xfId="17075" xr:uid="{00000000-0005-0000-0000-0000AA420000}"/>
    <cellStyle name="Normal 2 2 2 24 14" xfId="17076" xr:uid="{00000000-0005-0000-0000-0000AB420000}"/>
    <cellStyle name="Normal 2 2 2 24 2" xfId="17077" xr:uid="{00000000-0005-0000-0000-0000AC420000}"/>
    <cellStyle name="Normal 2 2 2 24 2 10" xfId="17078" xr:uid="{00000000-0005-0000-0000-0000AD420000}"/>
    <cellStyle name="Normal 2 2 2 24 2 2" xfId="17079" xr:uid="{00000000-0005-0000-0000-0000AE420000}"/>
    <cellStyle name="Normal 2 2 2 24 2 3" xfId="17080" xr:uid="{00000000-0005-0000-0000-0000AF420000}"/>
    <cellStyle name="Normal 2 2 2 24 2 4" xfId="17081" xr:uid="{00000000-0005-0000-0000-0000B0420000}"/>
    <cellStyle name="Normal 2 2 2 24 2 5" xfId="17082" xr:uid="{00000000-0005-0000-0000-0000B1420000}"/>
    <cellStyle name="Normal 2 2 2 24 2 6" xfId="17083" xr:uid="{00000000-0005-0000-0000-0000B2420000}"/>
    <cellStyle name="Normal 2 2 2 24 2 7" xfId="17084" xr:uid="{00000000-0005-0000-0000-0000B3420000}"/>
    <cellStyle name="Normal 2 2 2 24 2 8" xfId="17085" xr:uid="{00000000-0005-0000-0000-0000B4420000}"/>
    <cellStyle name="Normal 2 2 2 24 2 9" xfId="17086" xr:uid="{00000000-0005-0000-0000-0000B5420000}"/>
    <cellStyle name="Normal 2 2 2 24 3" xfId="17087" xr:uid="{00000000-0005-0000-0000-0000B6420000}"/>
    <cellStyle name="Normal 2 2 2 24 3 10" xfId="17088" xr:uid="{00000000-0005-0000-0000-0000B7420000}"/>
    <cellStyle name="Normal 2 2 2 24 3 2" xfId="17089" xr:uid="{00000000-0005-0000-0000-0000B8420000}"/>
    <cellStyle name="Normal 2 2 2 24 3 3" xfId="17090" xr:uid="{00000000-0005-0000-0000-0000B9420000}"/>
    <cellStyle name="Normal 2 2 2 24 3 4" xfId="17091" xr:uid="{00000000-0005-0000-0000-0000BA420000}"/>
    <cellStyle name="Normal 2 2 2 24 3 5" xfId="17092" xr:uid="{00000000-0005-0000-0000-0000BB420000}"/>
    <cellStyle name="Normal 2 2 2 24 3 6" xfId="17093" xr:uid="{00000000-0005-0000-0000-0000BC420000}"/>
    <cellStyle name="Normal 2 2 2 24 3 7" xfId="17094" xr:uid="{00000000-0005-0000-0000-0000BD420000}"/>
    <cellStyle name="Normal 2 2 2 24 3 8" xfId="17095" xr:uid="{00000000-0005-0000-0000-0000BE420000}"/>
    <cellStyle name="Normal 2 2 2 24 3 9" xfId="17096" xr:uid="{00000000-0005-0000-0000-0000BF420000}"/>
    <cellStyle name="Normal 2 2 2 24 4" xfId="17097" xr:uid="{00000000-0005-0000-0000-0000C0420000}"/>
    <cellStyle name="Normal 2 2 2 24 4 10" xfId="17098" xr:uid="{00000000-0005-0000-0000-0000C1420000}"/>
    <cellStyle name="Normal 2 2 2 24 4 2" xfId="17099" xr:uid="{00000000-0005-0000-0000-0000C2420000}"/>
    <cellStyle name="Normal 2 2 2 24 4 3" xfId="17100" xr:uid="{00000000-0005-0000-0000-0000C3420000}"/>
    <cellStyle name="Normal 2 2 2 24 4 4" xfId="17101" xr:uid="{00000000-0005-0000-0000-0000C4420000}"/>
    <cellStyle name="Normal 2 2 2 24 4 5" xfId="17102" xr:uid="{00000000-0005-0000-0000-0000C5420000}"/>
    <cellStyle name="Normal 2 2 2 24 4 6" xfId="17103" xr:uid="{00000000-0005-0000-0000-0000C6420000}"/>
    <cellStyle name="Normal 2 2 2 24 4 7" xfId="17104" xr:uid="{00000000-0005-0000-0000-0000C7420000}"/>
    <cellStyle name="Normal 2 2 2 24 4 8" xfId="17105" xr:uid="{00000000-0005-0000-0000-0000C8420000}"/>
    <cellStyle name="Normal 2 2 2 24 4 9" xfId="17106" xr:uid="{00000000-0005-0000-0000-0000C9420000}"/>
    <cellStyle name="Normal 2 2 2 24 5" xfId="17107" xr:uid="{00000000-0005-0000-0000-0000CA420000}"/>
    <cellStyle name="Normal 2 2 2 24 5 10" xfId="17108" xr:uid="{00000000-0005-0000-0000-0000CB420000}"/>
    <cellStyle name="Normal 2 2 2 24 5 2" xfId="17109" xr:uid="{00000000-0005-0000-0000-0000CC420000}"/>
    <cellStyle name="Normal 2 2 2 24 5 3" xfId="17110" xr:uid="{00000000-0005-0000-0000-0000CD420000}"/>
    <cellStyle name="Normal 2 2 2 24 5 4" xfId="17111" xr:uid="{00000000-0005-0000-0000-0000CE420000}"/>
    <cellStyle name="Normal 2 2 2 24 5 5" xfId="17112" xr:uid="{00000000-0005-0000-0000-0000CF420000}"/>
    <cellStyle name="Normal 2 2 2 24 5 6" xfId="17113" xr:uid="{00000000-0005-0000-0000-0000D0420000}"/>
    <cellStyle name="Normal 2 2 2 24 5 7" xfId="17114" xr:uid="{00000000-0005-0000-0000-0000D1420000}"/>
    <cellStyle name="Normal 2 2 2 24 5 8" xfId="17115" xr:uid="{00000000-0005-0000-0000-0000D2420000}"/>
    <cellStyle name="Normal 2 2 2 24 5 9" xfId="17116" xr:uid="{00000000-0005-0000-0000-0000D3420000}"/>
    <cellStyle name="Normal 2 2 2 24 6" xfId="17117" xr:uid="{00000000-0005-0000-0000-0000D4420000}"/>
    <cellStyle name="Normal 2 2 2 24 7" xfId="17118" xr:uid="{00000000-0005-0000-0000-0000D5420000}"/>
    <cellStyle name="Normal 2 2 2 24 8" xfId="17119" xr:uid="{00000000-0005-0000-0000-0000D6420000}"/>
    <cellStyle name="Normal 2 2 2 24 9" xfId="17120" xr:uid="{00000000-0005-0000-0000-0000D7420000}"/>
    <cellStyle name="Normal 2 2 2 25" xfId="17121" xr:uid="{00000000-0005-0000-0000-0000D8420000}"/>
    <cellStyle name="Normal 2 2 2 25 10" xfId="17122" xr:uid="{00000000-0005-0000-0000-0000D9420000}"/>
    <cellStyle name="Normal 2 2 2 25 11" xfId="17123" xr:uid="{00000000-0005-0000-0000-0000DA420000}"/>
    <cellStyle name="Normal 2 2 2 25 12" xfId="17124" xr:uid="{00000000-0005-0000-0000-0000DB420000}"/>
    <cellStyle name="Normal 2 2 2 25 13" xfId="17125" xr:uid="{00000000-0005-0000-0000-0000DC420000}"/>
    <cellStyle name="Normal 2 2 2 25 14" xfId="17126" xr:uid="{00000000-0005-0000-0000-0000DD420000}"/>
    <cellStyle name="Normal 2 2 2 25 2" xfId="17127" xr:uid="{00000000-0005-0000-0000-0000DE420000}"/>
    <cellStyle name="Normal 2 2 2 25 2 10" xfId="17128" xr:uid="{00000000-0005-0000-0000-0000DF420000}"/>
    <cellStyle name="Normal 2 2 2 25 2 2" xfId="17129" xr:uid="{00000000-0005-0000-0000-0000E0420000}"/>
    <cellStyle name="Normal 2 2 2 25 2 3" xfId="17130" xr:uid="{00000000-0005-0000-0000-0000E1420000}"/>
    <cellStyle name="Normal 2 2 2 25 2 4" xfId="17131" xr:uid="{00000000-0005-0000-0000-0000E2420000}"/>
    <cellStyle name="Normal 2 2 2 25 2 5" xfId="17132" xr:uid="{00000000-0005-0000-0000-0000E3420000}"/>
    <cellStyle name="Normal 2 2 2 25 2 6" xfId="17133" xr:uid="{00000000-0005-0000-0000-0000E4420000}"/>
    <cellStyle name="Normal 2 2 2 25 2 7" xfId="17134" xr:uid="{00000000-0005-0000-0000-0000E5420000}"/>
    <cellStyle name="Normal 2 2 2 25 2 8" xfId="17135" xr:uid="{00000000-0005-0000-0000-0000E6420000}"/>
    <cellStyle name="Normal 2 2 2 25 2 9" xfId="17136" xr:uid="{00000000-0005-0000-0000-0000E7420000}"/>
    <cellStyle name="Normal 2 2 2 25 3" xfId="17137" xr:uid="{00000000-0005-0000-0000-0000E8420000}"/>
    <cellStyle name="Normal 2 2 2 25 3 10" xfId="17138" xr:uid="{00000000-0005-0000-0000-0000E9420000}"/>
    <cellStyle name="Normal 2 2 2 25 3 2" xfId="17139" xr:uid="{00000000-0005-0000-0000-0000EA420000}"/>
    <cellStyle name="Normal 2 2 2 25 3 3" xfId="17140" xr:uid="{00000000-0005-0000-0000-0000EB420000}"/>
    <cellStyle name="Normal 2 2 2 25 3 4" xfId="17141" xr:uid="{00000000-0005-0000-0000-0000EC420000}"/>
    <cellStyle name="Normal 2 2 2 25 3 5" xfId="17142" xr:uid="{00000000-0005-0000-0000-0000ED420000}"/>
    <cellStyle name="Normal 2 2 2 25 3 6" xfId="17143" xr:uid="{00000000-0005-0000-0000-0000EE420000}"/>
    <cellStyle name="Normal 2 2 2 25 3 7" xfId="17144" xr:uid="{00000000-0005-0000-0000-0000EF420000}"/>
    <cellStyle name="Normal 2 2 2 25 3 8" xfId="17145" xr:uid="{00000000-0005-0000-0000-0000F0420000}"/>
    <cellStyle name="Normal 2 2 2 25 3 9" xfId="17146" xr:uid="{00000000-0005-0000-0000-0000F1420000}"/>
    <cellStyle name="Normal 2 2 2 25 4" xfId="17147" xr:uid="{00000000-0005-0000-0000-0000F2420000}"/>
    <cellStyle name="Normal 2 2 2 25 4 10" xfId="17148" xr:uid="{00000000-0005-0000-0000-0000F3420000}"/>
    <cellStyle name="Normal 2 2 2 25 4 2" xfId="17149" xr:uid="{00000000-0005-0000-0000-0000F4420000}"/>
    <cellStyle name="Normal 2 2 2 25 4 3" xfId="17150" xr:uid="{00000000-0005-0000-0000-0000F5420000}"/>
    <cellStyle name="Normal 2 2 2 25 4 4" xfId="17151" xr:uid="{00000000-0005-0000-0000-0000F6420000}"/>
    <cellStyle name="Normal 2 2 2 25 4 5" xfId="17152" xr:uid="{00000000-0005-0000-0000-0000F7420000}"/>
    <cellStyle name="Normal 2 2 2 25 4 6" xfId="17153" xr:uid="{00000000-0005-0000-0000-0000F8420000}"/>
    <cellStyle name="Normal 2 2 2 25 4 7" xfId="17154" xr:uid="{00000000-0005-0000-0000-0000F9420000}"/>
    <cellStyle name="Normal 2 2 2 25 4 8" xfId="17155" xr:uid="{00000000-0005-0000-0000-0000FA420000}"/>
    <cellStyle name="Normal 2 2 2 25 4 9" xfId="17156" xr:uid="{00000000-0005-0000-0000-0000FB420000}"/>
    <cellStyle name="Normal 2 2 2 25 5" xfId="17157" xr:uid="{00000000-0005-0000-0000-0000FC420000}"/>
    <cellStyle name="Normal 2 2 2 25 5 10" xfId="17158" xr:uid="{00000000-0005-0000-0000-0000FD420000}"/>
    <cellStyle name="Normal 2 2 2 25 5 2" xfId="17159" xr:uid="{00000000-0005-0000-0000-0000FE420000}"/>
    <cellStyle name="Normal 2 2 2 25 5 3" xfId="17160" xr:uid="{00000000-0005-0000-0000-0000FF420000}"/>
    <cellStyle name="Normal 2 2 2 25 5 4" xfId="17161" xr:uid="{00000000-0005-0000-0000-000000430000}"/>
    <cellStyle name="Normal 2 2 2 25 5 5" xfId="17162" xr:uid="{00000000-0005-0000-0000-000001430000}"/>
    <cellStyle name="Normal 2 2 2 25 5 6" xfId="17163" xr:uid="{00000000-0005-0000-0000-000002430000}"/>
    <cellStyle name="Normal 2 2 2 25 5 7" xfId="17164" xr:uid="{00000000-0005-0000-0000-000003430000}"/>
    <cellStyle name="Normal 2 2 2 25 5 8" xfId="17165" xr:uid="{00000000-0005-0000-0000-000004430000}"/>
    <cellStyle name="Normal 2 2 2 25 5 9" xfId="17166" xr:uid="{00000000-0005-0000-0000-000005430000}"/>
    <cellStyle name="Normal 2 2 2 25 6" xfId="17167" xr:uid="{00000000-0005-0000-0000-000006430000}"/>
    <cellStyle name="Normal 2 2 2 25 7" xfId="17168" xr:uid="{00000000-0005-0000-0000-000007430000}"/>
    <cellStyle name="Normal 2 2 2 25 8" xfId="17169" xr:uid="{00000000-0005-0000-0000-000008430000}"/>
    <cellStyle name="Normal 2 2 2 25 9" xfId="17170" xr:uid="{00000000-0005-0000-0000-000009430000}"/>
    <cellStyle name="Normal 2 2 2 26" xfId="17171" xr:uid="{00000000-0005-0000-0000-00000A430000}"/>
    <cellStyle name="Normal 2 2 2 26 10" xfId="17172" xr:uid="{00000000-0005-0000-0000-00000B430000}"/>
    <cellStyle name="Normal 2 2 2 26 11" xfId="17173" xr:uid="{00000000-0005-0000-0000-00000C430000}"/>
    <cellStyle name="Normal 2 2 2 26 12" xfId="17174" xr:uid="{00000000-0005-0000-0000-00000D430000}"/>
    <cellStyle name="Normal 2 2 2 26 13" xfId="17175" xr:uid="{00000000-0005-0000-0000-00000E430000}"/>
    <cellStyle name="Normal 2 2 2 26 14" xfId="17176" xr:uid="{00000000-0005-0000-0000-00000F430000}"/>
    <cellStyle name="Normal 2 2 2 26 2" xfId="17177" xr:uid="{00000000-0005-0000-0000-000010430000}"/>
    <cellStyle name="Normal 2 2 2 26 2 10" xfId="17178" xr:uid="{00000000-0005-0000-0000-000011430000}"/>
    <cellStyle name="Normal 2 2 2 26 2 2" xfId="17179" xr:uid="{00000000-0005-0000-0000-000012430000}"/>
    <cellStyle name="Normal 2 2 2 26 2 3" xfId="17180" xr:uid="{00000000-0005-0000-0000-000013430000}"/>
    <cellStyle name="Normal 2 2 2 26 2 4" xfId="17181" xr:uid="{00000000-0005-0000-0000-000014430000}"/>
    <cellStyle name="Normal 2 2 2 26 2 5" xfId="17182" xr:uid="{00000000-0005-0000-0000-000015430000}"/>
    <cellStyle name="Normal 2 2 2 26 2 6" xfId="17183" xr:uid="{00000000-0005-0000-0000-000016430000}"/>
    <cellStyle name="Normal 2 2 2 26 2 7" xfId="17184" xr:uid="{00000000-0005-0000-0000-000017430000}"/>
    <cellStyle name="Normal 2 2 2 26 2 8" xfId="17185" xr:uid="{00000000-0005-0000-0000-000018430000}"/>
    <cellStyle name="Normal 2 2 2 26 2 9" xfId="17186" xr:uid="{00000000-0005-0000-0000-000019430000}"/>
    <cellStyle name="Normal 2 2 2 26 3" xfId="17187" xr:uid="{00000000-0005-0000-0000-00001A430000}"/>
    <cellStyle name="Normal 2 2 2 26 3 10" xfId="17188" xr:uid="{00000000-0005-0000-0000-00001B430000}"/>
    <cellStyle name="Normal 2 2 2 26 3 2" xfId="17189" xr:uid="{00000000-0005-0000-0000-00001C430000}"/>
    <cellStyle name="Normal 2 2 2 26 3 3" xfId="17190" xr:uid="{00000000-0005-0000-0000-00001D430000}"/>
    <cellStyle name="Normal 2 2 2 26 3 4" xfId="17191" xr:uid="{00000000-0005-0000-0000-00001E430000}"/>
    <cellStyle name="Normal 2 2 2 26 3 5" xfId="17192" xr:uid="{00000000-0005-0000-0000-00001F430000}"/>
    <cellStyle name="Normal 2 2 2 26 3 6" xfId="17193" xr:uid="{00000000-0005-0000-0000-000020430000}"/>
    <cellStyle name="Normal 2 2 2 26 3 7" xfId="17194" xr:uid="{00000000-0005-0000-0000-000021430000}"/>
    <cellStyle name="Normal 2 2 2 26 3 8" xfId="17195" xr:uid="{00000000-0005-0000-0000-000022430000}"/>
    <cellStyle name="Normal 2 2 2 26 3 9" xfId="17196" xr:uid="{00000000-0005-0000-0000-000023430000}"/>
    <cellStyle name="Normal 2 2 2 26 4" xfId="17197" xr:uid="{00000000-0005-0000-0000-000024430000}"/>
    <cellStyle name="Normal 2 2 2 26 4 10" xfId="17198" xr:uid="{00000000-0005-0000-0000-000025430000}"/>
    <cellStyle name="Normal 2 2 2 26 4 2" xfId="17199" xr:uid="{00000000-0005-0000-0000-000026430000}"/>
    <cellStyle name="Normal 2 2 2 26 4 3" xfId="17200" xr:uid="{00000000-0005-0000-0000-000027430000}"/>
    <cellStyle name="Normal 2 2 2 26 4 4" xfId="17201" xr:uid="{00000000-0005-0000-0000-000028430000}"/>
    <cellStyle name="Normal 2 2 2 26 4 5" xfId="17202" xr:uid="{00000000-0005-0000-0000-000029430000}"/>
    <cellStyle name="Normal 2 2 2 26 4 6" xfId="17203" xr:uid="{00000000-0005-0000-0000-00002A430000}"/>
    <cellStyle name="Normal 2 2 2 26 4 7" xfId="17204" xr:uid="{00000000-0005-0000-0000-00002B430000}"/>
    <cellStyle name="Normal 2 2 2 26 4 8" xfId="17205" xr:uid="{00000000-0005-0000-0000-00002C430000}"/>
    <cellStyle name="Normal 2 2 2 26 4 9" xfId="17206" xr:uid="{00000000-0005-0000-0000-00002D430000}"/>
    <cellStyle name="Normal 2 2 2 26 5" xfId="17207" xr:uid="{00000000-0005-0000-0000-00002E430000}"/>
    <cellStyle name="Normal 2 2 2 26 5 10" xfId="17208" xr:uid="{00000000-0005-0000-0000-00002F430000}"/>
    <cellStyle name="Normal 2 2 2 26 5 2" xfId="17209" xr:uid="{00000000-0005-0000-0000-000030430000}"/>
    <cellStyle name="Normal 2 2 2 26 5 3" xfId="17210" xr:uid="{00000000-0005-0000-0000-000031430000}"/>
    <cellStyle name="Normal 2 2 2 26 5 4" xfId="17211" xr:uid="{00000000-0005-0000-0000-000032430000}"/>
    <cellStyle name="Normal 2 2 2 26 5 5" xfId="17212" xr:uid="{00000000-0005-0000-0000-000033430000}"/>
    <cellStyle name="Normal 2 2 2 26 5 6" xfId="17213" xr:uid="{00000000-0005-0000-0000-000034430000}"/>
    <cellStyle name="Normal 2 2 2 26 5 7" xfId="17214" xr:uid="{00000000-0005-0000-0000-000035430000}"/>
    <cellStyle name="Normal 2 2 2 26 5 8" xfId="17215" xr:uid="{00000000-0005-0000-0000-000036430000}"/>
    <cellStyle name="Normal 2 2 2 26 5 9" xfId="17216" xr:uid="{00000000-0005-0000-0000-000037430000}"/>
    <cellStyle name="Normal 2 2 2 26 6" xfId="17217" xr:uid="{00000000-0005-0000-0000-000038430000}"/>
    <cellStyle name="Normal 2 2 2 26 7" xfId="17218" xr:uid="{00000000-0005-0000-0000-000039430000}"/>
    <cellStyle name="Normal 2 2 2 26 8" xfId="17219" xr:uid="{00000000-0005-0000-0000-00003A430000}"/>
    <cellStyle name="Normal 2 2 2 26 9" xfId="17220" xr:uid="{00000000-0005-0000-0000-00003B430000}"/>
    <cellStyle name="Normal 2 2 2 27" xfId="17221" xr:uid="{00000000-0005-0000-0000-00003C430000}"/>
    <cellStyle name="Normal 2 2 2 27 10" xfId="17222" xr:uid="{00000000-0005-0000-0000-00003D430000}"/>
    <cellStyle name="Normal 2 2 2 27 11" xfId="17223" xr:uid="{00000000-0005-0000-0000-00003E430000}"/>
    <cellStyle name="Normal 2 2 2 27 12" xfId="17224" xr:uid="{00000000-0005-0000-0000-00003F430000}"/>
    <cellStyle name="Normal 2 2 2 27 13" xfId="17225" xr:uid="{00000000-0005-0000-0000-000040430000}"/>
    <cellStyle name="Normal 2 2 2 27 14" xfId="17226" xr:uid="{00000000-0005-0000-0000-000041430000}"/>
    <cellStyle name="Normal 2 2 2 27 2" xfId="17227" xr:uid="{00000000-0005-0000-0000-000042430000}"/>
    <cellStyle name="Normal 2 2 2 27 2 10" xfId="17228" xr:uid="{00000000-0005-0000-0000-000043430000}"/>
    <cellStyle name="Normal 2 2 2 27 2 2" xfId="17229" xr:uid="{00000000-0005-0000-0000-000044430000}"/>
    <cellStyle name="Normal 2 2 2 27 2 3" xfId="17230" xr:uid="{00000000-0005-0000-0000-000045430000}"/>
    <cellStyle name="Normal 2 2 2 27 2 4" xfId="17231" xr:uid="{00000000-0005-0000-0000-000046430000}"/>
    <cellStyle name="Normal 2 2 2 27 2 5" xfId="17232" xr:uid="{00000000-0005-0000-0000-000047430000}"/>
    <cellStyle name="Normal 2 2 2 27 2 6" xfId="17233" xr:uid="{00000000-0005-0000-0000-000048430000}"/>
    <cellStyle name="Normal 2 2 2 27 2 7" xfId="17234" xr:uid="{00000000-0005-0000-0000-000049430000}"/>
    <cellStyle name="Normal 2 2 2 27 2 8" xfId="17235" xr:uid="{00000000-0005-0000-0000-00004A430000}"/>
    <cellStyle name="Normal 2 2 2 27 2 9" xfId="17236" xr:uid="{00000000-0005-0000-0000-00004B430000}"/>
    <cellStyle name="Normal 2 2 2 27 3" xfId="17237" xr:uid="{00000000-0005-0000-0000-00004C430000}"/>
    <cellStyle name="Normal 2 2 2 27 3 10" xfId="17238" xr:uid="{00000000-0005-0000-0000-00004D430000}"/>
    <cellStyle name="Normal 2 2 2 27 3 2" xfId="17239" xr:uid="{00000000-0005-0000-0000-00004E430000}"/>
    <cellStyle name="Normal 2 2 2 27 3 3" xfId="17240" xr:uid="{00000000-0005-0000-0000-00004F430000}"/>
    <cellStyle name="Normal 2 2 2 27 3 4" xfId="17241" xr:uid="{00000000-0005-0000-0000-000050430000}"/>
    <cellStyle name="Normal 2 2 2 27 3 5" xfId="17242" xr:uid="{00000000-0005-0000-0000-000051430000}"/>
    <cellStyle name="Normal 2 2 2 27 3 6" xfId="17243" xr:uid="{00000000-0005-0000-0000-000052430000}"/>
    <cellStyle name="Normal 2 2 2 27 3 7" xfId="17244" xr:uid="{00000000-0005-0000-0000-000053430000}"/>
    <cellStyle name="Normal 2 2 2 27 3 8" xfId="17245" xr:uid="{00000000-0005-0000-0000-000054430000}"/>
    <cellStyle name="Normal 2 2 2 27 3 9" xfId="17246" xr:uid="{00000000-0005-0000-0000-000055430000}"/>
    <cellStyle name="Normal 2 2 2 27 4" xfId="17247" xr:uid="{00000000-0005-0000-0000-000056430000}"/>
    <cellStyle name="Normal 2 2 2 27 4 10" xfId="17248" xr:uid="{00000000-0005-0000-0000-000057430000}"/>
    <cellStyle name="Normal 2 2 2 27 4 2" xfId="17249" xr:uid="{00000000-0005-0000-0000-000058430000}"/>
    <cellStyle name="Normal 2 2 2 27 4 3" xfId="17250" xr:uid="{00000000-0005-0000-0000-000059430000}"/>
    <cellStyle name="Normal 2 2 2 27 4 4" xfId="17251" xr:uid="{00000000-0005-0000-0000-00005A430000}"/>
    <cellStyle name="Normal 2 2 2 27 4 5" xfId="17252" xr:uid="{00000000-0005-0000-0000-00005B430000}"/>
    <cellStyle name="Normal 2 2 2 27 4 6" xfId="17253" xr:uid="{00000000-0005-0000-0000-00005C430000}"/>
    <cellStyle name="Normal 2 2 2 27 4 7" xfId="17254" xr:uid="{00000000-0005-0000-0000-00005D430000}"/>
    <cellStyle name="Normal 2 2 2 27 4 8" xfId="17255" xr:uid="{00000000-0005-0000-0000-00005E430000}"/>
    <cellStyle name="Normal 2 2 2 27 4 9" xfId="17256" xr:uid="{00000000-0005-0000-0000-00005F430000}"/>
    <cellStyle name="Normal 2 2 2 27 5" xfId="17257" xr:uid="{00000000-0005-0000-0000-000060430000}"/>
    <cellStyle name="Normal 2 2 2 27 5 10" xfId="17258" xr:uid="{00000000-0005-0000-0000-000061430000}"/>
    <cellStyle name="Normal 2 2 2 27 5 2" xfId="17259" xr:uid="{00000000-0005-0000-0000-000062430000}"/>
    <cellStyle name="Normal 2 2 2 27 5 3" xfId="17260" xr:uid="{00000000-0005-0000-0000-000063430000}"/>
    <cellStyle name="Normal 2 2 2 27 5 4" xfId="17261" xr:uid="{00000000-0005-0000-0000-000064430000}"/>
    <cellStyle name="Normal 2 2 2 27 5 5" xfId="17262" xr:uid="{00000000-0005-0000-0000-000065430000}"/>
    <cellStyle name="Normal 2 2 2 27 5 6" xfId="17263" xr:uid="{00000000-0005-0000-0000-000066430000}"/>
    <cellStyle name="Normal 2 2 2 27 5 7" xfId="17264" xr:uid="{00000000-0005-0000-0000-000067430000}"/>
    <cellStyle name="Normal 2 2 2 27 5 8" xfId="17265" xr:uid="{00000000-0005-0000-0000-000068430000}"/>
    <cellStyle name="Normal 2 2 2 27 5 9" xfId="17266" xr:uid="{00000000-0005-0000-0000-000069430000}"/>
    <cellStyle name="Normal 2 2 2 27 6" xfId="17267" xr:uid="{00000000-0005-0000-0000-00006A430000}"/>
    <cellStyle name="Normal 2 2 2 27 7" xfId="17268" xr:uid="{00000000-0005-0000-0000-00006B430000}"/>
    <cellStyle name="Normal 2 2 2 27 8" xfId="17269" xr:uid="{00000000-0005-0000-0000-00006C430000}"/>
    <cellStyle name="Normal 2 2 2 27 9" xfId="17270" xr:uid="{00000000-0005-0000-0000-00006D430000}"/>
    <cellStyle name="Normal 2 2 2 28" xfId="17271" xr:uid="{00000000-0005-0000-0000-00006E430000}"/>
    <cellStyle name="Normal 2 2 2 28 10" xfId="17272" xr:uid="{00000000-0005-0000-0000-00006F430000}"/>
    <cellStyle name="Normal 2 2 2 28 11" xfId="17273" xr:uid="{00000000-0005-0000-0000-000070430000}"/>
    <cellStyle name="Normal 2 2 2 28 12" xfId="17274" xr:uid="{00000000-0005-0000-0000-000071430000}"/>
    <cellStyle name="Normal 2 2 2 28 13" xfId="17275" xr:uid="{00000000-0005-0000-0000-000072430000}"/>
    <cellStyle name="Normal 2 2 2 28 14" xfId="17276" xr:uid="{00000000-0005-0000-0000-000073430000}"/>
    <cellStyle name="Normal 2 2 2 28 2" xfId="17277" xr:uid="{00000000-0005-0000-0000-000074430000}"/>
    <cellStyle name="Normal 2 2 2 28 2 10" xfId="17278" xr:uid="{00000000-0005-0000-0000-000075430000}"/>
    <cellStyle name="Normal 2 2 2 28 2 2" xfId="17279" xr:uid="{00000000-0005-0000-0000-000076430000}"/>
    <cellStyle name="Normal 2 2 2 28 2 3" xfId="17280" xr:uid="{00000000-0005-0000-0000-000077430000}"/>
    <cellStyle name="Normal 2 2 2 28 2 4" xfId="17281" xr:uid="{00000000-0005-0000-0000-000078430000}"/>
    <cellStyle name="Normal 2 2 2 28 2 5" xfId="17282" xr:uid="{00000000-0005-0000-0000-000079430000}"/>
    <cellStyle name="Normal 2 2 2 28 2 6" xfId="17283" xr:uid="{00000000-0005-0000-0000-00007A430000}"/>
    <cellStyle name="Normal 2 2 2 28 2 7" xfId="17284" xr:uid="{00000000-0005-0000-0000-00007B430000}"/>
    <cellStyle name="Normal 2 2 2 28 2 8" xfId="17285" xr:uid="{00000000-0005-0000-0000-00007C430000}"/>
    <cellStyle name="Normal 2 2 2 28 2 9" xfId="17286" xr:uid="{00000000-0005-0000-0000-00007D430000}"/>
    <cellStyle name="Normal 2 2 2 28 3" xfId="17287" xr:uid="{00000000-0005-0000-0000-00007E430000}"/>
    <cellStyle name="Normal 2 2 2 28 3 10" xfId="17288" xr:uid="{00000000-0005-0000-0000-00007F430000}"/>
    <cellStyle name="Normal 2 2 2 28 3 2" xfId="17289" xr:uid="{00000000-0005-0000-0000-000080430000}"/>
    <cellStyle name="Normal 2 2 2 28 3 3" xfId="17290" xr:uid="{00000000-0005-0000-0000-000081430000}"/>
    <cellStyle name="Normal 2 2 2 28 3 4" xfId="17291" xr:uid="{00000000-0005-0000-0000-000082430000}"/>
    <cellStyle name="Normal 2 2 2 28 3 5" xfId="17292" xr:uid="{00000000-0005-0000-0000-000083430000}"/>
    <cellStyle name="Normal 2 2 2 28 3 6" xfId="17293" xr:uid="{00000000-0005-0000-0000-000084430000}"/>
    <cellStyle name="Normal 2 2 2 28 3 7" xfId="17294" xr:uid="{00000000-0005-0000-0000-000085430000}"/>
    <cellStyle name="Normal 2 2 2 28 3 8" xfId="17295" xr:uid="{00000000-0005-0000-0000-000086430000}"/>
    <cellStyle name="Normal 2 2 2 28 3 9" xfId="17296" xr:uid="{00000000-0005-0000-0000-000087430000}"/>
    <cellStyle name="Normal 2 2 2 28 4" xfId="17297" xr:uid="{00000000-0005-0000-0000-000088430000}"/>
    <cellStyle name="Normal 2 2 2 28 4 10" xfId="17298" xr:uid="{00000000-0005-0000-0000-000089430000}"/>
    <cellStyle name="Normal 2 2 2 28 4 2" xfId="17299" xr:uid="{00000000-0005-0000-0000-00008A430000}"/>
    <cellStyle name="Normal 2 2 2 28 4 3" xfId="17300" xr:uid="{00000000-0005-0000-0000-00008B430000}"/>
    <cellStyle name="Normal 2 2 2 28 4 4" xfId="17301" xr:uid="{00000000-0005-0000-0000-00008C430000}"/>
    <cellStyle name="Normal 2 2 2 28 4 5" xfId="17302" xr:uid="{00000000-0005-0000-0000-00008D430000}"/>
    <cellStyle name="Normal 2 2 2 28 4 6" xfId="17303" xr:uid="{00000000-0005-0000-0000-00008E430000}"/>
    <cellStyle name="Normal 2 2 2 28 4 7" xfId="17304" xr:uid="{00000000-0005-0000-0000-00008F430000}"/>
    <cellStyle name="Normal 2 2 2 28 4 8" xfId="17305" xr:uid="{00000000-0005-0000-0000-000090430000}"/>
    <cellStyle name="Normal 2 2 2 28 4 9" xfId="17306" xr:uid="{00000000-0005-0000-0000-000091430000}"/>
    <cellStyle name="Normal 2 2 2 28 5" xfId="17307" xr:uid="{00000000-0005-0000-0000-000092430000}"/>
    <cellStyle name="Normal 2 2 2 28 5 10" xfId="17308" xr:uid="{00000000-0005-0000-0000-000093430000}"/>
    <cellStyle name="Normal 2 2 2 28 5 2" xfId="17309" xr:uid="{00000000-0005-0000-0000-000094430000}"/>
    <cellStyle name="Normal 2 2 2 28 5 3" xfId="17310" xr:uid="{00000000-0005-0000-0000-000095430000}"/>
    <cellStyle name="Normal 2 2 2 28 5 4" xfId="17311" xr:uid="{00000000-0005-0000-0000-000096430000}"/>
    <cellStyle name="Normal 2 2 2 28 5 5" xfId="17312" xr:uid="{00000000-0005-0000-0000-000097430000}"/>
    <cellStyle name="Normal 2 2 2 28 5 6" xfId="17313" xr:uid="{00000000-0005-0000-0000-000098430000}"/>
    <cellStyle name="Normal 2 2 2 28 5 7" xfId="17314" xr:uid="{00000000-0005-0000-0000-000099430000}"/>
    <cellStyle name="Normal 2 2 2 28 5 8" xfId="17315" xr:uid="{00000000-0005-0000-0000-00009A430000}"/>
    <cellStyle name="Normal 2 2 2 28 5 9" xfId="17316" xr:uid="{00000000-0005-0000-0000-00009B430000}"/>
    <cellStyle name="Normal 2 2 2 28 6" xfId="17317" xr:uid="{00000000-0005-0000-0000-00009C430000}"/>
    <cellStyle name="Normal 2 2 2 28 7" xfId="17318" xr:uid="{00000000-0005-0000-0000-00009D430000}"/>
    <cellStyle name="Normal 2 2 2 28 8" xfId="17319" xr:uid="{00000000-0005-0000-0000-00009E430000}"/>
    <cellStyle name="Normal 2 2 2 28 9" xfId="17320" xr:uid="{00000000-0005-0000-0000-00009F430000}"/>
    <cellStyle name="Normal 2 2 2 29" xfId="17321" xr:uid="{00000000-0005-0000-0000-0000A0430000}"/>
    <cellStyle name="Normal 2 2 2 29 10" xfId="17322" xr:uid="{00000000-0005-0000-0000-0000A1430000}"/>
    <cellStyle name="Normal 2 2 2 29 11" xfId="17323" xr:uid="{00000000-0005-0000-0000-0000A2430000}"/>
    <cellStyle name="Normal 2 2 2 29 12" xfId="17324" xr:uid="{00000000-0005-0000-0000-0000A3430000}"/>
    <cellStyle name="Normal 2 2 2 29 13" xfId="17325" xr:uid="{00000000-0005-0000-0000-0000A4430000}"/>
    <cellStyle name="Normal 2 2 2 29 14" xfId="17326" xr:uid="{00000000-0005-0000-0000-0000A5430000}"/>
    <cellStyle name="Normal 2 2 2 29 2" xfId="17327" xr:uid="{00000000-0005-0000-0000-0000A6430000}"/>
    <cellStyle name="Normal 2 2 2 29 2 10" xfId="17328" xr:uid="{00000000-0005-0000-0000-0000A7430000}"/>
    <cellStyle name="Normal 2 2 2 29 2 2" xfId="17329" xr:uid="{00000000-0005-0000-0000-0000A8430000}"/>
    <cellStyle name="Normal 2 2 2 29 2 3" xfId="17330" xr:uid="{00000000-0005-0000-0000-0000A9430000}"/>
    <cellStyle name="Normal 2 2 2 29 2 4" xfId="17331" xr:uid="{00000000-0005-0000-0000-0000AA430000}"/>
    <cellStyle name="Normal 2 2 2 29 2 5" xfId="17332" xr:uid="{00000000-0005-0000-0000-0000AB430000}"/>
    <cellStyle name="Normal 2 2 2 29 2 6" xfId="17333" xr:uid="{00000000-0005-0000-0000-0000AC430000}"/>
    <cellStyle name="Normal 2 2 2 29 2 7" xfId="17334" xr:uid="{00000000-0005-0000-0000-0000AD430000}"/>
    <cellStyle name="Normal 2 2 2 29 2 8" xfId="17335" xr:uid="{00000000-0005-0000-0000-0000AE430000}"/>
    <cellStyle name="Normal 2 2 2 29 2 9" xfId="17336" xr:uid="{00000000-0005-0000-0000-0000AF430000}"/>
    <cellStyle name="Normal 2 2 2 29 3" xfId="17337" xr:uid="{00000000-0005-0000-0000-0000B0430000}"/>
    <cellStyle name="Normal 2 2 2 29 3 10" xfId="17338" xr:uid="{00000000-0005-0000-0000-0000B1430000}"/>
    <cellStyle name="Normal 2 2 2 29 3 2" xfId="17339" xr:uid="{00000000-0005-0000-0000-0000B2430000}"/>
    <cellStyle name="Normal 2 2 2 29 3 3" xfId="17340" xr:uid="{00000000-0005-0000-0000-0000B3430000}"/>
    <cellStyle name="Normal 2 2 2 29 3 4" xfId="17341" xr:uid="{00000000-0005-0000-0000-0000B4430000}"/>
    <cellStyle name="Normal 2 2 2 29 3 5" xfId="17342" xr:uid="{00000000-0005-0000-0000-0000B5430000}"/>
    <cellStyle name="Normal 2 2 2 29 3 6" xfId="17343" xr:uid="{00000000-0005-0000-0000-0000B6430000}"/>
    <cellStyle name="Normal 2 2 2 29 3 7" xfId="17344" xr:uid="{00000000-0005-0000-0000-0000B7430000}"/>
    <cellStyle name="Normal 2 2 2 29 3 8" xfId="17345" xr:uid="{00000000-0005-0000-0000-0000B8430000}"/>
    <cellStyle name="Normal 2 2 2 29 3 9" xfId="17346" xr:uid="{00000000-0005-0000-0000-0000B9430000}"/>
    <cellStyle name="Normal 2 2 2 29 4" xfId="17347" xr:uid="{00000000-0005-0000-0000-0000BA430000}"/>
    <cellStyle name="Normal 2 2 2 29 4 10" xfId="17348" xr:uid="{00000000-0005-0000-0000-0000BB430000}"/>
    <cellStyle name="Normal 2 2 2 29 4 2" xfId="17349" xr:uid="{00000000-0005-0000-0000-0000BC430000}"/>
    <cellStyle name="Normal 2 2 2 29 4 3" xfId="17350" xr:uid="{00000000-0005-0000-0000-0000BD430000}"/>
    <cellStyle name="Normal 2 2 2 29 4 4" xfId="17351" xr:uid="{00000000-0005-0000-0000-0000BE430000}"/>
    <cellStyle name="Normal 2 2 2 29 4 5" xfId="17352" xr:uid="{00000000-0005-0000-0000-0000BF430000}"/>
    <cellStyle name="Normal 2 2 2 29 4 6" xfId="17353" xr:uid="{00000000-0005-0000-0000-0000C0430000}"/>
    <cellStyle name="Normal 2 2 2 29 4 7" xfId="17354" xr:uid="{00000000-0005-0000-0000-0000C1430000}"/>
    <cellStyle name="Normal 2 2 2 29 4 8" xfId="17355" xr:uid="{00000000-0005-0000-0000-0000C2430000}"/>
    <cellStyle name="Normal 2 2 2 29 4 9" xfId="17356" xr:uid="{00000000-0005-0000-0000-0000C3430000}"/>
    <cellStyle name="Normal 2 2 2 29 5" xfId="17357" xr:uid="{00000000-0005-0000-0000-0000C4430000}"/>
    <cellStyle name="Normal 2 2 2 29 5 10" xfId="17358" xr:uid="{00000000-0005-0000-0000-0000C5430000}"/>
    <cellStyle name="Normal 2 2 2 29 5 2" xfId="17359" xr:uid="{00000000-0005-0000-0000-0000C6430000}"/>
    <cellStyle name="Normal 2 2 2 29 5 3" xfId="17360" xr:uid="{00000000-0005-0000-0000-0000C7430000}"/>
    <cellStyle name="Normal 2 2 2 29 5 4" xfId="17361" xr:uid="{00000000-0005-0000-0000-0000C8430000}"/>
    <cellStyle name="Normal 2 2 2 29 5 5" xfId="17362" xr:uid="{00000000-0005-0000-0000-0000C9430000}"/>
    <cellStyle name="Normal 2 2 2 29 5 6" xfId="17363" xr:uid="{00000000-0005-0000-0000-0000CA430000}"/>
    <cellStyle name="Normal 2 2 2 29 5 7" xfId="17364" xr:uid="{00000000-0005-0000-0000-0000CB430000}"/>
    <cellStyle name="Normal 2 2 2 29 5 8" xfId="17365" xr:uid="{00000000-0005-0000-0000-0000CC430000}"/>
    <cellStyle name="Normal 2 2 2 29 5 9" xfId="17366" xr:uid="{00000000-0005-0000-0000-0000CD430000}"/>
    <cellStyle name="Normal 2 2 2 29 6" xfId="17367" xr:uid="{00000000-0005-0000-0000-0000CE430000}"/>
    <cellStyle name="Normal 2 2 2 29 7" xfId="17368" xr:uid="{00000000-0005-0000-0000-0000CF430000}"/>
    <cellStyle name="Normal 2 2 2 29 8" xfId="17369" xr:uid="{00000000-0005-0000-0000-0000D0430000}"/>
    <cellStyle name="Normal 2 2 2 29 9" xfId="17370" xr:uid="{00000000-0005-0000-0000-0000D1430000}"/>
    <cellStyle name="Normal 2 2 2 3" xfId="16" xr:uid="{00000000-0005-0000-0000-0000D2430000}"/>
    <cellStyle name="Normal 2 2 2 3 10" xfId="17371" xr:uid="{00000000-0005-0000-0000-0000D3430000}"/>
    <cellStyle name="Normal 2 2 2 3 10 10" xfId="17372" xr:uid="{00000000-0005-0000-0000-0000D4430000}"/>
    <cellStyle name="Normal 2 2 2 3 10 11" xfId="17373" xr:uid="{00000000-0005-0000-0000-0000D5430000}"/>
    <cellStyle name="Normal 2 2 2 3 10 12" xfId="17374" xr:uid="{00000000-0005-0000-0000-0000D6430000}"/>
    <cellStyle name="Normal 2 2 2 3 10 13" xfId="17375" xr:uid="{00000000-0005-0000-0000-0000D7430000}"/>
    <cellStyle name="Normal 2 2 2 3 10 14" xfId="17376" xr:uid="{00000000-0005-0000-0000-0000D8430000}"/>
    <cellStyle name="Normal 2 2 2 3 10 2" xfId="17377" xr:uid="{00000000-0005-0000-0000-0000D9430000}"/>
    <cellStyle name="Normal 2 2 2 3 10 2 10" xfId="17378" xr:uid="{00000000-0005-0000-0000-0000DA430000}"/>
    <cellStyle name="Normal 2 2 2 3 10 2 2" xfId="17379" xr:uid="{00000000-0005-0000-0000-0000DB430000}"/>
    <cellStyle name="Normal 2 2 2 3 10 2 3" xfId="17380" xr:uid="{00000000-0005-0000-0000-0000DC430000}"/>
    <cellStyle name="Normal 2 2 2 3 10 2 4" xfId="17381" xr:uid="{00000000-0005-0000-0000-0000DD430000}"/>
    <cellStyle name="Normal 2 2 2 3 10 2 5" xfId="17382" xr:uid="{00000000-0005-0000-0000-0000DE430000}"/>
    <cellStyle name="Normal 2 2 2 3 10 2 6" xfId="17383" xr:uid="{00000000-0005-0000-0000-0000DF430000}"/>
    <cellStyle name="Normal 2 2 2 3 10 2 7" xfId="17384" xr:uid="{00000000-0005-0000-0000-0000E0430000}"/>
    <cellStyle name="Normal 2 2 2 3 10 2 8" xfId="17385" xr:uid="{00000000-0005-0000-0000-0000E1430000}"/>
    <cellStyle name="Normal 2 2 2 3 10 2 9" xfId="17386" xr:uid="{00000000-0005-0000-0000-0000E2430000}"/>
    <cellStyle name="Normal 2 2 2 3 10 3" xfId="17387" xr:uid="{00000000-0005-0000-0000-0000E3430000}"/>
    <cellStyle name="Normal 2 2 2 3 10 3 10" xfId="17388" xr:uid="{00000000-0005-0000-0000-0000E4430000}"/>
    <cellStyle name="Normal 2 2 2 3 10 3 2" xfId="17389" xr:uid="{00000000-0005-0000-0000-0000E5430000}"/>
    <cellStyle name="Normal 2 2 2 3 10 3 3" xfId="17390" xr:uid="{00000000-0005-0000-0000-0000E6430000}"/>
    <cellStyle name="Normal 2 2 2 3 10 3 4" xfId="17391" xr:uid="{00000000-0005-0000-0000-0000E7430000}"/>
    <cellStyle name="Normal 2 2 2 3 10 3 5" xfId="17392" xr:uid="{00000000-0005-0000-0000-0000E8430000}"/>
    <cellStyle name="Normal 2 2 2 3 10 3 6" xfId="17393" xr:uid="{00000000-0005-0000-0000-0000E9430000}"/>
    <cellStyle name="Normal 2 2 2 3 10 3 7" xfId="17394" xr:uid="{00000000-0005-0000-0000-0000EA430000}"/>
    <cellStyle name="Normal 2 2 2 3 10 3 8" xfId="17395" xr:uid="{00000000-0005-0000-0000-0000EB430000}"/>
    <cellStyle name="Normal 2 2 2 3 10 3 9" xfId="17396" xr:uid="{00000000-0005-0000-0000-0000EC430000}"/>
    <cellStyle name="Normal 2 2 2 3 10 4" xfId="17397" xr:uid="{00000000-0005-0000-0000-0000ED430000}"/>
    <cellStyle name="Normal 2 2 2 3 10 4 10" xfId="17398" xr:uid="{00000000-0005-0000-0000-0000EE430000}"/>
    <cellStyle name="Normal 2 2 2 3 10 4 2" xfId="17399" xr:uid="{00000000-0005-0000-0000-0000EF430000}"/>
    <cellStyle name="Normal 2 2 2 3 10 4 3" xfId="17400" xr:uid="{00000000-0005-0000-0000-0000F0430000}"/>
    <cellStyle name="Normal 2 2 2 3 10 4 4" xfId="17401" xr:uid="{00000000-0005-0000-0000-0000F1430000}"/>
    <cellStyle name="Normal 2 2 2 3 10 4 5" xfId="17402" xr:uid="{00000000-0005-0000-0000-0000F2430000}"/>
    <cellStyle name="Normal 2 2 2 3 10 4 6" xfId="17403" xr:uid="{00000000-0005-0000-0000-0000F3430000}"/>
    <cellStyle name="Normal 2 2 2 3 10 4 7" xfId="17404" xr:uid="{00000000-0005-0000-0000-0000F4430000}"/>
    <cellStyle name="Normal 2 2 2 3 10 4 8" xfId="17405" xr:uid="{00000000-0005-0000-0000-0000F5430000}"/>
    <cellStyle name="Normal 2 2 2 3 10 4 9" xfId="17406" xr:uid="{00000000-0005-0000-0000-0000F6430000}"/>
    <cellStyle name="Normal 2 2 2 3 10 5" xfId="17407" xr:uid="{00000000-0005-0000-0000-0000F7430000}"/>
    <cellStyle name="Normal 2 2 2 3 10 5 10" xfId="17408" xr:uid="{00000000-0005-0000-0000-0000F8430000}"/>
    <cellStyle name="Normal 2 2 2 3 10 5 2" xfId="17409" xr:uid="{00000000-0005-0000-0000-0000F9430000}"/>
    <cellStyle name="Normal 2 2 2 3 10 5 3" xfId="17410" xr:uid="{00000000-0005-0000-0000-0000FA430000}"/>
    <cellStyle name="Normal 2 2 2 3 10 5 4" xfId="17411" xr:uid="{00000000-0005-0000-0000-0000FB430000}"/>
    <cellStyle name="Normal 2 2 2 3 10 5 5" xfId="17412" xr:uid="{00000000-0005-0000-0000-0000FC430000}"/>
    <cellStyle name="Normal 2 2 2 3 10 5 6" xfId="17413" xr:uid="{00000000-0005-0000-0000-0000FD430000}"/>
    <cellStyle name="Normal 2 2 2 3 10 5 7" xfId="17414" xr:uid="{00000000-0005-0000-0000-0000FE430000}"/>
    <cellStyle name="Normal 2 2 2 3 10 5 8" xfId="17415" xr:uid="{00000000-0005-0000-0000-0000FF430000}"/>
    <cellStyle name="Normal 2 2 2 3 10 5 9" xfId="17416" xr:uid="{00000000-0005-0000-0000-000000440000}"/>
    <cellStyle name="Normal 2 2 2 3 10 6" xfId="17417" xr:uid="{00000000-0005-0000-0000-000001440000}"/>
    <cellStyle name="Normal 2 2 2 3 10 7" xfId="17418" xr:uid="{00000000-0005-0000-0000-000002440000}"/>
    <cellStyle name="Normal 2 2 2 3 10 8" xfId="17419" xr:uid="{00000000-0005-0000-0000-000003440000}"/>
    <cellStyle name="Normal 2 2 2 3 10 9" xfId="17420" xr:uid="{00000000-0005-0000-0000-000004440000}"/>
    <cellStyle name="Normal 2 2 2 3 11" xfId="17421" xr:uid="{00000000-0005-0000-0000-000005440000}"/>
    <cellStyle name="Normal 2 2 2 3 11 10" xfId="17422" xr:uid="{00000000-0005-0000-0000-000006440000}"/>
    <cellStyle name="Normal 2 2 2 3 11 11" xfId="17423" xr:uid="{00000000-0005-0000-0000-000007440000}"/>
    <cellStyle name="Normal 2 2 2 3 11 12" xfId="17424" xr:uid="{00000000-0005-0000-0000-000008440000}"/>
    <cellStyle name="Normal 2 2 2 3 11 13" xfId="17425" xr:uid="{00000000-0005-0000-0000-000009440000}"/>
    <cellStyle name="Normal 2 2 2 3 11 14" xfId="17426" xr:uid="{00000000-0005-0000-0000-00000A440000}"/>
    <cellStyle name="Normal 2 2 2 3 11 2" xfId="17427" xr:uid="{00000000-0005-0000-0000-00000B440000}"/>
    <cellStyle name="Normal 2 2 2 3 11 2 10" xfId="17428" xr:uid="{00000000-0005-0000-0000-00000C440000}"/>
    <cellStyle name="Normal 2 2 2 3 11 2 2" xfId="17429" xr:uid="{00000000-0005-0000-0000-00000D440000}"/>
    <cellStyle name="Normal 2 2 2 3 11 2 3" xfId="17430" xr:uid="{00000000-0005-0000-0000-00000E440000}"/>
    <cellStyle name="Normal 2 2 2 3 11 2 4" xfId="17431" xr:uid="{00000000-0005-0000-0000-00000F440000}"/>
    <cellStyle name="Normal 2 2 2 3 11 2 5" xfId="17432" xr:uid="{00000000-0005-0000-0000-000010440000}"/>
    <cellStyle name="Normal 2 2 2 3 11 2 6" xfId="17433" xr:uid="{00000000-0005-0000-0000-000011440000}"/>
    <cellStyle name="Normal 2 2 2 3 11 2 7" xfId="17434" xr:uid="{00000000-0005-0000-0000-000012440000}"/>
    <cellStyle name="Normal 2 2 2 3 11 2 8" xfId="17435" xr:uid="{00000000-0005-0000-0000-000013440000}"/>
    <cellStyle name="Normal 2 2 2 3 11 2 9" xfId="17436" xr:uid="{00000000-0005-0000-0000-000014440000}"/>
    <cellStyle name="Normal 2 2 2 3 11 3" xfId="17437" xr:uid="{00000000-0005-0000-0000-000015440000}"/>
    <cellStyle name="Normal 2 2 2 3 11 3 10" xfId="17438" xr:uid="{00000000-0005-0000-0000-000016440000}"/>
    <cellStyle name="Normal 2 2 2 3 11 3 2" xfId="17439" xr:uid="{00000000-0005-0000-0000-000017440000}"/>
    <cellStyle name="Normal 2 2 2 3 11 3 3" xfId="17440" xr:uid="{00000000-0005-0000-0000-000018440000}"/>
    <cellStyle name="Normal 2 2 2 3 11 3 4" xfId="17441" xr:uid="{00000000-0005-0000-0000-000019440000}"/>
    <cellStyle name="Normal 2 2 2 3 11 3 5" xfId="17442" xr:uid="{00000000-0005-0000-0000-00001A440000}"/>
    <cellStyle name="Normal 2 2 2 3 11 3 6" xfId="17443" xr:uid="{00000000-0005-0000-0000-00001B440000}"/>
    <cellStyle name="Normal 2 2 2 3 11 3 7" xfId="17444" xr:uid="{00000000-0005-0000-0000-00001C440000}"/>
    <cellStyle name="Normal 2 2 2 3 11 3 8" xfId="17445" xr:uid="{00000000-0005-0000-0000-00001D440000}"/>
    <cellStyle name="Normal 2 2 2 3 11 3 9" xfId="17446" xr:uid="{00000000-0005-0000-0000-00001E440000}"/>
    <cellStyle name="Normal 2 2 2 3 11 4" xfId="17447" xr:uid="{00000000-0005-0000-0000-00001F440000}"/>
    <cellStyle name="Normal 2 2 2 3 11 4 10" xfId="17448" xr:uid="{00000000-0005-0000-0000-000020440000}"/>
    <cellStyle name="Normal 2 2 2 3 11 4 2" xfId="17449" xr:uid="{00000000-0005-0000-0000-000021440000}"/>
    <cellStyle name="Normal 2 2 2 3 11 4 3" xfId="17450" xr:uid="{00000000-0005-0000-0000-000022440000}"/>
    <cellStyle name="Normal 2 2 2 3 11 4 4" xfId="17451" xr:uid="{00000000-0005-0000-0000-000023440000}"/>
    <cellStyle name="Normal 2 2 2 3 11 4 5" xfId="17452" xr:uid="{00000000-0005-0000-0000-000024440000}"/>
    <cellStyle name="Normal 2 2 2 3 11 4 6" xfId="17453" xr:uid="{00000000-0005-0000-0000-000025440000}"/>
    <cellStyle name="Normal 2 2 2 3 11 4 7" xfId="17454" xr:uid="{00000000-0005-0000-0000-000026440000}"/>
    <cellStyle name="Normal 2 2 2 3 11 4 8" xfId="17455" xr:uid="{00000000-0005-0000-0000-000027440000}"/>
    <cellStyle name="Normal 2 2 2 3 11 4 9" xfId="17456" xr:uid="{00000000-0005-0000-0000-000028440000}"/>
    <cellStyle name="Normal 2 2 2 3 11 5" xfId="17457" xr:uid="{00000000-0005-0000-0000-000029440000}"/>
    <cellStyle name="Normal 2 2 2 3 11 5 10" xfId="17458" xr:uid="{00000000-0005-0000-0000-00002A440000}"/>
    <cellStyle name="Normal 2 2 2 3 11 5 2" xfId="17459" xr:uid="{00000000-0005-0000-0000-00002B440000}"/>
    <cellStyle name="Normal 2 2 2 3 11 5 3" xfId="17460" xr:uid="{00000000-0005-0000-0000-00002C440000}"/>
    <cellStyle name="Normal 2 2 2 3 11 5 4" xfId="17461" xr:uid="{00000000-0005-0000-0000-00002D440000}"/>
    <cellStyle name="Normal 2 2 2 3 11 5 5" xfId="17462" xr:uid="{00000000-0005-0000-0000-00002E440000}"/>
    <cellStyle name="Normal 2 2 2 3 11 5 6" xfId="17463" xr:uid="{00000000-0005-0000-0000-00002F440000}"/>
    <cellStyle name="Normal 2 2 2 3 11 5 7" xfId="17464" xr:uid="{00000000-0005-0000-0000-000030440000}"/>
    <cellStyle name="Normal 2 2 2 3 11 5 8" xfId="17465" xr:uid="{00000000-0005-0000-0000-000031440000}"/>
    <cellStyle name="Normal 2 2 2 3 11 5 9" xfId="17466" xr:uid="{00000000-0005-0000-0000-000032440000}"/>
    <cellStyle name="Normal 2 2 2 3 11 6" xfId="17467" xr:uid="{00000000-0005-0000-0000-000033440000}"/>
    <cellStyle name="Normal 2 2 2 3 11 7" xfId="17468" xr:uid="{00000000-0005-0000-0000-000034440000}"/>
    <cellStyle name="Normal 2 2 2 3 11 8" xfId="17469" xr:uid="{00000000-0005-0000-0000-000035440000}"/>
    <cellStyle name="Normal 2 2 2 3 11 9" xfId="17470" xr:uid="{00000000-0005-0000-0000-000036440000}"/>
    <cellStyle name="Normal 2 2 2 3 12" xfId="17471" xr:uid="{00000000-0005-0000-0000-000037440000}"/>
    <cellStyle name="Normal 2 2 2 3 12 10" xfId="17472" xr:uid="{00000000-0005-0000-0000-000038440000}"/>
    <cellStyle name="Normal 2 2 2 3 12 11" xfId="17473" xr:uid="{00000000-0005-0000-0000-000039440000}"/>
    <cellStyle name="Normal 2 2 2 3 12 12" xfId="17474" xr:uid="{00000000-0005-0000-0000-00003A440000}"/>
    <cellStyle name="Normal 2 2 2 3 12 13" xfId="17475" xr:uid="{00000000-0005-0000-0000-00003B440000}"/>
    <cellStyle name="Normal 2 2 2 3 12 14" xfId="17476" xr:uid="{00000000-0005-0000-0000-00003C440000}"/>
    <cellStyle name="Normal 2 2 2 3 12 2" xfId="17477" xr:uid="{00000000-0005-0000-0000-00003D440000}"/>
    <cellStyle name="Normal 2 2 2 3 12 2 10" xfId="17478" xr:uid="{00000000-0005-0000-0000-00003E440000}"/>
    <cellStyle name="Normal 2 2 2 3 12 2 2" xfId="17479" xr:uid="{00000000-0005-0000-0000-00003F440000}"/>
    <cellStyle name="Normal 2 2 2 3 12 2 3" xfId="17480" xr:uid="{00000000-0005-0000-0000-000040440000}"/>
    <cellStyle name="Normal 2 2 2 3 12 2 4" xfId="17481" xr:uid="{00000000-0005-0000-0000-000041440000}"/>
    <cellStyle name="Normal 2 2 2 3 12 2 5" xfId="17482" xr:uid="{00000000-0005-0000-0000-000042440000}"/>
    <cellStyle name="Normal 2 2 2 3 12 2 6" xfId="17483" xr:uid="{00000000-0005-0000-0000-000043440000}"/>
    <cellStyle name="Normal 2 2 2 3 12 2 7" xfId="17484" xr:uid="{00000000-0005-0000-0000-000044440000}"/>
    <cellStyle name="Normal 2 2 2 3 12 2 8" xfId="17485" xr:uid="{00000000-0005-0000-0000-000045440000}"/>
    <cellStyle name="Normal 2 2 2 3 12 2 9" xfId="17486" xr:uid="{00000000-0005-0000-0000-000046440000}"/>
    <cellStyle name="Normal 2 2 2 3 12 3" xfId="17487" xr:uid="{00000000-0005-0000-0000-000047440000}"/>
    <cellStyle name="Normal 2 2 2 3 12 3 10" xfId="17488" xr:uid="{00000000-0005-0000-0000-000048440000}"/>
    <cellStyle name="Normal 2 2 2 3 12 3 2" xfId="17489" xr:uid="{00000000-0005-0000-0000-000049440000}"/>
    <cellStyle name="Normal 2 2 2 3 12 3 3" xfId="17490" xr:uid="{00000000-0005-0000-0000-00004A440000}"/>
    <cellStyle name="Normal 2 2 2 3 12 3 4" xfId="17491" xr:uid="{00000000-0005-0000-0000-00004B440000}"/>
    <cellStyle name="Normal 2 2 2 3 12 3 5" xfId="17492" xr:uid="{00000000-0005-0000-0000-00004C440000}"/>
    <cellStyle name="Normal 2 2 2 3 12 3 6" xfId="17493" xr:uid="{00000000-0005-0000-0000-00004D440000}"/>
    <cellStyle name="Normal 2 2 2 3 12 3 7" xfId="17494" xr:uid="{00000000-0005-0000-0000-00004E440000}"/>
    <cellStyle name="Normal 2 2 2 3 12 3 8" xfId="17495" xr:uid="{00000000-0005-0000-0000-00004F440000}"/>
    <cellStyle name="Normal 2 2 2 3 12 3 9" xfId="17496" xr:uid="{00000000-0005-0000-0000-000050440000}"/>
    <cellStyle name="Normal 2 2 2 3 12 4" xfId="17497" xr:uid="{00000000-0005-0000-0000-000051440000}"/>
    <cellStyle name="Normal 2 2 2 3 12 4 10" xfId="17498" xr:uid="{00000000-0005-0000-0000-000052440000}"/>
    <cellStyle name="Normal 2 2 2 3 12 4 2" xfId="17499" xr:uid="{00000000-0005-0000-0000-000053440000}"/>
    <cellStyle name="Normal 2 2 2 3 12 4 3" xfId="17500" xr:uid="{00000000-0005-0000-0000-000054440000}"/>
    <cellStyle name="Normal 2 2 2 3 12 4 4" xfId="17501" xr:uid="{00000000-0005-0000-0000-000055440000}"/>
    <cellStyle name="Normal 2 2 2 3 12 4 5" xfId="17502" xr:uid="{00000000-0005-0000-0000-000056440000}"/>
    <cellStyle name="Normal 2 2 2 3 12 4 6" xfId="17503" xr:uid="{00000000-0005-0000-0000-000057440000}"/>
    <cellStyle name="Normal 2 2 2 3 12 4 7" xfId="17504" xr:uid="{00000000-0005-0000-0000-000058440000}"/>
    <cellStyle name="Normal 2 2 2 3 12 4 8" xfId="17505" xr:uid="{00000000-0005-0000-0000-000059440000}"/>
    <cellStyle name="Normal 2 2 2 3 12 4 9" xfId="17506" xr:uid="{00000000-0005-0000-0000-00005A440000}"/>
    <cellStyle name="Normal 2 2 2 3 12 5" xfId="17507" xr:uid="{00000000-0005-0000-0000-00005B440000}"/>
    <cellStyle name="Normal 2 2 2 3 12 5 10" xfId="17508" xr:uid="{00000000-0005-0000-0000-00005C440000}"/>
    <cellStyle name="Normal 2 2 2 3 12 5 2" xfId="17509" xr:uid="{00000000-0005-0000-0000-00005D440000}"/>
    <cellStyle name="Normal 2 2 2 3 12 5 3" xfId="17510" xr:uid="{00000000-0005-0000-0000-00005E440000}"/>
    <cellStyle name="Normal 2 2 2 3 12 5 4" xfId="17511" xr:uid="{00000000-0005-0000-0000-00005F440000}"/>
    <cellStyle name="Normal 2 2 2 3 12 5 5" xfId="17512" xr:uid="{00000000-0005-0000-0000-000060440000}"/>
    <cellStyle name="Normal 2 2 2 3 12 5 6" xfId="17513" xr:uid="{00000000-0005-0000-0000-000061440000}"/>
    <cellStyle name="Normal 2 2 2 3 12 5 7" xfId="17514" xr:uid="{00000000-0005-0000-0000-000062440000}"/>
    <cellStyle name="Normal 2 2 2 3 12 5 8" xfId="17515" xr:uid="{00000000-0005-0000-0000-000063440000}"/>
    <cellStyle name="Normal 2 2 2 3 12 5 9" xfId="17516" xr:uid="{00000000-0005-0000-0000-000064440000}"/>
    <cellStyle name="Normal 2 2 2 3 12 6" xfId="17517" xr:uid="{00000000-0005-0000-0000-000065440000}"/>
    <cellStyle name="Normal 2 2 2 3 12 7" xfId="17518" xr:uid="{00000000-0005-0000-0000-000066440000}"/>
    <cellStyle name="Normal 2 2 2 3 12 8" xfId="17519" xr:uid="{00000000-0005-0000-0000-000067440000}"/>
    <cellStyle name="Normal 2 2 2 3 12 9" xfId="17520" xr:uid="{00000000-0005-0000-0000-000068440000}"/>
    <cellStyle name="Normal 2 2 2 3 13" xfId="17521" xr:uid="{00000000-0005-0000-0000-000069440000}"/>
    <cellStyle name="Normal 2 2 2 3 13 10" xfId="17522" xr:uid="{00000000-0005-0000-0000-00006A440000}"/>
    <cellStyle name="Normal 2 2 2 3 13 11" xfId="17523" xr:uid="{00000000-0005-0000-0000-00006B440000}"/>
    <cellStyle name="Normal 2 2 2 3 13 12" xfId="17524" xr:uid="{00000000-0005-0000-0000-00006C440000}"/>
    <cellStyle name="Normal 2 2 2 3 13 13" xfId="17525" xr:uid="{00000000-0005-0000-0000-00006D440000}"/>
    <cellStyle name="Normal 2 2 2 3 13 14" xfId="17526" xr:uid="{00000000-0005-0000-0000-00006E440000}"/>
    <cellStyle name="Normal 2 2 2 3 13 2" xfId="17527" xr:uid="{00000000-0005-0000-0000-00006F440000}"/>
    <cellStyle name="Normal 2 2 2 3 13 2 10" xfId="17528" xr:uid="{00000000-0005-0000-0000-000070440000}"/>
    <cellStyle name="Normal 2 2 2 3 13 2 2" xfId="17529" xr:uid="{00000000-0005-0000-0000-000071440000}"/>
    <cellStyle name="Normal 2 2 2 3 13 2 3" xfId="17530" xr:uid="{00000000-0005-0000-0000-000072440000}"/>
    <cellStyle name="Normal 2 2 2 3 13 2 4" xfId="17531" xr:uid="{00000000-0005-0000-0000-000073440000}"/>
    <cellStyle name="Normal 2 2 2 3 13 2 5" xfId="17532" xr:uid="{00000000-0005-0000-0000-000074440000}"/>
    <cellStyle name="Normal 2 2 2 3 13 2 6" xfId="17533" xr:uid="{00000000-0005-0000-0000-000075440000}"/>
    <cellStyle name="Normal 2 2 2 3 13 2 7" xfId="17534" xr:uid="{00000000-0005-0000-0000-000076440000}"/>
    <cellStyle name="Normal 2 2 2 3 13 2 8" xfId="17535" xr:uid="{00000000-0005-0000-0000-000077440000}"/>
    <cellStyle name="Normal 2 2 2 3 13 2 9" xfId="17536" xr:uid="{00000000-0005-0000-0000-000078440000}"/>
    <cellStyle name="Normal 2 2 2 3 13 3" xfId="17537" xr:uid="{00000000-0005-0000-0000-000079440000}"/>
    <cellStyle name="Normal 2 2 2 3 13 3 10" xfId="17538" xr:uid="{00000000-0005-0000-0000-00007A440000}"/>
    <cellStyle name="Normal 2 2 2 3 13 3 2" xfId="17539" xr:uid="{00000000-0005-0000-0000-00007B440000}"/>
    <cellStyle name="Normal 2 2 2 3 13 3 3" xfId="17540" xr:uid="{00000000-0005-0000-0000-00007C440000}"/>
    <cellStyle name="Normal 2 2 2 3 13 3 4" xfId="17541" xr:uid="{00000000-0005-0000-0000-00007D440000}"/>
    <cellStyle name="Normal 2 2 2 3 13 3 5" xfId="17542" xr:uid="{00000000-0005-0000-0000-00007E440000}"/>
    <cellStyle name="Normal 2 2 2 3 13 3 6" xfId="17543" xr:uid="{00000000-0005-0000-0000-00007F440000}"/>
    <cellStyle name="Normal 2 2 2 3 13 3 7" xfId="17544" xr:uid="{00000000-0005-0000-0000-000080440000}"/>
    <cellStyle name="Normal 2 2 2 3 13 3 8" xfId="17545" xr:uid="{00000000-0005-0000-0000-000081440000}"/>
    <cellStyle name="Normal 2 2 2 3 13 3 9" xfId="17546" xr:uid="{00000000-0005-0000-0000-000082440000}"/>
    <cellStyle name="Normal 2 2 2 3 13 4" xfId="17547" xr:uid="{00000000-0005-0000-0000-000083440000}"/>
    <cellStyle name="Normal 2 2 2 3 13 4 10" xfId="17548" xr:uid="{00000000-0005-0000-0000-000084440000}"/>
    <cellStyle name="Normal 2 2 2 3 13 4 2" xfId="17549" xr:uid="{00000000-0005-0000-0000-000085440000}"/>
    <cellStyle name="Normal 2 2 2 3 13 4 3" xfId="17550" xr:uid="{00000000-0005-0000-0000-000086440000}"/>
    <cellStyle name="Normal 2 2 2 3 13 4 4" xfId="17551" xr:uid="{00000000-0005-0000-0000-000087440000}"/>
    <cellStyle name="Normal 2 2 2 3 13 4 5" xfId="17552" xr:uid="{00000000-0005-0000-0000-000088440000}"/>
    <cellStyle name="Normal 2 2 2 3 13 4 6" xfId="17553" xr:uid="{00000000-0005-0000-0000-000089440000}"/>
    <cellStyle name="Normal 2 2 2 3 13 4 7" xfId="17554" xr:uid="{00000000-0005-0000-0000-00008A440000}"/>
    <cellStyle name="Normal 2 2 2 3 13 4 8" xfId="17555" xr:uid="{00000000-0005-0000-0000-00008B440000}"/>
    <cellStyle name="Normal 2 2 2 3 13 4 9" xfId="17556" xr:uid="{00000000-0005-0000-0000-00008C440000}"/>
    <cellStyle name="Normal 2 2 2 3 13 5" xfId="17557" xr:uid="{00000000-0005-0000-0000-00008D440000}"/>
    <cellStyle name="Normal 2 2 2 3 13 5 10" xfId="17558" xr:uid="{00000000-0005-0000-0000-00008E440000}"/>
    <cellStyle name="Normal 2 2 2 3 13 5 2" xfId="17559" xr:uid="{00000000-0005-0000-0000-00008F440000}"/>
    <cellStyle name="Normal 2 2 2 3 13 5 3" xfId="17560" xr:uid="{00000000-0005-0000-0000-000090440000}"/>
    <cellStyle name="Normal 2 2 2 3 13 5 4" xfId="17561" xr:uid="{00000000-0005-0000-0000-000091440000}"/>
    <cellStyle name="Normal 2 2 2 3 13 5 5" xfId="17562" xr:uid="{00000000-0005-0000-0000-000092440000}"/>
    <cellStyle name="Normal 2 2 2 3 13 5 6" xfId="17563" xr:uid="{00000000-0005-0000-0000-000093440000}"/>
    <cellStyle name="Normal 2 2 2 3 13 5 7" xfId="17564" xr:uid="{00000000-0005-0000-0000-000094440000}"/>
    <cellStyle name="Normal 2 2 2 3 13 5 8" xfId="17565" xr:uid="{00000000-0005-0000-0000-000095440000}"/>
    <cellStyle name="Normal 2 2 2 3 13 5 9" xfId="17566" xr:uid="{00000000-0005-0000-0000-000096440000}"/>
    <cellStyle name="Normal 2 2 2 3 13 6" xfId="17567" xr:uid="{00000000-0005-0000-0000-000097440000}"/>
    <cellStyle name="Normal 2 2 2 3 13 7" xfId="17568" xr:uid="{00000000-0005-0000-0000-000098440000}"/>
    <cellStyle name="Normal 2 2 2 3 13 8" xfId="17569" xr:uid="{00000000-0005-0000-0000-000099440000}"/>
    <cellStyle name="Normal 2 2 2 3 13 9" xfId="17570" xr:uid="{00000000-0005-0000-0000-00009A440000}"/>
    <cellStyle name="Normal 2 2 2 3 14" xfId="17571" xr:uid="{00000000-0005-0000-0000-00009B440000}"/>
    <cellStyle name="Normal 2 2 2 3 14 10" xfId="17572" xr:uid="{00000000-0005-0000-0000-00009C440000}"/>
    <cellStyle name="Normal 2 2 2 3 14 11" xfId="17573" xr:uid="{00000000-0005-0000-0000-00009D440000}"/>
    <cellStyle name="Normal 2 2 2 3 14 12" xfId="17574" xr:uid="{00000000-0005-0000-0000-00009E440000}"/>
    <cellStyle name="Normal 2 2 2 3 14 13" xfId="17575" xr:uid="{00000000-0005-0000-0000-00009F440000}"/>
    <cellStyle name="Normal 2 2 2 3 14 14" xfId="17576" xr:uid="{00000000-0005-0000-0000-0000A0440000}"/>
    <cellStyle name="Normal 2 2 2 3 14 2" xfId="17577" xr:uid="{00000000-0005-0000-0000-0000A1440000}"/>
    <cellStyle name="Normal 2 2 2 3 14 2 10" xfId="17578" xr:uid="{00000000-0005-0000-0000-0000A2440000}"/>
    <cellStyle name="Normal 2 2 2 3 14 2 2" xfId="17579" xr:uid="{00000000-0005-0000-0000-0000A3440000}"/>
    <cellStyle name="Normal 2 2 2 3 14 2 3" xfId="17580" xr:uid="{00000000-0005-0000-0000-0000A4440000}"/>
    <cellStyle name="Normal 2 2 2 3 14 2 4" xfId="17581" xr:uid="{00000000-0005-0000-0000-0000A5440000}"/>
    <cellStyle name="Normal 2 2 2 3 14 2 5" xfId="17582" xr:uid="{00000000-0005-0000-0000-0000A6440000}"/>
    <cellStyle name="Normal 2 2 2 3 14 2 6" xfId="17583" xr:uid="{00000000-0005-0000-0000-0000A7440000}"/>
    <cellStyle name="Normal 2 2 2 3 14 2 7" xfId="17584" xr:uid="{00000000-0005-0000-0000-0000A8440000}"/>
    <cellStyle name="Normal 2 2 2 3 14 2 8" xfId="17585" xr:uid="{00000000-0005-0000-0000-0000A9440000}"/>
    <cellStyle name="Normal 2 2 2 3 14 2 9" xfId="17586" xr:uid="{00000000-0005-0000-0000-0000AA440000}"/>
    <cellStyle name="Normal 2 2 2 3 14 3" xfId="17587" xr:uid="{00000000-0005-0000-0000-0000AB440000}"/>
    <cellStyle name="Normal 2 2 2 3 14 3 10" xfId="17588" xr:uid="{00000000-0005-0000-0000-0000AC440000}"/>
    <cellStyle name="Normal 2 2 2 3 14 3 2" xfId="17589" xr:uid="{00000000-0005-0000-0000-0000AD440000}"/>
    <cellStyle name="Normal 2 2 2 3 14 3 3" xfId="17590" xr:uid="{00000000-0005-0000-0000-0000AE440000}"/>
    <cellStyle name="Normal 2 2 2 3 14 3 4" xfId="17591" xr:uid="{00000000-0005-0000-0000-0000AF440000}"/>
    <cellStyle name="Normal 2 2 2 3 14 3 5" xfId="17592" xr:uid="{00000000-0005-0000-0000-0000B0440000}"/>
    <cellStyle name="Normal 2 2 2 3 14 3 6" xfId="17593" xr:uid="{00000000-0005-0000-0000-0000B1440000}"/>
    <cellStyle name="Normal 2 2 2 3 14 3 7" xfId="17594" xr:uid="{00000000-0005-0000-0000-0000B2440000}"/>
    <cellStyle name="Normal 2 2 2 3 14 3 8" xfId="17595" xr:uid="{00000000-0005-0000-0000-0000B3440000}"/>
    <cellStyle name="Normal 2 2 2 3 14 3 9" xfId="17596" xr:uid="{00000000-0005-0000-0000-0000B4440000}"/>
    <cellStyle name="Normal 2 2 2 3 14 4" xfId="17597" xr:uid="{00000000-0005-0000-0000-0000B5440000}"/>
    <cellStyle name="Normal 2 2 2 3 14 4 10" xfId="17598" xr:uid="{00000000-0005-0000-0000-0000B6440000}"/>
    <cellStyle name="Normal 2 2 2 3 14 4 2" xfId="17599" xr:uid="{00000000-0005-0000-0000-0000B7440000}"/>
    <cellStyle name="Normal 2 2 2 3 14 4 3" xfId="17600" xr:uid="{00000000-0005-0000-0000-0000B8440000}"/>
    <cellStyle name="Normal 2 2 2 3 14 4 4" xfId="17601" xr:uid="{00000000-0005-0000-0000-0000B9440000}"/>
    <cellStyle name="Normal 2 2 2 3 14 4 5" xfId="17602" xr:uid="{00000000-0005-0000-0000-0000BA440000}"/>
    <cellStyle name="Normal 2 2 2 3 14 4 6" xfId="17603" xr:uid="{00000000-0005-0000-0000-0000BB440000}"/>
    <cellStyle name="Normal 2 2 2 3 14 4 7" xfId="17604" xr:uid="{00000000-0005-0000-0000-0000BC440000}"/>
    <cellStyle name="Normal 2 2 2 3 14 4 8" xfId="17605" xr:uid="{00000000-0005-0000-0000-0000BD440000}"/>
    <cellStyle name="Normal 2 2 2 3 14 4 9" xfId="17606" xr:uid="{00000000-0005-0000-0000-0000BE440000}"/>
    <cellStyle name="Normal 2 2 2 3 14 5" xfId="17607" xr:uid="{00000000-0005-0000-0000-0000BF440000}"/>
    <cellStyle name="Normal 2 2 2 3 14 5 10" xfId="17608" xr:uid="{00000000-0005-0000-0000-0000C0440000}"/>
    <cellStyle name="Normal 2 2 2 3 14 5 2" xfId="17609" xr:uid="{00000000-0005-0000-0000-0000C1440000}"/>
    <cellStyle name="Normal 2 2 2 3 14 5 3" xfId="17610" xr:uid="{00000000-0005-0000-0000-0000C2440000}"/>
    <cellStyle name="Normal 2 2 2 3 14 5 4" xfId="17611" xr:uid="{00000000-0005-0000-0000-0000C3440000}"/>
    <cellStyle name="Normal 2 2 2 3 14 5 5" xfId="17612" xr:uid="{00000000-0005-0000-0000-0000C4440000}"/>
    <cellStyle name="Normal 2 2 2 3 14 5 6" xfId="17613" xr:uid="{00000000-0005-0000-0000-0000C5440000}"/>
    <cellStyle name="Normal 2 2 2 3 14 5 7" xfId="17614" xr:uid="{00000000-0005-0000-0000-0000C6440000}"/>
    <cellStyle name="Normal 2 2 2 3 14 5 8" xfId="17615" xr:uid="{00000000-0005-0000-0000-0000C7440000}"/>
    <cellStyle name="Normal 2 2 2 3 14 5 9" xfId="17616" xr:uid="{00000000-0005-0000-0000-0000C8440000}"/>
    <cellStyle name="Normal 2 2 2 3 14 6" xfId="17617" xr:uid="{00000000-0005-0000-0000-0000C9440000}"/>
    <cellStyle name="Normal 2 2 2 3 14 7" xfId="17618" xr:uid="{00000000-0005-0000-0000-0000CA440000}"/>
    <cellStyle name="Normal 2 2 2 3 14 8" xfId="17619" xr:uid="{00000000-0005-0000-0000-0000CB440000}"/>
    <cellStyle name="Normal 2 2 2 3 14 9" xfId="17620" xr:uid="{00000000-0005-0000-0000-0000CC440000}"/>
    <cellStyle name="Normal 2 2 2 3 15" xfId="17621" xr:uid="{00000000-0005-0000-0000-0000CD440000}"/>
    <cellStyle name="Normal 2 2 2 3 15 10" xfId="17622" xr:uid="{00000000-0005-0000-0000-0000CE440000}"/>
    <cellStyle name="Normal 2 2 2 3 15 11" xfId="17623" xr:uid="{00000000-0005-0000-0000-0000CF440000}"/>
    <cellStyle name="Normal 2 2 2 3 15 12" xfId="17624" xr:uid="{00000000-0005-0000-0000-0000D0440000}"/>
    <cellStyle name="Normal 2 2 2 3 15 13" xfId="17625" xr:uid="{00000000-0005-0000-0000-0000D1440000}"/>
    <cellStyle name="Normal 2 2 2 3 15 14" xfId="17626" xr:uid="{00000000-0005-0000-0000-0000D2440000}"/>
    <cellStyle name="Normal 2 2 2 3 15 2" xfId="17627" xr:uid="{00000000-0005-0000-0000-0000D3440000}"/>
    <cellStyle name="Normal 2 2 2 3 15 2 10" xfId="17628" xr:uid="{00000000-0005-0000-0000-0000D4440000}"/>
    <cellStyle name="Normal 2 2 2 3 15 2 2" xfId="17629" xr:uid="{00000000-0005-0000-0000-0000D5440000}"/>
    <cellStyle name="Normal 2 2 2 3 15 2 3" xfId="17630" xr:uid="{00000000-0005-0000-0000-0000D6440000}"/>
    <cellStyle name="Normal 2 2 2 3 15 2 4" xfId="17631" xr:uid="{00000000-0005-0000-0000-0000D7440000}"/>
    <cellStyle name="Normal 2 2 2 3 15 2 5" xfId="17632" xr:uid="{00000000-0005-0000-0000-0000D8440000}"/>
    <cellStyle name="Normal 2 2 2 3 15 2 6" xfId="17633" xr:uid="{00000000-0005-0000-0000-0000D9440000}"/>
    <cellStyle name="Normal 2 2 2 3 15 2 7" xfId="17634" xr:uid="{00000000-0005-0000-0000-0000DA440000}"/>
    <cellStyle name="Normal 2 2 2 3 15 2 8" xfId="17635" xr:uid="{00000000-0005-0000-0000-0000DB440000}"/>
    <cellStyle name="Normal 2 2 2 3 15 2 9" xfId="17636" xr:uid="{00000000-0005-0000-0000-0000DC440000}"/>
    <cellStyle name="Normal 2 2 2 3 15 3" xfId="17637" xr:uid="{00000000-0005-0000-0000-0000DD440000}"/>
    <cellStyle name="Normal 2 2 2 3 15 3 10" xfId="17638" xr:uid="{00000000-0005-0000-0000-0000DE440000}"/>
    <cellStyle name="Normal 2 2 2 3 15 3 2" xfId="17639" xr:uid="{00000000-0005-0000-0000-0000DF440000}"/>
    <cellStyle name="Normal 2 2 2 3 15 3 3" xfId="17640" xr:uid="{00000000-0005-0000-0000-0000E0440000}"/>
    <cellStyle name="Normal 2 2 2 3 15 3 4" xfId="17641" xr:uid="{00000000-0005-0000-0000-0000E1440000}"/>
    <cellStyle name="Normal 2 2 2 3 15 3 5" xfId="17642" xr:uid="{00000000-0005-0000-0000-0000E2440000}"/>
    <cellStyle name="Normal 2 2 2 3 15 3 6" xfId="17643" xr:uid="{00000000-0005-0000-0000-0000E3440000}"/>
    <cellStyle name="Normal 2 2 2 3 15 3 7" xfId="17644" xr:uid="{00000000-0005-0000-0000-0000E4440000}"/>
    <cellStyle name="Normal 2 2 2 3 15 3 8" xfId="17645" xr:uid="{00000000-0005-0000-0000-0000E5440000}"/>
    <cellStyle name="Normal 2 2 2 3 15 3 9" xfId="17646" xr:uid="{00000000-0005-0000-0000-0000E6440000}"/>
    <cellStyle name="Normal 2 2 2 3 15 4" xfId="17647" xr:uid="{00000000-0005-0000-0000-0000E7440000}"/>
    <cellStyle name="Normal 2 2 2 3 15 4 10" xfId="17648" xr:uid="{00000000-0005-0000-0000-0000E8440000}"/>
    <cellStyle name="Normal 2 2 2 3 15 4 2" xfId="17649" xr:uid="{00000000-0005-0000-0000-0000E9440000}"/>
    <cellStyle name="Normal 2 2 2 3 15 4 3" xfId="17650" xr:uid="{00000000-0005-0000-0000-0000EA440000}"/>
    <cellStyle name="Normal 2 2 2 3 15 4 4" xfId="17651" xr:uid="{00000000-0005-0000-0000-0000EB440000}"/>
    <cellStyle name="Normal 2 2 2 3 15 4 5" xfId="17652" xr:uid="{00000000-0005-0000-0000-0000EC440000}"/>
    <cellStyle name="Normal 2 2 2 3 15 4 6" xfId="17653" xr:uid="{00000000-0005-0000-0000-0000ED440000}"/>
    <cellStyle name="Normal 2 2 2 3 15 4 7" xfId="17654" xr:uid="{00000000-0005-0000-0000-0000EE440000}"/>
    <cellStyle name="Normal 2 2 2 3 15 4 8" xfId="17655" xr:uid="{00000000-0005-0000-0000-0000EF440000}"/>
    <cellStyle name="Normal 2 2 2 3 15 4 9" xfId="17656" xr:uid="{00000000-0005-0000-0000-0000F0440000}"/>
    <cellStyle name="Normal 2 2 2 3 15 5" xfId="17657" xr:uid="{00000000-0005-0000-0000-0000F1440000}"/>
    <cellStyle name="Normal 2 2 2 3 15 5 10" xfId="17658" xr:uid="{00000000-0005-0000-0000-0000F2440000}"/>
    <cellStyle name="Normal 2 2 2 3 15 5 2" xfId="17659" xr:uid="{00000000-0005-0000-0000-0000F3440000}"/>
    <cellStyle name="Normal 2 2 2 3 15 5 3" xfId="17660" xr:uid="{00000000-0005-0000-0000-0000F4440000}"/>
    <cellStyle name="Normal 2 2 2 3 15 5 4" xfId="17661" xr:uid="{00000000-0005-0000-0000-0000F5440000}"/>
    <cellStyle name="Normal 2 2 2 3 15 5 5" xfId="17662" xr:uid="{00000000-0005-0000-0000-0000F6440000}"/>
    <cellStyle name="Normal 2 2 2 3 15 5 6" xfId="17663" xr:uid="{00000000-0005-0000-0000-0000F7440000}"/>
    <cellStyle name="Normal 2 2 2 3 15 5 7" xfId="17664" xr:uid="{00000000-0005-0000-0000-0000F8440000}"/>
    <cellStyle name="Normal 2 2 2 3 15 5 8" xfId="17665" xr:uid="{00000000-0005-0000-0000-0000F9440000}"/>
    <cellStyle name="Normal 2 2 2 3 15 5 9" xfId="17666" xr:uid="{00000000-0005-0000-0000-0000FA440000}"/>
    <cellStyle name="Normal 2 2 2 3 15 6" xfId="17667" xr:uid="{00000000-0005-0000-0000-0000FB440000}"/>
    <cellStyle name="Normal 2 2 2 3 15 7" xfId="17668" xr:uid="{00000000-0005-0000-0000-0000FC440000}"/>
    <cellStyle name="Normal 2 2 2 3 15 8" xfId="17669" xr:uid="{00000000-0005-0000-0000-0000FD440000}"/>
    <cellStyle name="Normal 2 2 2 3 15 9" xfId="17670" xr:uid="{00000000-0005-0000-0000-0000FE440000}"/>
    <cellStyle name="Normal 2 2 2 3 16" xfId="17671" xr:uid="{00000000-0005-0000-0000-0000FF440000}"/>
    <cellStyle name="Normal 2 2 2 3 16 10" xfId="17672" xr:uid="{00000000-0005-0000-0000-000000450000}"/>
    <cellStyle name="Normal 2 2 2 3 16 11" xfId="17673" xr:uid="{00000000-0005-0000-0000-000001450000}"/>
    <cellStyle name="Normal 2 2 2 3 16 12" xfId="17674" xr:uid="{00000000-0005-0000-0000-000002450000}"/>
    <cellStyle name="Normal 2 2 2 3 16 13" xfId="17675" xr:uid="{00000000-0005-0000-0000-000003450000}"/>
    <cellStyle name="Normal 2 2 2 3 16 14" xfId="17676" xr:uid="{00000000-0005-0000-0000-000004450000}"/>
    <cellStyle name="Normal 2 2 2 3 16 2" xfId="17677" xr:uid="{00000000-0005-0000-0000-000005450000}"/>
    <cellStyle name="Normal 2 2 2 3 16 2 10" xfId="17678" xr:uid="{00000000-0005-0000-0000-000006450000}"/>
    <cellStyle name="Normal 2 2 2 3 16 2 2" xfId="17679" xr:uid="{00000000-0005-0000-0000-000007450000}"/>
    <cellStyle name="Normal 2 2 2 3 16 2 3" xfId="17680" xr:uid="{00000000-0005-0000-0000-000008450000}"/>
    <cellStyle name="Normal 2 2 2 3 16 2 4" xfId="17681" xr:uid="{00000000-0005-0000-0000-000009450000}"/>
    <cellStyle name="Normal 2 2 2 3 16 2 5" xfId="17682" xr:uid="{00000000-0005-0000-0000-00000A450000}"/>
    <cellStyle name="Normal 2 2 2 3 16 2 6" xfId="17683" xr:uid="{00000000-0005-0000-0000-00000B450000}"/>
    <cellStyle name="Normal 2 2 2 3 16 2 7" xfId="17684" xr:uid="{00000000-0005-0000-0000-00000C450000}"/>
    <cellStyle name="Normal 2 2 2 3 16 2 8" xfId="17685" xr:uid="{00000000-0005-0000-0000-00000D450000}"/>
    <cellStyle name="Normal 2 2 2 3 16 2 9" xfId="17686" xr:uid="{00000000-0005-0000-0000-00000E450000}"/>
    <cellStyle name="Normal 2 2 2 3 16 3" xfId="17687" xr:uid="{00000000-0005-0000-0000-00000F450000}"/>
    <cellStyle name="Normal 2 2 2 3 16 3 10" xfId="17688" xr:uid="{00000000-0005-0000-0000-000010450000}"/>
    <cellStyle name="Normal 2 2 2 3 16 3 2" xfId="17689" xr:uid="{00000000-0005-0000-0000-000011450000}"/>
    <cellStyle name="Normal 2 2 2 3 16 3 3" xfId="17690" xr:uid="{00000000-0005-0000-0000-000012450000}"/>
    <cellStyle name="Normal 2 2 2 3 16 3 4" xfId="17691" xr:uid="{00000000-0005-0000-0000-000013450000}"/>
    <cellStyle name="Normal 2 2 2 3 16 3 5" xfId="17692" xr:uid="{00000000-0005-0000-0000-000014450000}"/>
    <cellStyle name="Normal 2 2 2 3 16 3 6" xfId="17693" xr:uid="{00000000-0005-0000-0000-000015450000}"/>
    <cellStyle name="Normal 2 2 2 3 16 3 7" xfId="17694" xr:uid="{00000000-0005-0000-0000-000016450000}"/>
    <cellStyle name="Normal 2 2 2 3 16 3 8" xfId="17695" xr:uid="{00000000-0005-0000-0000-000017450000}"/>
    <cellStyle name="Normal 2 2 2 3 16 3 9" xfId="17696" xr:uid="{00000000-0005-0000-0000-000018450000}"/>
    <cellStyle name="Normal 2 2 2 3 16 4" xfId="17697" xr:uid="{00000000-0005-0000-0000-000019450000}"/>
    <cellStyle name="Normal 2 2 2 3 16 4 10" xfId="17698" xr:uid="{00000000-0005-0000-0000-00001A450000}"/>
    <cellStyle name="Normal 2 2 2 3 16 4 2" xfId="17699" xr:uid="{00000000-0005-0000-0000-00001B450000}"/>
    <cellStyle name="Normal 2 2 2 3 16 4 3" xfId="17700" xr:uid="{00000000-0005-0000-0000-00001C450000}"/>
    <cellStyle name="Normal 2 2 2 3 16 4 4" xfId="17701" xr:uid="{00000000-0005-0000-0000-00001D450000}"/>
    <cellStyle name="Normal 2 2 2 3 16 4 5" xfId="17702" xr:uid="{00000000-0005-0000-0000-00001E450000}"/>
    <cellStyle name="Normal 2 2 2 3 16 4 6" xfId="17703" xr:uid="{00000000-0005-0000-0000-00001F450000}"/>
    <cellStyle name="Normal 2 2 2 3 16 4 7" xfId="17704" xr:uid="{00000000-0005-0000-0000-000020450000}"/>
    <cellStyle name="Normal 2 2 2 3 16 4 8" xfId="17705" xr:uid="{00000000-0005-0000-0000-000021450000}"/>
    <cellStyle name="Normal 2 2 2 3 16 4 9" xfId="17706" xr:uid="{00000000-0005-0000-0000-000022450000}"/>
    <cellStyle name="Normal 2 2 2 3 16 5" xfId="17707" xr:uid="{00000000-0005-0000-0000-000023450000}"/>
    <cellStyle name="Normal 2 2 2 3 16 5 10" xfId="17708" xr:uid="{00000000-0005-0000-0000-000024450000}"/>
    <cellStyle name="Normal 2 2 2 3 16 5 2" xfId="17709" xr:uid="{00000000-0005-0000-0000-000025450000}"/>
    <cellStyle name="Normal 2 2 2 3 16 5 3" xfId="17710" xr:uid="{00000000-0005-0000-0000-000026450000}"/>
    <cellStyle name="Normal 2 2 2 3 16 5 4" xfId="17711" xr:uid="{00000000-0005-0000-0000-000027450000}"/>
    <cellStyle name="Normal 2 2 2 3 16 5 5" xfId="17712" xr:uid="{00000000-0005-0000-0000-000028450000}"/>
    <cellStyle name="Normal 2 2 2 3 16 5 6" xfId="17713" xr:uid="{00000000-0005-0000-0000-000029450000}"/>
    <cellStyle name="Normal 2 2 2 3 16 5 7" xfId="17714" xr:uid="{00000000-0005-0000-0000-00002A450000}"/>
    <cellStyle name="Normal 2 2 2 3 16 5 8" xfId="17715" xr:uid="{00000000-0005-0000-0000-00002B450000}"/>
    <cellStyle name="Normal 2 2 2 3 16 5 9" xfId="17716" xr:uid="{00000000-0005-0000-0000-00002C450000}"/>
    <cellStyle name="Normal 2 2 2 3 16 6" xfId="17717" xr:uid="{00000000-0005-0000-0000-00002D450000}"/>
    <cellStyle name="Normal 2 2 2 3 16 7" xfId="17718" xr:uid="{00000000-0005-0000-0000-00002E450000}"/>
    <cellStyle name="Normal 2 2 2 3 16 8" xfId="17719" xr:uid="{00000000-0005-0000-0000-00002F450000}"/>
    <cellStyle name="Normal 2 2 2 3 16 9" xfId="17720" xr:uid="{00000000-0005-0000-0000-000030450000}"/>
    <cellStyle name="Normal 2 2 2 3 17" xfId="17721" xr:uid="{00000000-0005-0000-0000-000031450000}"/>
    <cellStyle name="Normal 2 2 2 3 17 10" xfId="17722" xr:uid="{00000000-0005-0000-0000-000032450000}"/>
    <cellStyle name="Normal 2 2 2 3 17 11" xfId="17723" xr:uid="{00000000-0005-0000-0000-000033450000}"/>
    <cellStyle name="Normal 2 2 2 3 17 12" xfId="17724" xr:uid="{00000000-0005-0000-0000-000034450000}"/>
    <cellStyle name="Normal 2 2 2 3 17 13" xfId="17725" xr:uid="{00000000-0005-0000-0000-000035450000}"/>
    <cellStyle name="Normal 2 2 2 3 17 14" xfId="17726" xr:uid="{00000000-0005-0000-0000-000036450000}"/>
    <cellStyle name="Normal 2 2 2 3 17 2" xfId="17727" xr:uid="{00000000-0005-0000-0000-000037450000}"/>
    <cellStyle name="Normal 2 2 2 3 17 2 10" xfId="17728" xr:uid="{00000000-0005-0000-0000-000038450000}"/>
    <cellStyle name="Normal 2 2 2 3 17 2 2" xfId="17729" xr:uid="{00000000-0005-0000-0000-000039450000}"/>
    <cellStyle name="Normal 2 2 2 3 17 2 3" xfId="17730" xr:uid="{00000000-0005-0000-0000-00003A450000}"/>
    <cellStyle name="Normal 2 2 2 3 17 2 4" xfId="17731" xr:uid="{00000000-0005-0000-0000-00003B450000}"/>
    <cellStyle name="Normal 2 2 2 3 17 2 5" xfId="17732" xr:uid="{00000000-0005-0000-0000-00003C450000}"/>
    <cellStyle name="Normal 2 2 2 3 17 2 6" xfId="17733" xr:uid="{00000000-0005-0000-0000-00003D450000}"/>
    <cellStyle name="Normal 2 2 2 3 17 2 7" xfId="17734" xr:uid="{00000000-0005-0000-0000-00003E450000}"/>
    <cellStyle name="Normal 2 2 2 3 17 2 8" xfId="17735" xr:uid="{00000000-0005-0000-0000-00003F450000}"/>
    <cellStyle name="Normal 2 2 2 3 17 2 9" xfId="17736" xr:uid="{00000000-0005-0000-0000-000040450000}"/>
    <cellStyle name="Normal 2 2 2 3 17 3" xfId="17737" xr:uid="{00000000-0005-0000-0000-000041450000}"/>
    <cellStyle name="Normal 2 2 2 3 17 3 10" xfId="17738" xr:uid="{00000000-0005-0000-0000-000042450000}"/>
    <cellStyle name="Normal 2 2 2 3 17 3 2" xfId="17739" xr:uid="{00000000-0005-0000-0000-000043450000}"/>
    <cellStyle name="Normal 2 2 2 3 17 3 3" xfId="17740" xr:uid="{00000000-0005-0000-0000-000044450000}"/>
    <cellStyle name="Normal 2 2 2 3 17 3 4" xfId="17741" xr:uid="{00000000-0005-0000-0000-000045450000}"/>
    <cellStyle name="Normal 2 2 2 3 17 3 5" xfId="17742" xr:uid="{00000000-0005-0000-0000-000046450000}"/>
    <cellStyle name="Normal 2 2 2 3 17 3 6" xfId="17743" xr:uid="{00000000-0005-0000-0000-000047450000}"/>
    <cellStyle name="Normal 2 2 2 3 17 3 7" xfId="17744" xr:uid="{00000000-0005-0000-0000-000048450000}"/>
    <cellStyle name="Normal 2 2 2 3 17 3 8" xfId="17745" xr:uid="{00000000-0005-0000-0000-000049450000}"/>
    <cellStyle name="Normal 2 2 2 3 17 3 9" xfId="17746" xr:uid="{00000000-0005-0000-0000-00004A450000}"/>
    <cellStyle name="Normal 2 2 2 3 17 4" xfId="17747" xr:uid="{00000000-0005-0000-0000-00004B450000}"/>
    <cellStyle name="Normal 2 2 2 3 17 4 10" xfId="17748" xr:uid="{00000000-0005-0000-0000-00004C450000}"/>
    <cellStyle name="Normal 2 2 2 3 17 4 2" xfId="17749" xr:uid="{00000000-0005-0000-0000-00004D450000}"/>
    <cellStyle name="Normal 2 2 2 3 17 4 3" xfId="17750" xr:uid="{00000000-0005-0000-0000-00004E450000}"/>
    <cellStyle name="Normal 2 2 2 3 17 4 4" xfId="17751" xr:uid="{00000000-0005-0000-0000-00004F450000}"/>
    <cellStyle name="Normal 2 2 2 3 17 4 5" xfId="17752" xr:uid="{00000000-0005-0000-0000-000050450000}"/>
    <cellStyle name="Normal 2 2 2 3 17 4 6" xfId="17753" xr:uid="{00000000-0005-0000-0000-000051450000}"/>
    <cellStyle name="Normal 2 2 2 3 17 4 7" xfId="17754" xr:uid="{00000000-0005-0000-0000-000052450000}"/>
    <cellStyle name="Normal 2 2 2 3 17 4 8" xfId="17755" xr:uid="{00000000-0005-0000-0000-000053450000}"/>
    <cellStyle name="Normal 2 2 2 3 17 4 9" xfId="17756" xr:uid="{00000000-0005-0000-0000-000054450000}"/>
    <cellStyle name="Normal 2 2 2 3 17 5" xfId="17757" xr:uid="{00000000-0005-0000-0000-000055450000}"/>
    <cellStyle name="Normal 2 2 2 3 17 5 10" xfId="17758" xr:uid="{00000000-0005-0000-0000-000056450000}"/>
    <cellStyle name="Normal 2 2 2 3 17 5 2" xfId="17759" xr:uid="{00000000-0005-0000-0000-000057450000}"/>
    <cellStyle name="Normal 2 2 2 3 17 5 3" xfId="17760" xr:uid="{00000000-0005-0000-0000-000058450000}"/>
    <cellStyle name="Normal 2 2 2 3 17 5 4" xfId="17761" xr:uid="{00000000-0005-0000-0000-000059450000}"/>
    <cellStyle name="Normal 2 2 2 3 17 5 5" xfId="17762" xr:uid="{00000000-0005-0000-0000-00005A450000}"/>
    <cellStyle name="Normal 2 2 2 3 17 5 6" xfId="17763" xr:uid="{00000000-0005-0000-0000-00005B450000}"/>
    <cellStyle name="Normal 2 2 2 3 17 5 7" xfId="17764" xr:uid="{00000000-0005-0000-0000-00005C450000}"/>
    <cellStyle name="Normal 2 2 2 3 17 5 8" xfId="17765" xr:uid="{00000000-0005-0000-0000-00005D450000}"/>
    <cellStyle name="Normal 2 2 2 3 17 5 9" xfId="17766" xr:uid="{00000000-0005-0000-0000-00005E450000}"/>
    <cellStyle name="Normal 2 2 2 3 17 6" xfId="17767" xr:uid="{00000000-0005-0000-0000-00005F450000}"/>
    <cellStyle name="Normal 2 2 2 3 17 7" xfId="17768" xr:uid="{00000000-0005-0000-0000-000060450000}"/>
    <cellStyle name="Normal 2 2 2 3 17 8" xfId="17769" xr:uid="{00000000-0005-0000-0000-000061450000}"/>
    <cellStyle name="Normal 2 2 2 3 17 9" xfId="17770" xr:uid="{00000000-0005-0000-0000-000062450000}"/>
    <cellStyle name="Normal 2 2 2 3 18" xfId="17771" xr:uid="{00000000-0005-0000-0000-000063450000}"/>
    <cellStyle name="Normal 2 2 2 3 18 10" xfId="17772" xr:uid="{00000000-0005-0000-0000-000064450000}"/>
    <cellStyle name="Normal 2 2 2 3 18 11" xfId="17773" xr:uid="{00000000-0005-0000-0000-000065450000}"/>
    <cellStyle name="Normal 2 2 2 3 18 12" xfId="17774" xr:uid="{00000000-0005-0000-0000-000066450000}"/>
    <cellStyle name="Normal 2 2 2 3 18 13" xfId="17775" xr:uid="{00000000-0005-0000-0000-000067450000}"/>
    <cellStyle name="Normal 2 2 2 3 18 14" xfId="17776" xr:uid="{00000000-0005-0000-0000-000068450000}"/>
    <cellStyle name="Normal 2 2 2 3 18 2" xfId="17777" xr:uid="{00000000-0005-0000-0000-000069450000}"/>
    <cellStyle name="Normal 2 2 2 3 18 2 10" xfId="17778" xr:uid="{00000000-0005-0000-0000-00006A450000}"/>
    <cellStyle name="Normal 2 2 2 3 18 2 2" xfId="17779" xr:uid="{00000000-0005-0000-0000-00006B450000}"/>
    <cellStyle name="Normal 2 2 2 3 18 2 3" xfId="17780" xr:uid="{00000000-0005-0000-0000-00006C450000}"/>
    <cellStyle name="Normal 2 2 2 3 18 2 4" xfId="17781" xr:uid="{00000000-0005-0000-0000-00006D450000}"/>
    <cellStyle name="Normal 2 2 2 3 18 2 5" xfId="17782" xr:uid="{00000000-0005-0000-0000-00006E450000}"/>
    <cellStyle name="Normal 2 2 2 3 18 2 6" xfId="17783" xr:uid="{00000000-0005-0000-0000-00006F450000}"/>
    <cellStyle name="Normal 2 2 2 3 18 2 7" xfId="17784" xr:uid="{00000000-0005-0000-0000-000070450000}"/>
    <cellStyle name="Normal 2 2 2 3 18 2 8" xfId="17785" xr:uid="{00000000-0005-0000-0000-000071450000}"/>
    <cellStyle name="Normal 2 2 2 3 18 2 9" xfId="17786" xr:uid="{00000000-0005-0000-0000-000072450000}"/>
    <cellStyle name="Normal 2 2 2 3 18 3" xfId="17787" xr:uid="{00000000-0005-0000-0000-000073450000}"/>
    <cellStyle name="Normal 2 2 2 3 18 3 10" xfId="17788" xr:uid="{00000000-0005-0000-0000-000074450000}"/>
    <cellStyle name="Normal 2 2 2 3 18 3 2" xfId="17789" xr:uid="{00000000-0005-0000-0000-000075450000}"/>
    <cellStyle name="Normal 2 2 2 3 18 3 3" xfId="17790" xr:uid="{00000000-0005-0000-0000-000076450000}"/>
    <cellStyle name="Normal 2 2 2 3 18 3 4" xfId="17791" xr:uid="{00000000-0005-0000-0000-000077450000}"/>
    <cellStyle name="Normal 2 2 2 3 18 3 5" xfId="17792" xr:uid="{00000000-0005-0000-0000-000078450000}"/>
    <cellStyle name="Normal 2 2 2 3 18 3 6" xfId="17793" xr:uid="{00000000-0005-0000-0000-000079450000}"/>
    <cellStyle name="Normal 2 2 2 3 18 3 7" xfId="17794" xr:uid="{00000000-0005-0000-0000-00007A450000}"/>
    <cellStyle name="Normal 2 2 2 3 18 3 8" xfId="17795" xr:uid="{00000000-0005-0000-0000-00007B450000}"/>
    <cellStyle name="Normal 2 2 2 3 18 3 9" xfId="17796" xr:uid="{00000000-0005-0000-0000-00007C450000}"/>
    <cellStyle name="Normal 2 2 2 3 18 4" xfId="17797" xr:uid="{00000000-0005-0000-0000-00007D450000}"/>
    <cellStyle name="Normal 2 2 2 3 18 4 10" xfId="17798" xr:uid="{00000000-0005-0000-0000-00007E450000}"/>
    <cellStyle name="Normal 2 2 2 3 18 4 2" xfId="17799" xr:uid="{00000000-0005-0000-0000-00007F450000}"/>
    <cellStyle name="Normal 2 2 2 3 18 4 3" xfId="17800" xr:uid="{00000000-0005-0000-0000-000080450000}"/>
    <cellStyle name="Normal 2 2 2 3 18 4 4" xfId="17801" xr:uid="{00000000-0005-0000-0000-000081450000}"/>
    <cellStyle name="Normal 2 2 2 3 18 4 5" xfId="17802" xr:uid="{00000000-0005-0000-0000-000082450000}"/>
    <cellStyle name="Normal 2 2 2 3 18 4 6" xfId="17803" xr:uid="{00000000-0005-0000-0000-000083450000}"/>
    <cellStyle name="Normal 2 2 2 3 18 4 7" xfId="17804" xr:uid="{00000000-0005-0000-0000-000084450000}"/>
    <cellStyle name="Normal 2 2 2 3 18 4 8" xfId="17805" xr:uid="{00000000-0005-0000-0000-000085450000}"/>
    <cellStyle name="Normal 2 2 2 3 18 4 9" xfId="17806" xr:uid="{00000000-0005-0000-0000-000086450000}"/>
    <cellStyle name="Normal 2 2 2 3 18 5" xfId="17807" xr:uid="{00000000-0005-0000-0000-000087450000}"/>
    <cellStyle name="Normal 2 2 2 3 18 5 10" xfId="17808" xr:uid="{00000000-0005-0000-0000-000088450000}"/>
    <cellStyle name="Normal 2 2 2 3 18 5 2" xfId="17809" xr:uid="{00000000-0005-0000-0000-000089450000}"/>
    <cellStyle name="Normal 2 2 2 3 18 5 3" xfId="17810" xr:uid="{00000000-0005-0000-0000-00008A450000}"/>
    <cellStyle name="Normal 2 2 2 3 18 5 4" xfId="17811" xr:uid="{00000000-0005-0000-0000-00008B450000}"/>
    <cellStyle name="Normal 2 2 2 3 18 5 5" xfId="17812" xr:uid="{00000000-0005-0000-0000-00008C450000}"/>
    <cellStyle name="Normal 2 2 2 3 18 5 6" xfId="17813" xr:uid="{00000000-0005-0000-0000-00008D450000}"/>
    <cellStyle name="Normal 2 2 2 3 18 5 7" xfId="17814" xr:uid="{00000000-0005-0000-0000-00008E450000}"/>
    <cellStyle name="Normal 2 2 2 3 18 5 8" xfId="17815" xr:uid="{00000000-0005-0000-0000-00008F450000}"/>
    <cellStyle name="Normal 2 2 2 3 18 5 9" xfId="17816" xr:uid="{00000000-0005-0000-0000-000090450000}"/>
    <cellStyle name="Normal 2 2 2 3 18 6" xfId="17817" xr:uid="{00000000-0005-0000-0000-000091450000}"/>
    <cellStyle name="Normal 2 2 2 3 18 7" xfId="17818" xr:uid="{00000000-0005-0000-0000-000092450000}"/>
    <cellStyle name="Normal 2 2 2 3 18 8" xfId="17819" xr:uid="{00000000-0005-0000-0000-000093450000}"/>
    <cellStyle name="Normal 2 2 2 3 18 9" xfId="17820" xr:uid="{00000000-0005-0000-0000-000094450000}"/>
    <cellStyle name="Normal 2 2 2 3 19" xfId="17821" xr:uid="{00000000-0005-0000-0000-000095450000}"/>
    <cellStyle name="Normal 2 2 2 3 19 10" xfId="17822" xr:uid="{00000000-0005-0000-0000-000096450000}"/>
    <cellStyle name="Normal 2 2 2 3 19 11" xfId="17823" xr:uid="{00000000-0005-0000-0000-000097450000}"/>
    <cellStyle name="Normal 2 2 2 3 19 12" xfId="17824" xr:uid="{00000000-0005-0000-0000-000098450000}"/>
    <cellStyle name="Normal 2 2 2 3 19 13" xfId="17825" xr:uid="{00000000-0005-0000-0000-000099450000}"/>
    <cellStyle name="Normal 2 2 2 3 19 14" xfId="17826" xr:uid="{00000000-0005-0000-0000-00009A450000}"/>
    <cellStyle name="Normal 2 2 2 3 19 2" xfId="17827" xr:uid="{00000000-0005-0000-0000-00009B450000}"/>
    <cellStyle name="Normal 2 2 2 3 19 2 10" xfId="17828" xr:uid="{00000000-0005-0000-0000-00009C450000}"/>
    <cellStyle name="Normal 2 2 2 3 19 2 2" xfId="17829" xr:uid="{00000000-0005-0000-0000-00009D450000}"/>
    <cellStyle name="Normal 2 2 2 3 19 2 3" xfId="17830" xr:uid="{00000000-0005-0000-0000-00009E450000}"/>
    <cellStyle name="Normal 2 2 2 3 19 2 4" xfId="17831" xr:uid="{00000000-0005-0000-0000-00009F450000}"/>
    <cellStyle name="Normal 2 2 2 3 19 2 5" xfId="17832" xr:uid="{00000000-0005-0000-0000-0000A0450000}"/>
    <cellStyle name="Normal 2 2 2 3 19 2 6" xfId="17833" xr:uid="{00000000-0005-0000-0000-0000A1450000}"/>
    <cellStyle name="Normal 2 2 2 3 19 2 7" xfId="17834" xr:uid="{00000000-0005-0000-0000-0000A2450000}"/>
    <cellStyle name="Normal 2 2 2 3 19 2 8" xfId="17835" xr:uid="{00000000-0005-0000-0000-0000A3450000}"/>
    <cellStyle name="Normal 2 2 2 3 19 2 9" xfId="17836" xr:uid="{00000000-0005-0000-0000-0000A4450000}"/>
    <cellStyle name="Normal 2 2 2 3 19 3" xfId="17837" xr:uid="{00000000-0005-0000-0000-0000A5450000}"/>
    <cellStyle name="Normal 2 2 2 3 19 3 10" xfId="17838" xr:uid="{00000000-0005-0000-0000-0000A6450000}"/>
    <cellStyle name="Normal 2 2 2 3 19 3 2" xfId="17839" xr:uid="{00000000-0005-0000-0000-0000A7450000}"/>
    <cellStyle name="Normal 2 2 2 3 19 3 3" xfId="17840" xr:uid="{00000000-0005-0000-0000-0000A8450000}"/>
    <cellStyle name="Normal 2 2 2 3 19 3 4" xfId="17841" xr:uid="{00000000-0005-0000-0000-0000A9450000}"/>
    <cellStyle name="Normal 2 2 2 3 19 3 5" xfId="17842" xr:uid="{00000000-0005-0000-0000-0000AA450000}"/>
    <cellStyle name="Normal 2 2 2 3 19 3 6" xfId="17843" xr:uid="{00000000-0005-0000-0000-0000AB450000}"/>
    <cellStyle name="Normal 2 2 2 3 19 3 7" xfId="17844" xr:uid="{00000000-0005-0000-0000-0000AC450000}"/>
    <cellStyle name="Normal 2 2 2 3 19 3 8" xfId="17845" xr:uid="{00000000-0005-0000-0000-0000AD450000}"/>
    <cellStyle name="Normal 2 2 2 3 19 3 9" xfId="17846" xr:uid="{00000000-0005-0000-0000-0000AE450000}"/>
    <cellStyle name="Normal 2 2 2 3 19 4" xfId="17847" xr:uid="{00000000-0005-0000-0000-0000AF450000}"/>
    <cellStyle name="Normal 2 2 2 3 19 4 10" xfId="17848" xr:uid="{00000000-0005-0000-0000-0000B0450000}"/>
    <cellStyle name="Normal 2 2 2 3 19 4 2" xfId="17849" xr:uid="{00000000-0005-0000-0000-0000B1450000}"/>
    <cellStyle name="Normal 2 2 2 3 19 4 3" xfId="17850" xr:uid="{00000000-0005-0000-0000-0000B2450000}"/>
    <cellStyle name="Normal 2 2 2 3 19 4 4" xfId="17851" xr:uid="{00000000-0005-0000-0000-0000B3450000}"/>
    <cellStyle name="Normal 2 2 2 3 19 4 5" xfId="17852" xr:uid="{00000000-0005-0000-0000-0000B4450000}"/>
    <cellStyle name="Normal 2 2 2 3 19 4 6" xfId="17853" xr:uid="{00000000-0005-0000-0000-0000B5450000}"/>
    <cellStyle name="Normal 2 2 2 3 19 4 7" xfId="17854" xr:uid="{00000000-0005-0000-0000-0000B6450000}"/>
    <cellStyle name="Normal 2 2 2 3 19 4 8" xfId="17855" xr:uid="{00000000-0005-0000-0000-0000B7450000}"/>
    <cellStyle name="Normal 2 2 2 3 19 4 9" xfId="17856" xr:uid="{00000000-0005-0000-0000-0000B8450000}"/>
    <cellStyle name="Normal 2 2 2 3 19 5" xfId="17857" xr:uid="{00000000-0005-0000-0000-0000B9450000}"/>
    <cellStyle name="Normal 2 2 2 3 19 5 10" xfId="17858" xr:uid="{00000000-0005-0000-0000-0000BA450000}"/>
    <cellStyle name="Normal 2 2 2 3 19 5 2" xfId="17859" xr:uid="{00000000-0005-0000-0000-0000BB450000}"/>
    <cellStyle name="Normal 2 2 2 3 19 5 3" xfId="17860" xr:uid="{00000000-0005-0000-0000-0000BC450000}"/>
    <cellStyle name="Normal 2 2 2 3 19 5 4" xfId="17861" xr:uid="{00000000-0005-0000-0000-0000BD450000}"/>
    <cellStyle name="Normal 2 2 2 3 19 5 5" xfId="17862" xr:uid="{00000000-0005-0000-0000-0000BE450000}"/>
    <cellStyle name="Normal 2 2 2 3 19 5 6" xfId="17863" xr:uid="{00000000-0005-0000-0000-0000BF450000}"/>
    <cellStyle name="Normal 2 2 2 3 19 5 7" xfId="17864" xr:uid="{00000000-0005-0000-0000-0000C0450000}"/>
    <cellStyle name="Normal 2 2 2 3 19 5 8" xfId="17865" xr:uid="{00000000-0005-0000-0000-0000C1450000}"/>
    <cellStyle name="Normal 2 2 2 3 19 5 9" xfId="17866" xr:uid="{00000000-0005-0000-0000-0000C2450000}"/>
    <cellStyle name="Normal 2 2 2 3 19 6" xfId="17867" xr:uid="{00000000-0005-0000-0000-0000C3450000}"/>
    <cellStyle name="Normal 2 2 2 3 19 7" xfId="17868" xr:uid="{00000000-0005-0000-0000-0000C4450000}"/>
    <cellStyle name="Normal 2 2 2 3 19 8" xfId="17869" xr:uid="{00000000-0005-0000-0000-0000C5450000}"/>
    <cellStyle name="Normal 2 2 2 3 19 9" xfId="17870" xr:uid="{00000000-0005-0000-0000-0000C6450000}"/>
    <cellStyle name="Normal 2 2 2 3 2" xfId="17871" xr:uid="{00000000-0005-0000-0000-0000C7450000}"/>
    <cellStyle name="Normal 2 2 2 3 2 10" xfId="17872" xr:uid="{00000000-0005-0000-0000-0000C8450000}"/>
    <cellStyle name="Normal 2 2 2 3 2 11" xfId="17873" xr:uid="{00000000-0005-0000-0000-0000C9450000}"/>
    <cellStyle name="Normal 2 2 2 3 2 12" xfId="17874" xr:uid="{00000000-0005-0000-0000-0000CA450000}"/>
    <cellStyle name="Normal 2 2 2 3 2 13" xfId="17875" xr:uid="{00000000-0005-0000-0000-0000CB450000}"/>
    <cellStyle name="Normal 2 2 2 3 2 14" xfId="17876" xr:uid="{00000000-0005-0000-0000-0000CC450000}"/>
    <cellStyle name="Normal 2 2 2 3 2 15" xfId="17877" xr:uid="{00000000-0005-0000-0000-0000CD450000}"/>
    <cellStyle name="Normal 2 2 2 3 2 16" xfId="17878" xr:uid="{00000000-0005-0000-0000-0000CE450000}"/>
    <cellStyle name="Normal 2 2 2 3 2 17" xfId="17879" xr:uid="{00000000-0005-0000-0000-0000CF450000}"/>
    <cellStyle name="Normal 2 2 2 3 2 2" xfId="17880" xr:uid="{00000000-0005-0000-0000-0000D0450000}"/>
    <cellStyle name="Normal 2 2 2 3 2 2 10" xfId="17881" xr:uid="{00000000-0005-0000-0000-0000D1450000}"/>
    <cellStyle name="Normal 2 2 2 3 2 2 11" xfId="17882" xr:uid="{00000000-0005-0000-0000-0000D2450000}"/>
    <cellStyle name="Normal 2 2 2 3 2 2 12" xfId="17883" xr:uid="{00000000-0005-0000-0000-0000D3450000}"/>
    <cellStyle name="Normal 2 2 2 3 2 2 2" xfId="17884" xr:uid="{00000000-0005-0000-0000-0000D4450000}"/>
    <cellStyle name="Normal 2 2 2 3 2 2 2 2" xfId="17885" xr:uid="{00000000-0005-0000-0000-0000D5450000}"/>
    <cellStyle name="Normal 2 2 2 3 2 2 2 3" xfId="17886" xr:uid="{00000000-0005-0000-0000-0000D6450000}"/>
    <cellStyle name="Normal 2 2 2 3 2 2 3" xfId="17887" xr:uid="{00000000-0005-0000-0000-0000D7450000}"/>
    <cellStyle name="Normal 2 2 2 3 2 2 4" xfId="17888" xr:uid="{00000000-0005-0000-0000-0000D8450000}"/>
    <cellStyle name="Normal 2 2 2 3 2 2 5" xfId="17889" xr:uid="{00000000-0005-0000-0000-0000D9450000}"/>
    <cellStyle name="Normal 2 2 2 3 2 2 6" xfId="17890" xr:uid="{00000000-0005-0000-0000-0000DA450000}"/>
    <cellStyle name="Normal 2 2 2 3 2 2 7" xfId="17891" xr:uid="{00000000-0005-0000-0000-0000DB450000}"/>
    <cellStyle name="Normal 2 2 2 3 2 2 8" xfId="17892" xr:uid="{00000000-0005-0000-0000-0000DC450000}"/>
    <cellStyle name="Normal 2 2 2 3 2 2 9" xfId="17893" xr:uid="{00000000-0005-0000-0000-0000DD450000}"/>
    <cellStyle name="Normal 2 2 2 3 2 3" xfId="17894" xr:uid="{00000000-0005-0000-0000-0000DE450000}"/>
    <cellStyle name="Normal 2 2 2 3 2 3 10" xfId="17895" xr:uid="{00000000-0005-0000-0000-0000DF450000}"/>
    <cellStyle name="Normal 2 2 2 3 2 3 11" xfId="17896" xr:uid="{00000000-0005-0000-0000-0000E0450000}"/>
    <cellStyle name="Normal 2 2 2 3 2 3 12" xfId="17897" xr:uid="{00000000-0005-0000-0000-0000E1450000}"/>
    <cellStyle name="Normal 2 2 2 3 2 3 2" xfId="17898" xr:uid="{00000000-0005-0000-0000-0000E2450000}"/>
    <cellStyle name="Normal 2 2 2 3 2 3 3" xfId="17899" xr:uid="{00000000-0005-0000-0000-0000E3450000}"/>
    <cellStyle name="Normal 2 2 2 3 2 3 4" xfId="17900" xr:uid="{00000000-0005-0000-0000-0000E4450000}"/>
    <cellStyle name="Normal 2 2 2 3 2 3 5" xfId="17901" xr:uid="{00000000-0005-0000-0000-0000E5450000}"/>
    <cellStyle name="Normal 2 2 2 3 2 3 6" xfId="17902" xr:uid="{00000000-0005-0000-0000-0000E6450000}"/>
    <cellStyle name="Normal 2 2 2 3 2 3 7" xfId="17903" xr:uid="{00000000-0005-0000-0000-0000E7450000}"/>
    <cellStyle name="Normal 2 2 2 3 2 3 8" xfId="17904" xr:uid="{00000000-0005-0000-0000-0000E8450000}"/>
    <cellStyle name="Normal 2 2 2 3 2 3 9" xfId="17905" xr:uid="{00000000-0005-0000-0000-0000E9450000}"/>
    <cellStyle name="Normal 2 2 2 3 2 4" xfId="17906" xr:uid="{00000000-0005-0000-0000-0000EA450000}"/>
    <cellStyle name="Normal 2 2 2 3 2 4 10" xfId="17907" xr:uid="{00000000-0005-0000-0000-0000EB450000}"/>
    <cellStyle name="Normal 2 2 2 3 2 4 2" xfId="17908" xr:uid="{00000000-0005-0000-0000-0000EC450000}"/>
    <cellStyle name="Normal 2 2 2 3 2 4 3" xfId="17909" xr:uid="{00000000-0005-0000-0000-0000ED450000}"/>
    <cellStyle name="Normal 2 2 2 3 2 4 4" xfId="17910" xr:uid="{00000000-0005-0000-0000-0000EE450000}"/>
    <cellStyle name="Normal 2 2 2 3 2 4 5" xfId="17911" xr:uid="{00000000-0005-0000-0000-0000EF450000}"/>
    <cellStyle name="Normal 2 2 2 3 2 4 6" xfId="17912" xr:uid="{00000000-0005-0000-0000-0000F0450000}"/>
    <cellStyle name="Normal 2 2 2 3 2 4 7" xfId="17913" xr:uid="{00000000-0005-0000-0000-0000F1450000}"/>
    <cellStyle name="Normal 2 2 2 3 2 4 8" xfId="17914" xr:uid="{00000000-0005-0000-0000-0000F2450000}"/>
    <cellStyle name="Normal 2 2 2 3 2 4 9" xfId="17915" xr:uid="{00000000-0005-0000-0000-0000F3450000}"/>
    <cellStyle name="Normal 2 2 2 3 2 5" xfId="17916" xr:uid="{00000000-0005-0000-0000-0000F4450000}"/>
    <cellStyle name="Normal 2 2 2 3 2 5 10" xfId="17917" xr:uid="{00000000-0005-0000-0000-0000F5450000}"/>
    <cellStyle name="Normal 2 2 2 3 2 5 2" xfId="17918" xr:uid="{00000000-0005-0000-0000-0000F6450000}"/>
    <cellStyle name="Normal 2 2 2 3 2 5 3" xfId="17919" xr:uid="{00000000-0005-0000-0000-0000F7450000}"/>
    <cellStyle name="Normal 2 2 2 3 2 5 4" xfId="17920" xr:uid="{00000000-0005-0000-0000-0000F8450000}"/>
    <cellStyle name="Normal 2 2 2 3 2 5 5" xfId="17921" xr:uid="{00000000-0005-0000-0000-0000F9450000}"/>
    <cellStyle name="Normal 2 2 2 3 2 5 6" xfId="17922" xr:uid="{00000000-0005-0000-0000-0000FA450000}"/>
    <cellStyle name="Normal 2 2 2 3 2 5 7" xfId="17923" xr:uid="{00000000-0005-0000-0000-0000FB450000}"/>
    <cellStyle name="Normal 2 2 2 3 2 5 8" xfId="17924" xr:uid="{00000000-0005-0000-0000-0000FC450000}"/>
    <cellStyle name="Normal 2 2 2 3 2 5 9" xfId="17925" xr:uid="{00000000-0005-0000-0000-0000FD450000}"/>
    <cellStyle name="Normal 2 2 2 3 2 6" xfId="17926" xr:uid="{00000000-0005-0000-0000-0000FE450000}"/>
    <cellStyle name="Normal 2 2 2 3 2 7" xfId="17927" xr:uid="{00000000-0005-0000-0000-0000FF450000}"/>
    <cellStyle name="Normal 2 2 2 3 2 8" xfId="17928" xr:uid="{00000000-0005-0000-0000-000000460000}"/>
    <cellStyle name="Normal 2 2 2 3 2 9" xfId="17929" xr:uid="{00000000-0005-0000-0000-000001460000}"/>
    <cellStyle name="Normal 2 2 2 3 20" xfId="17930" xr:uid="{00000000-0005-0000-0000-000002460000}"/>
    <cellStyle name="Normal 2 2 2 3 20 10" xfId="17931" xr:uid="{00000000-0005-0000-0000-000003460000}"/>
    <cellStyle name="Normal 2 2 2 3 20 11" xfId="17932" xr:uid="{00000000-0005-0000-0000-000004460000}"/>
    <cellStyle name="Normal 2 2 2 3 20 12" xfId="17933" xr:uid="{00000000-0005-0000-0000-000005460000}"/>
    <cellStyle name="Normal 2 2 2 3 20 13" xfId="17934" xr:uid="{00000000-0005-0000-0000-000006460000}"/>
    <cellStyle name="Normal 2 2 2 3 20 14" xfId="17935" xr:uid="{00000000-0005-0000-0000-000007460000}"/>
    <cellStyle name="Normal 2 2 2 3 20 2" xfId="17936" xr:uid="{00000000-0005-0000-0000-000008460000}"/>
    <cellStyle name="Normal 2 2 2 3 20 2 10" xfId="17937" xr:uid="{00000000-0005-0000-0000-000009460000}"/>
    <cellStyle name="Normal 2 2 2 3 20 2 2" xfId="17938" xr:uid="{00000000-0005-0000-0000-00000A460000}"/>
    <cellStyle name="Normal 2 2 2 3 20 2 3" xfId="17939" xr:uid="{00000000-0005-0000-0000-00000B460000}"/>
    <cellStyle name="Normal 2 2 2 3 20 2 4" xfId="17940" xr:uid="{00000000-0005-0000-0000-00000C460000}"/>
    <cellStyle name="Normal 2 2 2 3 20 2 5" xfId="17941" xr:uid="{00000000-0005-0000-0000-00000D460000}"/>
    <cellStyle name="Normal 2 2 2 3 20 2 6" xfId="17942" xr:uid="{00000000-0005-0000-0000-00000E460000}"/>
    <cellStyle name="Normal 2 2 2 3 20 2 7" xfId="17943" xr:uid="{00000000-0005-0000-0000-00000F460000}"/>
    <cellStyle name="Normal 2 2 2 3 20 2 8" xfId="17944" xr:uid="{00000000-0005-0000-0000-000010460000}"/>
    <cellStyle name="Normal 2 2 2 3 20 2 9" xfId="17945" xr:uid="{00000000-0005-0000-0000-000011460000}"/>
    <cellStyle name="Normal 2 2 2 3 20 3" xfId="17946" xr:uid="{00000000-0005-0000-0000-000012460000}"/>
    <cellStyle name="Normal 2 2 2 3 20 3 10" xfId="17947" xr:uid="{00000000-0005-0000-0000-000013460000}"/>
    <cellStyle name="Normal 2 2 2 3 20 3 2" xfId="17948" xr:uid="{00000000-0005-0000-0000-000014460000}"/>
    <cellStyle name="Normal 2 2 2 3 20 3 3" xfId="17949" xr:uid="{00000000-0005-0000-0000-000015460000}"/>
    <cellStyle name="Normal 2 2 2 3 20 3 4" xfId="17950" xr:uid="{00000000-0005-0000-0000-000016460000}"/>
    <cellStyle name="Normal 2 2 2 3 20 3 5" xfId="17951" xr:uid="{00000000-0005-0000-0000-000017460000}"/>
    <cellStyle name="Normal 2 2 2 3 20 3 6" xfId="17952" xr:uid="{00000000-0005-0000-0000-000018460000}"/>
    <cellStyle name="Normal 2 2 2 3 20 3 7" xfId="17953" xr:uid="{00000000-0005-0000-0000-000019460000}"/>
    <cellStyle name="Normal 2 2 2 3 20 3 8" xfId="17954" xr:uid="{00000000-0005-0000-0000-00001A460000}"/>
    <cellStyle name="Normal 2 2 2 3 20 3 9" xfId="17955" xr:uid="{00000000-0005-0000-0000-00001B460000}"/>
    <cellStyle name="Normal 2 2 2 3 20 4" xfId="17956" xr:uid="{00000000-0005-0000-0000-00001C460000}"/>
    <cellStyle name="Normal 2 2 2 3 20 4 10" xfId="17957" xr:uid="{00000000-0005-0000-0000-00001D460000}"/>
    <cellStyle name="Normal 2 2 2 3 20 4 2" xfId="17958" xr:uid="{00000000-0005-0000-0000-00001E460000}"/>
    <cellStyle name="Normal 2 2 2 3 20 4 3" xfId="17959" xr:uid="{00000000-0005-0000-0000-00001F460000}"/>
    <cellStyle name="Normal 2 2 2 3 20 4 4" xfId="17960" xr:uid="{00000000-0005-0000-0000-000020460000}"/>
    <cellStyle name="Normal 2 2 2 3 20 4 5" xfId="17961" xr:uid="{00000000-0005-0000-0000-000021460000}"/>
    <cellStyle name="Normal 2 2 2 3 20 4 6" xfId="17962" xr:uid="{00000000-0005-0000-0000-000022460000}"/>
    <cellStyle name="Normal 2 2 2 3 20 4 7" xfId="17963" xr:uid="{00000000-0005-0000-0000-000023460000}"/>
    <cellStyle name="Normal 2 2 2 3 20 4 8" xfId="17964" xr:uid="{00000000-0005-0000-0000-000024460000}"/>
    <cellStyle name="Normal 2 2 2 3 20 4 9" xfId="17965" xr:uid="{00000000-0005-0000-0000-000025460000}"/>
    <cellStyle name="Normal 2 2 2 3 20 5" xfId="17966" xr:uid="{00000000-0005-0000-0000-000026460000}"/>
    <cellStyle name="Normal 2 2 2 3 20 5 10" xfId="17967" xr:uid="{00000000-0005-0000-0000-000027460000}"/>
    <cellStyle name="Normal 2 2 2 3 20 5 2" xfId="17968" xr:uid="{00000000-0005-0000-0000-000028460000}"/>
    <cellStyle name="Normal 2 2 2 3 20 5 3" xfId="17969" xr:uid="{00000000-0005-0000-0000-000029460000}"/>
    <cellStyle name="Normal 2 2 2 3 20 5 4" xfId="17970" xr:uid="{00000000-0005-0000-0000-00002A460000}"/>
    <cellStyle name="Normal 2 2 2 3 20 5 5" xfId="17971" xr:uid="{00000000-0005-0000-0000-00002B460000}"/>
    <cellStyle name="Normal 2 2 2 3 20 5 6" xfId="17972" xr:uid="{00000000-0005-0000-0000-00002C460000}"/>
    <cellStyle name="Normal 2 2 2 3 20 5 7" xfId="17973" xr:uid="{00000000-0005-0000-0000-00002D460000}"/>
    <cellStyle name="Normal 2 2 2 3 20 5 8" xfId="17974" xr:uid="{00000000-0005-0000-0000-00002E460000}"/>
    <cellStyle name="Normal 2 2 2 3 20 5 9" xfId="17975" xr:uid="{00000000-0005-0000-0000-00002F460000}"/>
    <cellStyle name="Normal 2 2 2 3 20 6" xfId="17976" xr:uid="{00000000-0005-0000-0000-000030460000}"/>
    <cellStyle name="Normal 2 2 2 3 20 7" xfId="17977" xr:uid="{00000000-0005-0000-0000-000031460000}"/>
    <cellStyle name="Normal 2 2 2 3 20 8" xfId="17978" xr:uid="{00000000-0005-0000-0000-000032460000}"/>
    <cellStyle name="Normal 2 2 2 3 20 9" xfId="17979" xr:uid="{00000000-0005-0000-0000-000033460000}"/>
    <cellStyle name="Normal 2 2 2 3 21" xfId="17980" xr:uid="{00000000-0005-0000-0000-000034460000}"/>
    <cellStyle name="Normal 2 2 2 3 21 10" xfId="17981" xr:uid="{00000000-0005-0000-0000-000035460000}"/>
    <cellStyle name="Normal 2 2 2 3 21 11" xfId="17982" xr:uid="{00000000-0005-0000-0000-000036460000}"/>
    <cellStyle name="Normal 2 2 2 3 21 12" xfId="17983" xr:uid="{00000000-0005-0000-0000-000037460000}"/>
    <cellStyle name="Normal 2 2 2 3 21 13" xfId="17984" xr:uid="{00000000-0005-0000-0000-000038460000}"/>
    <cellStyle name="Normal 2 2 2 3 21 14" xfId="17985" xr:uid="{00000000-0005-0000-0000-000039460000}"/>
    <cellStyle name="Normal 2 2 2 3 21 2" xfId="17986" xr:uid="{00000000-0005-0000-0000-00003A460000}"/>
    <cellStyle name="Normal 2 2 2 3 21 2 10" xfId="17987" xr:uid="{00000000-0005-0000-0000-00003B460000}"/>
    <cellStyle name="Normal 2 2 2 3 21 2 2" xfId="17988" xr:uid="{00000000-0005-0000-0000-00003C460000}"/>
    <cellStyle name="Normal 2 2 2 3 21 2 3" xfId="17989" xr:uid="{00000000-0005-0000-0000-00003D460000}"/>
    <cellStyle name="Normal 2 2 2 3 21 2 4" xfId="17990" xr:uid="{00000000-0005-0000-0000-00003E460000}"/>
    <cellStyle name="Normal 2 2 2 3 21 2 5" xfId="17991" xr:uid="{00000000-0005-0000-0000-00003F460000}"/>
    <cellStyle name="Normal 2 2 2 3 21 2 6" xfId="17992" xr:uid="{00000000-0005-0000-0000-000040460000}"/>
    <cellStyle name="Normal 2 2 2 3 21 2 7" xfId="17993" xr:uid="{00000000-0005-0000-0000-000041460000}"/>
    <cellStyle name="Normal 2 2 2 3 21 2 8" xfId="17994" xr:uid="{00000000-0005-0000-0000-000042460000}"/>
    <cellStyle name="Normal 2 2 2 3 21 2 9" xfId="17995" xr:uid="{00000000-0005-0000-0000-000043460000}"/>
    <cellStyle name="Normal 2 2 2 3 21 3" xfId="17996" xr:uid="{00000000-0005-0000-0000-000044460000}"/>
    <cellStyle name="Normal 2 2 2 3 21 3 10" xfId="17997" xr:uid="{00000000-0005-0000-0000-000045460000}"/>
    <cellStyle name="Normal 2 2 2 3 21 3 2" xfId="17998" xr:uid="{00000000-0005-0000-0000-000046460000}"/>
    <cellStyle name="Normal 2 2 2 3 21 3 3" xfId="17999" xr:uid="{00000000-0005-0000-0000-000047460000}"/>
    <cellStyle name="Normal 2 2 2 3 21 3 4" xfId="18000" xr:uid="{00000000-0005-0000-0000-000048460000}"/>
    <cellStyle name="Normal 2 2 2 3 21 3 5" xfId="18001" xr:uid="{00000000-0005-0000-0000-000049460000}"/>
    <cellStyle name="Normal 2 2 2 3 21 3 6" xfId="18002" xr:uid="{00000000-0005-0000-0000-00004A460000}"/>
    <cellStyle name="Normal 2 2 2 3 21 3 7" xfId="18003" xr:uid="{00000000-0005-0000-0000-00004B460000}"/>
    <cellStyle name="Normal 2 2 2 3 21 3 8" xfId="18004" xr:uid="{00000000-0005-0000-0000-00004C460000}"/>
    <cellStyle name="Normal 2 2 2 3 21 3 9" xfId="18005" xr:uid="{00000000-0005-0000-0000-00004D460000}"/>
    <cellStyle name="Normal 2 2 2 3 21 4" xfId="18006" xr:uid="{00000000-0005-0000-0000-00004E460000}"/>
    <cellStyle name="Normal 2 2 2 3 21 4 10" xfId="18007" xr:uid="{00000000-0005-0000-0000-00004F460000}"/>
    <cellStyle name="Normal 2 2 2 3 21 4 2" xfId="18008" xr:uid="{00000000-0005-0000-0000-000050460000}"/>
    <cellStyle name="Normal 2 2 2 3 21 4 3" xfId="18009" xr:uid="{00000000-0005-0000-0000-000051460000}"/>
    <cellStyle name="Normal 2 2 2 3 21 4 4" xfId="18010" xr:uid="{00000000-0005-0000-0000-000052460000}"/>
    <cellStyle name="Normal 2 2 2 3 21 4 5" xfId="18011" xr:uid="{00000000-0005-0000-0000-000053460000}"/>
    <cellStyle name="Normal 2 2 2 3 21 4 6" xfId="18012" xr:uid="{00000000-0005-0000-0000-000054460000}"/>
    <cellStyle name="Normal 2 2 2 3 21 4 7" xfId="18013" xr:uid="{00000000-0005-0000-0000-000055460000}"/>
    <cellStyle name="Normal 2 2 2 3 21 4 8" xfId="18014" xr:uid="{00000000-0005-0000-0000-000056460000}"/>
    <cellStyle name="Normal 2 2 2 3 21 4 9" xfId="18015" xr:uid="{00000000-0005-0000-0000-000057460000}"/>
    <cellStyle name="Normal 2 2 2 3 21 5" xfId="18016" xr:uid="{00000000-0005-0000-0000-000058460000}"/>
    <cellStyle name="Normal 2 2 2 3 21 5 10" xfId="18017" xr:uid="{00000000-0005-0000-0000-000059460000}"/>
    <cellStyle name="Normal 2 2 2 3 21 5 2" xfId="18018" xr:uid="{00000000-0005-0000-0000-00005A460000}"/>
    <cellStyle name="Normal 2 2 2 3 21 5 3" xfId="18019" xr:uid="{00000000-0005-0000-0000-00005B460000}"/>
    <cellStyle name="Normal 2 2 2 3 21 5 4" xfId="18020" xr:uid="{00000000-0005-0000-0000-00005C460000}"/>
    <cellStyle name="Normal 2 2 2 3 21 5 5" xfId="18021" xr:uid="{00000000-0005-0000-0000-00005D460000}"/>
    <cellStyle name="Normal 2 2 2 3 21 5 6" xfId="18022" xr:uid="{00000000-0005-0000-0000-00005E460000}"/>
    <cellStyle name="Normal 2 2 2 3 21 5 7" xfId="18023" xr:uid="{00000000-0005-0000-0000-00005F460000}"/>
    <cellStyle name="Normal 2 2 2 3 21 5 8" xfId="18024" xr:uid="{00000000-0005-0000-0000-000060460000}"/>
    <cellStyle name="Normal 2 2 2 3 21 5 9" xfId="18025" xr:uid="{00000000-0005-0000-0000-000061460000}"/>
    <cellStyle name="Normal 2 2 2 3 21 6" xfId="18026" xr:uid="{00000000-0005-0000-0000-000062460000}"/>
    <cellStyle name="Normal 2 2 2 3 21 7" xfId="18027" xr:uid="{00000000-0005-0000-0000-000063460000}"/>
    <cellStyle name="Normal 2 2 2 3 21 8" xfId="18028" xr:uid="{00000000-0005-0000-0000-000064460000}"/>
    <cellStyle name="Normal 2 2 2 3 21 9" xfId="18029" xr:uid="{00000000-0005-0000-0000-000065460000}"/>
    <cellStyle name="Normal 2 2 2 3 22" xfId="18030" xr:uid="{00000000-0005-0000-0000-000066460000}"/>
    <cellStyle name="Normal 2 2 2 3 22 10" xfId="18031" xr:uid="{00000000-0005-0000-0000-000067460000}"/>
    <cellStyle name="Normal 2 2 2 3 22 11" xfId="18032" xr:uid="{00000000-0005-0000-0000-000068460000}"/>
    <cellStyle name="Normal 2 2 2 3 22 12" xfId="18033" xr:uid="{00000000-0005-0000-0000-000069460000}"/>
    <cellStyle name="Normal 2 2 2 3 22 13" xfId="18034" xr:uid="{00000000-0005-0000-0000-00006A460000}"/>
    <cellStyle name="Normal 2 2 2 3 22 14" xfId="18035" xr:uid="{00000000-0005-0000-0000-00006B460000}"/>
    <cellStyle name="Normal 2 2 2 3 22 2" xfId="18036" xr:uid="{00000000-0005-0000-0000-00006C460000}"/>
    <cellStyle name="Normal 2 2 2 3 22 2 10" xfId="18037" xr:uid="{00000000-0005-0000-0000-00006D460000}"/>
    <cellStyle name="Normal 2 2 2 3 22 2 2" xfId="18038" xr:uid="{00000000-0005-0000-0000-00006E460000}"/>
    <cellStyle name="Normal 2 2 2 3 22 2 3" xfId="18039" xr:uid="{00000000-0005-0000-0000-00006F460000}"/>
    <cellStyle name="Normal 2 2 2 3 22 2 4" xfId="18040" xr:uid="{00000000-0005-0000-0000-000070460000}"/>
    <cellStyle name="Normal 2 2 2 3 22 2 5" xfId="18041" xr:uid="{00000000-0005-0000-0000-000071460000}"/>
    <cellStyle name="Normal 2 2 2 3 22 2 6" xfId="18042" xr:uid="{00000000-0005-0000-0000-000072460000}"/>
    <cellStyle name="Normal 2 2 2 3 22 2 7" xfId="18043" xr:uid="{00000000-0005-0000-0000-000073460000}"/>
    <cellStyle name="Normal 2 2 2 3 22 2 8" xfId="18044" xr:uid="{00000000-0005-0000-0000-000074460000}"/>
    <cellStyle name="Normal 2 2 2 3 22 2 9" xfId="18045" xr:uid="{00000000-0005-0000-0000-000075460000}"/>
    <cellStyle name="Normal 2 2 2 3 22 3" xfId="18046" xr:uid="{00000000-0005-0000-0000-000076460000}"/>
    <cellStyle name="Normal 2 2 2 3 22 3 10" xfId="18047" xr:uid="{00000000-0005-0000-0000-000077460000}"/>
    <cellStyle name="Normal 2 2 2 3 22 3 2" xfId="18048" xr:uid="{00000000-0005-0000-0000-000078460000}"/>
    <cellStyle name="Normal 2 2 2 3 22 3 3" xfId="18049" xr:uid="{00000000-0005-0000-0000-000079460000}"/>
    <cellStyle name="Normal 2 2 2 3 22 3 4" xfId="18050" xr:uid="{00000000-0005-0000-0000-00007A460000}"/>
    <cellStyle name="Normal 2 2 2 3 22 3 5" xfId="18051" xr:uid="{00000000-0005-0000-0000-00007B460000}"/>
    <cellStyle name="Normal 2 2 2 3 22 3 6" xfId="18052" xr:uid="{00000000-0005-0000-0000-00007C460000}"/>
    <cellStyle name="Normal 2 2 2 3 22 3 7" xfId="18053" xr:uid="{00000000-0005-0000-0000-00007D460000}"/>
    <cellStyle name="Normal 2 2 2 3 22 3 8" xfId="18054" xr:uid="{00000000-0005-0000-0000-00007E460000}"/>
    <cellStyle name="Normal 2 2 2 3 22 3 9" xfId="18055" xr:uid="{00000000-0005-0000-0000-00007F460000}"/>
    <cellStyle name="Normal 2 2 2 3 22 4" xfId="18056" xr:uid="{00000000-0005-0000-0000-000080460000}"/>
    <cellStyle name="Normal 2 2 2 3 22 4 10" xfId="18057" xr:uid="{00000000-0005-0000-0000-000081460000}"/>
    <cellStyle name="Normal 2 2 2 3 22 4 2" xfId="18058" xr:uid="{00000000-0005-0000-0000-000082460000}"/>
    <cellStyle name="Normal 2 2 2 3 22 4 3" xfId="18059" xr:uid="{00000000-0005-0000-0000-000083460000}"/>
    <cellStyle name="Normal 2 2 2 3 22 4 4" xfId="18060" xr:uid="{00000000-0005-0000-0000-000084460000}"/>
    <cellStyle name="Normal 2 2 2 3 22 4 5" xfId="18061" xr:uid="{00000000-0005-0000-0000-000085460000}"/>
    <cellStyle name="Normal 2 2 2 3 22 4 6" xfId="18062" xr:uid="{00000000-0005-0000-0000-000086460000}"/>
    <cellStyle name="Normal 2 2 2 3 22 4 7" xfId="18063" xr:uid="{00000000-0005-0000-0000-000087460000}"/>
    <cellStyle name="Normal 2 2 2 3 22 4 8" xfId="18064" xr:uid="{00000000-0005-0000-0000-000088460000}"/>
    <cellStyle name="Normal 2 2 2 3 22 4 9" xfId="18065" xr:uid="{00000000-0005-0000-0000-000089460000}"/>
    <cellStyle name="Normal 2 2 2 3 22 5" xfId="18066" xr:uid="{00000000-0005-0000-0000-00008A460000}"/>
    <cellStyle name="Normal 2 2 2 3 22 5 10" xfId="18067" xr:uid="{00000000-0005-0000-0000-00008B460000}"/>
    <cellStyle name="Normal 2 2 2 3 22 5 2" xfId="18068" xr:uid="{00000000-0005-0000-0000-00008C460000}"/>
    <cellStyle name="Normal 2 2 2 3 22 5 3" xfId="18069" xr:uid="{00000000-0005-0000-0000-00008D460000}"/>
    <cellStyle name="Normal 2 2 2 3 22 5 4" xfId="18070" xr:uid="{00000000-0005-0000-0000-00008E460000}"/>
    <cellStyle name="Normal 2 2 2 3 22 5 5" xfId="18071" xr:uid="{00000000-0005-0000-0000-00008F460000}"/>
    <cellStyle name="Normal 2 2 2 3 22 5 6" xfId="18072" xr:uid="{00000000-0005-0000-0000-000090460000}"/>
    <cellStyle name="Normal 2 2 2 3 22 5 7" xfId="18073" xr:uid="{00000000-0005-0000-0000-000091460000}"/>
    <cellStyle name="Normal 2 2 2 3 22 5 8" xfId="18074" xr:uid="{00000000-0005-0000-0000-000092460000}"/>
    <cellStyle name="Normal 2 2 2 3 22 5 9" xfId="18075" xr:uid="{00000000-0005-0000-0000-000093460000}"/>
    <cellStyle name="Normal 2 2 2 3 22 6" xfId="18076" xr:uid="{00000000-0005-0000-0000-000094460000}"/>
    <cellStyle name="Normal 2 2 2 3 22 7" xfId="18077" xr:uid="{00000000-0005-0000-0000-000095460000}"/>
    <cellStyle name="Normal 2 2 2 3 22 8" xfId="18078" xr:uid="{00000000-0005-0000-0000-000096460000}"/>
    <cellStyle name="Normal 2 2 2 3 22 9" xfId="18079" xr:uid="{00000000-0005-0000-0000-000097460000}"/>
    <cellStyle name="Normal 2 2 2 3 23" xfId="18080" xr:uid="{00000000-0005-0000-0000-000098460000}"/>
    <cellStyle name="Normal 2 2 2 3 23 10" xfId="18081" xr:uid="{00000000-0005-0000-0000-000099460000}"/>
    <cellStyle name="Normal 2 2 2 3 23 11" xfId="18082" xr:uid="{00000000-0005-0000-0000-00009A460000}"/>
    <cellStyle name="Normal 2 2 2 3 23 12" xfId="18083" xr:uid="{00000000-0005-0000-0000-00009B460000}"/>
    <cellStyle name="Normal 2 2 2 3 23 13" xfId="18084" xr:uid="{00000000-0005-0000-0000-00009C460000}"/>
    <cellStyle name="Normal 2 2 2 3 23 14" xfId="18085" xr:uid="{00000000-0005-0000-0000-00009D460000}"/>
    <cellStyle name="Normal 2 2 2 3 23 2" xfId="18086" xr:uid="{00000000-0005-0000-0000-00009E460000}"/>
    <cellStyle name="Normal 2 2 2 3 23 2 10" xfId="18087" xr:uid="{00000000-0005-0000-0000-00009F460000}"/>
    <cellStyle name="Normal 2 2 2 3 23 2 2" xfId="18088" xr:uid="{00000000-0005-0000-0000-0000A0460000}"/>
    <cellStyle name="Normal 2 2 2 3 23 2 3" xfId="18089" xr:uid="{00000000-0005-0000-0000-0000A1460000}"/>
    <cellStyle name="Normal 2 2 2 3 23 2 4" xfId="18090" xr:uid="{00000000-0005-0000-0000-0000A2460000}"/>
    <cellStyle name="Normal 2 2 2 3 23 2 5" xfId="18091" xr:uid="{00000000-0005-0000-0000-0000A3460000}"/>
    <cellStyle name="Normal 2 2 2 3 23 2 6" xfId="18092" xr:uid="{00000000-0005-0000-0000-0000A4460000}"/>
    <cellStyle name="Normal 2 2 2 3 23 2 7" xfId="18093" xr:uid="{00000000-0005-0000-0000-0000A5460000}"/>
    <cellStyle name="Normal 2 2 2 3 23 2 8" xfId="18094" xr:uid="{00000000-0005-0000-0000-0000A6460000}"/>
    <cellStyle name="Normal 2 2 2 3 23 2 9" xfId="18095" xr:uid="{00000000-0005-0000-0000-0000A7460000}"/>
    <cellStyle name="Normal 2 2 2 3 23 3" xfId="18096" xr:uid="{00000000-0005-0000-0000-0000A8460000}"/>
    <cellStyle name="Normal 2 2 2 3 23 3 10" xfId="18097" xr:uid="{00000000-0005-0000-0000-0000A9460000}"/>
    <cellStyle name="Normal 2 2 2 3 23 3 2" xfId="18098" xr:uid="{00000000-0005-0000-0000-0000AA460000}"/>
    <cellStyle name="Normal 2 2 2 3 23 3 3" xfId="18099" xr:uid="{00000000-0005-0000-0000-0000AB460000}"/>
    <cellStyle name="Normal 2 2 2 3 23 3 4" xfId="18100" xr:uid="{00000000-0005-0000-0000-0000AC460000}"/>
    <cellStyle name="Normal 2 2 2 3 23 3 5" xfId="18101" xr:uid="{00000000-0005-0000-0000-0000AD460000}"/>
    <cellStyle name="Normal 2 2 2 3 23 3 6" xfId="18102" xr:uid="{00000000-0005-0000-0000-0000AE460000}"/>
    <cellStyle name="Normal 2 2 2 3 23 3 7" xfId="18103" xr:uid="{00000000-0005-0000-0000-0000AF460000}"/>
    <cellStyle name="Normal 2 2 2 3 23 3 8" xfId="18104" xr:uid="{00000000-0005-0000-0000-0000B0460000}"/>
    <cellStyle name="Normal 2 2 2 3 23 3 9" xfId="18105" xr:uid="{00000000-0005-0000-0000-0000B1460000}"/>
    <cellStyle name="Normal 2 2 2 3 23 4" xfId="18106" xr:uid="{00000000-0005-0000-0000-0000B2460000}"/>
    <cellStyle name="Normal 2 2 2 3 23 4 10" xfId="18107" xr:uid="{00000000-0005-0000-0000-0000B3460000}"/>
    <cellStyle name="Normal 2 2 2 3 23 4 2" xfId="18108" xr:uid="{00000000-0005-0000-0000-0000B4460000}"/>
    <cellStyle name="Normal 2 2 2 3 23 4 3" xfId="18109" xr:uid="{00000000-0005-0000-0000-0000B5460000}"/>
    <cellStyle name="Normal 2 2 2 3 23 4 4" xfId="18110" xr:uid="{00000000-0005-0000-0000-0000B6460000}"/>
    <cellStyle name="Normal 2 2 2 3 23 4 5" xfId="18111" xr:uid="{00000000-0005-0000-0000-0000B7460000}"/>
    <cellStyle name="Normal 2 2 2 3 23 4 6" xfId="18112" xr:uid="{00000000-0005-0000-0000-0000B8460000}"/>
    <cellStyle name="Normal 2 2 2 3 23 4 7" xfId="18113" xr:uid="{00000000-0005-0000-0000-0000B9460000}"/>
    <cellStyle name="Normal 2 2 2 3 23 4 8" xfId="18114" xr:uid="{00000000-0005-0000-0000-0000BA460000}"/>
    <cellStyle name="Normal 2 2 2 3 23 4 9" xfId="18115" xr:uid="{00000000-0005-0000-0000-0000BB460000}"/>
    <cellStyle name="Normal 2 2 2 3 23 5" xfId="18116" xr:uid="{00000000-0005-0000-0000-0000BC460000}"/>
    <cellStyle name="Normal 2 2 2 3 23 5 10" xfId="18117" xr:uid="{00000000-0005-0000-0000-0000BD460000}"/>
    <cellStyle name="Normal 2 2 2 3 23 5 2" xfId="18118" xr:uid="{00000000-0005-0000-0000-0000BE460000}"/>
    <cellStyle name="Normal 2 2 2 3 23 5 3" xfId="18119" xr:uid="{00000000-0005-0000-0000-0000BF460000}"/>
    <cellStyle name="Normal 2 2 2 3 23 5 4" xfId="18120" xr:uid="{00000000-0005-0000-0000-0000C0460000}"/>
    <cellStyle name="Normal 2 2 2 3 23 5 5" xfId="18121" xr:uid="{00000000-0005-0000-0000-0000C1460000}"/>
    <cellStyle name="Normal 2 2 2 3 23 5 6" xfId="18122" xr:uid="{00000000-0005-0000-0000-0000C2460000}"/>
    <cellStyle name="Normal 2 2 2 3 23 5 7" xfId="18123" xr:uid="{00000000-0005-0000-0000-0000C3460000}"/>
    <cellStyle name="Normal 2 2 2 3 23 5 8" xfId="18124" xr:uid="{00000000-0005-0000-0000-0000C4460000}"/>
    <cellStyle name="Normal 2 2 2 3 23 5 9" xfId="18125" xr:uid="{00000000-0005-0000-0000-0000C5460000}"/>
    <cellStyle name="Normal 2 2 2 3 23 6" xfId="18126" xr:uid="{00000000-0005-0000-0000-0000C6460000}"/>
    <cellStyle name="Normal 2 2 2 3 23 7" xfId="18127" xr:uid="{00000000-0005-0000-0000-0000C7460000}"/>
    <cellStyle name="Normal 2 2 2 3 23 8" xfId="18128" xr:uid="{00000000-0005-0000-0000-0000C8460000}"/>
    <cellStyle name="Normal 2 2 2 3 23 9" xfId="18129" xr:uid="{00000000-0005-0000-0000-0000C9460000}"/>
    <cellStyle name="Normal 2 2 2 3 24" xfId="18130" xr:uid="{00000000-0005-0000-0000-0000CA460000}"/>
    <cellStyle name="Normal 2 2 2 3 24 10" xfId="18131" xr:uid="{00000000-0005-0000-0000-0000CB460000}"/>
    <cellStyle name="Normal 2 2 2 3 24 11" xfId="18132" xr:uid="{00000000-0005-0000-0000-0000CC460000}"/>
    <cellStyle name="Normal 2 2 2 3 24 12" xfId="18133" xr:uid="{00000000-0005-0000-0000-0000CD460000}"/>
    <cellStyle name="Normal 2 2 2 3 24 13" xfId="18134" xr:uid="{00000000-0005-0000-0000-0000CE460000}"/>
    <cellStyle name="Normal 2 2 2 3 24 14" xfId="18135" xr:uid="{00000000-0005-0000-0000-0000CF460000}"/>
    <cellStyle name="Normal 2 2 2 3 24 2" xfId="18136" xr:uid="{00000000-0005-0000-0000-0000D0460000}"/>
    <cellStyle name="Normal 2 2 2 3 24 2 10" xfId="18137" xr:uid="{00000000-0005-0000-0000-0000D1460000}"/>
    <cellStyle name="Normal 2 2 2 3 24 2 2" xfId="18138" xr:uid="{00000000-0005-0000-0000-0000D2460000}"/>
    <cellStyle name="Normal 2 2 2 3 24 2 3" xfId="18139" xr:uid="{00000000-0005-0000-0000-0000D3460000}"/>
    <cellStyle name="Normal 2 2 2 3 24 2 4" xfId="18140" xr:uid="{00000000-0005-0000-0000-0000D4460000}"/>
    <cellStyle name="Normal 2 2 2 3 24 2 5" xfId="18141" xr:uid="{00000000-0005-0000-0000-0000D5460000}"/>
    <cellStyle name="Normal 2 2 2 3 24 2 6" xfId="18142" xr:uid="{00000000-0005-0000-0000-0000D6460000}"/>
    <cellStyle name="Normal 2 2 2 3 24 2 7" xfId="18143" xr:uid="{00000000-0005-0000-0000-0000D7460000}"/>
    <cellStyle name="Normal 2 2 2 3 24 2 8" xfId="18144" xr:uid="{00000000-0005-0000-0000-0000D8460000}"/>
    <cellStyle name="Normal 2 2 2 3 24 2 9" xfId="18145" xr:uid="{00000000-0005-0000-0000-0000D9460000}"/>
    <cellStyle name="Normal 2 2 2 3 24 3" xfId="18146" xr:uid="{00000000-0005-0000-0000-0000DA460000}"/>
    <cellStyle name="Normal 2 2 2 3 24 3 10" xfId="18147" xr:uid="{00000000-0005-0000-0000-0000DB460000}"/>
    <cellStyle name="Normal 2 2 2 3 24 3 2" xfId="18148" xr:uid="{00000000-0005-0000-0000-0000DC460000}"/>
    <cellStyle name="Normal 2 2 2 3 24 3 3" xfId="18149" xr:uid="{00000000-0005-0000-0000-0000DD460000}"/>
    <cellStyle name="Normal 2 2 2 3 24 3 4" xfId="18150" xr:uid="{00000000-0005-0000-0000-0000DE460000}"/>
    <cellStyle name="Normal 2 2 2 3 24 3 5" xfId="18151" xr:uid="{00000000-0005-0000-0000-0000DF460000}"/>
    <cellStyle name="Normal 2 2 2 3 24 3 6" xfId="18152" xr:uid="{00000000-0005-0000-0000-0000E0460000}"/>
    <cellStyle name="Normal 2 2 2 3 24 3 7" xfId="18153" xr:uid="{00000000-0005-0000-0000-0000E1460000}"/>
    <cellStyle name="Normal 2 2 2 3 24 3 8" xfId="18154" xr:uid="{00000000-0005-0000-0000-0000E2460000}"/>
    <cellStyle name="Normal 2 2 2 3 24 3 9" xfId="18155" xr:uid="{00000000-0005-0000-0000-0000E3460000}"/>
    <cellStyle name="Normal 2 2 2 3 24 4" xfId="18156" xr:uid="{00000000-0005-0000-0000-0000E4460000}"/>
    <cellStyle name="Normal 2 2 2 3 24 4 10" xfId="18157" xr:uid="{00000000-0005-0000-0000-0000E5460000}"/>
    <cellStyle name="Normal 2 2 2 3 24 4 2" xfId="18158" xr:uid="{00000000-0005-0000-0000-0000E6460000}"/>
    <cellStyle name="Normal 2 2 2 3 24 4 3" xfId="18159" xr:uid="{00000000-0005-0000-0000-0000E7460000}"/>
    <cellStyle name="Normal 2 2 2 3 24 4 4" xfId="18160" xr:uid="{00000000-0005-0000-0000-0000E8460000}"/>
    <cellStyle name="Normal 2 2 2 3 24 4 5" xfId="18161" xr:uid="{00000000-0005-0000-0000-0000E9460000}"/>
    <cellStyle name="Normal 2 2 2 3 24 4 6" xfId="18162" xr:uid="{00000000-0005-0000-0000-0000EA460000}"/>
    <cellStyle name="Normal 2 2 2 3 24 4 7" xfId="18163" xr:uid="{00000000-0005-0000-0000-0000EB460000}"/>
    <cellStyle name="Normal 2 2 2 3 24 4 8" xfId="18164" xr:uid="{00000000-0005-0000-0000-0000EC460000}"/>
    <cellStyle name="Normal 2 2 2 3 24 4 9" xfId="18165" xr:uid="{00000000-0005-0000-0000-0000ED460000}"/>
    <cellStyle name="Normal 2 2 2 3 24 5" xfId="18166" xr:uid="{00000000-0005-0000-0000-0000EE460000}"/>
    <cellStyle name="Normal 2 2 2 3 24 5 10" xfId="18167" xr:uid="{00000000-0005-0000-0000-0000EF460000}"/>
    <cellStyle name="Normal 2 2 2 3 24 5 2" xfId="18168" xr:uid="{00000000-0005-0000-0000-0000F0460000}"/>
    <cellStyle name="Normal 2 2 2 3 24 5 3" xfId="18169" xr:uid="{00000000-0005-0000-0000-0000F1460000}"/>
    <cellStyle name="Normal 2 2 2 3 24 5 4" xfId="18170" xr:uid="{00000000-0005-0000-0000-0000F2460000}"/>
    <cellStyle name="Normal 2 2 2 3 24 5 5" xfId="18171" xr:uid="{00000000-0005-0000-0000-0000F3460000}"/>
    <cellStyle name="Normal 2 2 2 3 24 5 6" xfId="18172" xr:uid="{00000000-0005-0000-0000-0000F4460000}"/>
    <cellStyle name="Normal 2 2 2 3 24 5 7" xfId="18173" xr:uid="{00000000-0005-0000-0000-0000F5460000}"/>
    <cellStyle name="Normal 2 2 2 3 24 5 8" xfId="18174" xr:uid="{00000000-0005-0000-0000-0000F6460000}"/>
    <cellStyle name="Normal 2 2 2 3 24 5 9" xfId="18175" xr:uid="{00000000-0005-0000-0000-0000F7460000}"/>
    <cellStyle name="Normal 2 2 2 3 24 6" xfId="18176" xr:uid="{00000000-0005-0000-0000-0000F8460000}"/>
    <cellStyle name="Normal 2 2 2 3 24 7" xfId="18177" xr:uid="{00000000-0005-0000-0000-0000F9460000}"/>
    <cellStyle name="Normal 2 2 2 3 24 8" xfId="18178" xr:uid="{00000000-0005-0000-0000-0000FA460000}"/>
    <cellStyle name="Normal 2 2 2 3 24 9" xfId="18179" xr:uid="{00000000-0005-0000-0000-0000FB460000}"/>
    <cellStyle name="Normal 2 2 2 3 25" xfId="18180" xr:uid="{00000000-0005-0000-0000-0000FC460000}"/>
    <cellStyle name="Normal 2 2 2 3 25 10" xfId="18181" xr:uid="{00000000-0005-0000-0000-0000FD460000}"/>
    <cellStyle name="Normal 2 2 2 3 25 11" xfId="18182" xr:uid="{00000000-0005-0000-0000-0000FE460000}"/>
    <cellStyle name="Normal 2 2 2 3 25 12" xfId="18183" xr:uid="{00000000-0005-0000-0000-0000FF460000}"/>
    <cellStyle name="Normal 2 2 2 3 25 13" xfId="18184" xr:uid="{00000000-0005-0000-0000-000000470000}"/>
    <cellStyle name="Normal 2 2 2 3 25 14" xfId="18185" xr:uid="{00000000-0005-0000-0000-000001470000}"/>
    <cellStyle name="Normal 2 2 2 3 25 2" xfId="18186" xr:uid="{00000000-0005-0000-0000-000002470000}"/>
    <cellStyle name="Normal 2 2 2 3 25 2 10" xfId="18187" xr:uid="{00000000-0005-0000-0000-000003470000}"/>
    <cellStyle name="Normal 2 2 2 3 25 2 2" xfId="18188" xr:uid="{00000000-0005-0000-0000-000004470000}"/>
    <cellStyle name="Normal 2 2 2 3 25 2 3" xfId="18189" xr:uid="{00000000-0005-0000-0000-000005470000}"/>
    <cellStyle name="Normal 2 2 2 3 25 2 4" xfId="18190" xr:uid="{00000000-0005-0000-0000-000006470000}"/>
    <cellStyle name="Normal 2 2 2 3 25 2 5" xfId="18191" xr:uid="{00000000-0005-0000-0000-000007470000}"/>
    <cellStyle name="Normal 2 2 2 3 25 2 6" xfId="18192" xr:uid="{00000000-0005-0000-0000-000008470000}"/>
    <cellStyle name="Normal 2 2 2 3 25 2 7" xfId="18193" xr:uid="{00000000-0005-0000-0000-000009470000}"/>
    <cellStyle name="Normal 2 2 2 3 25 2 8" xfId="18194" xr:uid="{00000000-0005-0000-0000-00000A470000}"/>
    <cellStyle name="Normal 2 2 2 3 25 2 9" xfId="18195" xr:uid="{00000000-0005-0000-0000-00000B470000}"/>
    <cellStyle name="Normal 2 2 2 3 25 3" xfId="18196" xr:uid="{00000000-0005-0000-0000-00000C470000}"/>
    <cellStyle name="Normal 2 2 2 3 25 3 10" xfId="18197" xr:uid="{00000000-0005-0000-0000-00000D470000}"/>
    <cellStyle name="Normal 2 2 2 3 25 3 2" xfId="18198" xr:uid="{00000000-0005-0000-0000-00000E470000}"/>
    <cellStyle name="Normal 2 2 2 3 25 3 3" xfId="18199" xr:uid="{00000000-0005-0000-0000-00000F470000}"/>
    <cellStyle name="Normal 2 2 2 3 25 3 4" xfId="18200" xr:uid="{00000000-0005-0000-0000-000010470000}"/>
    <cellStyle name="Normal 2 2 2 3 25 3 5" xfId="18201" xr:uid="{00000000-0005-0000-0000-000011470000}"/>
    <cellStyle name="Normal 2 2 2 3 25 3 6" xfId="18202" xr:uid="{00000000-0005-0000-0000-000012470000}"/>
    <cellStyle name="Normal 2 2 2 3 25 3 7" xfId="18203" xr:uid="{00000000-0005-0000-0000-000013470000}"/>
    <cellStyle name="Normal 2 2 2 3 25 3 8" xfId="18204" xr:uid="{00000000-0005-0000-0000-000014470000}"/>
    <cellStyle name="Normal 2 2 2 3 25 3 9" xfId="18205" xr:uid="{00000000-0005-0000-0000-000015470000}"/>
    <cellStyle name="Normal 2 2 2 3 25 4" xfId="18206" xr:uid="{00000000-0005-0000-0000-000016470000}"/>
    <cellStyle name="Normal 2 2 2 3 25 4 10" xfId="18207" xr:uid="{00000000-0005-0000-0000-000017470000}"/>
    <cellStyle name="Normal 2 2 2 3 25 4 2" xfId="18208" xr:uid="{00000000-0005-0000-0000-000018470000}"/>
    <cellStyle name="Normal 2 2 2 3 25 4 3" xfId="18209" xr:uid="{00000000-0005-0000-0000-000019470000}"/>
    <cellStyle name="Normal 2 2 2 3 25 4 4" xfId="18210" xr:uid="{00000000-0005-0000-0000-00001A470000}"/>
    <cellStyle name="Normal 2 2 2 3 25 4 5" xfId="18211" xr:uid="{00000000-0005-0000-0000-00001B470000}"/>
    <cellStyle name="Normal 2 2 2 3 25 4 6" xfId="18212" xr:uid="{00000000-0005-0000-0000-00001C470000}"/>
    <cellStyle name="Normal 2 2 2 3 25 4 7" xfId="18213" xr:uid="{00000000-0005-0000-0000-00001D470000}"/>
    <cellStyle name="Normal 2 2 2 3 25 4 8" xfId="18214" xr:uid="{00000000-0005-0000-0000-00001E470000}"/>
    <cellStyle name="Normal 2 2 2 3 25 4 9" xfId="18215" xr:uid="{00000000-0005-0000-0000-00001F470000}"/>
    <cellStyle name="Normal 2 2 2 3 25 5" xfId="18216" xr:uid="{00000000-0005-0000-0000-000020470000}"/>
    <cellStyle name="Normal 2 2 2 3 25 5 10" xfId="18217" xr:uid="{00000000-0005-0000-0000-000021470000}"/>
    <cellStyle name="Normal 2 2 2 3 25 5 2" xfId="18218" xr:uid="{00000000-0005-0000-0000-000022470000}"/>
    <cellStyle name="Normal 2 2 2 3 25 5 3" xfId="18219" xr:uid="{00000000-0005-0000-0000-000023470000}"/>
    <cellStyle name="Normal 2 2 2 3 25 5 4" xfId="18220" xr:uid="{00000000-0005-0000-0000-000024470000}"/>
    <cellStyle name="Normal 2 2 2 3 25 5 5" xfId="18221" xr:uid="{00000000-0005-0000-0000-000025470000}"/>
    <cellStyle name="Normal 2 2 2 3 25 5 6" xfId="18222" xr:uid="{00000000-0005-0000-0000-000026470000}"/>
    <cellStyle name="Normal 2 2 2 3 25 5 7" xfId="18223" xr:uid="{00000000-0005-0000-0000-000027470000}"/>
    <cellStyle name="Normal 2 2 2 3 25 5 8" xfId="18224" xr:uid="{00000000-0005-0000-0000-000028470000}"/>
    <cellStyle name="Normal 2 2 2 3 25 5 9" xfId="18225" xr:uid="{00000000-0005-0000-0000-000029470000}"/>
    <cellStyle name="Normal 2 2 2 3 25 6" xfId="18226" xr:uid="{00000000-0005-0000-0000-00002A470000}"/>
    <cellStyle name="Normal 2 2 2 3 25 7" xfId="18227" xr:uid="{00000000-0005-0000-0000-00002B470000}"/>
    <cellStyle name="Normal 2 2 2 3 25 8" xfId="18228" xr:uid="{00000000-0005-0000-0000-00002C470000}"/>
    <cellStyle name="Normal 2 2 2 3 25 9" xfId="18229" xr:uid="{00000000-0005-0000-0000-00002D470000}"/>
    <cellStyle name="Normal 2 2 2 3 26" xfId="18230" xr:uid="{00000000-0005-0000-0000-00002E470000}"/>
    <cellStyle name="Normal 2 2 2 3 26 10" xfId="18231" xr:uid="{00000000-0005-0000-0000-00002F470000}"/>
    <cellStyle name="Normal 2 2 2 3 26 11" xfId="18232" xr:uid="{00000000-0005-0000-0000-000030470000}"/>
    <cellStyle name="Normal 2 2 2 3 26 12" xfId="18233" xr:uid="{00000000-0005-0000-0000-000031470000}"/>
    <cellStyle name="Normal 2 2 2 3 26 13" xfId="18234" xr:uid="{00000000-0005-0000-0000-000032470000}"/>
    <cellStyle name="Normal 2 2 2 3 26 14" xfId="18235" xr:uid="{00000000-0005-0000-0000-000033470000}"/>
    <cellStyle name="Normal 2 2 2 3 26 2" xfId="18236" xr:uid="{00000000-0005-0000-0000-000034470000}"/>
    <cellStyle name="Normal 2 2 2 3 26 2 10" xfId="18237" xr:uid="{00000000-0005-0000-0000-000035470000}"/>
    <cellStyle name="Normal 2 2 2 3 26 2 2" xfId="18238" xr:uid="{00000000-0005-0000-0000-000036470000}"/>
    <cellStyle name="Normal 2 2 2 3 26 2 3" xfId="18239" xr:uid="{00000000-0005-0000-0000-000037470000}"/>
    <cellStyle name="Normal 2 2 2 3 26 2 4" xfId="18240" xr:uid="{00000000-0005-0000-0000-000038470000}"/>
    <cellStyle name="Normal 2 2 2 3 26 2 5" xfId="18241" xr:uid="{00000000-0005-0000-0000-000039470000}"/>
    <cellStyle name="Normal 2 2 2 3 26 2 6" xfId="18242" xr:uid="{00000000-0005-0000-0000-00003A470000}"/>
    <cellStyle name="Normal 2 2 2 3 26 2 7" xfId="18243" xr:uid="{00000000-0005-0000-0000-00003B470000}"/>
    <cellStyle name="Normal 2 2 2 3 26 2 8" xfId="18244" xr:uid="{00000000-0005-0000-0000-00003C470000}"/>
    <cellStyle name="Normal 2 2 2 3 26 2 9" xfId="18245" xr:uid="{00000000-0005-0000-0000-00003D470000}"/>
    <cellStyle name="Normal 2 2 2 3 26 3" xfId="18246" xr:uid="{00000000-0005-0000-0000-00003E470000}"/>
    <cellStyle name="Normal 2 2 2 3 26 3 10" xfId="18247" xr:uid="{00000000-0005-0000-0000-00003F470000}"/>
    <cellStyle name="Normal 2 2 2 3 26 3 2" xfId="18248" xr:uid="{00000000-0005-0000-0000-000040470000}"/>
    <cellStyle name="Normal 2 2 2 3 26 3 3" xfId="18249" xr:uid="{00000000-0005-0000-0000-000041470000}"/>
    <cellStyle name="Normal 2 2 2 3 26 3 4" xfId="18250" xr:uid="{00000000-0005-0000-0000-000042470000}"/>
    <cellStyle name="Normal 2 2 2 3 26 3 5" xfId="18251" xr:uid="{00000000-0005-0000-0000-000043470000}"/>
    <cellStyle name="Normal 2 2 2 3 26 3 6" xfId="18252" xr:uid="{00000000-0005-0000-0000-000044470000}"/>
    <cellStyle name="Normal 2 2 2 3 26 3 7" xfId="18253" xr:uid="{00000000-0005-0000-0000-000045470000}"/>
    <cellStyle name="Normal 2 2 2 3 26 3 8" xfId="18254" xr:uid="{00000000-0005-0000-0000-000046470000}"/>
    <cellStyle name="Normal 2 2 2 3 26 3 9" xfId="18255" xr:uid="{00000000-0005-0000-0000-000047470000}"/>
    <cellStyle name="Normal 2 2 2 3 26 4" xfId="18256" xr:uid="{00000000-0005-0000-0000-000048470000}"/>
    <cellStyle name="Normal 2 2 2 3 26 4 10" xfId="18257" xr:uid="{00000000-0005-0000-0000-000049470000}"/>
    <cellStyle name="Normal 2 2 2 3 26 4 2" xfId="18258" xr:uid="{00000000-0005-0000-0000-00004A470000}"/>
    <cellStyle name="Normal 2 2 2 3 26 4 3" xfId="18259" xr:uid="{00000000-0005-0000-0000-00004B470000}"/>
    <cellStyle name="Normal 2 2 2 3 26 4 4" xfId="18260" xr:uid="{00000000-0005-0000-0000-00004C470000}"/>
    <cellStyle name="Normal 2 2 2 3 26 4 5" xfId="18261" xr:uid="{00000000-0005-0000-0000-00004D470000}"/>
    <cellStyle name="Normal 2 2 2 3 26 4 6" xfId="18262" xr:uid="{00000000-0005-0000-0000-00004E470000}"/>
    <cellStyle name="Normal 2 2 2 3 26 4 7" xfId="18263" xr:uid="{00000000-0005-0000-0000-00004F470000}"/>
    <cellStyle name="Normal 2 2 2 3 26 4 8" xfId="18264" xr:uid="{00000000-0005-0000-0000-000050470000}"/>
    <cellStyle name="Normal 2 2 2 3 26 4 9" xfId="18265" xr:uid="{00000000-0005-0000-0000-000051470000}"/>
    <cellStyle name="Normal 2 2 2 3 26 5" xfId="18266" xr:uid="{00000000-0005-0000-0000-000052470000}"/>
    <cellStyle name="Normal 2 2 2 3 26 5 10" xfId="18267" xr:uid="{00000000-0005-0000-0000-000053470000}"/>
    <cellStyle name="Normal 2 2 2 3 26 5 2" xfId="18268" xr:uid="{00000000-0005-0000-0000-000054470000}"/>
    <cellStyle name="Normal 2 2 2 3 26 5 3" xfId="18269" xr:uid="{00000000-0005-0000-0000-000055470000}"/>
    <cellStyle name="Normal 2 2 2 3 26 5 4" xfId="18270" xr:uid="{00000000-0005-0000-0000-000056470000}"/>
    <cellStyle name="Normal 2 2 2 3 26 5 5" xfId="18271" xr:uid="{00000000-0005-0000-0000-000057470000}"/>
    <cellStyle name="Normal 2 2 2 3 26 5 6" xfId="18272" xr:uid="{00000000-0005-0000-0000-000058470000}"/>
    <cellStyle name="Normal 2 2 2 3 26 5 7" xfId="18273" xr:uid="{00000000-0005-0000-0000-000059470000}"/>
    <cellStyle name="Normal 2 2 2 3 26 5 8" xfId="18274" xr:uid="{00000000-0005-0000-0000-00005A470000}"/>
    <cellStyle name="Normal 2 2 2 3 26 5 9" xfId="18275" xr:uid="{00000000-0005-0000-0000-00005B470000}"/>
    <cellStyle name="Normal 2 2 2 3 26 6" xfId="18276" xr:uid="{00000000-0005-0000-0000-00005C470000}"/>
    <cellStyle name="Normal 2 2 2 3 26 7" xfId="18277" xr:uid="{00000000-0005-0000-0000-00005D470000}"/>
    <cellStyle name="Normal 2 2 2 3 26 8" xfId="18278" xr:uid="{00000000-0005-0000-0000-00005E470000}"/>
    <cellStyle name="Normal 2 2 2 3 26 9" xfId="18279" xr:uid="{00000000-0005-0000-0000-00005F470000}"/>
    <cellStyle name="Normal 2 2 2 3 27" xfId="18280" xr:uid="{00000000-0005-0000-0000-000060470000}"/>
    <cellStyle name="Normal 2 2 2 3 27 10" xfId="18281" xr:uid="{00000000-0005-0000-0000-000061470000}"/>
    <cellStyle name="Normal 2 2 2 3 27 11" xfId="18282" xr:uid="{00000000-0005-0000-0000-000062470000}"/>
    <cellStyle name="Normal 2 2 2 3 27 12" xfId="18283" xr:uid="{00000000-0005-0000-0000-000063470000}"/>
    <cellStyle name="Normal 2 2 2 3 27 13" xfId="18284" xr:uid="{00000000-0005-0000-0000-000064470000}"/>
    <cellStyle name="Normal 2 2 2 3 27 14" xfId="18285" xr:uid="{00000000-0005-0000-0000-000065470000}"/>
    <cellStyle name="Normal 2 2 2 3 27 2" xfId="18286" xr:uid="{00000000-0005-0000-0000-000066470000}"/>
    <cellStyle name="Normal 2 2 2 3 27 2 10" xfId="18287" xr:uid="{00000000-0005-0000-0000-000067470000}"/>
    <cellStyle name="Normal 2 2 2 3 27 2 2" xfId="18288" xr:uid="{00000000-0005-0000-0000-000068470000}"/>
    <cellStyle name="Normal 2 2 2 3 27 2 3" xfId="18289" xr:uid="{00000000-0005-0000-0000-000069470000}"/>
    <cellStyle name="Normal 2 2 2 3 27 2 4" xfId="18290" xr:uid="{00000000-0005-0000-0000-00006A470000}"/>
    <cellStyle name="Normal 2 2 2 3 27 2 5" xfId="18291" xr:uid="{00000000-0005-0000-0000-00006B470000}"/>
    <cellStyle name="Normal 2 2 2 3 27 2 6" xfId="18292" xr:uid="{00000000-0005-0000-0000-00006C470000}"/>
    <cellStyle name="Normal 2 2 2 3 27 2 7" xfId="18293" xr:uid="{00000000-0005-0000-0000-00006D470000}"/>
    <cellStyle name="Normal 2 2 2 3 27 2 8" xfId="18294" xr:uid="{00000000-0005-0000-0000-00006E470000}"/>
    <cellStyle name="Normal 2 2 2 3 27 2 9" xfId="18295" xr:uid="{00000000-0005-0000-0000-00006F470000}"/>
    <cellStyle name="Normal 2 2 2 3 27 3" xfId="18296" xr:uid="{00000000-0005-0000-0000-000070470000}"/>
    <cellStyle name="Normal 2 2 2 3 27 3 10" xfId="18297" xr:uid="{00000000-0005-0000-0000-000071470000}"/>
    <cellStyle name="Normal 2 2 2 3 27 3 2" xfId="18298" xr:uid="{00000000-0005-0000-0000-000072470000}"/>
    <cellStyle name="Normal 2 2 2 3 27 3 3" xfId="18299" xr:uid="{00000000-0005-0000-0000-000073470000}"/>
    <cellStyle name="Normal 2 2 2 3 27 3 4" xfId="18300" xr:uid="{00000000-0005-0000-0000-000074470000}"/>
    <cellStyle name="Normal 2 2 2 3 27 3 5" xfId="18301" xr:uid="{00000000-0005-0000-0000-000075470000}"/>
    <cellStyle name="Normal 2 2 2 3 27 3 6" xfId="18302" xr:uid="{00000000-0005-0000-0000-000076470000}"/>
    <cellStyle name="Normal 2 2 2 3 27 3 7" xfId="18303" xr:uid="{00000000-0005-0000-0000-000077470000}"/>
    <cellStyle name="Normal 2 2 2 3 27 3 8" xfId="18304" xr:uid="{00000000-0005-0000-0000-000078470000}"/>
    <cellStyle name="Normal 2 2 2 3 27 3 9" xfId="18305" xr:uid="{00000000-0005-0000-0000-000079470000}"/>
    <cellStyle name="Normal 2 2 2 3 27 4" xfId="18306" xr:uid="{00000000-0005-0000-0000-00007A470000}"/>
    <cellStyle name="Normal 2 2 2 3 27 4 10" xfId="18307" xr:uid="{00000000-0005-0000-0000-00007B470000}"/>
    <cellStyle name="Normal 2 2 2 3 27 4 2" xfId="18308" xr:uid="{00000000-0005-0000-0000-00007C470000}"/>
    <cellStyle name="Normal 2 2 2 3 27 4 3" xfId="18309" xr:uid="{00000000-0005-0000-0000-00007D470000}"/>
    <cellStyle name="Normal 2 2 2 3 27 4 4" xfId="18310" xr:uid="{00000000-0005-0000-0000-00007E470000}"/>
    <cellStyle name="Normal 2 2 2 3 27 4 5" xfId="18311" xr:uid="{00000000-0005-0000-0000-00007F470000}"/>
    <cellStyle name="Normal 2 2 2 3 27 4 6" xfId="18312" xr:uid="{00000000-0005-0000-0000-000080470000}"/>
    <cellStyle name="Normal 2 2 2 3 27 4 7" xfId="18313" xr:uid="{00000000-0005-0000-0000-000081470000}"/>
    <cellStyle name="Normal 2 2 2 3 27 4 8" xfId="18314" xr:uid="{00000000-0005-0000-0000-000082470000}"/>
    <cellStyle name="Normal 2 2 2 3 27 4 9" xfId="18315" xr:uid="{00000000-0005-0000-0000-000083470000}"/>
    <cellStyle name="Normal 2 2 2 3 27 5" xfId="18316" xr:uid="{00000000-0005-0000-0000-000084470000}"/>
    <cellStyle name="Normal 2 2 2 3 27 5 10" xfId="18317" xr:uid="{00000000-0005-0000-0000-000085470000}"/>
    <cellStyle name="Normal 2 2 2 3 27 5 2" xfId="18318" xr:uid="{00000000-0005-0000-0000-000086470000}"/>
    <cellStyle name="Normal 2 2 2 3 27 5 3" xfId="18319" xr:uid="{00000000-0005-0000-0000-000087470000}"/>
    <cellStyle name="Normal 2 2 2 3 27 5 4" xfId="18320" xr:uid="{00000000-0005-0000-0000-000088470000}"/>
    <cellStyle name="Normal 2 2 2 3 27 5 5" xfId="18321" xr:uid="{00000000-0005-0000-0000-000089470000}"/>
    <cellStyle name="Normal 2 2 2 3 27 5 6" xfId="18322" xr:uid="{00000000-0005-0000-0000-00008A470000}"/>
    <cellStyle name="Normal 2 2 2 3 27 5 7" xfId="18323" xr:uid="{00000000-0005-0000-0000-00008B470000}"/>
    <cellStyle name="Normal 2 2 2 3 27 5 8" xfId="18324" xr:uid="{00000000-0005-0000-0000-00008C470000}"/>
    <cellStyle name="Normal 2 2 2 3 27 5 9" xfId="18325" xr:uid="{00000000-0005-0000-0000-00008D470000}"/>
    <cellStyle name="Normal 2 2 2 3 27 6" xfId="18326" xr:uid="{00000000-0005-0000-0000-00008E470000}"/>
    <cellStyle name="Normal 2 2 2 3 27 7" xfId="18327" xr:uid="{00000000-0005-0000-0000-00008F470000}"/>
    <cellStyle name="Normal 2 2 2 3 27 8" xfId="18328" xr:uid="{00000000-0005-0000-0000-000090470000}"/>
    <cellStyle name="Normal 2 2 2 3 27 9" xfId="18329" xr:uid="{00000000-0005-0000-0000-000091470000}"/>
    <cellStyle name="Normal 2 2 2 3 28" xfId="18330" xr:uid="{00000000-0005-0000-0000-000092470000}"/>
    <cellStyle name="Normal 2 2 2 3 28 10" xfId="18331" xr:uid="{00000000-0005-0000-0000-000093470000}"/>
    <cellStyle name="Normal 2 2 2 3 28 11" xfId="18332" xr:uid="{00000000-0005-0000-0000-000094470000}"/>
    <cellStyle name="Normal 2 2 2 3 28 12" xfId="18333" xr:uid="{00000000-0005-0000-0000-000095470000}"/>
    <cellStyle name="Normal 2 2 2 3 28 13" xfId="18334" xr:uid="{00000000-0005-0000-0000-000096470000}"/>
    <cellStyle name="Normal 2 2 2 3 28 14" xfId="18335" xr:uid="{00000000-0005-0000-0000-000097470000}"/>
    <cellStyle name="Normal 2 2 2 3 28 2" xfId="18336" xr:uid="{00000000-0005-0000-0000-000098470000}"/>
    <cellStyle name="Normal 2 2 2 3 28 2 10" xfId="18337" xr:uid="{00000000-0005-0000-0000-000099470000}"/>
    <cellStyle name="Normal 2 2 2 3 28 2 2" xfId="18338" xr:uid="{00000000-0005-0000-0000-00009A470000}"/>
    <cellStyle name="Normal 2 2 2 3 28 2 3" xfId="18339" xr:uid="{00000000-0005-0000-0000-00009B470000}"/>
    <cellStyle name="Normal 2 2 2 3 28 2 4" xfId="18340" xr:uid="{00000000-0005-0000-0000-00009C470000}"/>
    <cellStyle name="Normal 2 2 2 3 28 2 5" xfId="18341" xr:uid="{00000000-0005-0000-0000-00009D470000}"/>
    <cellStyle name="Normal 2 2 2 3 28 2 6" xfId="18342" xr:uid="{00000000-0005-0000-0000-00009E470000}"/>
    <cellStyle name="Normal 2 2 2 3 28 2 7" xfId="18343" xr:uid="{00000000-0005-0000-0000-00009F470000}"/>
    <cellStyle name="Normal 2 2 2 3 28 2 8" xfId="18344" xr:uid="{00000000-0005-0000-0000-0000A0470000}"/>
    <cellStyle name="Normal 2 2 2 3 28 2 9" xfId="18345" xr:uid="{00000000-0005-0000-0000-0000A1470000}"/>
    <cellStyle name="Normal 2 2 2 3 28 3" xfId="18346" xr:uid="{00000000-0005-0000-0000-0000A2470000}"/>
    <cellStyle name="Normal 2 2 2 3 28 3 10" xfId="18347" xr:uid="{00000000-0005-0000-0000-0000A3470000}"/>
    <cellStyle name="Normal 2 2 2 3 28 3 2" xfId="18348" xr:uid="{00000000-0005-0000-0000-0000A4470000}"/>
    <cellStyle name="Normal 2 2 2 3 28 3 3" xfId="18349" xr:uid="{00000000-0005-0000-0000-0000A5470000}"/>
    <cellStyle name="Normal 2 2 2 3 28 3 4" xfId="18350" xr:uid="{00000000-0005-0000-0000-0000A6470000}"/>
    <cellStyle name="Normal 2 2 2 3 28 3 5" xfId="18351" xr:uid="{00000000-0005-0000-0000-0000A7470000}"/>
    <cellStyle name="Normal 2 2 2 3 28 3 6" xfId="18352" xr:uid="{00000000-0005-0000-0000-0000A8470000}"/>
    <cellStyle name="Normal 2 2 2 3 28 3 7" xfId="18353" xr:uid="{00000000-0005-0000-0000-0000A9470000}"/>
    <cellStyle name="Normal 2 2 2 3 28 3 8" xfId="18354" xr:uid="{00000000-0005-0000-0000-0000AA470000}"/>
    <cellStyle name="Normal 2 2 2 3 28 3 9" xfId="18355" xr:uid="{00000000-0005-0000-0000-0000AB470000}"/>
    <cellStyle name="Normal 2 2 2 3 28 4" xfId="18356" xr:uid="{00000000-0005-0000-0000-0000AC470000}"/>
    <cellStyle name="Normal 2 2 2 3 28 4 10" xfId="18357" xr:uid="{00000000-0005-0000-0000-0000AD470000}"/>
    <cellStyle name="Normal 2 2 2 3 28 4 2" xfId="18358" xr:uid="{00000000-0005-0000-0000-0000AE470000}"/>
    <cellStyle name="Normal 2 2 2 3 28 4 3" xfId="18359" xr:uid="{00000000-0005-0000-0000-0000AF470000}"/>
    <cellStyle name="Normal 2 2 2 3 28 4 4" xfId="18360" xr:uid="{00000000-0005-0000-0000-0000B0470000}"/>
    <cellStyle name="Normal 2 2 2 3 28 4 5" xfId="18361" xr:uid="{00000000-0005-0000-0000-0000B1470000}"/>
    <cellStyle name="Normal 2 2 2 3 28 4 6" xfId="18362" xr:uid="{00000000-0005-0000-0000-0000B2470000}"/>
    <cellStyle name="Normal 2 2 2 3 28 4 7" xfId="18363" xr:uid="{00000000-0005-0000-0000-0000B3470000}"/>
    <cellStyle name="Normal 2 2 2 3 28 4 8" xfId="18364" xr:uid="{00000000-0005-0000-0000-0000B4470000}"/>
    <cellStyle name="Normal 2 2 2 3 28 4 9" xfId="18365" xr:uid="{00000000-0005-0000-0000-0000B5470000}"/>
    <cellStyle name="Normal 2 2 2 3 28 5" xfId="18366" xr:uid="{00000000-0005-0000-0000-0000B6470000}"/>
    <cellStyle name="Normal 2 2 2 3 28 5 10" xfId="18367" xr:uid="{00000000-0005-0000-0000-0000B7470000}"/>
    <cellStyle name="Normal 2 2 2 3 28 5 2" xfId="18368" xr:uid="{00000000-0005-0000-0000-0000B8470000}"/>
    <cellStyle name="Normal 2 2 2 3 28 5 3" xfId="18369" xr:uid="{00000000-0005-0000-0000-0000B9470000}"/>
    <cellStyle name="Normal 2 2 2 3 28 5 4" xfId="18370" xr:uid="{00000000-0005-0000-0000-0000BA470000}"/>
    <cellStyle name="Normal 2 2 2 3 28 5 5" xfId="18371" xr:uid="{00000000-0005-0000-0000-0000BB470000}"/>
    <cellStyle name="Normal 2 2 2 3 28 5 6" xfId="18372" xr:uid="{00000000-0005-0000-0000-0000BC470000}"/>
    <cellStyle name="Normal 2 2 2 3 28 5 7" xfId="18373" xr:uid="{00000000-0005-0000-0000-0000BD470000}"/>
    <cellStyle name="Normal 2 2 2 3 28 5 8" xfId="18374" xr:uid="{00000000-0005-0000-0000-0000BE470000}"/>
    <cellStyle name="Normal 2 2 2 3 28 5 9" xfId="18375" xr:uid="{00000000-0005-0000-0000-0000BF470000}"/>
    <cellStyle name="Normal 2 2 2 3 28 6" xfId="18376" xr:uid="{00000000-0005-0000-0000-0000C0470000}"/>
    <cellStyle name="Normal 2 2 2 3 28 7" xfId="18377" xr:uid="{00000000-0005-0000-0000-0000C1470000}"/>
    <cellStyle name="Normal 2 2 2 3 28 8" xfId="18378" xr:uid="{00000000-0005-0000-0000-0000C2470000}"/>
    <cellStyle name="Normal 2 2 2 3 28 9" xfId="18379" xr:uid="{00000000-0005-0000-0000-0000C3470000}"/>
    <cellStyle name="Normal 2 2 2 3 29" xfId="18380" xr:uid="{00000000-0005-0000-0000-0000C4470000}"/>
    <cellStyle name="Normal 2 2 2 3 29 10" xfId="18381" xr:uid="{00000000-0005-0000-0000-0000C5470000}"/>
    <cellStyle name="Normal 2 2 2 3 29 11" xfId="18382" xr:uid="{00000000-0005-0000-0000-0000C6470000}"/>
    <cellStyle name="Normal 2 2 2 3 29 12" xfId="18383" xr:uid="{00000000-0005-0000-0000-0000C7470000}"/>
    <cellStyle name="Normal 2 2 2 3 29 13" xfId="18384" xr:uid="{00000000-0005-0000-0000-0000C8470000}"/>
    <cellStyle name="Normal 2 2 2 3 29 14" xfId="18385" xr:uid="{00000000-0005-0000-0000-0000C9470000}"/>
    <cellStyle name="Normal 2 2 2 3 29 2" xfId="18386" xr:uid="{00000000-0005-0000-0000-0000CA470000}"/>
    <cellStyle name="Normal 2 2 2 3 29 2 10" xfId="18387" xr:uid="{00000000-0005-0000-0000-0000CB470000}"/>
    <cellStyle name="Normal 2 2 2 3 29 2 2" xfId="18388" xr:uid="{00000000-0005-0000-0000-0000CC470000}"/>
    <cellStyle name="Normal 2 2 2 3 29 2 3" xfId="18389" xr:uid="{00000000-0005-0000-0000-0000CD470000}"/>
    <cellStyle name="Normal 2 2 2 3 29 2 4" xfId="18390" xr:uid="{00000000-0005-0000-0000-0000CE470000}"/>
    <cellStyle name="Normal 2 2 2 3 29 2 5" xfId="18391" xr:uid="{00000000-0005-0000-0000-0000CF470000}"/>
    <cellStyle name="Normal 2 2 2 3 29 2 6" xfId="18392" xr:uid="{00000000-0005-0000-0000-0000D0470000}"/>
    <cellStyle name="Normal 2 2 2 3 29 2 7" xfId="18393" xr:uid="{00000000-0005-0000-0000-0000D1470000}"/>
    <cellStyle name="Normal 2 2 2 3 29 2 8" xfId="18394" xr:uid="{00000000-0005-0000-0000-0000D2470000}"/>
    <cellStyle name="Normal 2 2 2 3 29 2 9" xfId="18395" xr:uid="{00000000-0005-0000-0000-0000D3470000}"/>
    <cellStyle name="Normal 2 2 2 3 29 3" xfId="18396" xr:uid="{00000000-0005-0000-0000-0000D4470000}"/>
    <cellStyle name="Normal 2 2 2 3 29 3 10" xfId="18397" xr:uid="{00000000-0005-0000-0000-0000D5470000}"/>
    <cellStyle name="Normal 2 2 2 3 29 3 2" xfId="18398" xr:uid="{00000000-0005-0000-0000-0000D6470000}"/>
    <cellStyle name="Normal 2 2 2 3 29 3 3" xfId="18399" xr:uid="{00000000-0005-0000-0000-0000D7470000}"/>
    <cellStyle name="Normal 2 2 2 3 29 3 4" xfId="18400" xr:uid="{00000000-0005-0000-0000-0000D8470000}"/>
    <cellStyle name="Normal 2 2 2 3 29 3 5" xfId="18401" xr:uid="{00000000-0005-0000-0000-0000D9470000}"/>
    <cellStyle name="Normal 2 2 2 3 29 3 6" xfId="18402" xr:uid="{00000000-0005-0000-0000-0000DA470000}"/>
    <cellStyle name="Normal 2 2 2 3 29 3 7" xfId="18403" xr:uid="{00000000-0005-0000-0000-0000DB470000}"/>
    <cellStyle name="Normal 2 2 2 3 29 3 8" xfId="18404" xr:uid="{00000000-0005-0000-0000-0000DC470000}"/>
    <cellStyle name="Normal 2 2 2 3 29 3 9" xfId="18405" xr:uid="{00000000-0005-0000-0000-0000DD470000}"/>
    <cellStyle name="Normal 2 2 2 3 29 4" xfId="18406" xr:uid="{00000000-0005-0000-0000-0000DE470000}"/>
    <cellStyle name="Normal 2 2 2 3 29 4 10" xfId="18407" xr:uid="{00000000-0005-0000-0000-0000DF470000}"/>
    <cellStyle name="Normal 2 2 2 3 29 4 2" xfId="18408" xr:uid="{00000000-0005-0000-0000-0000E0470000}"/>
    <cellStyle name="Normal 2 2 2 3 29 4 3" xfId="18409" xr:uid="{00000000-0005-0000-0000-0000E1470000}"/>
    <cellStyle name="Normal 2 2 2 3 29 4 4" xfId="18410" xr:uid="{00000000-0005-0000-0000-0000E2470000}"/>
    <cellStyle name="Normal 2 2 2 3 29 4 5" xfId="18411" xr:uid="{00000000-0005-0000-0000-0000E3470000}"/>
    <cellStyle name="Normal 2 2 2 3 29 4 6" xfId="18412" xr:uid="{00000000-0005-0000-0000-0000E4470000}"/>
    <cellStyle name="Normal 2 2 2 3 29 4 7" xfId="18413" xr:uid="{00000000-0005-0000-0000-0000E5470000}"/>
    <cellStyle name="Normal 2 2 2 3 29 4 8" xfId="18414" xr:uid="{00000000-0005-0000-0000-0000E6470000}"/>
    <cellStyle name="Normal 2 2 2 3 29 4 9" xfId="18415" xr:uid="{00000000-0005-0000-0000-0000E7470000}"/>
    <cellStyle name="Normal 2 2 2 3 29 5" xfId="18416" xr:uid="{00000000-0005-0000-0000-0000E8470000}"/>
    <cellStyle name="Normal 2 2 2 3 29 5 10" xfId="18417" xr:uid="{00000000-0005-0000-0000-0000E9470000}"/>
    <cellStyle name="Normal 2 2 2 3 29 5 2" xfId="18418" xr:uid="{00000000-0005-0000-0000-0000EA470000}"/>
    <cellStyle name="Normal 2 2 2 3 29 5 3" xfId="18419" xr:uid="{00000000-0005-0000-0000-0000EB470000}"/>
    <cellStyle name="Normal 2 2 2 3 29 5 4" xfId="18420" xr:uid="{00000000-0005-0000-0000-0000EC470000}"/>
    <cellStyle name="Normal 2 2 2 3 29 5 5" xfId="18421" xr:uid="{00000000-0005-0000-0000-0000ED470000}"/>
    <cellStyle name="Normal 2 2 2 3 29 5 6" xfId="18422" xr:uid="{00000000-0005-0000-0000-0000EE470000}"/>
    <cellStyle name="Normal 2 2 2 3 29 5 7" xfId="18423" xr:uid="{00000000-0005-0000-0000-0000EF470000}"/>
    <cellStyle name="Normal 2 2 2 3 29 5 8" xfId="18424" xr:uid="{00000000-0005-0000-0000-0000F0470000}"/>
    <cellStyle name="Normal 2 2 2 3 29 5 9" xfId="18425" xr:uid="{00000000-0005-0000-0000-0000F1470000}"/>
    <cellStyle name="Normal 2 2 2 3 29 6" xfId="18426" xr:uid="{00000000-0005-0000-0000-0000F2470000}"/>
    <cellStyle name="Normal 2 2 2 3 29 7" xfId="18427" xr:uid="{00000000-0005-0000-0000-0000F3470000}"/>
    <cellStyle name="Normal 2 2 2 3 29 8" xfId="18428" xr:uid="{00000000-0005-0000-0000-0000F4470000}"/>
    <cellStyle name="Normal 2 2 2 3 29 9" xfId="18429" xr:uid="{00000000-0005-0000-0000-0000F5470000}"/>
    <cellStyle name="Normal 2 2 2 3 3" xfId="18430" xr:uid="{00000000-0005-0000-0000-0000F6470000}"/>
    <cellStyle name="Normal 2 2 2 3 3 10" xfId="18431" xr:uid="{00000000-0005-0000-0000-0000F7470000}"/>
    <cellStyle name="Normal 2 2 2 3 3 11" xfId="18432" xr:uid="{00000000-0005-0000-0000-0000F8470000}"/>
    <cellStyle name="Normal 2 2 2 3 3 12" xfId="18433" xr:uid="{00000000-0005-0000-0000-0000F9470000}"/>
    <cellStyle name="Normal 2 2 2 3 3 13" xfId="18434" xr:uid="{00000000-0005-0000-0000-0000FA470000}"/>
    <cellStyle name="Normal 2 2 2 3 3 14" xfId="18435" xr:uid="{00000000-0005-0000-0000-0000FB470000}"/>
    <cellStyle name="Normal 2 2 2 3 3 15" xfId="18436" xr:uid="{00000000-0005-0000-0000-0000FC470000}"/>
    <cellStyle name="Normal 2 2 2 3 3 16" xfId="18437" xr:uid="{00000000-0005-0000-0000-0000FD470000}"/>
    <cellStyle name="Normal 2 2 2 3 3 2" xfId="18438" xr:uid="{00000000-0005-0000-0000-0000FE470000}"/>
    <cellStyle name="Normal 2 2 2 3 3 2 10" xfId="18439" xr:uid="{00000000-0005-0000-0000-0000FF470000}"/>
    <cellStyle name="Normal 2 2 2 3 3 2 11" xfId="18440" xr:uid="{00000000-0005-0000-0000-000000480000}"/>
    <cellStyle name="Normal 2 2 2 3 3 2 12" xfId="18441" xr:uid="{00000000-0005-0000-0000-000001480000}"/>
    <cellStyle name="Normal 2 2 2 3 3 2 2" xfId="18442" xr:uid="{00000000-0005-0000-0000-000002480000}"/>
    <cellStyle name="Normal 2 2 2 3 3 2 3" xfId="18443" xr:uid="{00000000-0005-0000-0000-000003480000}"/>
    <cellStyle name="Normal 2 2 2 3 3 2 4" xfId="18444" xr:uid="{00000000-0005-0000-0000-000004480000}"/>
    <cellStyle name="Normal 2 2 2 3 3 2 5" xfId="18445" xr:uid="{00000000-0005-0000-0000-000005480000}"/>
    <cellStyle name="Normal 2 2 2 3 3 2 6" xfId="18446" xr:uid="{00000000-0005-0000-0000-000006480000}"/>
    <cellStyle name="Normal 2 2 2 3 3 2 7" xfId="18447" xr:uid="{00000000-0005-0000-0000-000007480000}"/>
    <cellStyle name="Normal 2 2 2 3 3 2 8" xfId="18448" xr:uid="{00000000-0005-0000-0000-000008480000}"/>
    <cellStyle name="Normal 2 2 2 3 3 2 9" xfId="18449" xr:uid="{00000000-0005-0000-0000-000009480000}"/>
    <cellStyle name="Normal 2 2 2 3 3 3" xfId="18450" xr:uid="{00000000-0005-0000-0000-00000A480000}"/>
    <cellStyle name="Normal 2 2 2 3 3 3 10" xfId="18451" xr:uid="{00000000-0005-0000-0000-00000B480000}"/>
    <cellStyle name="Normal 2 2 2 3 3 3 2" xfId="18452" xr:uid="{00000000-0005-0000-0000-00000C480000}"/>
    <cellStyle name="Normal 2 2 2 3 3 3 3" xfId="18453" xr:uid="{00000000-0005-0000-0000-00000D480000}"/>
    <cellStyle name="Normal 2 2 2 3 3 3 4" xfId="18454" xr:uid="{00000000-0005-0000-0000-00000E480000}"/>
    <cellStyle name="Normal 2 2 2 3 3 3 5" xfId="18455" xr:uid="{00000000-0005-0000-0000-00000F480000}"/>
    <cellStyle name="Normal 2 2 2 3 3 3 6" xfId="18456" xr:uid="{00000000-0005-0000-0000-000010480000}"/>
    <cellStyle name="Normal 2 2 2 3 3 3 7" xfId="18457" xr:uid="{00000000-0005-0000-0000-000011480000}"/>
    <cellStyle name="Normal 2 2 2 3 3 3 8" xfId="18458" xr:uid="{00000000-0005-0000-0000-000012480000}"/>
    <cellStyle name="Normal 2 2 2 3 3 3 9" xfId="18459" xr:uid="{00000000-0005-0000-0000-000013480000}"/>
    <cellStyle name="Normal 2 2 2 3 3 4" xfId="18460" xr:uid="{00000000-0005-0000-0000-000014480000}"/>
    <cellStyle name="Normal 2 2 2 3 3 4 10" xfId="18461" xr:uid="{00000000-0005-0000-0000-000015480000}"/>
    <cellStyle name="Normal 2 2 2 3 3 4 2" xfId="18462" xr:uid="{00000000-0005-0000-0000-000016480000}"/>
    <cellStyle name="Normal 2 2 2 3 3 4 3" xfId="18463" xr:uid="{00000000-0005-0000-0000-000017480000}"/>
    <cellStyle name="Normal 2 2 2 3 3 4 4" xfId="18464" xr:uid="{00000000-0005-0000-0000-000018480000}"/>
    <cellStyle name="Normal 2 2 2 3 3 4 5" xfId="18465" xr:uid="{00000000-0005-0000-0000-000019480000}"/>
    <cellStyle name="Normal 2 2 2 3 3 4 6" xfId="18466" xr:uid="{00000000-0005-0000-0000-00001A480000}"/>
    <cellStyle name="Normal 2 2 2 3 3 4 7" xfId="18467" xr:uid="{00000000-0005-0000-0000-00001B480000}"/>
    <cellStyle name="Normal 2 2 2 3 3 4 8" xfId="18468" xr:uid="{00000000-0005-0000-0000-00001C480000}"/>
    <cellStyle name="Normal 2 2 2 3 3 4 9" xfId="18469" xr:uid="{00000000-0005-0000-0000-00001D480000}"/>
    <cellStyle name="Normal 2 2 2 3 3 5" xfId="18470" xr:uid="{00000000-0005-0000-0000-00001E480000}"/>
    <cellStyle name="Normal 2 2 2 3 3 5 10" xfId="18471" xr:uid="{00000000-0005-0000-0000-00001F480000}"/>
    <cellStyle name="Normal 2 2 2 3 3 5 2" xfId="18472" xr:uid="{00000000-0005-0000-0000-000020480000}"/>
    <cellStyle name="Normal 2 2 2 3 3 5 3" xfId="18473" xr:uid="{00000000-0005-0000-0000-000021480000}"/>
    <cellStyle name="Normal 2 2 2 3 3 5 4" xfId="18474" xr:uid="{00000000-0005-0000-0000-000022480000}"/>
    <cellStyle name="Normal 2 2 2 3 3 5 5" xfId="18475" xr:uid="{00000000-0005-0000-0000-000023480000}"/>
    <cellStyle name="Normal 2 2 2 3 3 5 6" xfId="18476" xr:uid="{00000000-0005-0000-0000-000024480000}"/>
    <cellStyle name="Normal 2 2 2 3 3 5 7" xfId="18477" xr:uid="{00000000-0005-0000-0000-000025480000}"/>
    <cellStyle name="Normal 2 2 2 3 3 5 8" xfId="18478" xr:uid="{00000000-0005-0000-0000-000026480000}"/>
    <cellStyle name="Normal 2 2 2 3 3 5 9" xfId="18479" xr:uid="{00000000-0005-0000-0000-000027480000}"/>
    <cellStyle name="Normal 2 2 2 3 3 6" xfId="18480" xr:uid="{00000000-0005-0000-0000-000028480000}"/>
    <cellStyle name="Normal 2 2 2 3 3 7" xfId="18481" xr:uid="{00000000-0005-0000-0000-000029480000}"/>
    <cellStyle name="Normal 2 2 2 3 3 8" xfId="18482" xr:uid="{00000000-0005-0000-0000-00002A480000}"/>
    <cellStyle name="Normal 2 2 2 3 3 9" xfId="18483" xr:uid="{00000000-0005-0000-0000-00002B480000}"/>
    <cellStyle name="Normal 2 2 2 3 30" xfId="18484" xr:uid="{00000000-0005-0000-0000-00002C480000}"/>
    <cellStyle name="Normal 2 2 2 3 30 10" xfId="18485" xr:uid="{00000000-0005-0000-0000-00002D480000}"/>
    <cellStyle name="Normal 2 2 2 3 30 11" xfId="18486" xr:uid="{00000000-0005-0000-0000-00002E480000}"/>
    <cellStyle name="Normal 2 2 2 3 30 12" xfId="18487" xr:uid="{00000000-0005-0000-0000-00002F480000}"/>
    <cellStyle name="Normal 2 2 2 3 30 13" xfId="18488" xr:uid="{00000000-0005-0000-0000-000030480000}"/>
    <cellStyle name="Normal 2 2 2 3 30 14" xfId="18489" xr:uid="{00000000-0005-0000-0000-000031480000}"/>
    <cellStyle name="Normal 2 2 2 3 30 2" xfId="18490" xr:uid="{00000000-0005-0000-0000-000032480000}"/>
    <cellStyle name="Normal 2 2 2 3 30 2 10" xfId="18491" xr:uid="{00000000-0005-0000-0000-000033480000}"/>
    <cellStyle name="Normal 2 2 2 3 30 2 2" xfId="18492" xr:uid="{00000000-0005-0000-0000-000034480000}"/>
    <cellStyle name="Normal 2 2 2 3 30 2 3" xfId="18493" xr:uid="{00000000-0005-0000-0000-000035480000}"/>
    <cellStyle name="Normal 2 2 2 3 30 2 4" xfId="18494" xr:uid="{00000000-0005-0000-0000-000036480000}"/>
    <cellStyle name="Normal 2 2 2 3 30 2 5" xfId="18495" xr:uid="{00000000-0005-0000-0000-000037480000}"/>
    <cellStyle name="Normal 2 2 2 3 30 2 6" xfId="18496" xr:uid="{00000000-0005-0000-0000-000038480000}"/>
    <cellStyle name="Normal 2 2 2 3 30 2 7" xfId="18497" xr:uid="{00000000-0005-0000-0000-000039480000}"/>
    <cellStyle name="Normal 2 2 2 3 30 2 8" xfId="18498" xr:uid="{00000000-0005-0000-0000-00003A480000}"/>
    <cellStyle name="Normal 2 2 2 3 30 2 9" xfId="18499" xr:uid="{00000000-0005-0000-0000-00003B480000}"/>
    <cellStyle name="Normal 2 2 2 3 30 3" xfId="18500" xr:uid="{00000000-0005-0000-0000-00003C480000}"/>
    <cellStyle name="Normal 2 2 2 3 30 3 10" xfId="18501" xr:uid="{00000000-0005-0000-0000-00003D480000}"/>
    <cellStyle name="Normal 2 2 2 3 30 3 2" xfId="18502" xr:uid="{00000000-0005-0000-0000-00003E480000}"/>
    <cellStyle name="Normal 2 2 2 3 30 3 3" xfId="18503" xr:uid="{00000000-0005-0000-0000-00003F480000}"/>
    <cellStyle name="Normal 2 2 2 3 30 3 4" xfId="18504" xr:uid="{00000000-0005-0000-0000-000040480000}"/>
    <cellStyle name="Normal 2 2 2 3 30 3 5" xfId="18505" xr:uid="{00000000-0005-0000-0000-000041480000}"/>
    <cellStyle name="Normal 2 2 2 3 30 3 6" xfId="18506" xr:uid="{00000000-0005-0000-0000-000042480000}"/>
    <cellStyle name="Normal 2 2 2 3 30 3 7" xfId="18507" xr:uid="{00000000-0005-0000-0000-000043480000}"/>
    <cellStyle name="Normal 2 2 2 3 30 3 8" xfId="18508" xr:uid="{00000000-0005-0000-0000-000044480000}"/>
    <cellStyle name="Normal 2 2 2 3 30 3 9" xfId="18509" xr:uid="{00000000-0005-0000-0000-000045480000}"/>
    <cellStyle name="Normal 2 2 2 3 30 4" xfId="18510" xr:uid="{00000000-0005-0000-0000-000046480000}"/>
    <cellStyle name="Normal 2 2 2 3 30 4 10" xfId="18511" xr:uid="{00000000-0005-0000-0000-000047480000}"/>
    <cellStyle name="Normal 2 2 2 3 30 4 2" xfId="18512" xr:uid="{00000000-0005-0000-0000-000048480000}"/>
    <cellStyle name="Normal 2 2 2 3 30 4 3" xfId="18513" xr:uid="{00000000-0005-0000-0000-000049480000}"/>
    <cellStyle name="Normal 2 2 2 3 30 4 4" xfId="18514" xr:uid="{00000000-0005-0000-0000-00004A480000}"/>
    <cellStyle name="Normal 2 2 2 3 30 4 5" xfId="18515" xr:uid="{00000000-0005-0000-0000-00004B480000}"/>
    <cellStyle name="Normal 2 2 2 3 30 4 6" xfId="18516" xr:uid="{00000000-0005-0000-0000-00004C480000}"/>
    <cellStyle name="Normal 2 2 2 3 30 4 7" xfId="18517" xr:uid="{00000000-0005-0000-0000-00004D480000}"/>
    <cellStyle name="Normal 2 2 2 3 30 4 8" xfId="18518" xr:uid="{00000000-0005-0000-0000-00004E480000}"/>
    <cellStyle name="Normal 2 2 2 3 30 4 9" xfId="18519" xr:uid="{00000000-0005-0000-0000-00004F480000}"/>
    <cellStyle name="Normal 2 2 2 3 30 5" xfId="18520" xr:uid="{00000000-0005-0000-0000-000050480000}"/>
    <cellStyle name="Normal 2 2 2 3 30 5 10" xfId="18521" xr:uid="{00000000-0005-0000-0000-000051480000}"/>
    <cellStyle name="Normal 2 2 2 3 30 5 2" xfId="18522" xr:uid="{00000000-0005-0000-0000-000052480000}"/>
    <cellStyle name="Normal 2 2 2 3 30 5 3" xfId="18523" xr:uid="{00000000-0005-0000-0000-000053480000}"/>
    <cellStyle name="Normal 2 2 2 3 30 5 4" xfId="18524" xr:uid="{00000000-0005-0000-0000-000054480000}"/>
    <cellStyle name="Normal 2 2 2 3 30 5 5" xfId="18525" xr:uid="{00000000-0005-0000-0000-000055480000}"/>
    <cellStyle name="Normal 2 2 2 3 30 5 6" xfId="18526" xr:uid="{00000000-0005-0000-0000-000056480000}"/>
    <cellStyle name="Normal 2 2 2 3 30 5 7" xfId="18527" xr:uid="{00000000-0005-0000-0000-000057480000}"/>
    <cellStyle name="Normal 2 2 2 3 30 5 8" xfId="18528" xr:uid="{00000000-0005-0000-0000-000058480000}"/>
    <cellStyle name="Normal 2 2 2 3 30 5 9" xfId="18529" xr:uid="{00000000-0005-0000-0000-000059480000}"/>
    <cellStyle name="Normal 2 2 2 3 30 6" xfId="18530" xr:uid="{00000000-0005-0000-0000-00005A480000}"/>
    <cellStyle name="Normal 2 2 2 3 30 7" xfId="18531" xr:uid="{00000000-0005-0000-0000-00005B480000}"/>
    <cellStyle name="Normal 2 2 2 3 30 8" xfId="18532" xr:uid="{00000000-0005-0000-0000-00005C480000}"/>
    <cellStyle name="Normal 2 2 2 3 30 9" xfId="18533" xr:uid="{00000000-0005-0000-0000-00005D480000}"/>
    <cellStyle name="Normal 2 2 2 3 31" xfId="18534" xr:uid="{00000000-0005-0000-0000-00005E480000}"/>
    <cellStyle name="Normal 2 2 2 3 31 10" xfId="18535" xr:uid="{00000000-0005-0000-0000-00005F480000}"/>
    <cellStyle name="Normal 2 2 2 3 31 11" xfId="18536" xr:uid="{00000000-0005-0000-0000-000060480000}"/>
    <cellStyle name="Normal 2 2 2 3 31 12" xfId="18537" xr:uid="{00000000-0005-0000-0000-000061480000}"/>
    <cellStyle name="Normal 2 2 2 3 31 13" xfId="18538" xr:uid="{00000000-0005-0000-0000-000062480000}"/>
    <cellStyle name="Normal 2 2 2 3 31 14" xfId="18539" xr:uid="{00000000-0005-0000-0000-000063480000}"/>
    <cellStyle name="Normal 2 2 2 3 31 2" xfId="18540" xr:uid="{00000000-0005-0000-0000-000064480000}"/>
    <cellStyle name="Normal 2 2 2 3 31 2 10" xfId="18541" xr:uid="{00000000-0005-0000-0000-000065480000}"/>
    <cellStyle name="Normal 2 2 2 3 31 2 2" xfId="18542" xr:uid="{00000000-0005-0000-0000-000066480000}"/>
    <cellStyle name="Normal 2 2 2 3 31 2 3" xfId="18543" xr:uid="{00000000-0005-0000-0000-000067480000}"/>
    <cellStyle name="Normal 2 2 2 3 31 2 4" xfId="18544" xr:uid="{00000000-0005-0000-0000-000068480000}"/>
    <cellStyle name="Normal 2 2 2 3 31 2 5" xfId="18545" xr:uid="{00000000-0005-0000-0000-000069480000}"/>
    <cellStyle name="Normal 2 2 2 3 31 2 6" xfId="18546" xr:uid="{00000000-0005-0000-0000-00006A480000}"/>
    <cellStyle name="Normal 2 2 2 3 31 2 7" xfId="18547" xr:uid="{00000000-0005-0000-0000-00006B480000}"/>
    <cellStyle name="Normal 2 2 2 3 31 2 8" xfId="18548" xr:uid="{00000000-0005-0000-0000-00006C480000}"/>
    <cellStyle name="Normal 2 2 2 3 31 2 9" xfId="18549" xr:uid="{00000000-0005-0000-0000-00006D480000}"/>
    <cellStyle name="Normal 2 2 2 3 31 3" xfId="18550" xr:uid="{00000000-0005-0000-0000-00006E480000}"/>
    <cellStyle name="Normal 2 2 2 3 31 3 10" xfId="18551" xr:uid="{00000000-0005-0000-0000-00006F480000}"/>
    <cellStyle name="Normal 2 2 2 3 31 3 2" xfId="18552" xr:uid="{00000000-0005-0000-0000-000070480000}"/>
    <cellStyle name="Normal 2 2 2 3 31 3 3" xfId="18553" xr:uid="{00000000-0005-0000-0000-000071480000}"/>
    <cellStyle name="Normal 2 2 2 3 31 3 4" xfId="18554" xr:uid="{00000000-0005-0000-0000-000072480000}"/>
    <cellStyle name="Normal 2 2 2 3 31 3 5" xfId="18555" xr:uid="{00000000-0005-0000-0000-000073480000}"/>
    <cellStyle name="Normal 2 2 2 3 31 3 6" xfId="18556" xr:uid="{00000000-0005-0000-0000-000074480000}"/>
    <cellStyle name="Normal 2 2 2 3 31 3 7" xfId="18557" xr:uid="{00000000-0005-0000-0000-000075480000}"/>
    <cellStyle name="Normal 2 2 2 3 31 3 8" xfId="18558" xr:uid="{00000000-0005-0000-0000-000076480000}"/>
    <cellStyle name="Normal 2 2 2 3 31 3 9" xfId="18559" xr:uid="{00000000-0005-0000-0000-000077480000}"/>
    <cellStyle name="Normal 2 2 2 3 31 4" xfId="18560" xr:uid="{00000000-0005-0000-0000-000078480000}"/>
    <cellStyle name="Normal 2 2 2 3 31 4 10" xfId="18561" xr:uid="{00000000-0005-0000-0000-000079480000}"/>
    <cellStyle name="Normal 2 2 2 3 31 4 2" xfId="18562" xr:uid="{00000000-0005-0000-0000-00007A480000}"/>
    <cellStyle name="Normal 2 2 2 3 31 4 3" xfId="18563" xr:uid="{00000000-0005-0000-0000-00007B480000}"/>
    <cellStyle name="Normal 2 2 2 3 31 4 4" xfId="18564" xr:uid="{00000000-0005-0000-0000-00007C480000}"/>
    <cellStyle name="Normal 2 2 2 3 31 4 5" xfId="18565" xr:uid="{00000000-0005-0000-0000-00007D480000}"/>
    <cellStyle name="Normal 2 2 2 3 31 4 6" xfId="18566" xr:uid="{00000000-0005-0000-0000-00007E480000}"/>
    <cellStyle name="Normal 2 2 2 3 31 4 7" xfId="18567" xr:uid="{00000000-0005-0000-0000-00007F480000}"/>
    <cellStyle name="Normal 2 2 2 3 31 4 8" xfId="18568" xr:uid="{00000000-0005-0000-0000-000080480000}"/>
    <cellStyle name="Normal 2 2 2 3 31 4 9" xfId="18569" xr:uid="{00000000-0005-0000-0000-000081480000}"/>
    <cellStyle name="Normal 2 2 2 3 31 5" xfId="18570" xr:uid="{00000000-0005-0000-0000-000082480000}"/>
    <cellStyle name="Normal 2 2 2 3 31 5 10" xfId="18571" xr:uid="{00000000-0005-0000-0000-000083480000}"/>
    <cellStyle name="Normal 2 2 2 3 31 5 2" xfId="18572" xr:uid="{00000000-0005-0000-0000-000084480000}"/>
    <cellStyle name="Normal 2 2 2 3 31 5 3" xfId="18573" xr:uid="{00000000-0005-0000-0000-000085480000}"/>
    <cellStyle name="Normal 2 2 2 3 31 5 4" xfId="18574" xr:uid="{00000000-0005-0000-0000-000086480000}"/>
    <cellStyle name="Normal 2 2 2 3 31 5 5" xfId="18575" xr:uid="{00000000-0005-0000-0000-000087480000}"/>
    <cellStyle name="Normal 2 2 2 3 31 5 6" xfId="18576" xr:uid="{00000000-0005-0000-0000-000088480000}"/>
    <cellStyle name="Normal 2 2 2 3 31 5 7" xfId="18577" xr:uid="{00000000-0005-0000-0000-000089480000}"/>
    <cellStyle name="Normal 2 2 2 3 31 5 8" xfId="18578" xr:uid="{00000000-0005-0000-0000-00008A480000}"/>
    <cellStyle name="Normal 2 2 2 3 31 5 9" xfId="18579" xr:uid="{00000000-0005-0000-0000-00008B480000}"/>
    <cellStyle name="Normal 2 2 2 3 31 6" xfId="18580" xr:uid="{00000000-0005-0000-0000-00008C480000}"/>
    <cellStyle name="Normal 2 2 2 3 31 7" xfId="18581" xr:uid="{00000000-0005-0000-0000-00008D480000}"/>
    <cellStyle name="Normal 2 2 2 3 31 8" xfId="18582" xr:uid="{00000000-0005-0000-0000-00008E480000}"/>
    <cellStyle name="Normal 2 2 2 3 31 9" xfId="18583" xr:uid="{00000000-0005-0000-0000-00008F480000}"/>
    <cellStyle name="Normal 2 2 2 3 32" xfId="18584" xr:uid="{00000000-0005-0000-0000-000090480000}"/>
    <cellStyle name="Normal 2 2 2 3 32 10" xfId="18585" xr:uid="{00000000-0005-0000-0000-000091480000}"/>
    <cellStyle name="Normal 2 2 2 3 32 11" xfId="18586" xr:uid="{00000000-0005-0000-0000-000092480000}"/>
    <cellStyle name="Normal 2 2 2 3 32 12" xfId="18587" xr:uid="{00000000-0005-0000-0000-000093480000}"/>
    <cellStyle name="Normal 2 2 2 3 32 13" xfId="18588" xr:uid="{00000000-0005-0000-0000-000094480000}"/>
    <cellStyle name="Normal 2 2 2 3 32 14" xfId="18589" xr:uid="{00000000-0005-0000-0000-000095480000}"/>
    <cellStyle name="Normal 2 2 2 3 32 2" xfId="18590" xr:uid="{00000000-0005-0000-0000-000096480000}"/>
    <cellStyle name="Normal 2 2 2 3 32 2 10" xfId="18591" xr:uid="{00000000-0005-0000-0000-000097480000}"/>
    <cellStyle name="Normal 2 2 2 3 32 2 2" xfId="18592" xr:uid="{00000000-0005-0000-0000-000098480000}"/>
    <cellStyle name="Normal 2 2 2 3 32 2 3" xfId="18593" xr:uid="{00000000-0005-0000-0000-000099480000}"/>
    <cellStyle name="Normal 2 2 2 3 32 2 4" xfId="18594" xr:uid="{00000000-0005-0000-0000-00009A480000}"/>
    <cellStyle name="Normal 2 2 2 3 32 2 5" xfId="18595" xr:uid="{00000000-0005-0000-0000-00009B480000}"/>
    <cellStyle name="Normal 2 2 2 3 32 2 6" xfId="18596" xr:uid="{00000000-0005-0000-0000-00009C480000}"/>
    <cellStyle name="Normal 2 2 2 3 32 2 7" xfId="18597" xr:uid="{00000000-0005-0000-0000-00009D480000}"/>
    <cellStyle name="Normal 2 2 2 3 32 2 8" xfId="18598" xr:uid="{00000000-0005-0000-0000-00009E480000}"/>
    <cellStyle name="Normal 2 2 2 3 32 2 9" xfId="18599" xr:uid="{00000000-0005-0000-0000-00009F480000}"/>
    <cellStyle name="Normal 2 2 2 3 32 3" xfId="18600" xr:uid="{00000000-0005-0000-0000-0000A0480000}"/>
    <cellStyle name="Normal 2 2 2 3 32 3 10" xfId="18601" xr:uid="{00000000-0005-0000-0000-0000A1480000}"/>
    <cellStyle name="Normal 2 2 2 3 32 3 2" xfId="18602" xr:uid="{00000000-0005-0000-0000-0000A2480000}"/>
    <cellStyle name="Normal 2 2 2 3 32 3 3" xfId="18603" xr:uid="{00000000-0005-0000-0000-0000A3480000}"/>
    <cellStyle name="Normal 2 2 2 3 32 3 4" xfId="18604" xr:uid="{00000000-0005-0000-0000-0000A4480000}"/>
    <cellStyle name="Normal 2 2 2 3 32 3 5" xfId="18605" xr:uid="{00000000-0005-0000-0000-0000A5480000}"/>
    <cellStyle name="Normal 2 2 2 3 32 3 6" xfId="18606" xr:uid="{00000000-0005-0000-0000-0000A6480000}"/>
    <cellStyle name="Normal 2 2 2 3 32 3 7" xfId="18607" xr:uid="{00000000-0005-0000-0000-0000A7480000}"/>
    <cellStyle name="Normal 2 2 2 3 32 3 8" xfId="18608" xr:uid="{00000000-0005-0000-0000-0000A8480000}"/>
    <cellStyle name="Normal 2 2 2 3 32 3 9" xfId="18609" xr:uid="{00000000-0005-0000-0000-0000A9480000}"/>
    <cellStyle name="Normal 2 2 2 3 32 4" xfId="18610" xr:uid="{00000000-0005-0000-0000-0000AA480000}"/>
    <cellStyle name="Normal 2 2 2 3 32 4 10" xfId="18611" xr:uid="{00000000-0005-0000-0000-0000AB480000}"/>
    <cellStyle name="Normal 2 2 2 3 32 4 2" xfId="18612" xr:uid="{00000000-0005-0000-0000-0000AC480000}"/>
    <cellStyle name="Normal 2 2 2 3 32 4 3" xfId="18613" xr:uid="{00000000-0005-0000-0000-0000AD480000}"/>
    <cellStyle name="Normal 2 2 2 3 32 4 4" xfId="18614" xr:uid="{00000000-0005-0000-0000-0000AE480000}"/>
    <cellStyle name="Normal 2 2 2 3 32 4 5" xfId="18615" xr:uid="{00000000-0005-0000-0000-0000AF480000}"/>
    <cellStyle name="Normal 2 2 2 3 32 4 6" xfId="18616" xr:uid="{00000000-0005-0000-0000-0000B0480000}"/>
    <cellStyle name="Normal 2 2 2 3 32 4 7" xfId="18617" xr:uid="{00000000-0005-0000-0000-0000B1480000}"/>
    <cellStyle name="Normal 2 2 2 3 32 4 8" xfId="18618" xr:uid="{00000000-0005-0000-0000-0000B2480000}"/>
    <cellStyle name="Normal 2 2 2 3 32 4 9" xfId="18619" xr:uid="{00000000-0005-0000-0000-0000B3480000}"/>
    <cellStyle name="Normal 2 2 2 3 32 5" xfId="18620" xr:uid="{00000000-0005-0000-0000-0000B4480000}"/>
    <cellStyle name="Normal 2 2 2 3 32 5 10" xfId="18621" xr:uid="{00000000-0005-0000-0000-0000B5480000}"/>
    <cellStyle name="Normal 2 2 2 3 32 5 2" xfId="18622" xr:uid="{00000000-0005-0000-0000-0000B6480000}"/>
    <cellStyle name="Normal 2 2 2 3 32 5 3" xfId="18623" xr:uid="{00000000-0005-0000-0000-0000B7480000}"/>
    <cellStyle name="Normal 2 2 2 3 32 5 4" xfId="18624" xr:uid="{00000000-0005-0000-0000-0000B8480000}"/>
    <cellStyle name="Normal 2 2 2 3 32 5 5" xfId="18625" xr:uid="{00000000-0005-0000-0000-0000B9480000}"/>
    <cellStyle name="Normal 2 2 2 3 32 5 6" xfId="18626" xr:uid="{00000000-0005-0000-0000-0000BA480000}"/>
    <cellStyle name="Normal 2 2 2 3 32 5 7" xfId="18627" xr:uid="{00000000-0005-0000-0000-0000BB480000}"/>
    <cellStyle name="Normal 2 2 2 3 32 5 8" xfId="18628" xr:uid="{00000000-0005-0000-0000-0000BC480000}"/>
    <cellStyle name="Normal 2 2 2 3 32 5 9" xfId="18629" xr:uid="{00000000-0005-0000-0000-0000BD480000}"/>
    <cellStyle name="Normal 2 2 2 3 32 6" xfId="18630" xr:uid="{00000000-0005-0000-0000-0000BE480000}"/>
    <cellStyle name="Normal 2 2 2 3 32 7" xfId="18631" xr:uid="{00000000-0005-0000-0000-0000BF480000}"/>
    <cellStyle name="Normal 2 2 2 3 32 8" xfId="18632" xr:uid="{00000000-0005-0000-0000-0000C0480000}"/>
    <cellStyle name="Normal 2 2 2 3 32 9" xfId="18633" xr:uid="{00000000-0005-0000-0000-0000C1480000}"/>
    <cellStyle name="Normal 2 2 2 3 33" xfId="18634" xr:uid="{00000000-0005-0000-0000-0000C2480000}"/>
    <cellStyle name="Normal 2 2 2 3 33 10" xfId="18635" xr:uid="{00000000-0005-0000-0000-0000C3480000}"/>
    <cellStyle name="Normal 2 2 2 3 33 11" xfId="18636" xr:uid="{00000000-0005-0000-0000-0000C4480000}"/>
    <cellStyle name="Normal 2 2 2 3 33 12" xfId="18637" xr:uid="{00000000-0005-0000-0000-0000C5480000}"/>
    <cellStyle name="Normal 2 2 2 3 33 13" xfId="18638" xr:uid="{00000000-0005-0000-0000-0000C6480000}"/>
    <cellStyle name="Normal 2 2 2 3 33 14" xfId="18639" xr:uid="{00000000-0005-0000-0000-0000C7480000}"/>
    <cellStyle name="Normal 2 2 2 3 33 2" xfId="18640" xr:uid="{00000000-0005-0000-0000-0000C8480000}"/>
    <cellStyle name="Normal 2 2 2 3 33 2 10" xfId="18641" xr:uid="{00000000-0005-0000-0000-0000C9480000}"/>
    <cellStyle name="Normal 2 2 2 3 33 2 2" xfId="18642" xr:uid="{00000000-0005-0000-0000-0000CA480000}"/>
    <cellStyle name="Normal 2 2 2 3 33 2 3" xfId="18643" xr:uid="{00000000-0005-0000-0000-0000CB480000}"/>
    <cellStyle name="Normal 2 2 2 3 33 2 4" xfId="18644" xr:uid="{00000000-0005-0000-0000-0000CC480000}"/>
    <cellStyle name="Normal 2 2 2 3 33 2 5" xfId="18645" xr:uid="{00000000-0005-0000-0000-0000CD480000}"/>
    <cellStyle name="Normal 2 2 2 3 33 2 6" xfId="18646" xr:uid="{00000000-0005-0000-0000-0000CE480000}"/>
    <cellStyle name="Normal 2 2 2 3 33 2 7" xfId="18647" xr:uid="{00000000-0005-0000-0000-0000CF480000}"/>
    <cellStyle name="Normal 2 2 2 3 33 2 8" xfId="18648" xr:uid="{00000000-0005-0000-0000-0000D0480000}"/>
    <cellStyle name="Normal 2 2 2 3 33 2 9" xfId="18649" xr:uid="{00000000-0005-0000-0000-0000D1480000}"/>
    <cellStyle name="Normal 2 2 2 3 33 3" xfId="18650" xr:uid="{00000000-0005-0000-0000-0000D2480000}"/>
    <cellStyle name="Normal 2 2 2 3 33 3 10" xfId="18651" xr:uid="{00000000-0005-0000-0000-0000D3480000}"/>
    <cellStyle name="Normal 2 2 2 3 33 3 2" xfId="18652" xr:uid="{00000000-0005-0000-0000-0000D4480000}"/>
    <cellStyle name="Normal 2 2 2 3 33 3 3" xfId="18653" xr:uid="{00000000-0005-0000-0000-0000D5480000}"/>
    <cellStyle name="Normal 2 2 2 3 33 3 4" xfId="18654" xr:uid="{00000000-0005-0000-0000-0000D6480000}"/>
    <cellStyle name="Normal 2 2 2 3 33 3 5" xfId="18655" xr:uid="{00000000-0005-0000-0000-0000D7480000}"/>
    <cellStyle name="Normal 2 2 2 3 33 3 6" xfId="18656" xr:uid="{00000000-0005-0000-0000-0000D8480000}"/>
    <cellStyle name="Normal 2 2 2 3 33 3 7" xfId="18657" xr:uid="{00000000-0005-0000-0000-0000D9480000}"/>
    <cellStyle name="Normal 2 2 2 3 33 3 8" xfId="18658" xr:uid="{00000000-0005-0000-0000-0000DA480000}"/>
    <cellStyle name="Normal 2 2 2 3 33 3 9" xfId="18659" xr:uid="{00000000-0005-0000-0000-0000DB480000}"/>
    <cellStyle name="Normal 2 2 2 3 33 4" xfId="18660" xr:uid="{00000000-0005-0000-0000-0000DC480000}"/>
    <cellStyle name="Normal 2 2 2 3 33 4 10" xfId="18661" xr:uid="{00000000-0005-0000-0000-0000DD480000}"/>
    <cellStyle name="Normal 2 2 2 3 33 4 2" xfId="18662" xr:uid="{00000000-0005-0000-0000-0000DE480000}"/>
    <cellStyle name="Normal 2 2 2 3 33 4 3" xfId="18663" xr:uid="{00000000-0005-0000-0000-0000DF480000}"/>
    <cellStyle name="Normal 2 2 2 3 33 4 4" xfId="18664" xr:uid="{00000000-0005-0000-0000-0000E0480000}"/>
    <cellStyle name="Normal 2 2 2 3 33 4 5" xfId="18665" xr:uid="{00000000-0005-0000-0000-0000E1480000}"/>
    <cellStyle name="Normal 2 2 2 3 33 4 6" xfId="18666" xr:uid="{00000000-0005-0000-0000-0000E2480000}"/>
    <cellStyle name="Normal 2 2 2 3 33 4 7" xfId="18667" xr:uid="{00000000-0005-0000-0000-0000E3480000}"/>
    <cellStyle name="Normal 2 2 2 3 33 4 8" xfId="18668" xr:uid="{00000000-0005-0000-0000-0000E4480000}"/>
    <cellStyle name="Normal 2 2 2 3 33 4 9" xfId="18669" xr:uid="{00000000-0005-0000-0000-0000E5480000}"/>
    <cellStyle name="Normal 2 2 2 3 33 5" xfId="18670" xr:uid="{00000000-0005-0000-0000-0000E6480000}"/>
    <cellStyle name="Normal 2 2 2 3 33 5 10" xfId="18671" xr:uid="{00000000-0005-0000-0000-0000E7480000}"/>
    <cellStyle name="Normal 2 2 2 3 33 5 2" xfId="18672" xr:uid="{00000000-0005-0000-0000-0000E8480000}"/>
    <cellStyle name="Normal 2 2 2 3 33 5 3" xfId="18673" xr:uid="{00000000-0005-0000-0000-0000E9480000}"/>
    <cellStyle name="Normal 2 2 2 3 33 5 4" xfId="18674" xr:uid="{00000000-0005-0000-0000-0000EA480000}"/>
    <cellStyle name="Normal 2 2 2 3 33 5 5" xfId="18675" xr:uid="{00000000-0005-0000-0000-0000EB480000}"/>
    <cellStyle name="Normal 2 2 2 3 33 5 6" xfId="18676" xr:uid="{00000000-0005-0000-0000-0000EC480000}"/>
    <cellStyle name="Normal 2 2 2 3 33 5 7" xfId="18677" xr:uid="{00000000-0005-0000-0000-0000ED480000}"/>
    <cellStyle name="Normal 2 2 2 3 33 5 8" xfId="18678" xr:uid="{00000000-0005-0000-0000-0000EE480000}"/>
    <cellStyle name="Normal 2 2 2 3 33 5 9" xfId="18679" xr:uid="{00000000-0005-0000-0000-0000EF480000}"/>
    <cellStyle name="Normal 2 2 2 3 33 6" xfId="18680" xr:uid="{00000000-0005-0000-0000-0000F0480000}"/>
    <cellStyle name="Normal 2 2 2 3 33 7" xfId="18681" xr:uid="{00000000-0005-0000-0000-0000F1480000}"/>
    <cellStyle name="Normal 2 2 2 3 33 8" xfId="18682" xr:uid="{00000000-0005-0000-0000-0000F2480000}"/>
    <cellStyle name="Normal 2 2 2 3 33 9" xfId="18683" xr:uid="{00000000-0005-0000-0000-0000F3480000}"/>
    <cellStyle name="Normal 2 2 2 3 34" xfId="18684" xr:uid="{00000000-0005-0000-0000-0000F4480000}"/>
    <cellStyle name="Normal 2 2 2 3 34 10" xfId="18685" xr:uid="{00000000-0005-0000-0000-0000F5480000}"/>
    <cellStyle name="Normal 2 2 2 3 34 2" xfId="18686" xr:uid="{00000000-0005-0000-0000-0000F6480000}"/>
    <cellStyle name="Normal 2 2 2 3 34 3" xfId="18687" xr:uid="{00000000-0005-0000-0000-0000F7480000}"/>
    <cellStyle name="Normal 2 2 2 3 34 4" xfId="18688" xr:uid="{00000000-0005-0000-0000-0000F8480000}"/>
    <cellStyle name="Normal 2 2 2 3 34 5" xfId="18689" xr:uid="{00000000-0005-0000-0000-0000F9480000}"/>
    <cellStyle name="Normal 2 2 2 3 34 6" xfId="18690" xr:uid="{00000000-0005-0000-0000-0000FA480000}"/>
    <cellStyle name="Normal 2 2 2 3 34 7" xfId="18691" xr:uid="{00000000-0005-0000-0000-0000FB480000}"/>
    <cellStyle name="Normal 2 2 2 3 34 8" xfId="18692" xr:uid="{00000000-0005-0000-0000-0000FC480000}"/>
    <cellStyle name="Normal 2 2 2 3 34 9" xfId="18693" xr:uid="{00000000-0005-0000-0000-0000FD480000}"/>
    <cellStyle name="Normal 2 2 2 3 35" xfId="18694" xr:uid="{00000000-0005-0000-0000-0000FE480000}"/>
    <cellStyle name="Normal 2 2 2 3 35 10" xfId="18695" xr:uid="{00000000-0005-0000-0000-0000FF480000}"/>
    <cellStyle name="Normal 2 2 2 3 35 2" xfId="18696" xr:uid="{00000000-0005-0000-0000-000000490000}"/>
    <cellStyle name="Normal 2 2 2 3 35 3" xfId="18697" xr:uid="{00000000-0005-0000-0000-000001490000}"/>
    <cellStyle name="Normal 2 2 2 3 35 4" xfId="18698" xr:uid="{00000000-0005-0000-0000-000002490000}"/>
    <cellStyle name="Normal 2 2 2 3 35 5" xfId="18699" xr:uid="{00000000-0005-0000-0000-000003490000}"/>
    <cellStyle name="Normal 2 2 2 3 35 6" xfId="18700" xr:uid="{00000000-0005-0000-0000-000004490000}"/>
    <cellStyle name="Normal 2 2 2 3 35 7" xfId="18701" xr:uid="{00000000-0005-0000-0000-000005490000}"/>
    <cellStyle name="Normal 2 2 2 3 35 8" xfId="18702" xr:uid="{00000000-0005-0000-0000-000006490000}"/>
    <cellStyle name="Normal 2 2 2 3 35 9" xfId="18703" xr:uid="{00000000-0005-0000-0000-000007490000}"/>
    <cellStyle name="Normal 2 2 2 3 36" xfId="18704" xr:uid="{00000000-0005-0000-0000-000008490000}"/>
    <cellStyle name="Normal 2 2 2 3 36 10" xfId="18705" xr:uid="{00000000-0005-0000-0000-000009490000}"/>
    <cellStyle name="Normal 2 2 2 3 36 2" xfId="18706" xr:uid="{00000000-0005-0000-0000-00000A490000}"/>
    <cellStyle name="Normal 2 2 2 3 36 3" xfId="18707" xr:uid="{00000000-0005-0000-0000-00000B490000}"/>
    <cellStyle name="Normal 2 2 2 3 36 4" xfId="18708" xr:uid="{00000000-0005-0000-0000-00000C490000}"/>
    <cellStyle name="Normal 2 2 2 3 36 5" xfId="18709" xr:uid="{00000000-0005-0000-0000-00000D490000}"/>
    <cellStyle name="Normal 2 2 2 3 36 6" xfId="18710" xr:uid="{00000000-0005-0000-0000-00000E490000}"/>
    <cellStyle name="Normal 2 2 2 3 36 7" xfId="18711" xr:uid="{00000000-0005-0000-0000-00000F490000}"/>
    <cellStyle name="Normal 2 2 2 3 36 8" xfId="18712" xr:uid="{00000000-0005-0000-0000-000010490000}"/>
    <cellStyle name="Normal 2 2 2 3 36 9" xfId="18713" xr:uid="{00000000-0005-0000-0000-000011490000}"/>
    <cellStyle name="Normal 2 2 2 3 37" xfId="18714" xr:uid="{00000000-0005-0000-0000-000012490000}"/>
    <cellStyle name="Normal 2 2 2 3 37 10" xfId="18715" xr:uid="{00000000-0005-0000-0000-000013490000}"/>
    <cellStyle name="Normal 2 2 2 3 37 2" xfId="18716" xr:uid="{00000000-0005-0000-0000-000014490000}"/>
    <cellStyle name="Normal 2 2 2 3 37 3" xfId="18717" xr:uid="{00000000-0005-0000-0000-000015490000}"/>
    <cellStyle name="Normal 2 2 2 3 37 4" xfId="18718" xr:uid="{00000000-0005-0000-0000-000016490000}"/>
    <cellStyle name="Normal 2 2 2 3 37 5" xfId="18719" xr:uid="{00000000-0005-0000-0000-000017490000}"/>
    <cellStyle name="Normal 2 2 2 3 37 6" xfId="18720" xr:uid="{00000000-0005-0000-0000-000018490000}"/>
    <cellStyle name="Normal 2 2 2 3 37 7" xfId="18721" xr:uid="{00000000-0005-0000-0000-000019490000}"/>
    <cellStyle name="Normal 2 2 2 3 37 8" xfId="18722" xr:uid="{00000000-0005-0000-0000-00001A490000}"/>
    <cellStyle name="Normal 2 2 2 3 37 9" xfId="18723" xr:uid="{00000000-0005-0000-0000-00001B490000}"/>
    <cellStyle name="Normal 2 2 2 3 38" xfId="18724" xr:uid="{00000000-0005-0000-0000-00001C490000}"/>
    <cellStyle name="Normal 2 2 2 3 39" xfId="18725" xr:uid="{00000000-0005-0000-0000-00001D490000}"/>
    <cellStyle name="Normal 2 2 2 3 4" xfId="18726" xr:uid="{00000000-0005-0000-0000-00001E490000}"/>
    <cellStyle name="Normal 2 2 2 3 4 10" xfId="18727" xr:uid="{00000000-0005-0000-0000-00001F490000}"/>
    <cellStyle name="Normal 2 2 2 3 4 11" xfId="18728" xr:uid="{00000000-0005-0000-0000-000020490000}"/>
    <cellStyle name="Normal 2 2 2 3 4 12" xfId="18729" xr:uid="{00000000-0005-0000-0000-000021490000}"/>
    <cellStyle name="Normal 2 2 2 3 4 13" xfId="18730" xr:uid="{00000000-0005-0000-0000-000022490000}"/>
    <cellStyle name="Normal 2 2 2 3 4 14" xfId="18731" xr:uid="{00000000-0005-0000-0000-000023490000}"/>
    <cellStyle name="Normal 2 2 2 3 4 15" xfId="18732" xr:uid="{00000000-0005-0000-0000-000024490000}"/>
    <cellStyle name="Normal 2 2 2 3 4 16" xfId="18733" xr:uid="{00000000-0005-0000-0000-000025490000}"/>
    <cellStyle name="Normal 2 2 2 3 4 2" xfId="18734" xr:uid="{00000000-0005-0000-0000-000026490000}"/>
    <cellStyle name="Normal 2 2 2 3 4 2 10" xfId="18735" xr:uid="{00000000-0005-0000-0000-000027490000}"/>
    <cellStyle name="Normal 2 2 2 3 4 2 2" xfId="18736" xr:uid="{00000000-0005-0000-0000-000028490000}"/>
    <cellStyle name="Normal 2 2 2 3 4 2 3" xfId="18737" xr:uid="{00000000-0005-0000-0000-000029490000}"/>
    <cellStyle name="Normal 2 2 2 3 4 2 4" xfId="18738" xr:uid="{00000000-0005-0000-0000-00002A490000}"/>
    <cellStyle name="Normal 2 2 2 3 4 2 5" xfId="18739" xr:uid="{00000000-0005-0000-0000-00002B490000}"/>
    <cellStyle name="Normal 2 2 2 3 4 2 6" xfId="18740" xr:uid="{00000000-0005-0000-0000-00002C490000}"/>
    <cellStyle name="Normal 2 2 2 3 4 2 7" xfId="18741" xr:uid="{00000000-0005-0000-0000-00002D490000}"/>
    <cellStyle name="Normal 2 2 2 3 4 2 8" xfId="18742" xr:uid="{00000000-0005-0000-0000-00002E490000}"/>
    <cellStyle name="Normal 2 2 2 3 4 2 9" xfId="18743" xr:uid="{00000000-0005-0000-0000-00002F490000}"/>
    <cellStyle name="Normal 2 2 2 3 4 3" xfId="18744" xr:uid="{00000000-0005-0000-0000-000030490000}"/>
    <cellStyle name="Normal 2 2 2 3 4 3 10" xfId="18745" xr:uid="{00000000-0005-0000-0000-000031490000}"/>
    <cellStyle name="Normal 2 2 2 3 4 3 2" xfId="18746" xr:uid="{00000000-0005-0000-0000-000032490000}"/>
    <cellStyle name="Normal 2 2 2 3 4 3 3" xfId="18747" xr:uid="{00000000-0005-0000-0000-000033490000}"/>
    <cellStyle name="Normal 2 2 2 3 4 3 4" xfId="18748" xr:uid="{00000000-0005-0000-0000-000034490000}"/>
    <cellStyle name="Normal 2 2 2 3 4 3 5" xfId="18749" xr:uid="{00000000-0005-0000-0000-000035490000}"/>
    <cellStyle name="Normal 2 2 2 3 4 3 6" xfId="18750" xr:uid="{00000000-0005-0000-0000-000036490000}"/>
    <cellStyle name="Normal 2 2 2 3 4 3 7" xfId="18751" xr:uid="{00000000-0005-0000-0000-000037490000}"/>
    <cellStyle name="Normal 2 2 2 3 4 3 8" xfId="18752" xr:uid="{00000000-0005-0000-0000-000038490000}"/>
    <cellStyle name="Normal 2 2 2 3 4 3 9" xfId="18753" xr:uid="{00000000-0005-0000-0000-000039490000}"/>
    <cellStyle name="Normal 2 2 2 3 4 4" xfId="18754" xr:uid="{00000000-0005-0000-0000-00003A490000}"/>
    <cellStyle name="Normal 2 2 2 3 4 4 10" xfId="18755" xr:uid="{00000000-0005-0000-0000-00003B490000}"/>
    <cellStyle name="Normal 2 2 2 3 4 4 2" xfId="18756" xr:uid="{00000000-0005-0000-0000-00003C490000}"/>
    <cellStyle name="Normal 2 2 2 3 4 4 3" xfId="18757" xr:uid="{00000000-0005-0000-0000-00003D490000}"/>
    <cellStyle name="Normal 2 2 2 3 4 4 4" xfId="18758" xr:uid="{00000000-0005-0000-0000-00003E490000}"/>
    <cellStyle name="Normal 2 2 2 3 4 4 5" xfId="18759" xr:uid="{00000000-0005-0000-0000-00003F490000}"/>
    <cellStyle name="Normal 2 2 2 3 4 4 6" xfId="18760" xr:uid="{00000000-0005-0000-0000-000040490000}"/>
    <cellStyle name="Normal 2 2 2 3 4 4 7" xfId="18761" xr:uid="{00000000-0005-0000-0000-000041490000}"/>
    <cellStyle name="Normal 2 2 2 3 4 4 8" xfId="18762" xr:uid="{00000000-0005-0000-0000-000042490000}"/>
    <cellStyle name="Normal 2 2 2 3 4 4 9" xfId="18763" xr:uid="{00000000-0005-0000-0000-000043490000}"/>
    <cellStyle name="Normal 2 2 2 3 4 5" xfId="18764" xr:uid="{00000000-0005-0000-0000-000044490000}"/>
    <cellStyle name="Normal 2 2 2 3 4 5 10" xfId="18765" xr:uid="{00000000-0005-0000-0000-000045490000}"/>
    <cellStyle name="Normal 2 2 2 3 4 5 2" xfId="18766" xr:uid="{00000000-0005-0000-0000-000046490000}"/>
    <cellStyle name="Normal 2 2 2 3 4 5 3" xfId="18767" xr:uid="{00000000-0005-0000-0000-000047490000}"/>
    <cellStyle name="Normal 2 2 2 3 4 5 4" xfId="18768" xr:uid="{00000000-0005-0000-0000-000048490000}"/>
    <cellStyle name="Normal 2 2 2 3 4 5 5" xfId="18769" xr:uid="{00000000-0005-0000-0000-000049490000}"/>
    <cellStyle name="Normal 2 2 2 3 4 5 6" xfId="18770" xr:uid="{00000000-0005-0000-0000-00004A490000}"/>
    <cellStyle name="Normal 2 2 2 3 4 5 7" xfId="18771" xr:uid="{00000000-0005-0000-0000-00004B490000}"/>
    <cellStyle name="Normal 2 2 2 3 4 5 8" xfId="18772" xr:uid="{00000000-0005-0000-0000-00004C490000}"/>
    <cellStyle name="Normal 2 2 2 3 4 5 9" xfId="18773" xr:uid="{00000000-0005-0000-0000-00004D490000}"/>
    <cellStyle name="Normal 2 2 2 3 4 6" xfId="18774" xr:uid="{00000000-0005-0000-0000-00004E490000}"/>
    <cellStyle name="Normal 2 2 2 3 4 7" xfId="18775" xr:uid="{00000000-0005-0000-0000-00004F490000}"/>
    <cellStyle name="Normal 2 2 2 3 4 8" xfId="18776" xr:uid="{00000000-0005-0000-0000-000050490000}"/>
    <cellStyle name="Normal 2 2 2 3 4 9" xfId="18777" xr:uid="{00000000-0005-0000-0000-000051490000}"/>
    <cellStyle name="Normal 2 2 2 3 40" xfId="18778" xr:uid="{00000000-0005-0000-0000-000052490000}"/>
    <cellStyle name="Normal 2 2 2 3 41" xfId="18779" xr:uid="{00000000-0005-0000-0000-000053490000}"/>
    <cellStyle name="Normal 2 2 2 3 42" xfId="18780" xr:uid="{00000000-0005-0000-0000-000054490000}"/>
    <cellStyle name="Normal 2 2 2 3 43" xfId="18781" xr:uid="{00000000-0005-0000-0000-000055490000}"/>
    <cellStyle name="Normal 2 2 2 3 44" xfId="18782" xr:uid="{00000000-0005-0000-0000-000056490000}"/>
    <cellStyle name="Normal 2 2 2 3 45" xfId="18783" xr:uid="{00000000-0005-0000-0000-000057490000}"/>
    <cellStyle name="Normal 2 2 2 3 46" xfId="18784" xr:uid="{00000000-0005-0000-0000-000058490000}"/>
    <cellStyle name="Normal 2 2 2 3 47" xfId="18785" xr:uid="{00000000-0005-0000-0000-000059490000}"/>
    <cellStyle name="Normal 2 2 2 3 48" xfId="18786" xr:uid="{00000000-0005-0000-0000-00005A490000}"/>
    <cellStyle name="Normal 2 2 2 3 49" xfId="18787" xr:uid="{00000000-0005-0000-0000-00005B490000}"/>
    <cellStyle name="Normal 2 2 2 3 5" xfId="18788" xr:uid="{00000000-0005-0000-0000-00005C490000}"/>
    <cellStyle name="Normal 2 2 2 3 5 10" xfId="18789" xr:uid="{00000000-0005-0000-0000-00005D490000}"/>
    <cellStyle name="Normal 2 2 2 3 5 11" xfId="18790" xr:uid="{00000000-0005-0000-0000-00005E490000}"/>
    <cellStyle name="Normal 2 2 2 3 5 12" xfId="18791" xr:uid="{00000000-0005-0000-0000-00005F490000}"/>
    <cellStyle name="Normal 2 2 2 3 5 13" xfId="18792" xr:uid="{00000000-0005-0000-0000-000060490000}"/>
    <cellStyle name="Normal 2 2 2 3 5 14" xfId="18793" xr:uid="{00000000-0005-0000-0000-000061490000}"/>
    <cellStyle name="Normal 2 2 2 3 5 15" xfId="18794" xr:uid="{00000000-0005-0000-0000-000062490000}"/>
    <cellStyle name="Normal 2 2 2 3 5 2" xfId="18795" xr:uid="{00000000-0005-0000-0000-000063490000}"/>
    <cellStyle name="Normal 2 2 2 3 5 2 10" xfId="18796" xr:uid="{00000000-0005-0000-0000-000064490000}"/>
    <cellStyle name="Normal 2 2 2 3 5 2 2" xfId="18797" xr:uid="{00000000-0005-0000-0000-000065490000}"/>
    <cellStyle name="Normal 2 2 2 3 5 2 3" xfId="18798" xr:uid="{00000000-0005-0000-0000-000066490000}"/>
    <cellStyle name="Normal 2 2 2 3 5 2 4" xfId="18799" xr:uid="{00000000-0005-0000-0000-000067490000}"/>
    <cellStyle name="Normal 2 2 2 3 5 2 5" xfId="18800" xr:uid="{00000000-0005-0000-0000-000068490000}"/>
    <cellStyle name="Normal 2 2 2 3 5 2 6" xfId="18801" xr:uid="{00000000-0005-0000-0000-000069490000}"/>
    <cellStyle name="Normal 2 2 2 3 5 2 7" xfId="18802" xr:uid="{00000000-0005-0000-0000-00006A490000}"/>
    <cellStyle name="Normal 2 2 2 3 5 2 8" xfId="18803" xr:uid="{00000000-0005-0000-0000-00006B490000}"/>
    <cellStyle name="Normal 2 2 2 3 5 2 9" xfId="18804" xr:uid="{00000000-0005-0000-0000-00006C490000}"/>
    <cellStyle name="Normal 2 2 2 3 5 3" xfId="18805" xr:uid="{00000000-0005-0000-0000-00006D490000}"/>
    <cellStyle name="Normal 2 2 2 3 5 3 10" xfId="18806" xr:uid="{00000000-0005-0000-0000-00006E490000}"/>
    <cellStyle name="Normal 2 2 2 3 5 3 2" xfId="18807" xr:uid="{00000000-0005-0000-0000-00006F490000}"/>
    <cellStyle name="Normal 2 2 2 3 5 3 3" xfId="18808" xr:uid="{00000000-0005-0000-0000-000070490000}"/>
    <cellStyle name="Normal 2 2 2 3 5 3 4" xfId="18809" xr:uid="{00000000-0005-0000-0000-000071490000}"/>
    <cellStyle name="Normal 2 2 2 3 5 3 5" xfId="18810" xr:uid="{00000000-0005-0000-0000-000072490000}"/>
    <cellStyle name="Normal 2 2 2 3 5 3 6" xfId="18811" xr:uid="{00000000-0005-0000-0000-000073490000}"/>
    <cellStyle name="Normal 2 2 2 3 5 3 7" xfId="18812" xr:uid="{00000000-0005-0000-0000-000074490000}"/>
    <cellStyle name="Normal 2 2 2 3 5 3 8" xfId="18813" xr:uid="{00000000-0005-0000-0000-000075490000}"/>
    <cellStyle name="Normal 2 2 2 3 5 3 9" xfId="18814" xr:uid="{00000000-0005-0000-0000-000076490000}"/>
    <cellStyle name="Normal 2 2 2 3 5 4" xfId="18815" xr:uid="{00000000-0005-0000-0000-000077490000}"/>
    <cellStyle name="Normal 2 2 2 3 5 4 10" xfId="18816" xr:uid="{00000000-0005-0000-0000-000078490000}"/>
    <cellStyle name="Normal 2 2 2 3 5 4 2" xfId="18817" xr:uid="{00000000-0005-0000-0000-000079490000}"/>
    <cellStyle name="Normal 2 2 2 3 5 4 3" xfId="18818" xr:uid="{00000000-0005-0000-0000-00007A490000}"/>
    <cellStyle name="Normal 2 2 2 3 5 4 4" xfId="18819" xr:uid="{00000000-0005-0000-0000-00007B490000}"/>
    <cellStyle name="Normal 2 2 2 3 5 4 5" xfId="18820" xr:uid="{00000000-0005-0000-0000-00007C490000}"/>
    <cellStyle name="Normal 2 2 2 3 5 4 6" xfId="18821" xr:uid="{00000000-0005-0000-0000-00007D490000}"/>
    <cellStyle name="Normal 2 2 2 3 5 4 7" xfId="18822" xr:uid="{00000000-0005-0000-0000-00007E490000}"/>
    <cellStyle name="Normal 2 2 2 3 5 4 8" xfId="18823" xr:uid="{00000000-0005-0000-0000-00007F490000}"/>
    <cellStyle name="Normal 2 2 2 3 5 4 9" xfId="18824" xr:uid="{00000000-0005-0000-0000-000080490000}"/>
    <cellStyle name="Normal 2 2 2 3 5 5" xfId="18825" xr:uid="{00000000-0005-0000-0000-000081490000}"/>
    <cellStyle name="Normal 2 2 2 3 5 5 10" xfId="18826" xr:uid="{00000000-0005-0000-0000-000082490000}"/>
    <cellStyle name="Normal 2 2 2 3 5 5 2" xfId="18827" xr:uid="{00000000-0005-0000-0000-000083490000}"/>
    <cellStyle name="Normal 2 2 2 3 5 5 3" xfId="18828" xr:uid="{00000000-0005-0000-0000-000084490000}"/>
    <cellStyle name="Normal 2 2 2 3 5 5 4" xfId="18829" xr:uid="{00000000-0005-0000-0000-000085490000}"/>
    <cellStyle name="Normal 2 2 2 3 5 5 5" xfId="18830" xr:uid="{00000000-0005-0000-0000-000086490000}"/>
    <cellStyle name="Normal 2 2 2 3 5 5 6" xfId="18831" xr:uid="{00000000-0005-0000-0000-000087490000}"/>
    <cellStyle name="Normal 2 2 2 3 5 5 7" xfId="18832" xr:uid="{00000000-0005-0000-0000-000088490000}"/>
    <cellStyle name="Normal 2 2 2 3 5 5 8" xfId="18833" xr:uid="{00000000-0005-0000-0000-000089490000}"/>
    <cellStyle name="Normal 2 2 2 3 5 5 9" xfId="18834" xr:uid="{00000000-0005-0000-0000-00008A490000}"/>
    <cellStyle name="Normal 2 2 2 3 5 6" xfId="18835" xr:uid="{00000000-0005-0000-0000-00008B490000}"/>
    <cellStyle name="Normal 2 2 2 3 5 7" xfId="18836" xr:uid="{00000000-0005-0000-0000-00008C490000}"/>
    <cellStyle name="Normal 2 2 2 3 5 8" xfId="18837" xr:uid="{00000000-0005-0000-0000-00008D490000}"/>
    <cellStyle name="Normal 2 2 2 3 5 9" xfId="18838" xr:uid="{00000000-0005-0000-0000-00008E490000}"/>
    <cellStyle name="Normal 2 2 2 3 6" xfId="18839" xr:uid="{00000000-0005-0000-0000-00008F490000}"/>
    <cellStyle name="Normal 2 2 2 3 6 10" xfId="18840" xr:uid="{00000000-0005-0000-0000-000090490000}"/>
    <cellStyle name="Normal 2 2 2 3 6 11" xfId="18841" xr:uid="{00000000-0005-0000-0000-000091490000}"/>
    <cellStyle name="Normal 2 2 2 3 6 12" xfId="18842" xr:uid="{00000000-0005-0000-0000-000092490000}"/>
    <cellStyle name="Normal 2 2 2 3 6 13" xfId="18843" xr:uid="{00000000-0005-0000-0000-000093490000}"/>
    <cellStyle name="Normal 2 2 2 3 6 14" xfId="18844" xr:uid="{00000000-0005-0000-0000-000094490000}"/>
    <cellStyle name="Normal 2 2 2 3 6 15" xfId="18845" xr:uid="{00000000-0005-0000-0000-000095490000}"/>
    <cellStyle name="Normal 2 2 2 3 6 2" xfId="18846" xr:uid="{00000000-0005-0000-0000-000096490000}"/>
    <cellStyle name="Normal 2 2 2 3 6 2 10" xfId="18847" xr:uid="{00000000-0005-0000-0000-000097490000}"/>
    <cellStyle name="Normal 2 2 2 3 6 2 2" xfId="18848" xr:uid="{00000000-0005-0000-0000-000098490000}"/>
    <cellStyle name="Normal 2 2 2 3 6 2 3" xfId="18849" xr:uid="{00000000-0005-0000-0000-000099490000}"/>
    <cellStyle name="Normal 2 2 2 3 6 2 4" xfId="18850" xr:uid="{00000000-0005-0000-0000-00009A490000}"/>
    <cellStyle name="Normal 2 2 2 3 6 2 5" xfId="18851" xr:uid="{00000000-0005-0000-0000-00009B490000}"/>
    <cellStyle name="Normal 2 2 2 3 6 2 6" xfId="18852" xr:uid="{00000000-0005-0000-0000-00009C490000}"/>
    <cellStyle name="Normal 2 2 2 3 6 2 7" xfId="18853" xr:uid="{00000000-0005-0000-0000-00009D490000}"/>
    <cellStyle name="Normal 2 2 2 3 6 2 8" xfId="18854" xr:uid="{00000000-0005-0000-0000-00009E490000}"/>
    <cellStyle name="Normal 2 2 2 3 6 2 9" xfId="18855" xr:uid="{00000000-0005-0000-0000-00009F490000}"/>
    <cellStyle name="Normal 2 2 2 3 6 3" xfId="18856" xr:uid="{00000000-0005-0000-0000-0000A0490000}"/>
    <cellStyle name="Normal 2 2 2 3 6 3 10" xfId="18857" xr:uid="{00000000-0005-0000-0000-0000A1490000}"/>
    <cellStyle name="Normal 2 2 2 3 6 3 2" xfId="18858" xr:uid="{00000000-0005-0000-0000-0000A2490000}"/>
    <cellStyle name="Normal 2 2 2 3 6 3 3" xfId="18859" xr:uid="{00000000-0005-0000-0000-0000A3490000}"/>
    <cellStyle name="Normal 2 2 2 3 6 3 4" xfId="18860" xr:uid="{00000000-0005-0000-0000-0000A4490000}"/>
    <cellStyle name="Normal 2 2 2 3 6 3 5" xfId="18861" xr:uid="{00000000-0005-0000-0000-0000A5490000}"/>
    <cellStyle name="Normal 2 2 2 3 6 3 6" xfId="18862" xr:uid="{00000000-0005-0000-0000-0000A6490000}"/>
    <cellStyle name="Normal 2 2 2 3 6 3 7" xfId="18863" xr:uid="{00000000-0005-0000-0000-0000A7490000}"/>
    <cellStyle name="Normal 2 2 2 3 6 3 8" xfId="18864" xr:uid="{00000000-0005-0000-0000-0000A8490000}"/>
    <cellStyle name="Normal 2 2 2 3 6 3 9" xfId="18865" xr:uid="{00000000-0005-0000-0000-0000A9490000}"/>
    <cellStyle name="Normal 2 2 2 3 6 4" xfId="18866" xr:uid="{00000000-0005-0000-0000-0000AA490000}"/>
    <cellStyle name="Normal 2 2 2 3 6 4 10" xfId="18867" xr:uid="{00000000-0005-0000-0000-0000AB490000}"/>
    <cellStyle name="Normal 2 2 2 3 6 4 2" xfId="18868" xr:uid="{00000000-0005-0000-0000-0000AC490000}"/>
    <cellStyle name="Normal 2 2 2 3 6 4 3" xfId="18869" xr:uid="{00000000-0005-0000-0000-0000AD490000}"/>
    <cellStyle name="Normal 2 2 2 3 6 4 4" xfId="18870" xr:uid="{00000000-0005-0000-0000-0000AE490000}"/>
    <cellStyle name="Normal 2 2 2 3 6 4 5" xfId="18871" xr:uid="{00000000-0005-0000-0000-0000AF490000}"/>
    <cellStyle name="Normal 2 2 2 3 6 4 6" xfId="18872" xr:uid="{00000000-0005-0000-0000-0000B0490000}"/>
    <cellStyle name="Normal 2 2 2 3 6 4 7" xfId="18873" xr:uid="{00000000-0005-0000-0000-0000B1490000}"/>
    <cellStyle name="Normal 2 2 2 3 6 4 8" xfId="18874" xr:uid="{00000000-0005-0000-0000-0000B2490000}"/>
    <cellStyle name="Normal 2 2 2 3 6 4 9" xfId="18875" xr:uid="{00000000-0005-0000-0000-0000B3490000}"/>
    <cellStyle name="Normal 2 2 2 3 6 5" xfId="18876" xr:uid="{00000000-0005-0000-0000-0000B4490000}"/>
    <cellStyle name="Normal 2 2 2 3 6 5 10" xfId="18877" xr:uid="{00000000-0005-0000-0000-0000B5490000}"/>
    <cellStyle name="Normal 2 2 2 3 6 5 2" xfId="18878" xr:uid="{00000000-0005-0000-0000-0000B6490000}"/>
    <cellStyle name="Normal 2 2 2 3 6 5 3" xfId="18879" xr:uid="{00000000-0005-0000-0000-0000B7490000}"/>
    <cellStyle name="Normal 2 2 2 3 6 5 4" xfId="18880" xr:uid="{00000000-0005-0000-0000-0000B8490000}"/>
    <cellStyle name="Normal 2 2 2 3 6 5 5" xfId="18881" xr:uid="{00000000-0005-0000-0000-0000B9490000}"/>
    <cellStyle name="Normal 2 2 2 3 6 5 6" xfId="18882" xr:uid="{00000000-0005-0000-0000-0000BA490000}"/>
    <cellStyle name="Normal 2 2 2 3 6 5 7" xfId="18883" xr:uid="{00000000-0005-0000-0000-0000BB490000}"/>
    <cellStyle name="Normal 2 2 2 3 6 5 8" xfId="18884" xr:uid="{00000000-0005-0000-0000-0000BC490000}"/>
    <cellStyle name="Normal 2 2 2 3 6 5 9" xfId="18885" xr:uid="{00000000-0005-0000-0000-0000BD490000}"/>
    <cellStyle name="Normal 2 2 2 3 6 6" xfId="18886" xr:uid="{00000000-0005-0000-0000-0000BE490000}"/>
    <cellStyle name="Normal 2 2 2 3 6 7" xfId="18887" xr:uid="{00000000-0005-0000-0000-0000BF490000}"/>
    <cellStyle name="Normal 2 2 2 3 6 8" xfId="18888" xr:uid="{00000000-0005-0000-0000-0000C0490000}"/>
    <cellStyle name="Normal 2 2 2 3 6 9" xfId="18889" xr:uid="{00000000-0005-0000-0000-0000C1490000}"/>
    <cellStyle name="Normal 2 2 2 3 7" xfId="18890" xr:uid="{00000000-0005-0000-0000-0000C2490000}"/>
    <cellStyle name="Normal 2 2 2 3 7 10" xfId="18891" xr:uid="{00000000-0005-0000-0000-0000C3490000}"/>
    <cellStyle name="Normal 2 2 2 3 7 11" xfId="18892" xr:uid="{00000000-0005-0000-0000-0000C4490000}"/>
    <cellStyle name="Normal 2 2 2 3 7 12" xfId="18893" xr:uid="{00000000-0005-0000-0000-0000C5490000}"/>
    <cellStyle name="Normal 2 2 2 3 7 13" xfId="18894" xr:uid="{00000000-0005-0000-0000-0000C6490000}"/>
    <cellStyle name="Normal 2 2 2 3 7 14" xfId="18895" xr:uid="{00000000-0005-0000-0000-0000C7490000}"/>
    <cellStyle name="Normal 2 2 2 3 7 15" xfId="18896" xr:uid="{00000000-0005-0000-0000-0000C8490000}"/>
    <cellStyle name="Normal 2 2 2 3 7 2" xfId="18897" xr:uid="{00000000-0005-0000-0000-0000C9490000}"/>
    <cellStyle name="Normal 2 2 2 3 7 2 10" xfId="18898" xr:uid="{00000000-0005-0000-0000-0000CA490000}"/>
    <cellStyle name="Normal 2 2 2 3 7 2 2" xfId="18899" xr:uid="{00000000-0005-0000-0000-0000CB490000}"/>
    <cellStyle name="Normal 2 2 2 3 7 2 3" xfId="18900" xr:uid="{00000000-0005-0000-0000-0000CC490000}"/>
    <cellStyle name="Normal 2 2 2 3 7 2 4" xfId="18901" xr:uid="{00000000-0005-0000-0000-0000CD490000}"/>
    <cellStyle name="Normal 2 2 2 3 7 2 5" xfId="18902" xr:uid="{00000000-0005-0000-0000-0000CE490000}"/>
    <cellStyle name="Normal 2 2 2 3 7 2 6" xfId="18903" xr:uid="{00000000-0005-0000-0000-0000CF490000}"/>
    <cellStyle name="Normal 2 2 2 3 7 2 7" xfId="18904" xr:uid="{00000000-0005-0000-0000-0000D0490000}"/>
    <cellStyle name="Normal 2 2 2 3 7 2 8" xfId="18905" xr:uid="{00000000-0005-0000-0000-0000D1490000}"/>
    <cellStyle name="Normal 2 2 2 3 7 2 9" xfId="18906" xr:uid="{00000000-0005-0000-0000-0000D2490000}"/>
    <cellStyle name="Normal 2 2 2 3 7 3" xfId="18907" xr:uid="{00000000-0005-0000-0000-0000D3490000}"/>
    <cellStyle name="Normal 2 2 2 3 7 3 10" xfId="18908" xr:uid="{00000000-0005-0000-0000-0000D4490000}"/>
    <cellStyle name="Normal 2 2 2 3 7 3 2" xfId="18909" xr:uid="{00000000-0005-0000-0000-0000D5490000}"/>
    <cellStyle name="Normal 2 2 2 3 7 3 3" xfId="18910" xr:uid="{00000000-0005-0000-0000-0000D6490000}"/>
    <cellStyle name="Normal 2 2 2 3 7 3 4" xfId="18911" xr:uid="{00000000-0005-0000-0000-0000D7490000}"/>
    <cellStyle name="Normal 2 2 2 3 7 3 5" xfId="18912" xr:uid="{00000000-0005-0000-0000-0000D8490000}"/>
    <cellStyle name="Normal 2 2 2 3 7 3 6" xfId="18913" xr:uid="{00000000-0005-0000-0000-0000D9490000}"/>
    <cellStyle name="Normal 2 2 2 3 7 3 7" xfId="18914" xr:uid="{00000000-0005-0000-0000-0000DA490000}"/>
    <cellStyle name="Normal 2 2 2 3 7 3 8" xfId="18915" xr:uid="{00000000-0005-0000-0000-0000DB490000}"/>
    <cellStyle name="Normal 2 2 2 3 7 3 9" xfId="18916" xr:uid="{00000000-0005-0000-0000-0000DC490000}"/>
    <cellStyle name="Normal 2 2 2 3 7 4" xfId="18917" xr:uid="{00000000-0005-0000-0000-0000DD490000}"/>
    <cellStyle name="Normal 2 2 2 3 7 4 10" xfId="18918" xr:uid="{00000000-0005-0000-0000-0000DE490000}"/>
    <cellStyle name="Normal 2 2 2 3 7 4 2" xfId="18919" xr:uid="{00000000-0005-0000-0000-0000DF490000}"/>
    <cellStyle name="Normal 2 2 2 3 7 4 3" xfId="18920" xr:uid="{00000000-0005-0000-0000-0000E0490000}"/>
    <cellStyle name="Normal 2 2 2 3 7 4 4" xfId="18921" xr:uid="{00000000-0005-0000-0000-0000E1490000}"/>
    <cellStyle name="Normal 2 2 2 3 7 4 5" xfId="18922" xr:uid="{00000000-0005-0000-0000-0000E2490000}"/>
    <cellStyle name="Normal 2 2 2 3 7 4 6" xfId="18923" xr:uid="{00000000-0005-0000-0000-0000E3490000}"/>
    <cellStyle name="Normal 2 2 2 3 7 4 7" xfId="18924" xr:uid="{00000000-0005-0000-0000-0000E4490000}"/>
    <cellStyle name="Normal 2 2 2 3 7 4 8" xfId="18925" xr:uid="{00000000-0005-0000-0000-0000E5490000}"/>
    <cellStyle name="Normal 2 2 2 3 7 4 9" xfId="18926" xr:uid="{00000000-0005-0000-0000-0000E6490000}"/>
    <cellStyle name="Normal 2 2 2 3 7 5" xfId="18927" xr:uid="{00000000-0005-0000-0000-0000E7490000}"/>
    <cellStyle name="Normal 2 2 2 3 7 5 10" xfId="18928" xr:uid="{00000000-0005-0000-0000-0000E8490000}"/>
    <cellStyle name="Normal 2 2 2 3 7 5 2" xfId="18929" xr:uid="{00000000-0005-0000-0000-0000E9490000}"/>
    <cellStyle name="Normal 2 2 2 3 7 5 3" xfId="18930" xr:uid="{00000000-0005-0000-0000-0000EA490000}"/>
    <cellStyle name="Normal 2 2 2 3 7 5 4" xfId="18931" xr:uid="{00000000-0005-0000-0000-0000EB490000}"/>
    <cellStyle name="Normal 2 2 2 3 7 5 5" xfId="18932" xr:uid="{00000000-0005-0000-0000-0000EC490000}"/>
    <cellStyle name="Normal 2 2 2 3 7 5 6" xfId="18933" xr:uid="{00000000-0005-0000-0000-0000ED490000}"/>
    <cellStyle name="Normal 2 2 2 3 7 5 7" xfId="18934" xr:uid="{00000000-0005-0000-0000-0000EE490000}"/>
    <cellStyle name="Normal 2 2 2 3 7 5 8" xfId="18935" xr:uid="{00000000-0005-0000-0000-0000EF490000}"/>
    <cellStyle name="Normal 2 2 2 3 7 5 9" xfId="18936" xr:uid="{00000000-0005-0000-0000-0000F0490000}"/>
    <cellStyle name="Normal 2 2 2 3 7 6" xfId="18937" xr:uid="{00000000-0005-0000-0000-0000F1490000}"/>
    <cellStyle name="Normal 2 2 2 3 7 7" xfId="18938" xr:uid="{00000000-0005-0000-0000-0000F2490000}"/>
    <cellStyle name="Normal 2 2 2 3 7 8" xfId="18939" xr:uid="{00000000-0005-0000-0000-0000F3490000}"/>
    <cellStyle name="Normal 2 2 2 3 7 9" xfId="18940" xr:uid="{00000000-0005-0000-0000-0000F4490000}"/>
    <cellStyle name="Normal 2 2 2 3 8" xfId="18941" xr:uid="{00000000-0005-0000-0000-0000F5490000}"/>
    <cellStyle name="Normal 2 2 2 3 8 10" xfId="18942" xr:uid="{00000000-0005-0000-0000-0000F6490000}"/>
    <cellStyle name="Normal 2 2 2 3 8 11" xfId="18943" xr:uid="{00000000-0005-0000-0000-0000F7490000}"/>
    <cellStyle name="Normal 2 2 2 3 8 12" xfId="18944" xr:uid="{00000000-0005-0000-0000-0000F8490000}"/>
    <cellStyle name="Normal 2 2 2 3 8 13" xfId="18945" xr:uid="{00000000-0005-0000-0000-0000F9490000}"/>
    <cellStyle name="Normal 2 2 2 3 8 14" xfId="18946" xr:uid="{00000000-0005-0000-0000-0000FA490000}"/>
    <cellStyle name="Normal 2 2 2 3 8 2" xfId="18947" xr:uid="{00000000-0005-0000-0000-0000FB490000}"/>
    <cellStyle name="Normal 2 2 2 3 8 2 10" xfId="18948" xr:uid="{00000000-0005-0000-0000-0000FC490000}"/>
    <cellStyle name="Normal 2 2 2 3 8 2 2" xfId="18949" xr:uid="{00000000-0005-0000-0000-0000FD490000}"/>
    <cellStyle name="Normal 2 2 2 3 8 2 3" xfId="18950" xr:uid="{00000000-0005-0000-0000-0000FE490000}"/>
    <cellStyle name="Normal 2 2 2 3 8 2 4" xfId="18951" xr:uid="{00000000-0005-0000-0000-0000FF490000}"/>
    <cellStyle name="Normal 2 2 2 3 8 2 5" xfId="18952" xr:uid="{00000000-0005-0000-0000-0000004A0000}"/>
    <cellStyle name="Normal 2 2 2 3 8 2 6" xfId="18953" xr:uid="{00000000-0005-0000-0000-0000014A0000}"/>
    <cellStyle name="Normal 2 2 2 3 8 2 7" xfId="18954" xr:uid="{00000000-0005-0000-0000-0000024A0000}"/>
    <cellStyle name="Normal 2 2 2 3 8 2 8" xfId="18955" xr:uid="{00000000-0005-0000-0000-0000034A0000}"/>
    <cellStyle name="Normal 2 2 2 3 8 2 9" xfId="18956" xr:uid="{00000000-0005-0000-0000-0000044A0000}"/>
    <cellStyle name="Normal 2 2 2 3 8 3" xfId="18957" xr:uid="{00000000-0005-0000-0000-0000054A0000}"/>
    <cellStyle name="Normal 2 2 2 3 8 3 10" xfId="18958" xr:uid="{00000000-0005-0000-0000-0000064A0000}"/>
    <cellStyle name="Normal 2 2 2 3 8 3 2" xfId="18959" xr:uid="{00000000-0005-0000-0000-0000074A0000}"/>
    <cellStyle name="Normal 2 2 2 3 8 3 3" xfId="18960" xr:uid="{00000000-0005-0000-0000-0000084A0000}"/>
    <cellStyle name="Normal 2 2 2 3 8 3 4" xfId="18961" xr:uid="{00000000-0005-0000-0000-0000094A0000}"/>
    <cellStyle name="Normal 2 2 2 3 8 3 5" xfId="18962" xr:uid="{00000000-0005-0000-0000-00000A4A0000}"/>
    <cellStyle name="Normal 2 2 2 3 8 3 6" xfId="18963" xr:uid="{00000000-0005-0000-0000-00000B4A0000}"/>
    <cellStyle name="Normal 2 2 2 3 8 3 7" xfId="18964" xr:uid="{00000000-0005-0000-0000-00000C4A0000}"/>
    <cellStyle name="Normal 2 2 2 3 8 3 8" xfId="18965" xr:uid="{00000000-0005-0000-0000-00000D4A0000}"/>
    <cellStyle name="Normal 2 2 2 3 8 3 9" xfId="18966" xr:uid="{00000000-0005-0000-0000-00000E4A0000}"/>
    <cellStyle name="Normal 2 2 2 3 8 4" xfId="18967" xr:uid="{00000000-0005-0000-0000-00000F4A0000}"/>
    <cellStyle name="Normal 2 2 2 3 8 4 10" xfId="18968" xr:uid="{00000000-0005-0000-0000-0000104A0000}"/>
    <cellStyle name="Normal 2 2 2 3 8 4 2" xfId="18969" xr:uid="{00000000-0005-0000-0000-0000114A0000}"/>
    <cellStyle name="Normal 2 2 2 3 8 4 3" xfId="18970" xr:uid="{00000000-0005-0000-0000-0000124A0000}"/>
    <cellStyle name="Normal 2 2 2 3 8 4 4" xfId="18971" xr:uid="{00000000-0005-0000-0000-0000134A0000}"/>
    <cellStyle name="Normal 2 2 2 3 8 4 5" xfId="18972" xr:uid="{00000000-0005-0000-0000-0000144A0000}"/>
    <cellStyle name="Normal 2 2 2 3 8 4 6" xfId="18973" xr:uid="{00000000-0005-0000-0000-0000154A0000}"/>
    <cellStyle name="Normal 2 2 2 3 8 4 7" xfId="18974" xr:uid="{00000000-0005-0000-0000-0000164A0000}"/>
    <cellStyle name="Normal 2 2 2 3 8 4 8" xfId="18975" xr:uid="{00000000-0005-0000-0000-0000174A0000}"/>
    <cellStyle name="Normal 2 2 2 3 8 4 9" xfId="18976" xr:uid="{00000000-0005-0000-0000-0000184A0000}"/>
    <cellStyle name="Normal 2 2 2 3 8 5" xfId="18977" xr:uid="{00000000-0005-0000-0000-0000194A0000}"/>
    <cellStyle name="Normal 2 2 2 3 8 5 10" xfId="18978" xr:uid="{00000000-0005-0000-0000-00001A4A0000}"/>
    <cellStyle name="Normal 2 2 2 3 8 5 2" xfId="18979" xr:uid="{00000000-0005-0000-0000-00001B4A0000}"/>
    <cellStyle name="Normal 2 2 2 3 8 5 3" xfId="18980" xr:uid="{00000000-0005-0000-0000-00001C4A0000}"/>
    <cellStyle name="Normal 2 2 2 3 8 5 4" xfId="18981" xr:uid="{00000000-0005-0000-0000-00001D4A0000}"/>
    <cellStyle name="Normal 2 2 2 3 8 5 5" xfId="18982" xr:uid="{00000000-0005-0000-0000-00001E4A0000}"/>
    <cellStyle name="Normal 2 2 2 3 8 5 6" xfId="18983" xr:uid="{00000000-0005-0000-0000-00001F4A0000}"/>
    <cellStyle name="Normal 2 2 2 3 8 5 7" xfId="18984" xr:uid="{00000000-0005-0000-0000-0000204A0000}"/>
    <cellStyle name="Normal 2 2 2 3 8 5 8" xfId="18985" xr:uid="{00000000-0005-0000-0000-0000214A0000}"/>
    <cellStyle name="Normal 2 2 2 3 8 5 9" xfId="18986" xr:uid="{00000000-0005-0000-0000-0000224A0000}"/>
    <cellStyle name="Normal 2 2 2 3 8 6" xfId="18987" xr:uid="{00000000-0005-0000-0000-0000234A0000}"/>
    <cellStyle name="Normal 2 2 2 3 8 7" xfId="18988" xr:uid="{00000000-0005-0000-0000-0000244A0000}"/>
    <cellStyle name="Normal 2 2 2 3 8 8" xfId="18989" xr:uid="{00000000-0005-0000-0000-0000254A0000}"/>
    <cellStyle name="Normal 2 2 2 3 8 9" xfId="18990" xr:uid="{00000000-0005-0000-0000-0000264A0000}"/>
    <cellStyle name="Normal 2 2 2 3 9" xfId="18991" xr:uid="{00000000-0005-0000-0000-0000274A0000}"/>
    <cellStyle name="Normal 2 2 2 3 9 10" xfId="18992" xr:uid="{00000000-0005-0000-0000-0000284A0000}"/>
    <cellStyle name="Normal 2 2 2 3 9 11" xfId="18993" xr:uid="{00000000-0005-0000-0000-0000294A0000}"/>
    <cellStyle name="Normal 2 2 2 3 9 12" xfId="18994" xr:uid="{00000000-0005-0000-0000-00002A4A0000}"/>
    <cellStyle name="Normal 2 2 2 3 9 13" xfId="18995" xr:uid="{00000000-0005-0000-0000-00002B4A0000}"/>
    <cellStyle name="Normal 2 2 2 3 9 14" xfId="18996" xr:uid="{00000000-0005-0000-0000-00002C4A0000}"/>
    <cellStyle name="Normal 2 2 2 3 9 2" xfId="18997" xr:uid="{00000000-0005-0000-0000-00002D4A0000}"/>
    <cellStyle name="Normal 2 2 2 3 9 2 10" xfId="18998" xr:uid="{00000000-0005-0000-0000-00002E4A0000}"/>
    <cellStyle name="Normal 2 2 2 3 9 2 2" xfId="18999" xr:uid="{00000000-0005-0000-0000-00002F4A0000}"/>
    <cellStyle name="Normal 2 2 2 3 9 2 3" xfId="19000" xr:uid="{00000000-0005-0000-0000-0000304A0000}"/>
    <cellStyle name="Normal 2 2 2 3 9 2 4" xfId="19001" xr:uid="{00000000-0005-0000-0000-0000314A0000}"/>
    <cellStyle name="Normal 2 2 2 3 9 2 5" xfId="19002" xr:uid="{00000000-0005-0000-0000-0000324A0000}"/>
    <cellStyle name="Normal 2 2 2 3 9 2 6" xfId="19003" xr:uid="{00000000-0005-0000-0000-0000334A0000}"/>
    <cellStyle name="Normal 2 2 2 3 9 2 7" xfId="19004" xr:uid="{00000000-0005-0000-0000-0000344A0000}"/>
    <cellStyle name="Normal 2 2 2 3 9 2 8" xfId="19005" xr:uid="{00000000-0005-0000-0000-0000354A0000}"/>
    <cellStyle name="Normal 2 2 2 3 9 2 9" xfId="19006" xr:uid="{00000000-0005-0000-0000-0000364A0000}"/>
    <cellStyle name="Normal 2 2 2 3 9 3" xfId="19007" xr:uid="{00000000-0005-0000-0000-0000374A0000}"/>
    <cellStyle name="Normal 2 2 2 3 9 3 10" xfId="19008" xr:uid="{00000000-0005-0000-0000-0000384A0000}"/>
    <cellStyle name="Normal 2 2 2 3 9 3 2" xfId="19009" xr:uid="{00000000-0005-0000-0000-0000394A0000}"/>
    <cellStyle name="Normal 2 2 2 3 9 3 3" xfId="19010" xr:uid="{00000000-0005-0000-0000-00003A4A0000}"/>
    <cellStyle name="Normal 2 2 2 3 9 3 4" xfId="19011" xr:uid="{00000000-0005-0000-0000-00003B4A0000}"/>
    <cellStyle name="Normal 2 2 2 3 9 3 5" xfId="19012" xr:uid="{00000000-0005-0000-0000-00003C4A0000}"/>
    <cellStyle name="Normal 2 2 2 3 9 3 6" xfId="19013" xr:uid="{00000000-0005-0000-0000-00003D4A0000}"/>
    <cellStyle name="Normal 2 2 2 3 9 3 7" xfId="19014" xr:uid="{00000000-0005-0000-0000-00003E4A0000}"/>
    <cellStyle name="Normal 2 2 2 3 9 3 8" xfId="19015" xr:uid="{00000000-0005-0000-0000-00003F4A0000}"/>
    <cellStyle name="Normal 2 2 2 3 9 3 9" xfId="19016" xr:uid="{00000000-0005-0000-0000-0000404A0000}"/>
    <cellStyle name="Normal 2 2 2 3 9 4" xfId="19017" xr:uid="{00000000-0005-0000-0000-0000414A0000}"/>
    <cellStyle name="Normal 2 2 2 3 9 4 10" xfId="19018" xr:uid="{00000000-0005-0000-0000-0000424A0000}"/>
    <cellStyle name="Normal 2 2 2 3 9 4 2" xfId="19019" xr:uid="{00000000-0005-0000-0000-0000434A0000}"/>
    <cellStyle name="Normal 2 2 2 3 9 4 3" xfId="19020" xr:uid="{00000000-0005-0000-0000-0000444A0000}"/>
    <cellStyle name="Normal 2 2 2 3 9 4 4" xfId="19021" xr:uid="{00000000-0005-0000-0000-0000454A0000}"/>
    <cellStyle name="Normal 2 2 2 3 9 4 5" xfId="19022" xr:uid="{00000000-0005-0000-0000-0000464A0000}"/>
    <cellStyle name="Normal 2 2 2 3 9 4 6" xfId="19023" xr:uid="{00000000-0005-0000-0000-0000474A0000}"/>
    <cellStyle name="Normal 2 2 2 3 9 4 7" xfId="19024" xr:uid="{00000000-0005-0000-0000-0000484A0000}"/>
    <cellStyle name="Normal 2 2 2 3 9 4 8" xfId="19025" xr:uid="{00000000-0005-0000-0000-0000494A0000}"/>
    <cellStyle name="Normal 2 2 2 3 9 4 9" xfId="19026" xr:uid="{00000000-0005-0000-0000-00004A4A0000}"/>
    <cellStyle name="Normal 2 2 2 3 9 5" xfId="19027" xr:uid="{00000000-0005-0000-0000-00004B4A0000}"/>
    <cellStyle name="Normal 2 2 2 3 9 5 10" xfId="19028" xr:uid="{00000000-0005-0000-0000-00004C4A0000}"/>
    <cellStyle name="Normal 2 2 2 3 9 5 2" xfId="19029" xr:uid="{00000000-0005-0000-0000-00004D4A0000}"/>
    <cellStyle name="Normal 2 2 2 3 9 5 3" xfId="19030" xr:uid="{00000000-0005-0000-0000-00004E4A0000}"/>
    <cellStyle name="Normal 2 2 2 3 9 5 4" xfId="19031" xr:uid="{00000000-0005-0000-0000-00004F4A0000}"/>
    <cellStyle name="Normal 2 2 2 3 9 5 5" xfId="19032" xr:uid="{00000000-0005-0000-0000-0000504A0000}"/>
    <cellStyle name="Normal 2 2 2 3 9 5 6" xfId="19033" xr:uid="{00000000-0005-0000-0000-0000514A0000}"/>
    <cellStyle name="Normal 2 2 2 3 9 5 7" xfId="19034" xr:uid="{00000000-0005-0000-0000-0000524A0000}"/>
    <cellStyle name="Normal 2 2 2 3 9 5 8" xfId="19035" xr:uid="{00000000-0005-0000-0000-0000534A0000}"/>
    <cellStyle name="Normal 2 2 2 3 9 5 9" xfId="19036" xr:uid="{00000000-0005-0000-0000-0000544A0000}"/>
    <cellStyle name="Normal 2 2 2 3 9 6" xfId="19037" xr:uid="{00000000-0005-0000-0000-0000554A0000}"/>
    <cellStyle name="Normal 2 2 2 3 9 7" xfId="19038" xr:uid="{00000000-0005-0000-0000-0000564A0000}"/>
    <cellStyle name="Normal 2 2 2 3 9 8" xfId="19039" xr:uid="{00000000-0005-0000-0000-0000574A0000}"/>
    <cellStyle name="Normal 2 2 2 3 9 9" xfId="19040" xr:uid="{00000000-0005-0000-0000-0000584A0000}"/>
    <cellStyle name="Normal 2 2 2 30" xfId="19041" xr:uid="{00000000-0005-0000-0000-0000594A0000}"/>
    <cellStyle name="Normal 2 2 2 30 10" xfId="19042" xr:uid="{00000000-0005-0000-0000-00005A4A0000}"/>
    <cellStyle name="Normal 2 2 2 30 11" xfId="19043" xr:uid="{00000000-0005-0000-0000-00005B4A0000}"/>
    <cellStyle name="Normal 2 2 2 30 12" xfId="19044" xr:uid="{00000000-0005-0000-0000-00005C4A0000}"/>
    <cellStyle name="Normal 2 2 2 30 13" xfId="19045" xr:uid="{00000000-0005-0000-0000-00005D4A0000}"/>
    <cellStyle name="Normal 2 2 2 30 14" xfId="19046" xr:uid="{00000000-0005-0000-0000-00005E4A0000}"/>
    <cellStyle name="Normal 2 2 2 30 2" xfId="19047" xr:uid="{00000000-0005-0000-0000-00005F4A0000}"/>
    <cellStyle name="Normal 2 2 2 30 2 10" xfId="19048" xr:uid="{00000000-0005-0000-0000-0000604A0000}"/>
    <cellStyle name="Normal 2 2 2 30 2 2" xfId="19049" xr:uid="{00000000-0005-0000-0000-0000614A0000}"/>
    <cellStyle name="Normal 2 2 2 30 2 3" xfId="19050" xr:uid="{00000000-0005-0000-0000-0000624A0000}"/>
    <cellStyle name="Normal 2 2 2 30 2 4" xfId="19051" xr:uid="{00000000-0005-0000-0000-0000634A0000}"/>
    <cellStyle name="Normal 2 2 2 30 2 5" xfId="19052" xr:uid="{00000000-0005-0000-0000-0000644A0000}"/>
    <cellStyle name="Normal 2 2 2 30 2 6" xfId="19053" xr:uid="{00000000-0005-0000-0000-0000654A0000}"/>
    <cellStyle name="Normal 2 2 2 30 2 7" xfId="19054" xr:uid="{00000000-0005-0000-0000-0000664A0000}"/>
    <cellStyle name="Normal 2 2 2 30 2 8" xfId="19055" xr:uid="{00000000-0005-0000-0000-0000674A0000}"/>
    <cellStyle name="Normal 2 2 2 30 2 9" xfId="19056" xr:uid="{00000000-0005-0000-0000-0000684A0000}"/>
    <cellStyle name="Normal 2 2 2 30 3" xfId="19057" xr:uid="{00000000-0005-0000-0000-0000694A0000}"/>
    <cellStyle name="Normal 2 2 2 30 3 10" xfId="19058" xr:uid="{00000000-0005-0000-0000-00006A4A0000}"/>
    <cellStyle name="Normal 2 2 2 30 3 2" xfId="19059" xr:uid="{00000000-0005-0000-0000-00006B4A0000}"/>
    <cellStyle name="Normal 2 2 2 30 3 3" xfId="19060" xr:uid="{00000000-0005-0000-0000-00006C4A0000}"/>
    <cellStyle name="Normal 2 2 2 30 3 4" xfId="19061" xr:uid="{00000000-0005-0000-0000-00006D4A0000}"/>
    <cellStyle name="Normal 2 2 2 30 3 5" xfId="19062" xr:uid="{00000000-0005-0000-0000-00006E4A0000}"/>
    <cellStyle name="Normal 2 2 2 30 3 6" xfId="19063" xr:uid="{00000000-0005-0000-0000-00006F4A0000}"/>
    <cellStyle name="Normal 2 2 2 30 3 7" xfId="19064" xr:uid="{00000000-0005-0000-0000-0000704A0000}"/>
    <cellStyle name="Normal 2 2 2 30 3 8" xfId="19065" xr:uid="{00000000-0005-0000-0000-0000714A0000}"/>
    <cellStyle name="Normal 2 2 2 30 3 9" xfId="19066" xr:uid="{00000000-0005-0000-0000-0000724A0000}"/>
    <cellStyle name="Normal 2 2 2 30 4" xfId="19067" xr:uid="{00000000-0005-0000-0000-0000734A0000}"/>
    <cellStyle name="Normal 2 2 2 30 4 10" xfId="19068" xr:uid="{00000000-0005-0000-0000-0000744A0000}"/>
    <cellStyle name="Normal 2 2 2 30 4 2" xfId="19069" xr:uid="{00000000-0005-0000-0000-0000754A0000}"/>
    <cellStyle name="Normal 2 2 2 30 4 3" xfId="19070" xr:uid="{00000000-0005-0000-0000-0000764A0000}"/>
    <cellStyle name="Normal 2 2 2 30 4 4" xfId="19071" xr:uid="{00000000-0005-0000-0000-0000774A0000}"/>
    <cellStyle name="Normal 2 2 2 30 4 5" xfId="19072" xr:uid="{00000000-0005-0000-0000-0000784A0000}"/>
    <cellStyle name="Normal 2 2 2 30 4 6" xfId="19073" xr:uid="{00000000-0005-0000-0000-0000794A0000}"/>
    <cellStyle name="Normal 2 2 2 30 4 7" xfId="19074" xr:uid="{00000000-0005-0000-0000-00007A4A0000}"/>
    <cellStyle name="Normal 2 2 2 30 4 8" xfId="19075" xr:uid="{00000000-0005-0000-0000-00007B4A0000}"/>
    <cellStyle name="Normal 2 2 2 30 4 9" xfId="19076" xr:uid="{00000000-0005-0000-0000-00007C4A0000}"/>
    <cellStyle name="Normal 2 2 2 30 5" xfId="19077" xr:uid="{00000000-0005-0000-0000-00007D4A0000}"/>
    <cellStyle name="Normal 2 2 2 30 5 10" xfId="19078" xr:uid="{00000000-0005-0000-0000-00007E4A0000}"/>
    <cellStyle name="Normal 2 2 2 30 5 2" xfId="19079" xr:uid="{00000000-0005-0000-0000-00007F4A0000}"/>
    <cellStyle name="Normal 2 2 2 30 5 3" xfId="19080" xr:uid="{00000000-0005-0000-0000-0000804A0000}"/>
    <cellStyle name="Normal 2 2 2 30 5 4" xfId="19081" xr:uid="{00000000-0005-0000-0000-0000814A0000}"/>
    <cellStyle name="Normal 2 2 2 30 5 5" xfId="19082" xr:uid="{00000000-0005-0000-0000-0000824A0000}"/>
    <cellStyle name="Normal 2 2 2 30 5 6" xfId="19083" xr:uid="{00000000-0005-0000-0000-0000834A0000}"/>
    <cellStyle name="Normal 2 2 2 30 5 7" xfId="19084" xr:uid="{00000000-0005-0000-0000-0000844A0000}"/>
    <cellStyle name="Normal 2 2 2 30 5 8" xfId="19085" xr:uid="{00000000-0005-0000-0000-0000854A0000}"/>
    <cellStyle name="Normal 2 2 2 30 5 9" xfId="19086" xr:uid="{00000000-0005-0000-0000-0000864A0000}"/>
    <cellStyle name="Normal 2 2 2 30 6" xfId="19087" xr:uid="{00000000-0005-0000-0000-0000874A0000}"/>
    <cellStyle name="Normal 2 2 2 30 7" xfId="19088" xr:uid="{00000000-0005-0000-0000-0000884A0000}"/>
    <cellStyle name="Normal 2 2 2 30 8" xfId="19089" xr:uid="{00000000-0005-0000-0000-0000894A0000}"/>
    <cellStyle name="Normal 2 2 2 30 9" xfId="19090" xr:uid="{00000000-0005-0000-0000-00008A4A0000}"/>
    <cellStyle name="Normal 2 2 2 31" xfId="19091" xr:uid="{00000000-0005-0000-0000-00008B4A0000}"/>
    <cellStyle name="Normal 2 2 2 31 10" xfId="19092" xr:uid="{00000000-0005-0000-0000-00008C4A0000}"/>
    <cellStyle name="Normal 2 2 2 31 11" xfId="19093" xr:uid="{00000000-0005-0000-0000-00008D4A0000}"/>
    <cellStyle name="Normal 2 2 2 31 12" xfId="19094" xr:uid="{00000000-0005-0000-0000-00008E4A0000}"/>
    <cellStyle name="Normal 2 2 2 31 13" xfId="19095" xr:uid="{00000000-0005-0000-0000-00008F4A0000}"/>
    <cellStyle name="Normal 2 2 2 31 14" xfId="19096" xr:uid="{00000000-0005-0000-0000-0000904A0000}"/>
    <cellStyle name="Normal 2 2 2 31 2" xfId="19097" xr:uid="{00000000-0005-0000-0000-0000914A0000}"/>
    <cellStyle name="Normal 2 2 2 31 2 10" xfId="19098" xr:uid="{00000000-0005-0000-0000-0000924A0000}"/>
    <cellStyle name="Normal 2 2 2 31 2 2" xfId="19099" xr:uid="{00000000-0005-0000-0000-0000934A0000}"/>
    <cellStyle name="Normal 2 2 2 31 2 3" xfId="19100" xr:uid="{00000000-0005-0000-0000-0000944A0000}"/>
    <cellStyle name="Normal 2 2 2 31 2 4" xfId="19101" xr:uid="{00000000-0005-0000-0000-0000954A0000}"/>
    <cellStyle name="Normal 2 2 2 31 2 5" xfId="19102" xr:uid="{00000000-0005-0000-0000-0000964A0000}"/>
    <cellStyle name="Normal 2 2 2 31 2 6" xfId="19103" xr:uid="{00000000-0005-0000-0000-0000974A0000}"/>
    <cellStyle name="Normal 2 2 2 31 2 7" xfId="19104" xr:uid="{00000000-0005-0000-0000-0000984A0000}"/>
    <cellStyle name="Normal 2 2 2 31 2 8" xfId="19105" xr:uid="{00000000-0005-0000-0000-0000994A0000}"/>
    <cellStyle name="Normal 2 2 2 31 2 9" xfId="19106" xr:uid="{00000000-0005-0000-0000-00009A4A0000}"/>
    <cellStyle name="Normal 2 2 2 31 3" xfId="19107" xr:uid="{00000000-0005-0000-0000-00009B4A0000}"/>
    <cellStyle name="Normal 2 2 2 31 3 10" xfId="19108" xr:uid="{00000000-0005-0000-0000-00009C4A0000}"/>
    <cellStyle name="Normal 2 2 2 31 3 2" xfId="19109" xr:uid="{00000000-0005-0000-0000-00009D4A0000}"/>
    <cellStyle name="Normal 2 2 2 31 3 3" xfId="19110" xr:uid="{00000000-0005-0000-0000-00009E4A0000}"/>
    <cellStyle name="Normal 2 2 2 31 3 4" xfId="19111" xr:uid="{00000000-0005-0000-0000-00009F4A0000}"/>
    <cellStyle name="Normal 2 2 2 31 3 5" xfId="19112" xr:uid="{00000000-0005-0000-0000-0000A04A0000}"/>
    <cellStyle name="Normal 2 2 2 31 3 6" xfId="19113" xr:uid="{00000000-0005-0000-0000-0000A14A0000}"/>
    <cellStyle name="Normal 2 2 2 31 3 7" xfId="19114" xr:uid="{00000000-0005-0000-0000-0000A24A0000}"/>
    <cellStyle name="Normal 2 2 2 31 3 8" xfId="19115" xr:uid="{00000000-0005-0000-0000-0000A34A0000}"/>
    <cellStyle name="Normal 2 2 2 31 3 9" xfId="19116" xr:uid="{00000000-0005-0000-0000-0000A44A0000}"/>
    <cellStyle name="Normal 2 2 2 31 4" xfId="19117" xr:uid="{00000000-0005-0000-0000-0000A54A0000}"/>
    <cellStyle name="Normal 2 2 2 31 4 10" xfId="19118" xr:uid="{00000000-0005-0000-0000-0000A64A0000}"/>
    <cellStyle name="Normal 2 2 2 31 4 2" xfId="19119" xr:uid="{00000000-0005-0000-0000-0000A74A0000}"/>
    <cellStyle name="Normal 2 2 2 31 4 3" xfId="19120" xr:uid="{00000000-0005-0000-0000-0000A84A0000}"/>
    <cellStyle name="Normal 2 2 2 31 4 4" xfId="19121" xr:uid="{00000000-0005-0000-0000-0000A94A0000}"/>
    <cellStyle name="Normal 2 2 2 31 4 5" xfId="19122" xr:uid="{00000000-0005-0000-0000-0000AA4A0000}"/>
    <cellStyle name="Normal 2 2 2 31 4 6" xfId="19123" xr:uid="{00000000-0005-0000-0000-0000AB4A0000}"/>
    <cellStyle name="Normal 2 2 2 31 4 7" xfId="19124" xr:uid="{00000000-0005-0000-0000-0000AC4A0000}"/>
    <cellStyle name="Normal 2 2 2 31 4 8" xfId="19125" xr:uid="{00000000-0005-0000-0000-0000AD4A0000}"/>
    <cellStyle name="Normal 2 2 2 31 4 9" xfId="19126" xr:uid="{00000000-0005-0000-0000-0000AE4A0000}"/>
    <cellStyle name="Normal 2 2 2 31 5" xfId="19127" xr:uid="{00000000-0005-0000-0000-0000AF4A0000}"/>
    <cellStyle name="Normal 2 2 2 31 5 10" xfId="19128" xr:uid="{00000000-0005-0000-0000-0000B04A0000}"/>
    <cellStyle name="Normal 2 2 2 31 5 2" xfId="19129" xr:uid="{00000000-0005-0000-0000-0000B14A0000}"/>
    <cellStyle name="Normal 2 2 2 31 5 3" xfId="19130" xr:uid="{00000000-0005-0000-0000-0000B24A0000}"/>
    <cellStyle name="Normal 2 2 2 31 5 4" xfId="19131" xr:uid="{00000000-0005-0000-0000-0000B34A0000}"/>
    <cellStyle name="Normal 2 2 2 31 5 5" xfId="19132" xr:uid="{00000000-0005-0000-0000-0000B44A0000}"/>
    <cellStyle name="Normal 2 2 2 31 5 6" xfId="19133" xr:uid="{00000000-0005-0000-0000-0000B54A0000}"/>
    <cellStyle name="Normal 2 2 2 31 5 7" xfId="19134" xr:uid="{00000000-0005-0000-0000-0000B64A0000}"/>
    <cellStyle name="Normal 2 2 2 31 5 8" xfId="19135" xr:uid="{00000000-0005-0000-0000-0000B74A0000}"/>
    <cellStyle name="Normal 2 2 2 31 5 9" xfId="19136" xr:uid="{00000000-0005-0000-0000-0000B84A0000}"/>
    <cellStyle name="Normal 2 2 2 31 6" xfId="19137" xr:uid="{00000000-0005-0000-0000-0000B94A0000}"/>
    <cellStyle name="Normal 2 2 2 31 7" xfId="19138" xr:uid="{00000000-0005-0000-0000-0000BA4A0000}"/>
    <cellStyle name="Normal 2 2 2 31 8" xfId="19139" xr:uid="{00000000-0005-0000-0000-0000BB4A0000}"/>
    <cellStyle name="Normal 2 2 2 31 9" xfId="19140" xr:uid="{00000000-0005-0000-0000-0000BC4A0000}"/>
    <cellStyle name="Normal 2 2 2 32" xfId="19141" xr:uid="{00000000-0005-0000-0000-0000BD4A0000}"/>
    <cellStyle name="Normal 2 2 2 32 10" xfId="19142" xr:uid="{00000000-0005-0000-0000-0000BE4A0000}"/>
    <cellStyle name="Normal 2 2 2 32 11" xfId="19143" xr:uid="{00000000-0005-0000-0000-0000BF4A0000}"/>
    <cellStyle name="Normal 2 2 2 32 12" xfId="19144" xr:uid="{00000000-0005-0000-0000-0000C04A0000}"/>
    <cellStyle name="Normal 2 2 2 32 13" xfId="19145" xr:uid="{00000000-0005-0000-0000-0000C14A0000}"/>
    <cellStyle name="Normal 2 2 2 32 14" xfId="19146" xr:uid="{00000000-0005-0000-0000-0000C24A0000}"/>
    <cellStyle name="Normal 2 2 2 32 2" xfId="19147" xr:uid="{00000000-0005-0000-0000-0000C34A0000}"/>
    <cellStyle name="Normal 2 2 2 32 2 10" xfId="19148" xr:uid="{00000000-0005-0000-0000-0000C44A0000}"/>
    <cellStyle name="Normal 2 2 2 32 2 2" xfId="19149" xr:uid="{00000000-0005-0000-0000-0000C54A0000}"/>
    <cellStyle name="Normal 2 2 2 32 2 3" xfId="19150" xr:uid="{00000000-0005-0000-0000-0000C64A0000}"/>
    <cellStyle name="Normal 2 2 2 32 2 4" xfId="19151" xr:uid="{00000000-0005-0000-0000-0000C74A0000}"/>
    <cellStyle name="Normal 2 2 2 32 2 5" xfId="19152" xr:uid="{00000000-0005-0000-0000-0000C84A0000}"/>
    <cellStyle name="Normal 2 2 2 32 2 6" xfId="19153" xr:uid="{00000000-0005-0000-0000-0000C94A0000}"/>
    <cellStyle name="Normal 2 2 2 32 2 7" xfId="19154" xr:uid="{00000000-0005-0000-0000-0000CA4A0000}"/>
    <cellStyle name="Normal 2 2 2 32 2 8" xfId="19155" xr:uid="{00000000-0005-0000-0000-0000CB4A0000}"/>
    <cellStyle name="Normal 2 2 2 32 2 9" xfId="19156" xr:uid="{00000000-0005-0000-0000-0000CC4A0000}"/>
    <cellStyle name="Normal 2 2 2 32 3" xfId="19157" xr:uid="{00000000-0005-0000-0000-0000CD4A0000}"/>
    <cellStyle name="Normal 2 2 2 32 3 10" xfId="19158" xr:uid="{00000000-0005-0000-0000-0000CE4A0000}"/>
    <cellStyle name="Normal 2 2 2 32 3 2" xfId="19159" xr:uid="{00000000-0005-0000-0000-0000CF4A0000}"/>
    <cellStyle name="Normal 2 2 2 32 3 3" xfId="19160" xr:uid="{00000000-0005-0000-0000-0000D04A0000}"/>
    <cellStyle name="Normal 2 2 2 32 3 4" xfId="19161" xr:uid="{00000000-0005-0000-0000-0000D14A0000}"/>
    <cellStyle name="Normal 2 2 2 32 3 5" xfId="19162" xr:uid="{00000000-0005-0000-0000-0000D24A0000}"/>
    <cellStyle name="Normal 2 2 2 32 3 6" xfId="19163" xr:uid="{00000000-0005-0000-0000-0000D34A0000}"/>
    <cellStyle name="Normal 2 2 2 32 3 7" xfId="19164" xr:uid="{00000000-0005-0000-0000-0000D44A0000}"/>
    <cellStyle name="Normal 2 2 2 32 3 8" xfId="19165" xr:uid="{00000000-0005-0000-0000-0000D54A0000}"/>
    <cellStyle name="Normal 2 2 2 32 3 9" xfId="19166" xr:uid="{00000000-0005-0000-0000-0000D64A0000}"/>
    <cellStyle name="Normal 2 2 2 32 4" xfId="19167" xr:uid="{00000000-0005-0000-0000-0000D74A0000}"/>
    <cellStyle name="Normal 2 2 2 32 4 10" xfId="19168" xr:uid="{00000000-0005-0000-0000-0000D84A0000}"/>
    <cellStyle name="Normal 2 2 2 32 4 2" xfId="19169" xr:uid="{00000000-0005-0000-0000-0000D94A0000}"/>
    <cellStyle name="Normal 2 2 2 32 4 3" xfId="19170" xr:uid="{00000000-0005-0000-0000-0000DA4A0000}"/>
    <cellStyle name="Normal 2 2 2 32 4 4" xfId="19171" xr:uid="{00000000-0005-0000-0000-0000DB4A0000}"/>
    <cellStyle name="Normal 2 2 2 32 4 5" xfId="19172" xr:uid="{00000000-0005-0000-0000-0000DC4A0000}"/>
    <cellStyle name="Normal 2 2 2 32 4 6" xfId="19173" xr:uid="{00000000-0005-0000-0000-0000DD4A0000}"/>
    <cellStyle name="Normal 2 2 2 32 4 7" xfId="19174" xr:uid="{00000000-0005-0000-0000-0000DE4A0000}"/>
    <cellStyle name="Normal 2 2 2 32 4 8" xfId="19175" xr:uid="{00000000-0005-0000-0000-0000DF4A0000}"/>
    <cellStyle name="Normal 2 2 2 32 4 9" xfId="19176" xr:uid="{00000000-0005-0000-0000-0000E04A0000}"/>
    <cellStyle name="Normal 2 2 2 32 5" xfId="19177" xr:uid="{00000000-0005-0000-0000-0000E14A0000}"/>
    <cellStyle name="Normal 2 2 2 32 5 10" xfId="19178" xr:uid="{00000000-0005-0000-0000-0000E24A0000}"/>
    <cellStyle name="Normal 2 2 2 32 5 2" xfId="19179" xr:uid="{00000000-0005-0000-0000-0000E34A0000}"/>
    <cellStyle name="Normal 2 2 2 32 5 3" xfId="19180" xr:uid="{00000000-0005-0000-0000-0000E44A0000}"/>
    <cellStyle name="Normal 2 2 2 32 5 4" xfId="19181" xr:uid="{00000000-0005-0000-0000-0000E54A0000}"/>
    <cellStyle name="Normal 2 2 2 32 5 5" xfId="19182" xr:uid="{00000000-0005-0000-0000-0000E64A0000}"/>
    <cellStyle name="Normal 2 2 2 32 5 6" xfId="19183" xr:uid="{00000000-0005-0000-0000-0000E74A0000}"/>
    <cellStyle name="Normal 2 2 2 32 5 7" xfId="19184" xr:uid="{00000000-0005-0000-0000-0000E84A0000}"/>
    <cellStyle name="Normal 2 2 2 32 5 8" xfId="19185" xr:uid="{00000000-0005-0000-0000-0000E94A0000}"/>
    <cellStyle name="Normal 2 2 2 32 5 9" xfId="19186" xr:uid="{00000000-0005-0000-0000-0000EA4A0000}"/>
    <cellStyle name="Normal 2 2 2 32 6" xfId="19187" xr:uid="{00000000-0005-0000-0000-0000EB4A0000}"/>
    <cellStyle name="Normal 2 2 2 32 7" xfId="19188" xr:uid="{00000000-0005-0000-0000-0000EC4A0000}"/>
    <cellStyle name="Normal 2 2 2 32 8" xfId="19189" xr:uid="{00000000-0005-0000-0000-0000ED4A0000}"/>
    <cellStyle name="Normal 2 2 2 32 9" xfId="19190" xr:uid="{00000000-0005-0000-0000-0000EE4A0000}"/>
    <cellStyle name="Normal 2 2 2 33" xfId="19191" xr:uid="{00000000-0005-0000-0000-0000EF4A0000}"/>
    <cellStyle name="Normal 2 2 2 33 10" xfId="19192" xr:uid="{00000000-0005-0000-0000-0000F04A0000}"/>
    <cellStyle name="Normal 2 2 2 33 11" xfId="19193" xr:uid="{00000000-0005-0000-0000-0000F14A0000}"/>
    <cellStyle name="Normal 2 2 2 33 12" xfId="19194" xr:uid="{00000000-0005-0000-0000-0000F24A0000}"/>
    <cellStyle name="Normal 2 2 2 33 13" xfId="19195" xr:uid="{00000000-0005-0000-0000-0000F34A0000}"/>
    <cellStyle name="Normal 2 2 2 33 14" xfId="19196" xr:uid="{00000000-0005-0000-0000-0000F44A0000}"/>
    <cellStyle name="Normal 2 2 2 33 2" xfId="19197" xr:uid="{00000000-0005-0000-0000-0000F54A0000}"/>
    <cellStyle name="Normal 2 2 2 33 2 10" xfId="19198" xr:uid="{00000000-0005-0000-0000-0000F64A0000}"/>
    <cellStyle name="Normal 2 2 2 33 2 2" xfId="19199" xr:uid="{00000000-0005-0000-0000-0000F74A0000}"/>
    <cellStyle name="Normal 2 2 2 33 2 3" xfId="19200" xr:uid="{00000000-0005-0000-0000-0000F84A0000}"/>
    <cellStyle name="Normal 2 2 2 33 2 4" xfId="19201" xr:uid="{00000000-0005-0000-0000-0000F94A0000}"/>
    <cellStyle name="Normal 2 2 2 33 2 5" xfId="19202" xr:uid="{00000000-0005-0000-0000-0000FA4A0000}"/>
    <cellStyle name="Normal 2 2 2 33 2 6" xfId="19203" xr:uid="{00000000-0005-0000-0000-0000FB4A0000}"/>
    <cellStyle name="Normal 2 2 2 33 2 7" xfId="19204" xr:uid="{00000000-0005-0000-0000-0000FC4A0000}"/>
    <cellStyle name="Normal 2 2 2 33 2 8" xfId="19205" xr:uid="{00000000-0005-0000-0000-0000FD4A0000}"/>
    <cellStyle name="Normal 2 2 2 33 2 9" xfId="19206" xr:uid="{00000000-0005-0000-0000-0000FE4A0000}"/>
    <cellStyle name="Normal 2 2 2 33 3" xfId="19207" xr:uid="{00000000-0005-0000-0000-0000FF4A0000}"/>
    <cellStyle name="Normal 2 2 2 33 3 10" xfId="19208" xr:uid="{00000000-0005-0000-0000-0000004B0000}"/>
    <cellStyle name="Normal 2 2 2 33 3 2" xfId="19209" xr:uid="{00000000-0005-0000-0000-0000014B0000}"/>
    <cellStyle name="Normal 2 2 2 33 3 3" xfId="19210" xr:uid="{00000000-0005-0000-0000-0000024B0000}"/>
    <cellStyle name="Normal 2 2 2 33 3 4" xfId="19211" xr:uid="{00000000-0005-0000-0000-0000034B0000}"/>
    <cellStyle name="Normal 2 2 2 33 3 5" xfId="19212" xr:uid="{00000000-0005-0000-0000-0000044B0000}"/>
    <cellStyle name="Normal 2 2 2 33 3 6" xfId="19213" xr:uid="{00000000-0005-0000-0000-0000054B0000}"/>
    <cellStyle name="Normal 2 2 2 33 3 7" xfId="19214" xr:uid="{00000000-0005-0000-0000-0000064B0000}"/>
    <cellStyle name="Normal 2 2 2 33 3 8" xfId="19215" xr:uid="{00000000-0005-0000-0000-0000074B0000}"/>
    <cellStyle name="Normal 2 2 2 33 3 9" xfId="19216" xr:uid="{00000000-0005-0000-0000-0000084B0000}"/>
    <cellStyle name="Normal 2 2 2 33 4" xfId="19217" xr:uid="{00000000-0005-0000-0000-0000094B0000}"/>
    <cellStyle name="Normal 2 2 2 33 4 10" xfId="19218" xr:uid="{00000000-0005-0000-0000-00000A4B0000}"/>
    <cellStyle name="Normal 2 2 2 33 4 2" xfId="19219" xr:uid="{00000000-0005-0000-0000-00000B4B0000}"/>
    <cellStyle name="Normal 2 2 2 33 4 3" xfId="19220" xr:uid="{00000000-0005-0000-0000-00000C4B0000}"/>
    <cellStyle name="Normal 2 2 2 33 4 4" xfId="19221" xr:uid="{00000000-0005-0000-0000-00000D4B0000}"/>
    <cellStyle name="Normal 2 2 2 33 4 5" xfId="19222" xr:uid="{00000000-0005-0000-0000-00000E4B0000}"/>
    <cellStyle name="Normal 2 2 2 33 4 6" xfId="19223" xr:uid="{00000000-0005-0000-0000-00000F4B0000}"/>
    <cellStyle name="Normal 2 2 2 33 4 7" xfId="19224" xr:uid="{00000000-0005-0000-0000-0000104B0000}"/>
    <cellStyle name="Normal 2 2 2 33 4 8" xfId="19225" xr:uid="{00000000-0005-0000-0000-0000114B0000}"/>
    <cellStyle name="Normal 2 2 2 33 4 9" xfId="19226" xr:uid="{00000000-0005-0000-0000-0000124B0000}"/>
    <cellStyle name="Normal 2 2 2 33 5" xfId="19227" xr:uid="{00000000-0005-0000-0000-0000134B0000}"/>
    <cellStyle name="Normal 2 2 2 33 5 10" xfId="19228" xr:uid="{00000000-0005-0000-0000-0000144B0000}"/>
    <cellStyle name="Normal 2 2 2 33 5 2" xfId="19229" xr:uid="{00000000-0005-0000-0000-0000154B0000}"/>
    <cellStyle name="Normal 2 2 2 33 5 3" xfId="19230" xr:uid="{00000000-0005-0000-0000-0000164B0000}"/>
    <cellStyle name="Normal 2 2 2 33 5 4" xfId="19231" xr:uid="{00000000-0005-0000-0000-0000174B0000}"/>
    <cellStyle name="Normal 2 2 2 33 5 5" xfId="19232" xr:uid="{00000000-0005-0000-0000-0000184B0000}"/>
    <cellStyle name="Normal 2 2 2 33 5 6" xfId="19233" xr:uid="{00000000-0005-0000-0000-0000194B0000}"/>
    <cellStyle name="Normal 2 2 2 33 5 7" xfId="19234" xr:uid="{00000000-0005-0000-0000-00001A4B0000}"/>
    <cellStyle name="Normal 2 2 2 33 5 8" xfId="19235" xr:uid="{00000000-0005-0000-0000-00001B4B0000}"/>
    <cellStyle name="Normal 2 2 2 33 5 9" xfId="19236" xr:uid="{00000000-0005-0000-0000-00001C4B0000}"/>
    <cellStyle name="Normal 2 2 2 33 6" xfId="19237" xr:uid="{00000000-0005-0000-0000-00001D4B0000}"/>
    <cellStyle name="Normal 2 2 2 33 7" xfId="19238" xr:uid="{00000000-0005-0000-0000-00001E4B0000}"/>
    <cellStyle name="Normal 2 2 2 33 8" xfId="19239" xr:uid="{00000000-0005-0000-0000-00001F4B0000}"/>
    <cellStyle name="Normal 2 2 2 33 9" xfId="19240" xr:uid="{00000000-0005-0000-0000-0000204B0000}"/>
    <cellStyle name="Normal 2 2 2 34" xfId="19241" xr:uid="{00000000-0005-0000-0000-0000214B0000}"/>
    <cellStyle name="Normal 2 2 2 34 10" xfId="19242" xr:uid="{00000000-0005-0000-0000-0000224B0000}"/>
    <cellStyle name="Normal 2 2 2 34 11" xfId="19243" xr:uid="{00000000-0005-0000-0000-0000234B0000}"/>
    <cellStyle name="Normal 2 2 2 34 12" xfId="19244" xr:uid="{00000000-0005-0000-0000-0000244B0000}"/>
    <cellStyle name="Normal 2 2 2 34 13" xfId="19245" xr:uid="{00000000-0005-0000-0000-0000254B0000}"/>
    <cellStyle name="Normal 2 2 2 34 14" xfId="19246" xr:uid="{00000000-0005-0000-0000-0000264B0000}"/>
    <cellStyle name="Normal 2 2 2 34 2" xfId="19247" xr:uid="{00000000-0005-0000-0000-0000274B0000}"/>
    <cellStyle name="Normal 2 2 2 34 2 10" xfId="19248" xr:uid="{00000000-0005-0000-0000-0000284B0000}"/>
    <cellStyle name="Normal 2 2 2 34 2 2" xfId="19249" xr:uid="{00000000-0005-0000-0000-0000294B0000}"/>
    <cellStyle name="Normal 2 2 2 34 2 3" xfId="19250" xr:uid="{00000000-0005-0000-0000-00002A4B0000}"/>
    <cellStyle name="Normal 2 2 2 34 2 4" xfId="19251" xr:uid="{00000000-0005-0000-0000-00002B4B0000}"/>
    <cellStyle name="Normal 2 2 2 34 2 5" xfId="19252" xr:uid="{00000000-0005-0000-0000-00002C4B0000}"/>
    <cellStyle name="Normal 2 2 2 34 2 6" xfId="19253" xr:uid="{00000000-0005-0000-0000-00002D4B0000}"/>
    <cellStyle name="Normal 2 2 2 34 2 7" xfId="19254" xr:uid="{00000000-0005-0000-0000-00002E4B0000}"/>
    <cellStyle name="Normal 2 2 2 34 2 8" xfId="19255" xr:uid="{00000000-0005-0000-0000-00002F4B0000}"/>
    <cellStyle name="Normal 2 2 2 34 2 9" xfId="19256" xr:uid="{00000000-0005-0000-0000-0000304B0000}"/>
    <cellStyle name="Normal 2 2 2 34 3" xfId="19257" xr:uid="{00000000-0005-0000-0000-0000314B0000}"/>
    <cellStyle name="Normal 2 2 2 34 3 10" xfId="19258" xr:uid="{00000000-0005-0000-0000-0000324B0000}"/>
    <cellStyle name="Normal 2 2 2 34 3 2" xfId="19259" xr:uid="{00000000-0005-0000-0000-0000334B0000}"/>
    <cellStyle name="Normal 2 2 2 34 3 3" xfId="19260" xr:uid="{00000000-0005-0000-0000-0000344B0000}"/>
    <cellStyle name="Normal 2 2 2 34 3 4" xfId="19261" xr:uid="{00000000-0005-0000-0000-0000354B0000}"/>
    <cellStyle name="Normal 2 2 2 34 3 5" xfId="19262" xr:uid="{00000000-0005-0000-0000-0000364B0000}"/>
    <cellStyle name="Normal 2 2 2 34 3 6" xfId="19263" xr:uid="{00000000-0005-0000-0000-0000374B0000}"/>
    <cellStyle name="Normal 2 2 2 34 3 7" xfId="19264" xr:uid="{00000000-0005-0000-0000-0000384B0000}"/>
    <cellStyle name="Normal 2 2 2 34 3 8" xfId="19265" xr:uid="{00000000-0005-0000-0000-0000394B0000}"/>
    <cellStyle name="Normal 2 2 2 34 3 9" xfId="19266" xr:uid="{00000000-0005-0000-0000-00003A4B0000}"/>
    <cellStyle name="Normal 2 2 2 34 4" xfId="19267" xr:uid="{00000000-0005-0000-0000-00003B4B0000}"/>
    <cellStyle name="Normal 2 2 2 34 4 10" xfId="19268" xr:uid="{00000000-0005-0000-0000-00003C4B0000}"/>
    <cellStyle name="Normal 2 2 2 34 4 2" xfId="19269" xr:uid="{00000000-0005-0000-0000-00003D4B0000}"/>
    <cellStyle name="Normal 2 2 2 34 4 3" xfId="19270" xr:uid="{00000000-0005-0000-0000-00003E4B0000}"/>
    <cellStyle name="Normal 2 2 2 34 4 4" xfId="19271" xr:uid="{00000000-0005-0000-0000-00003F4B0000}"/>
    <cellStyle name="Normal 2 2 2 34 4 5" xfId="19272" xr:uid="{00000000-0005-0000-0000-0000404B0000}"/>
    <cellStyle name="Normal 2 2 2 34 4 6" xfId="19273" xr:uid="{00000000-0005-0000-0000-0000414B0000}"/>
    <cellStyle name="Normal 2 2 2 34 4 7" xfId="19274" xr:uid="{00000000-0005-0000-0000-0000424B0000}"/>
    <cellStyle name="Normal 2 2 2 34 4 8" xfId="19275" xr:uid="{00000000-0005-0000-0000-0000434B0000}"/>
    <cellStyle name="Normal 2 2 2 34 4 9" xfId="19276" xr:uid="{00000000-0005-0000-0000-0000444B0000}"/>
    <cellStyle name="Normal 2 2 2 34 5" xfId="19277" xr:uid="{00000000-0005-0000-0000-0000454B0000}"/>
    <cellStyle name="Normal 2 2 2 34 5 10" xfId="19278" xr:uid="{00000000-0005-0000-0000-0000464B0000}"/>
    <cellStyle name="Normal 2 2 2 34 5 2" xfId="19279" xr:uid="{00000000-0005-0000-0000-0000474B0000}"/>
    <cellStyle name="Normal 2 2 2 34 5 3" xfId="19280" xr:uid="{00000000-0005-0000-0000-0000484B0000}"/>
    <cellStyle name="Normal 2 2 2 34 5 4" xfId="19281" xr:uid="{00000000-0005-0000-0000-0000494B0000}"/>
    <cellStyle name="Normal 2 2 2 34 5 5" xfId="19282" xr:uid="{00000000-0005-0000-0000-00004A4B0000}"/>
    <cellStyle name="Normal 2 2 2 34 5 6" xfId="19283" xr:uid="{00000000-0005-0000-0000-00004B4B0000}"/>
    <cellStyle name="Normal 2 2 2 34 5 7" xfId="19284" xr:uid="{00000000-0005-0000-0000-00004C4B0000}"/>
    <cellStyle name="Normal 2 2 2 34 5 8" xfId="19285" xr:uid="{00000000-0005-0000-0000-00004D4B0000}"/>
    <cellStyle name="Normal 2 2 2 34 5 9" xfId="19286" xr:uid="{00000000-0005-0000-0000-00004E4B0000}"/>
    <cellStyle name="Normal 2 2 2 34 6" xfId="19287" xr:uid="{00000000-0005-0000-0000-00004F4B0000}"/>
    <cellStyle name="Normal 2 2 2 34 7" xfId="19288" xr:uid="{00000000-0005-0000-0000-0000504B0000}"/>
    <cellStyle name="Normal 2 2 2 34 8" xfId="19289" xr:uid="{00000000-0005-0000-0000-0000514B0000}"/>
    <cellStyle name="Normal 2 2 2 34 9" xfId="19290" xr:uid="{00000000-0005-0000-0000-0000524B0000}"/>
    <cellStyle name="Normal 2 2 2 35" xfId="19291" xr:uid="{00000000-0005-0000-0000-0000534B0000}"/>
    <cellStyle name="Normal 2 2 2 35 10" xfId="19292" xr:uid="{00000000-0005-0000-0000-0000544B0000}"/>
    <cellStyle name="Normal 2 2 2 35 11" xfId="19293" xr:uid="{00000000-0005-0000-0000-0000554B0000}"/>
    <cellStyle name="Normal 2 2 2 35 12" xfId="19294" xr:uid="{00000000-0005-0000-0000-0000564B0000}"/>
    <cellStyle name="Normal 2 2 2 35 13" xfId="19295" xr:uid="{00000000-0005-0000-0000-0000574B0000}"/>
    <cellStyle name="Normal 2 2 2 35 14" xfId="19296" xr:uid="{00000000-0005-0000-0000-0000584B0000}"/>
    <cellStyle name="Normal 2 2 2 35 2" xfId="19297" xr:uid="{00000000-0005-0000-0000-0000594B0000}"/>
    <cellStyle name="Normal 2 2 2 35 2 10" xfId="19298" xr:uid="{00000000-0005-0000-0000-00005A4B0000}"/>
    <cellStyle name="Normal 2 2 2 35 2 2" xfId="19299" xr:uid="{00000000-0005-0000-0000-00005B4B0000}"/>
    <cellStyle name="Normal 2 2 2 35 2 3" xfId="19300" xr:uid="{00000000-0005-0000-0000-00005C4B0000}"/>
    <cellStyle name="Normal 2 2 2 35 2 4" xfId="19301" xr:uid="{00000000-0005-0000-0000-00005D4B0000}"/>
    <cellStyle name="Normal 2 2 2 35 2 5" xfId="19302" xr:uid="{00000000-0005-0000-0000-00005E4B0000}"/>
    <cellStyle name="Normal 2 2 2 35 2 6" xfId="19303" xr:uid="{00000000-0005-0000-0000-00005F4B0000}"/>
    <cellStyle name="Normal 2 2 2 35 2 7" xfId="19304" xr:uid="{00000000-0005-0000-0000-0000604B0000}"/>
    <cellStyle name="Normal 2 2 2 35 2 8" xfId="19305" xr:uid="{00000000-0005-0000-0000-0000614B0000}"/>
    <cellStyle name="Normal 2 2 2 35 2 9" xfId="19306" xr:uid="{00000000-0005-0000-0000-0000624B0000}"/>
    <cellStyle name="Normal 2 2 2 35 3" xfId="19307" xr:uid="{00000000-0005-0000-0000-0000634B0000}"/>
    <cellStyle name="Normal 2 2 2 35 3 10" xfId="19308" xr:uid="{00000000-0005-0000-0000-0000644B0000}"/>
    <cellStyle name="Normal 2 2 2 35 3 2" xfId="19309" xr:uid="{00000000-0005-0000-0000-0000654B0000}"/>
    <cellStyle name="Normal 2 2 2 35 3 3" xfId="19310" xr:uid="{00000000-0005-0000-0000-0000664B0000}"/>
    <cellStyle name="Normal 2 2 2 35 3 4" xfId="19311" xr:uid="{00000000-0005-0000-0000-0000674B0000}"/>
    <cellStyle name="Normal 2 2 2 35 3 5" xfId="19312" xr:uid="{00000000-0005-0000-0000-0000684B0000}"/>
    <cellStyle name="Normal 2 2 2 35 3 6" xfId="19313" xr:uid="{00000000-0005-0000-0000-0000694B0000}"/>
    <cellStyle name="Normal 2 2 2 35 3 7" xfId="19314" xr:uid="{00000000-0005-0000-0000-00006A4B0000}"/>
    <cellStyle name="Normal 2 2 2 35 3 8" xfId="19315" xr:uid="{00000000-0005-0000-0000-00006B4B0000}"/>
    <cellStyle name="Normal 2 2 2 35 3 9" xfId="19316" xr:uid="{00000000-0005-0000-0000-00006C4B0000}"/>
    <cellStyle name="Normal 2 2 2 35 4" xfId="19317" xr:uid="{00000000-0005-0000-0000-00006D4B0000}"/>
    <cellStyle name="Normal 2 2 2 35 4 10" xfId="19318" xr:uid="{00000000-0005-0000-0000-00006E4B0000}"/>
    <cellStyle name="Normal 2 2 2 35 4 2" xfId="19319" xr:uid="{00000000-0005-0000-0000-00006F4B0000}"/>
    <cellStyle name="Normal 2 2 2 35 4 3" xfId="19320" xr:uid="{00000000-0005-0000-0000-0000704B0000}"/>
    <cellStyle name="Normal 2 2 2 35 4 4" xfId="19321" xr:uid="{00000000-0005-0000-0000-0000714B0000}"/>
    <cellStyle name="Normal 2 2 2 35 4 5" xfId="19322" xr:uid="{00000000-0005-0000-0000-0000724B0000}"/>
    <cellStyle name="Normal 2 2 2 35 4 6" xfId="19323" xr:uid="{00000000-0005-0000-0000-0000734B0000}"/>
    <cellStyle name="Normal 2 2 2 35 4 7" xfId="19324" xr:uid="{00000000-0005-0000-0000-0000744B0000}"/>
    <cellStyle name="Normal 2 2 2 35 4 8" xfId="19325" xr:uid="{00000000-0005-0000-0000-0000754B0000}"/>
    <cellStyle name="Normal 2 2 2 35 4 9" xfId="19326" xr:uid="{00000000-0005-0000-0000-0000764B0000}"/>
    <cellStyle name="Normal 2 2 2 35 5" xfId="19327" xr:uid="{00000000-0005-0000-0000-0000774B0000}"/>
    <cellStyle name="Normal 2 2 2 35 5 10" xfId="19328" xr:uid="{00000000-0005-0000-0000-0000784B0000}"/>
    <cellStyle name="Normal 2 2 2 35 5 2" xfId="19329" xr:uid="{00000000-0005-0000-0000-0000794B0000}"/>
    <cellStyle name="Normal 2 2 2 35 5 3" xfId="19330" xr:uid="{00000000-0005-0000-0000-00007A4B0000}"/>
    <cellStyle name="Normal 2 2 2 35 5 4" xfId="19331" xr:uid="{00000000-0005-0000-0000-00007B4B0000}"/>
    <cellStyle name="Normal 2 2 2 35 5 5" xfId="19332" xr:uid="{00000000-0005-0000-0000-00007C4B0000}"/>
    <cellStyle name="Normal 2 2 2 35 5 6" xfId="19333" xr:uid="{00000000-0005-0000-0000-00007D4B0000}"/>
    <cellStyle name="Normal 2 2 2 35 5 7" xfId="19334" xr:uid="{00000000-0005-0000-0000-00007E4B0000}"/>
    <cellStyle name="Normal 2 2 2 35 5 8" xfId="19335" xr:uid="{00000000-0005-0000-0000-00007F4B0000}"/>
    <cellStyle name="Normal 2 2 2 35 5 9" xfId="19336" xr:uid="{00000000-0005-0000-0000-0000804B0000}"/>
    <cellStyle name="Normal 2 2 2 35 6" xfId="19337" xr:uid="{00000000-0005-0000-0000-0000814B0000}"/>
    <cellStyle name="Normal 2 2 2 35 7" xfId="19338" xr:uid="{00000000-0005-0000-0000-0000824B0000}"/>
    <cellStyle name="Normal 2 2 2 35 8" xfId="19339" xr:uid="{00000000-0005-0000-0000-0000834B0000}"/>
    <cellStyle name="Normal 2 2 2 35 9" xfId="19340" xr:uid="{00000000-0005-0000-0000-0000844B0000}"/>
    <cellStyle name="Normal 2 2 2 36" xfId="19341" xr:uid="{00000000-0005-0000-0000-0000854B0000}"/>
    <cellStyle name="Normal 2 2 2 36 10" xfId="19342" xr:uid="{00000000-0005-0000-0000-0000864B0000}"/>
    <cellStyle name="Normal 2 2 2 36 2" xfId="19343" xr:uid="{00000000-0005-0000-0000-0000874B0000}"/>
    <cellStyle name="Normal 2 2 2 36 3" xfId="19344" xr:uid="{00000000-0005-0000-0000-0000884B0000}"/>
    <cellStyle name="Normal 2 2 2 36 4" xfId="19345" xr:uid="{00000000-0005-0000-0000-0000894B0000}"/>
    <cellStyle name="Normal 2 2 2 36 5" xfId="19346" xr:uid="{00000000-0005-0000-0000-00008A4B0000}"/>
    <cellStyle name="Normal 2 2 2 36 6" xfId="19347" xr:uid="{00000000-0005-0000-0000-00008B4B0000}"/>
    <cellStyle name="Normal 2 2 2 36 7" xfId="19348" xr:uid="{00000000-0005-0000-0000-00008C4B0000}"/>
    <cellStyle name="Normal 2 2 2 36 8" xfId="19349" xr:uid="{00000000-0005-0000-0000-00008D4B0000}"/>
    <cellStyle name="Normal 2 2 2 36 9" xfId="19350" xr:uid="{00000000-0005-0000-0000-00008E4B0000}"/>
    <cellStyle name="Normal 2 2 2 37" xfId="19351" xr:uid="{00000000-0005-0000-0000-00008F4B0000}"/>
    <cellStyle name="Normal 2 2 2 37 10" xfId="19352" xr:uid="{00000000-0005-0000-0000-0000904B0000}"/>
    <cellStyle name="Normal 2 2 2 37 2" xfId="19353" xr:uid="{00000000-0005-0000-0000-0000914B0000}"/>
    <cellStyle name="Normal 2 2 2 37 3" xfId="19354" xr:uid="{00000000-0005-0000-0000-0000924B0000}"/>
    <cellStyle name="Normal 2 2 2 37 4" xfId="19355" xr:uid="{00000000-0005-0000-0000-0000934B0000}"/>
    <cellStyle name="Normal 2 2 2 37 5" xfId="19356" xr:uid="{00000000-0005-0000-0000-0000944B0000}"/>
    <cellStyle name="Normal 2 2 2 37 6" xfId="19357" xr:uid="{00000000-0005-0000-0000-0000954B0000}"/>
    <cellStyle name="Normal 2 2 2 37 7" xfId="19358" xr:uid="{00000000-0005-0000-0000-0000964B0000}"/>
    <cellStyle name="Normal 2 2 2 37 8" xfId="19359" xr:uid="{00000000-0005-0000-0000-0000974B0000}"/>
    <cellStyle name="Normal 2 2 2 37 9" xfId="19360" xr:uid="{00000000-0005-0000-0000-0000984B0000}"/>
    <cellStyle name="Normal 2 2 2 38" xfId="19361" xr:uid="{00000000-0005-0000-0000-0000994B0000}"/>
    <cellStyle name="Normal 2 2 2 38 10" xfId="19362" xr:uid="{00000000-0005-0000-0000-00009A4B0000}"/>
    <cellStyle name="Normal 2 2 2 38 2" xfId="19363" xr:uid="{00000000-0005-0000-0000-00009B4B0000}"/>
    <cellStyle name="Normal 2 2 2 38 3" xfId="19364" xr:uid="{00000000-0005-0000-0000-00009C4B0000}"/>
    <cellStyle name="Normal 2 2 2 38 4" xfId="19365" xr:uid="{00000000-0005-0000-0000-00009D4B0000}"/>
    <cellStyle name="Normal 2 2 2 38 5" xfId="19366" xr:uid="{00000000-0005-0000-0000-00009E4B0000}"/>
    <cellStyle name="Normal 2 2 2 38 6" xfId="19367" xr:uid="{00000000-0005-0000-0000-00009F4B0000}"/>
    <cellStyle name="Normal 2 2 2 38 7" xfId="19368" xr:uid="{00000000-0005-0000-0000-0000A04B0000}"/>
    <cellStyle name="Normal 2 2 2 38 8" xfId="19369" xr:uid="{00000000-0005-0000-0000-0000A14B0000}"/>
    <cellStyle name="Normal 2 2 2 38 9" xfId="19370" xr:uid="{00000000-0005-0000-0000-0000A24B0000}"/>
    <cellStyle name="Normal 2 2 2 39" xfId="19371" xr:uid="{00000000-0005-0000-0000-0000A34B0000}"/>
    <cellStyle name="Normal 2 2 2 39 10" xfId="19372" xr:uid="{00000000-0005-0000-0000-0000A44B0000}"/>
    <cellStyle name="Normal 2 2 2 39 2" xfId="19373" xr:uid="{00000000-0005-0000-0000-0000A54B0000}"/>
    <cellStyle name="Normal 2 2 2 39 3" xfId="19374" xr:uid="{00000000-0005-0000-0000-0000A64B0000}"/>
    <cellStyle name="Normal 2 2 2 39 4" xfId="19375" xr:uid="{00000000-0005-0000-0000-0000A74B0000}"/>
    <cellStyle name="Normal 2 2 2 39 5" xfId="19376" xr:uid="{00000000-0005-0000-0000-0000A84B0000}"/>
    <cellStyle name="Normal 2 2 2 39 6" xfId="19377" xr:uid="{00000000-0005-0000-0000-0000A94B0000}"/>
    <cellStyle name="Normal 2 2 2 39 7" xfId="19378" xr:uid="{00000000-0005-0000-0000-0000AA4B0000}"/>
    <cellStyle name="Normal 2 2 2 39 8" xfId="19379" xr:uid="{00000000-0005-0000-0000-0000AB4B0000}"/>
    <cellStyle name="Normal 2 2 2 39 9" xfId="19380" xr:uid="{00000000-0005-0000-0000-0000AC4B0000}"/>
    <cellStyle name="Normal 2 2 2 4" xfId="19381" xr:uid="{00000000-0005-0000-0000-0000AD4B0000}"/>
    <cellStyle name="Normal 2 2 2 4 10" xfId="19382" xr:uid="{00000000-0005-0000-0000-0000AE4B0000}"/>
    <cellStyle name="Normal 2 2 2 4 11" xfId="19383" xr:uid="{00000000-0005-0000-0000-0000AF4B0000}"/>
    <cellStyle name="Normal 2 2 2 4 12" xfId="19384" xr:uid="{00000000-0005-0000-0000-0000B04B0000}"/>
    <cellStyle name="Normal 2 2 2 4 13" xfId="19385" xr:uid="{00000000-0005-0000-0000-0000B14B0000}"/>
    <cellStyle name="Normal 2 2 2 4 14" xfId="19386" xr:uid="{00000000-0005-0000-0000-0000B24B0000}"/>
    <cellStyle name="Normal 2 2 2 4 15" xfId="19387" xr:uid="{00000000-0005-0000-0000-0000B34B0000}"/>
    <cellStyle name="Normal 2 2 2 4 16" xfId="19388" xr:uid="{00000000-0005-0000-0000-0000B44B0000}"/>
    <cellStyle name="Normal 2 2 2 4 17" xfId="19389" xr:uid="{00000000-0005-0000-0000-0000B54B0000}"/>
    <cellStyle name="Normal 2 2 2 4 18" xfId="19390" xr:uid="{00000000-0005-0000-0000-0000B64B0000}"/>
    <cellStyle name="Normal 2 2 2 4 19" xfId="19391" xr:uid="{00000000-0005-0000-0000-0000B74B0000}"/>
    <cellStyle name="Normal 2 2 2 4 2" xfId="19392" xr:uid="{00000000-0005-0000-0000-0000B84B0000}"/>
    <cellStyle name="Normal 2 2 2 4 2 10" xfId="19393" xr:uid="{00000000-0005-0000-0000-0000B94B0000}"/>
    <cellStyle name="Normal 2 2 2 4 2 10 10" xfId="19394" xr:uid="{00000000-0005-0000-0000-0000BA4B0000}"/>
    <cellStyle name="Normal 2 2 2 4 2 10 11" xfId="19395" xr:uid="{00000000-0005-0000-0000-0000BB4B0000}"/>
    <cellStyle name="Normal 2 2 2 4 2 10 12" xfId="19396" xr:uid="{00000000-0005-0000-0000-0000BC4B0000}"/>
    <cellStyle name="Normal 2 2 2 4 2 10 13" xfId="19397" xr:uid="{00000000-0005-0000-0000-0000BD4B0000}"/>
    <cellStyle name="Normal 2 2 2 4 2 10 14" xfId="19398" xr:uid="{00000000-0005-0000-0000-0000BE4B0000}"/>
    <cellStyle name="Normal 2 2 2 4 2 10 2" xfId="19399" xr:uid="{00000000-0005-0000-0000-0000BF4B0000}"/>
    <cellStyle name="Normal 2 2 2 4 2 10 2 10" xfId="19400" xr:uid="{00000000-0005-0000-0000-0000C04B0000}"/>
    <cellStyle name="Normal 2 2 2 4 2 10 2 2" xfId="19401" xr:uid="{00000000-0005-0000-0000-0000C14B0000}"/>
    <cellStyle name="Normal 2 2 2 4 2 10 2 3" xfId="19402" xr:uid="{00000000-0005-0000-0000-0000C24B0000}"/>
    <cellStyle name="Normal 2 2 2 4 2 10 2 4" xfId="19403" xr:uid="{00000000-0005-0000-0000-0000C34B0000}"/>
    <cellStyle name="Normal 2 2 2 4 2 10 2 5" xfId="19404" xr:uid="{00000000-0005-0000-0000-0000C44B0000}"/>
    <cellStyle name="Normal 2 2 2 4 2 10 2 6" xfId="19405" xr:uid="{00000000-0005-0000-0000-0000C54B0000}"/>
    <cellStyle name="Normal 2 2 2 4 2 10 2 7" xfId="19406" xr:uid="{00000000-0005-0000-0000-0000C64B0000}"/>
    <cellStyle name="Normal 2 2 2 4 2 10 2 8" xfId="19407" xr:uid="{00000000-0005-0000-0000-0000C74B0000}"/>
    <cellStyle name="Normal 2 2 2 4 2 10 2 9" xfId="19408" xr:uid="{00000000-0005-0000-0000-0000C84B0000}"/>
    <cellStyle name="Normal 2 2 2 4 2 10 3" xfId="19409" xr:uid="{00000000-0005-0000-0000-0000C94B0000}"/>
    <cellStyle name="Normal 2 2 2 4 2 10 3 10" xfId="19410" xr:uid="{00000000-0005-0000-0000-0000CA4B0000}"/>
    <cellStyle name="Normal 2 2 2 4 2 10 3 2" xfId="19411" xr:uid="{00000000-0005-0000-0000-0000CB4B0000}"/>
    <cellStyle name="Normal 2 2 2 4 2 10 3 3" xfId="19412" xr:uid="{00000000-0005-0000-0000-0000CC4B0000}"/>
    <cellStyle name="Normal 2 2 2 4 2 10 3 4" xfId="19413" xr:uid="{00000000-0005-0000-0000-0000CD4B0000}"/>
    <cellStyle name="Normal 2 2 2 4 2 10 3 5" xfId="19414" xr:uid="{00000000-0005-0000-0000-0000CE4B0000}"/>
    <cellStyle name="Normal 2 2 2 4 2 10 3 6" xfId="19415" xr:uid="{00000000-0005-0000-0000-0000CF4B0000}"/>
    <cellStyle name="Normal 2 2 2 4 2 10 3 7" xfId="19416" xr:uid="{00000000-0005-0000-0000-0000D04B0000}"/>
    <cellStyle name="Normal 2 2 2 4 2 10 3 8" xfId="19417" xr:uid="{00000000-0005-0000-0000-0000D14B0000}"/>
    <cellStyle name="Normal 2 2 2 4 2 10 3 9" xfId="19418" xr:uid="{00000000-0005-0000-0000-0000D24B0000}"/>
    <cellStyle name="Normal 2 2 2 4 2 10 4" xfId="19419" xr:uid="{00000000-0005-0000-0000-0000D34B0000}"/>
    <cellStyle name="Normal 2 2 2 4 2 10 4 10" xfId="19420" xr:uid="{00000000-0005-0000-0000-0000D44B0000}"/>
    <cellStyle name="Normal 2 2 2 4 2 10 4 2" xfId="19421" xr:uid="{00000000-0005-0000-0000-0000D54B0000}"/>
    <cellStyle name="Normal 2 2 2 4 2 10 4 3" xfId="19422" xr:uid="{00000000-0005-0000-0000-0000D64B0000}"/>
    <cellStyle name="Normal 2 2 2 4 2 10 4 4" xfId="19423" xr:uid="{00000000-0005-0000-0000-0000D74B0000}"/>
    <cellStyle name="Normal 2 2 2 4 2 10 4 5" xfId="19424" xr:uid="{00000000-0005-0000-0000-0000D84B0000}"/>
    <cellStyle name="Normal 2 2 2 4 2 10 4 6" xfId="19425" xr:uid="{00000000-0005-0000-0000-0000D94B0000}"/>
    <cellStyle name="Normal 2 2 2 4 2 10 4 7" xfId="19426" xr:uid="{00000000-0005-0000-0000-0000DA4B0000}"/>
    <cellStyle name="Normal 2 2 2 4 2 10 4 8" xfId="19427" xr:uid="{00000000-0005-0000-0000-0000DB4B0000}"/>
    <cellStyle name="Normal 2 2 2 4 2 10 4 9" xfId="19428" xr:uid="{00000000-0005-0000-0000-0000DC4B0000}"/>
    <cellStyle name="Normal 2 2 2 4 2 10 5" xfId="19429" xr:uid="{00000000-0005-0000-0000-0000DD4B0000}"/>
    <cellStyle name="Normal 2 2 2 4 2 10 5 10" xfId="19430" xr:uid="{00000000-0005-0000-0000-0000DE4B0000}"/>
    <cellStyle name="Normal 2 2 2 4 2 10 5 2" xfId="19431" xr:uid="{00000000-0005-0000-0000-0000DF4B0000}"/>
    <cellStyle name="Normal 2 2 2 4 2 10 5 3" xfId="19432" xr:uid="{00000000-0005-0000-0000-0000E04B0000}"/>
    <cellStyle name="Normal 2 2 2 4 2 10 5 4" xfId="19433" xr:uid="{00000000-0005-0000-0000-0000E14B0000}"/>
    <cellStyle name="Normal 2 2 2 4 2 10 5 5" xfId="19434" xr:uid="{00000000-0005-0000-0000-0000E24B0000}"/>
    <cellStyle name="Normal 2 2 2 4 2 10 5 6" xfId="19435" xr:uid="{00000000-0005-0000-0000-0000E34B0000}"/>
    <cellStyle name="Normal 2 2 2 4 2 10 5 7" xfId="19436" xr:uid="{00000000-0005-0000-0000-0000E44B0000}"/>
    <cellStyle name="Normal 2 2 2 4 2 10 5 8" xfId="19437" xr:uid="{00000000-0005-0000-0000-0000E54B0000}"/>
    <cellStyle name="Normal 2 2 2 4 2 10 5 9" xfId="19438" xr:uid="{00000000-0005-0000-0000-0000E64B0000}"/>
    <cellStyle name="Normal 2 2 2 4 2 10 6" xfId="19439" xr:uid="{00000000-0005-0000-0000-0000E74B0000}"/>
    <cellStyle name="Normal 2 2 2 4 2 10 7" xfId="19440" xr:uid="{00000000-0005-0000-0000-0000E84B0000}"/>
    <cellStyle name="Normal 2 2 2 4 2 10 8" xfId="19441" xr:uid="{00000000-0005-0000-0000-0000E94B0000}"/>
    <cellStyle name="Normal 2 2 2 4 2 10 9" xfId="19442" xr:uid="{00000000-0005-0000-0000-0000EA4B0000}"/>
    <cellStyle name="Normal 2 2 2 4 2 11" xfId="19443" xr:uid="{00000000-0005-0000-0000-0000EB4B0000}"/>
    <cellStyle name="Normal 2 2 2 4 2 11 10" xfId="19444" xr:uid="{00000000-0005-0000-0000-0000EC4B0000}"/>
    <cellStyle name="Normal 2 2 2 4 2 11 11" xfId="19445" xr:uid="{00000000-0005-0000-0000-0000ED4B0000}"/>
    <cellStyle name="Normal 2 2 2 4 2 11 12" xfId="19446" xr:uid="{00000000-0005-0000-0000-0000EE4B0000}"/>
    <cellStyle name="Normal 2 2 2 4 2 11 13" xfId="19447" xr:uid="{00000000-0005-0000-0000-0000EF4B0000}"/>
    <cellStyle name="Normal 2 2 2 4 2 11 14" xfId="19448" xr:uid="{00000000-0005-0000-0000-0000F04B0000}"/>
    <cellStyle name="Normal 2 2 2 4 2 11 2" xfId="19449" xr:uid="{00000000-0005-0000-0000-0000F14B0000}"/>
    <cellStyle name="Normal 2 2 2 4 2 11 2 10" xfId="19450" xr:uid="{00000000-0005-0000-0000-0000F24B0000}"/>
    <cellStyle name="Normal 2 2 2 4 2 11 2 2" xfId="19451" xr:uid="{00000000-0005-0000-0000-0000F34B0000}"/>
    <cellStyle name="Normal 2 2 2 4 2 11 2 3" xfId="19452" xr:uid="{00000000-0005-0000-0000-0000F44B0000}"/>
    <cellStyle name="Normal 2 2 2 4 2 11 2 4" xfId="19453" xr:uid="{00000000-0005-0000-0000-0000F54B0000}"/>
    <cellStyle name="Normal 2 2 2 4 2 11 2 5" xfId="19454" xr:uid="{00000000-0005-0000-0000-0000F64B0000}"/>
    <cellStyle name="Normal 2 2 2 4 2 11 2 6" xfId="19455" xr:uid="{00000000-0005-0000-0000-0000F74B0000}"/>
    <cellStyle name="Normal 2 2 2 4 2 11 2 7" xfId="19456" xr:uid="{00000000-0005-0000-0000-0000F84B0000}"/>
    <cellStyle name="Normal 2 2 2 4 2 11 2 8" xfId="19457" xr:uid="{00000000-0005-0000-0000-0000F94B0000}"/>
    <cellStyle name="Normal 2 2 2 4 2 11 2 9" xfId="19458" xr:uid="{00000000-0005-0000-0000-0000FA4B0000}"/>
    <cellStyle name="Normal 2 2 2 4 2 11 3" xfId="19459" xr:uid="{00000000-0005-0000-0000-0000FB4B0000}"/>
    <cellStyle name="Normal 2 2 2 4 2 11 3 10" xfId="19460" xr:uid="{00000000-0005-0000-0000-0000FC4B0000}"/>
    <cellStyle name="Normal 2 2 2 4 2 11 3 2" xfId="19461" xr:uid="{00000000-0005-0000-0000-0000FD4B0000}"/>
    <cellStyle name="Normal 2 2 2 4 2 11 3 3" xfId="19462" xr:uid="{00000000-0005-0000-0000-0000FE4B0000}"/>
    <cellStyle name="Normal 2 2 2 4 2 11 3 4" xfId="19463" xr:uid="{00000000-0005-0000-0000-0000FF4B0000}"/>
    <cellStyle name="Normal 2 2 2 4 2 11 3 5" xfId="19464" xr:uid="{00000000-0005-0000-0000-0000004C0000}"/>
    <cellStyle name="Normal 2 2 2 4 2 11 3 6" xfId="19465" xr:uid="{00000000-0005-0000-0000-0000014C0000}"/>
    <cellStyle name="Normal 2 2 2 4 2 11 3 7" xfId="19466" xr:uid="{00000000-0005-0000-0000-0000024C0000}"/>
    <cellStyle name="Normal 2 2 2 4 2 11 3 8" xfId="19467" xr:uid="{00000000-0005-0000-0000-0000034C0000}"/>
    <cellStyle name="Normal 2 2 2 4 2 11 3 9" xfId="19468" xr:uid="{00000000-0005-0000-0000-0000044C0000}"/>
    <cellStyle name="Normal 2 2 2 4 2 11 4" xfId="19469" xr:uid="{00000000-0005-0000-0000-0000054C0000}"/>
    <cellStyle name="Normal 2 2 2 4 2 11 4 10" xfId="19470" xr:uid="{00000000-0005-0000-0000-0000064C0000}"/>
    <cellStyle name="Normal 2 2 2 4 2 11 4 2" xfId="19471" xr:uid="{00000000-0005-0000-0000-0000074C0000}"/>
    <cellStyle name="Normal 2 2 2 4 2 11 4 3" xfId="19472" xr:uid="{00000000-0005-0000-0000-0000084C0000}"/>
    <cellStyle name="Normal 2 2 2 4 2 11 4 4" xfId="19473" xr:uid="{00000000-0005-0000-0000-0000094C0000}"/>
    <cellStyle name="Normal 2 2 2 4 2 11 4 5" xfId="19474" xr:uid="{00000000-0005-0000-0000-00000A4C0000}"/>
    <cellStyle name="Normal 2 2 2 4 2 11 4 6" xfId="19475" xr:uid="{00000000-0005-0000-0000-00000B4C0000}"/>
    <cellStyle name="Normal 2 2 2 4 2 11 4 7" xfId="19476" xr:uid="{00000000-0005-0000-0000-00000C4C0000}"/>
    <cellStyle name="Normal 2 2 2 4 2 11 4 8" xfId="19477" xr:uid="{00000000-0005-0000-0000-00000D4C0000}"/>
    <cellStyle name="Normal 2 2 2 4 2 11 4 9" xfId="19478" xr:uid="{00000000-0005-0000-0000-00000E4C0000}"/>
    <cellStyle name="Normal 2 2 2 4 2 11 5" xfId="19479" xr:uid="{00000000-0005-0000-0000-00000F4C0000}"/>
    <cellStyle name="Normal 2 2 2 4 2 11 5 10" xfId="19480" xr:uid="{00000000-0005-0000-0000-0000104C0000}"/>
    <cellStyle name="Normal 2 2 2 4 2 11 5 2" xfId="19481" xr:uid="{00000000-0005-0000-0000-0000114C0000}"/>
    <cellStyle name="Normal 2 2 2 4 2 11 5 3" xfId="19482" xr:uid="{00000000-0005-0000-0000-0000124C0000}"/>
    <cellStyle name="Normal 2 2 2 4 2 11 5 4" xfId="19483" xr:uid="{00000000-0005-0000-0000-0000134C0000}"/>
    <cellStyle name="Normal 2 2 2 4 2 11 5 5" xfId="19484" xr:uid="{00000000-0005-0000-0000-0000144C0000}"/>
    <cellStyle name="Normal 2 2 2 4 2 11 5 6" xfId="19485" xr:uid="{00000000-0005-0000-0000-0000154C0000}"/>
    <cellStyle name="Normal 2 2 2 4 2 11 5 7" xfId="19486" xr:uid="{00000000-0005-0000-0000-0000164C0000}"/>
    <cellStyle name="Normal 2 2 2 4 2 11 5 8" xfId="19487" xr:uid="{00000000-0005-0000-0000-0000174C0000}"/>
    <cellStyle name="Normal 2 2 2 4 2 11 5 9" xfId="19488" xr:uid="{00000000-0005-0000-0000-0000184C0000}"/>
    <cellStyle name="Normal 2 2 2 4 2 11 6" xfId="19489" xr:uid="{00000000-0005-0000-0000-0000194C0000}"/>
    <cellStyle name="Normal 2 2 2 4 2 11 7" xfId="19490" xr:uid="{00000000-0005-0000-0000-00001A4C0000}"/>
    <cellStyle name="Normal 2 2 2 4 2 11 8" xfId="19491" xr:uid="{00000000-0005-0000-0000-00001B4C0000}"/>
    <cellStyle name="Normal 2 2 2 4 2 11 9" xfId="19492" xr:uid="{00000000-0005-0000-0000-00001C4C0000}"/>
    <cellStyle name="Normal 2 2 2 4 2 12" xfId="19493" xr:uid="{00000000-0005-0000-0000-00001D4C0000}"/>
    <cellStyle name="Normal 2 2 2 4 2 12 10" xfId="19494" xr:uid="{00000000-0005-0000-0000-00001E4C0000}"/>
    <cellStyle name="Normal 2 2 2 4 2 12 11" xfId="19495" xr:uid="{00000000-0005-0000-0000-00001F4C0000}"/>
    <cellStyle name="Normal 2 2 2 4 2 12 12" xfId="19496" xr:uid="{00000000-0005-0000-0000-0000204C0000}"/>
    <cellStyle name="Normal 2 2 2 4 2 12 13" xfId="19497" xr:uid="{00000000-0005-0000-0000-0000214C0000}"/>
    <cellStyle name="Normal 2 2 2 4 2 12 14" xfId="19498" xr:uid="{00000000-0005-0000-0000-0000224C0000}"/>
    <cellStyle name="Normal 2 2 2 4 2 12 2" xfId="19499" xr:uid="{00000000-0005-0000-0000-0000234C0000}"/>
    <cellStyle name="Normal 2 2 2 4 2 12 2 10" xfId="19500" xr:uid="{00000000-0005-0000-0000-0000244C0000}"/>
    <cellStyle name="Normal 2 2 2 4 2 12 2 2" xfId="19501" xr:uid="{00000000-0005-0000-0000-0000254C0000}"/>
    <cellStyle name="Normal 2 2 2 4 2 12 2 3" xfId="19502" xr:uid="{00000000-0005-0000-0000-0000264C0000}"/>
    <cellStyle name="Normal 2 2 2 4 2 12 2 4" xfId="19503" xr:uid="{00000000-0005-0000-0000-0000274C0000}"/>
    <cellStyle name="Normal 2 2 2 4 2 12 2 5" xfId="19504" xr:uid="{00000000-0005-0000-0000-0000284C0000}"/>
    <cellStyle name="Normal 2 2 2 4 2 12 2 6" xfId="19505" xr:uid="{00000000-0005-0000-0000-0000294C0000}"/>
    <cellStyle name="Normal 2 2 2 4 2 12 2 7" xfId="19506" xr:uid="{00000000-0005-0000-0000-00002A4C0000}"/>
    <cellStyle name="Normal 2 2 2 4 2 12 2 8" xfId="19507" xr:uid="{00000000-0005-0000-0000-00002B4C0000}"/>
    <cellStyle name="Normal 2 2 2 4 2 12 2 9" xfId="19508" xr:uid="{00000000-0005-0000-0000-00002C4C0000}"/>
    <cellStyle name="Normal 2 2 2 4 2 12 3" xfId="19509" xr:uid="{00000000-0005-0000-0000-00002D4C0000}"/>
    <cellStyle name="Normal 2 2 2 4 2 12 3 10" xfId="19510" xr:uid="{00000000-0005-0000-0000-00002E4C0000}"/>
    <cellStyle name="Normal 2 2 2 4 2 12 3 2" xfId="19511" xr:uid="{00000000-0005-0000-0000-00002F4C0000}"/>
    <cellStyle name="Normal 2 2 2 4 2 12 3 3" xfId="19512" xr:uid="{00000000-0005-0000-0000-0000304C0000}"/>
    <cellStyle name="Normal 2 2 2 4 2 12 3 4" xfId="19513" xr:uid="{00000000-0005-0000-0000-0000314C0000}"/>
    <cellStyle name="Normal 2 2 2 4 2 12 3 5" xfId="19514" xr:uid="{00000000-0005-0000-0000-0000324C0000}"/>
    <cellStyle name="Normal 2 2 2 4 2 12 3 6" xfId="19515" xr:uid="{00000000-0005-0000-0000-0000334C0000}"/>
    <cellStyle name="Normal 2 2 2 4 2 12 3 7" xfId="19516" xr:uid="{00000000-0005-0000-0000-0000344C0000}"/>
    <cellStyle name="Normal 2 2 2 4 2 12 3 8" xfId="19517" xr:uid="{00000000-0005-0000-0000-0000354C0000}"/>
    <cellStyle name="Normal 2 2 2 4 2 12 3 9" xfId="19518" xr:uid="{00000000-0005-0000-0000-0000364C0000}"/>
    <cellStyle name="Normal 2 2 2 4 2 12 4" xfId="19519" xr:uid="{00000000-0005-0000-0000-0000374C0000}"/>
    <cellStyle name="Normal 2 2 2 4 2 12 4 10" xfId="19520" xr:uid="{00000000-0005-0000-0000-0000384C0000}"/>
    <cellStyle name="Normal 2 2 2 4 2 12 4 2" xfId="19521" xr:uid="{00000000-0005-0000-0000-0000394C0000}"/>
    <cellStyle name="Normal 2 2 2 4 2 12 4 3" xfId="19522" xr:uid="{00000000-0005-0000-0000-00003A4C0000}"/>
    <cellStyle name="Normal 2 2 2 4 2 12 4 4" xfId="19523" xr:uid="{00000000-0005-0000-0000-00003B4C0000}"/>
    <cellStyle name="Normal 2 2 2 4 2 12 4 5" xfId="19524" xr:uid="{00000000-0005-0000-0000-00003C4C0000}"/>
    <cellStyle name="Normal 2 2 2 4 2 12 4 6" xfId="19525" xr:uid="{00000000-0005-0000-0000-00003D4C0000}"/>
    <cellStyle name="Normal 2 2 2 4 2 12 4 7" xfId="19526" xr:uid="{00000000-0005-0000-0000-00003E4C0000}"/>
    <cellStyle name="Normal 2 2 2 4 2 12 4 8" xfId="19527" xr:uid="{00000000-0005-0000-0000-00003F4C0000}"/>
    <cellStyle name="Normal 2 2 2 4 2 12 4 9" xfId="19528" xr:uid="{00000000-0005-0000-0000-0000404C0000}"/>
    <cellStyle name="Normal 2 2 2 4 2 12 5" xfId="19529" xr:uid="{00000000-0005-0000-0000-0000414C0000}"/>
    <cellStyle name="Normal 2 2 2 4 2 12 5 10" xfId="19530" xr:uid="{00000000-0005-0000-0000-0000424C0000}"/>
    <cellStyle name="Normal 2 2 2 4 2 12 5 2" xfId="19531" xr:uid="{00000000-0005-0000-0000-0000434C0000}"/>
    <cellStyle name="Normal 2 2 2 4 2 12 5 3" xfId="19532" xr:uid="{00000000-0005-0000-0000-0000444C0000}"/>
    <cellStyle name="Normal 2 2 2 4 2 12 5 4" xfId="19533" xr:uid="{00000000-0005-0000-0000-0000454C0000}"/>
    <cellStyle name="Normal 2 2 2 4 2 12 5 5" xfId="19534" xr:uid="{00000000-0005-0000-0000-0000464C0000}"/>
    <cellStyle name="Normal 2 2 2 4 2 12 5 6" xfId="19535" xr:uid="{00000000-0005-0000-0000-0000474C0000}"/>
    <cellStyle name="Normal 2 2 2 4 2 12 5 7" xfId="19536" xr:uid="{00000000-0005-0000-0000-0000484C0000}"/>
    <cellStyle name="Normal 2 2 2 4 2 12 5 8" xfId="19537" xr:uid="{00000000-0005-0000-0000-0000494C0000}"/>
    <cellStyle name="Normal 2 2 2 4 2 12 5 9" xfId="19538" xr:uid="{00000000-0005-0000-0000-00004A4C0000}"/>
    <cellStyle name="Normal 2 2 2 4 2 12 6" xfId="19539" xr:uid="{00000000-0005-0000-0000-00004B4C0000}"/>
    <cellStyle name="Normal 2 2 2 4 2 12 7" xfId="19540" xr:uid="{00000000-0005-0000-0000-00004C4C0000}"/>
    <cellStyle name="Normal 2 2 2 4 2 12 8" xfId="19541" xr:uid="{00000000-0005-0000-0000-00004D4C0000}"/>
    <cellStyle name="Normal 2 2 2 4 2 12 9" xfId="19542" xr:uid="{00000000-0005-0000-0000-00004E4C0000}"/>
    <cellStyle name="Normal 2 2 2 4 2 13" xfId="19543" xr:uid="{00000000-0005-0000-0000-00004F4C0000}"/>
    <cellStyle name="Normal 2 2 2 4 2 13 10" xfId="19544" xr:uid="{00000000-0005-0000-0000-0000504C0000}"/>
    <cellStyle name="Normal 2 2 2 4 2 13 11" xfId="19545" xr:uid="{00000000-0005-0000-0000-0000514C0000}"/>
    <cellStyle name="Normal 2 2 2 4 2 13 12" xfId="19546" xr:uid="{00000000-0005-0000-0000-0000524C0000}"/>
    <cellStyle name="Normal 2 2 2 4 2 13 13" xfId="19547" xr:uid="{00000000-0005-0000-0000-0000534C0000}"/>
    <cellStyle name="Normal 2 2 2 4 2 13 14" xfId="19548" xr:uid="{00000000-0005-0000-0000-0000544C0000}"/>
    <cellStyle name="Normal 2 2 2 4 2 13 2" xfId="19549" xr:uid="{00000000-0005-0000-0000-0000554C0000}"/>
    <cellStyle name="Normal 2 2 2 4 2 13 2 10" xfId="19550" xr:uid="{00000000-0005-0000-0000-0000564C0000}"/>
    <cellStyle name="Normal 2 2 2 4 2 13 2 2" xfId="19551" xr:uid="{00000000-0005-0000-0000-0000574C0000}"/>
    <cellStyle name="Normal 2 2 2 4 2 13 2 3" xfId="19552" xr:uid="{00000000-0005-0000-0000-0000584C0000}"/>
    <cellStyle name="Normal 2 2 2 4 2 13 2 4" xfId="19553" xr:uid="{00000000-0005-0000-0000-0000594C0000}"/>
    <cellStyle name="Normal 2 2 2 4 2 13 2 5" xfId="19554" xr:uid="{00000000-0005-0000-0000-00005A4C0000}"/>
    <cellStyle name="Normal 2 2 2 4 2 13 2 6" xfId="19555" xr:uid="{00000000-0005-0000-0000-00005B4C0000}"/>
    <cellStyle name="Normal 2 2 2 4 2 13 2 7" xfId="19556" xr:uid="{00000000-0005-0000-0000-00005C4C0000}"/>
    <cellStyle name="Normal 2 2 2 4 2 13 2 8" xfId="19557" xr:uid="{00000000-0005-0000-0000-00005D4C0000}"/>
    <cellStyle name="Normal 2 2 2 4 2 13 2 9" xfId="19558" xr:uid="{00000000-0005-0000-0000-00005E4C0000}"/>
    <cellStyle name="Normal 2 2 2 4 2 13 3" xfId="19559" xr:uid="{00000000-0005-0000-0000-00005F4C0000}"/>
    <cellStyle name="Normal 2 2 2 4 2 13 3 10" xfId="19560" xr:uid="{00000000-0005-0000-0000-0000604C0000}"/>
    <cellStyle name="Normal 2 2 2 4 2 13 3 2" xfId="19561" xr:uid="{00000000-0005-0000-0000-0000614C0000}"/>
    <cellStyle name="Normal 2 2 2 4 2 13 3 3" xfId="19562" xr:uid="{00000000-0005-0000-0000-0000624C0000}"/>
    <cellStyle name="Normal 2 2 2 4 2 13 3 4" xfId="19563" xr:uid="{00000000-0005-0000-0000-0000634C0000}"/>
    <cellStyle name="Normal 2 2 2 4 2 13 3 5" xfId="19564" xr:uid="{00000000-0005-0000-0000-0000644C0000}"/>
    <cellStyle name="Normal 2 2 2 4 2 13 3 6" xfId="19565" xr:uid="{00000000-0005-0000-0000-0000654C0000}"/>
    <cellStyle name="Normal 2 2 2 4 2 13 3 7" xfId="19566" xr:uid="{00000000-0005-0000-0000-0000664C0000}"/>
    <cellStyle name="Normal 2 2 2 4 2 13 3 8" xfId="19567" xr:uid="{00000000-0005-0000-0000-0000674C0000}"/>
    <cellStyle name="Normal 2 2 2 4 2 13 3 9" xfId="19568" xr:uid="{00000000-0005-0000-0000-0000684C0000}"/>
    <cellStyle name="Normal 2 2 2 4 2 13 4" xfId="19569" xr:uid="{00000000-0005-0000-0000-0000694C0000}"/>
    <cellStyle name="Normal 2 2 2 4 2 13 4 10" xfId="19570" xr:uid="{00000000-0005-0000-0000-00006A4C0000}"/>
    <cellStyle name="Normal 2 2 2 4 2 13 4 2" xfId="19571" xr:uid="{00000000-0005-0000-0000-00006B4C0000}"/>
    <cellStyle name="Normal 2 2 2 4 2 13 4 3" xfId="19572" xr:uid="{00000000-0005-0000-0000-00006C4C0000}"/>
    <cellStyle name="Normal 2 2 2 4 2 13 4 4" xfId="19573" xr:uid="{00000000-0005-0000-0000-00006D4C0000}"/>
    <cellStyle name="Normal 2 2 2 4 2 13 4 5" xfId="19574" xr:uid="{00000000-0005-0000-0000-00006E4C0000}"/>
    <cellStyle name="Normal 2 2 2 4 2 13 4 6" xfId="19575" xr:uid="{00000000-0005-0000-0000-00006F4C0000}"/>
    <cellStyle name="Normal 2 2 2 4 2 13 4 7" xfId="19576" xr:uid="{00000000-0005-0000-0000-0000704C0000}"/>
    <cellStyle name="Normal 2 2 2 4 2 13 4 8" xfId="19577" xr:uid="{00000000-0005-0000-0000-0000714C0000}"/>
    <cellStyle name="Normal 2 2 2 4 2 13 4 9" xfId="19578" xr:uid="{00000000-0005-0000-0000-0000724C0000}"/>
    <cellStyle name="Normal 2 2 2 4 2 13 5" xfId="19579" xr:uid="{00000000-0005-0000-0000-0000734C0000}"/>
    <cellStyle name="Normal 2 2 2 4 2 13 5 10" xfId="19580" xr:uid="{00000000-0005-0000-0000-0000744C0000}"/>
    <cellStyle name="Normal 2 2 2 4 2 13 5 2" xfId="19581" xr:uid="{00000000-0005-0000-0000-0000754C0000}"/>
    <cellStyle name="Normal 2 2 2 4 2 13 5 3" xfId="19582" xr:uid="{00000000-0005-0000-0000-0000764C0000}"/>
    <cellStyle name="Normal 2 2 2 4 2 13 5 4" xfId="19583" xr:uid="{00000000-0005-0000-0000-0000774C0000}"/>
    <cellStyle name="Normal 2 2 2 4 2 13 5 5" xfId="19584" xr:uid="{00000000-0005-0000-0000-0000784C0000}"/>
    <cellStyle name="Normal 2 2 2 4 2 13 5 6" xfId="19585" xr:uid="{00000000-0005-0000-0000-0000794C0000}"/>
    <cellStyle name="Normal 2 2 2 4 2 13 5 7" xfId="19586" xr:uid="{00000000-0005-0000-0000-00007A4C0000}"/>
    <cellStyle name="Normal 2 2 2 4 2 13 5 8" xfId="19587" xr:uid="{00000000-0005-0000-0000-00007B4C0000}"/>
    <cellStyle name="Normal 2 2 2 4 2 13 5 9" xfId="19588" xr:uid="{00000000-0005-0000-0000-00007C4C0000}"/>
    <cellStyle name="Normal 2 2 2 4 2 13 6" xfId="19589" xr:uid="{00000000-0005-0000-0000-00007D4C0000}"/>
    <cellStyle name="Normal 2 2 2 4 2 13 7" xfId="19590" xr:uid="{00000000-0005-0000-0000-00007E4C0000}"/>
    <cellStyle name="Normal 2 2 2 4 2 13 8" xfId="19591" xr:uid="{00000000-0005-0000-0000-00007F4C0000}"/>
    <cellStyle name="Normal 2 2 2 4 2 13 9" xfId="19592" xr:uid="{00000000-0005-0000-0000-0000804C0000}"/>
    <cellStyle name="Normal 2 2 2 4 2 14" xfId="19593" xr:uid="{00000000-0005-0000-0000-0000814C0000}"/>
    <cellStyle name="Normal 2 2 2 4 2 14 10" xfId="19594" xr:uid="{00000000-0005-0000-0000-0000824C0000}"/>
    <cellStyle name="Normal 2 2 2 4 2 14 11" xfId="19595" xr:uid="{00000000-0005-0000-0000-0000834C0000}"/>
    <cellStyle name="Normal 2 2 2 4 2 14 12" xfId="19596" xr:uid="{00000000-0005-0000-0000-0000844C0000}"/>
    <cellStyle name="Normal 2 2 2 4 2 14 13" xfId="19597" xr:uid="{00000000-0005-0000-0000-0000854C0000}"/>
    <cellStyle name="Normal 2 2 2 4 2 14 14" xfId="19598" xr:uid="{00000000-0005-0000-0000-0000864C0000}"/>
    <cellStyle name="Normal 2 2 2 4 2 14 2" xfId="19599" xr:uid="{00000000-0005-0000-0000-0000874C0000}"/>
    <cellStyle name="Normal 2 2 2 4 2 14 2 10" xfId="19600" xr:uid="{00000000-0005-0000-0000-0000884C0000}"/>
    <cellStyle name="Normal 2 2 2 4 2 14 2 2" xfId="19601" xr:uid="{00000000-0005-0000-0000-0000894C0000}"/>
    <cellStyle name="Normal 2 2 2 4 2 14 2 3" xfId="19602" xr:uid="{00000000-0005-0000-0000-00008A4C0000}"/>
    <cellStyle name="Normal 2 2 2 4 2 14 2 4" xfId="19603" xr:uid="{00000000-0005-0000-0000-00008B4C0000}"/>
    <cellStyle name="Normal 2 2 2 4 2 14 2 5" xfId="19604" xr:uid="{00000000-0005-0000-0000-00008C4C0000}"/>
    <cellStyle name="Normal 2 2 2 4 2 14 2 6" xfId="19605" xr:uid="{00000000-0005-0000-0000-00008D4C0000}"/>
    <cellStyle name="Normal 2 2 2 4 2 14 2 7" xfId="19606" xr:uid="{00000000-0005-0000-0000-00008E4C0000}"/>
    <cellStyle name="Normal 2 2 2 4 2 14 2 8" xfId="19607" xr:uid="{00000000-0005-0000-0000-00008F4C0000}"/>
    <cellStyle name="Normal 2 2 2 4 2 14 2 9" xfId="19608" xr:uid="{00000000-0005-0000-0000-0000904C0000}"/>
    <cellStyle name="Normal 2 2 2 4 2 14 3" xfId="19609" xr:uid="{00000000-0005-0000-0000-0000914C0000}"/>
    <cellStyle name="Normal 2 2 2 4 2 14 3 10" xfId="19610" xr:uid="{00000000-0005-0000-0000-0000924C0000}"/>
    <cellStyle name="Normal 2 2 2 4 2 14 3 2" xfId="19611" xr:uid="{00000000-0005-0000-0000-0000934C0000}"/>
    <cellStyle name="Normal 2 2 2 4 2 14 3 3" xfId="19612" xr:uid="{00000000-0005-0000-0000-0000944C0000}"/>
    <cellStyle name="Normal 2 2 2 4 2 14 3 4" xfId="19613" xr:uid="{00000000-0005-0000-0000-0000954C0000}"/>
    <cellStyle name="Normal 2 2 2 4 2 14 3 5" xfId="19614" xr:uid="{00000000-0005-0000-0000-0000964C0000}"/>
    <cellStyle name="Normal 2 2 2 4 2 14 3 6" xfId="19615" xr:uid="{00000000-0005-0000-0000-0000974C0000}"/>
    <cellStyle name="Normal 2 2 2 4 2 14 3 7" xfId="19616" xr:uid="{00000000-0005-0000-0000-0000984C0000}"/>
    <cellStyle name="Normal 2 2 2 4 2 14 3 8" xfId="19617" xr:uid="{00000000-0005-0000-0000-0000994C0000}"/>
    <cellStyle name="Normal 2 2 2 4 2 14 3 9" xfId="19618" xr:uid="{00000000-0005-0000-0000-00009A4C0000}"/>
    <cellStyle name="Normal 2 2 2 4 2 14 4" xfId="19619" xr:uid="{00000000-0005-0000-0000-00009B4C0000}"/>
    <cellStyle name="Normal 2 2 2 4 2 14 4 10" xfId="19620" xr:uid="{00000000-0005-0000-0000-00009C4C0000}"/>
    <cellStyle name="Normal 2 2 2 4 2 14 4 2" xfId="19621" xr:uid="{00000000-0005-0000-0000-00009D4C0000}"/>
    <cellStyle name="Normal 2 2 2 4 2 14 4 3" xfId="19622" xr:uid="{00000000-0005-0000-0000-00009E4C0000}"/>
    <cellStyle name="Normal 2 2 2 4 2 14 4 4" xfId="19623" xr:uid="{00000000-0005-0000-0000-00009F4C0000}"/>
    <cellStyle name="Normal 2 2 2 4 2 14 4 5" xfId="19624" xr:uid="{00000000-0005-0000-0000-0000A04C0000}"/>
    <cellStyle name="Normal 2 2 2 4 2 14 4 6" xfId="19625" xr:uid="{00000000-0005-0000-0000-0000A14C0000}"/>
    <cellStyle name="Normal 2 2 2 4 2 14 4 7" xfId="19626" xr:uid="{00000000-0005-0000-0000-0000A24C0000}"/>
    <cellStyle name="Normal 2 2 2 4 2 14 4 8" xfId="19627" xr:uid="{00000000-0005-0000-0000-0000A34C0000}"/>
    <cellStyle name="Normal 2 2 2 4 2 14 4 9" xfId="19628" xr:uid="{00000000-0005-0000-0000-0000A44C0000}"/>
    <cellStyle name="Normal 2 2 2 4 2 14 5" xfId="19629" xr:uid="{00000000-0005-0000-0000-0000A54C0000}"/>
    <cellStyle name="Normal 2 2 2 4 2 14 5 10" xfId="19630" xr:uid="{00000000-0005-0000-0000-0000A64C0000}"/>
    <cellStyle name="Normal 2 2 2 4 2 14 5 2" xfId="19631" xr:uid="{00000000-0005-0000-0000-0000A74C0000}"/>
    <cellStyle name="Normal 2 2 2 4 2 14 5 3" xfId="19632" xr:uid="{00000000-0005-0000-0000-0000A84C0000}"/>
    <cellStyle name="Normal 2 2 2 4 2 14 5 4" xfId="19633" xr:uid="{00000000-0005-0000-0000-0000A94C0000}"/>
    <cellStyle name="Normal 2 2 2 4 2 14 5 5" xfId="19634" xr:uid="{00000000-0005-0000-0000-0000AA4C0000}"/>
    <cellStyle name="Normal 2 2 2 4 2 14 5 6" xfId="19635" xr:uid="{00000000-0005-0000-0000-0000AB4C0000}"/>
    <cellStyle name="Normal 2 2 2 4 2 14 5 7" xfId="19636" xr:uid="{00000000-0005-0000-0000-0000AC4C0000}"/>
    <cellStyle name="Normal 2 2 2 4 2 14 5 8" xfId="19637" xr:uid="{00000000-0005-0000-0000-0000AD4C0000}"/>
    <cellStyle name="Normal 2 2 2 4 2 14 5 9" xfId="19638" xr:uid="{00000000-0005-0000-0000-0000AE4C0000}"/>
    <cellStyle name="Normal 2 2 2 4 2 14 6" xfId="19639" xr:uid="{00000000-0005-0000-0000-0000AF4C0000}"/>
    <cellStyle name="Normal 2 2 2 4 2 14 7" xfId="19640" xr:uid="{00000000-0005-0000-0000-0000B04C0000}"/>
    <cellStyle name="Normal 2 2 2 4 2 14 8" xfId="19641" xr:uid="{00000000-0005-0000-0000-0000B14C0000}"/>
    <cellStyle name="Normal 2 2 2 4 2 14 9" xfId="19642" xr:uid="{00000000-0005-0000-0000-0000B24C0000}"/>
    <cellStyle name="Normal 2 2 2 4 2 15" xfId="19643" xr:uid="{00000000-0005-0000-0000-0000B34C0000}"/>
    <cellStyle name="Normal 2 2 2 4 2 15 10" xfId="19644" xr:uid="{00000000-0005-0000-0000-0000B44C0000}"/>
    <cellStyle name="Normal 2 2 2 4 2 15 11" xfId="19645" xr:uid="{00000000-0005-0000-0000-0000B54C0000}"/>
    <cellStyle name="Normal 2 2 2 4 2 15 12" xfId="19646" xr:uid="{00000000-0005-0000-0000-0000B64C0000}"/>
    <cellStyle name="Normal 2 2 2 4 2 15 13" xfId="19647" xr:uid="{00000000-0005-0000-0000-0000B74C0000}"/>
    <cellStyle name="Normal 2 2 2 4 2 15 14" xfId="19648" xr:uid="{00000000-0005-0000-0000-0000B84C0000}"/>
    <cellStyle name="Normal 2 2 2 4 2 15 2" xfId="19649" xr:uid="{00000000-0005-0000-0000-0000B94C0000}"/>
    <cellStyle name="Normal 2 2 2 4 2 15 2 10" xfId="19650" xr:uid="{00000000-0005-0000-0000-0000BA4C0000}"/>
    <cellStyle name="Normal 2 2 2 4 2 15 2 2" xfId="19651" xr:uid="{00000000-0005-0000-0000-0000BB4C0000}"/>
    <cellStyle name="Normal 2 2 2 4 2 15 2 3" xfId="19652" xr:uid="{00000000-0005-0000-0000-0000BC4C0000}"/>
    <cellStyle name="Normal 2 2 2 4 2 15 2 4" xfId="19653" xr:uid="{00000000-0005-0000-0000-0000BD4C0000}"/>
    <cellStyle name="Normal 2 2 2 4 2 15 2 5" xfId="19654" xr:uid="{00000000-0005-0000-0000-0000BE4C0000}"/>
    <cellStyle name="Normal 2 2 2 4 2 15 2 6" xfId="19655" xr:uid="{00000000-0005-0000-0000-0000BF4C0000}"/>
    <cellStyle name="Normal 2 2 2 4 2 15 2 7" xfId="19656" xr:uid="{00000000-0005-0000-0000-0000C04C0000}"/>
    <cellStyle name="Normal 2 2 2 4 2 15 2 8" xfId="19657" xr:uid="{00000000-0005-0000-0000-0000C14C0000}"/>
    <cellStyle name="Normal 2 2 2 4 2 15 2 9" xfId="19658" xr:uid="{00000000-0005-0000-0000-0000C24C0000}"/>
    <cellStyle name="Normal 2 2 2 4 2 15 3" xfId="19659" xr:uid="{00000000-0005-0000-0000-0000C34C0000}"/>
    <cellStyle name="Normal 2 2 2 4 2 15 3 10" xfId="19660" xr:uid="{00000000-0005-0000-0000-0000C44C0000}"/>
    <cellStyle name="Normal 2 2 2 4 2 15 3 2" xfId="19661" xr:uid="{00000000-0005-0000-0000-0000C54C0000}"/>
    <cellStyle name="Normal 2 2 2 4 2 15 3 3" xfId="19662" xr:uid="{00000000-0005-0000-0000-0000C64C0000}"/>
    <cellStyle name="Normal 2 2 2 4 2 15 3 4" xfId="19663" xr:uid="{00000000-0005-0000-0000-0000C74C0000}"/>
    <cellStyle name="Normal 2 2 2 4 2 15 3 5" xfId="19664" xr:uid="{00000000-0005-0000-0000-0000C84C0000}"/>
    <cellStyle name="Normal 2 2 2 4 2 15 3 6" xfId="19665" xr:uid="{00000000-0005-0000-0000-0000C94C0000}"/>
    <cellStyle name="Normal 2 2 2 4 2 15 3 7" xfId="19666" xr:uid="{00000000-0005-0000-0000-0000CA4C0000}"/>
    <cellStyle name="Normal 2 2 2 4 2 15 3 8" xfId="19667" xr:uid="{00000000-0005-0000-0000-0000CB4C0000}"/>
    <cellStyle name="Normal 2 2 2 4 2 15 3 9" xfId="19668" xr:uid="{00000000-0005-0000-0000-0000CC4C0000}"/>
    <cellStyle name="Normal 2 2 2 4 2 15 4" xfId="19669" xr:uid="{00000000-0005-0000-0000-0000CD4C0000}"/>
    <cellStyle name="Normal 2 2 2 4 2 15 4 10" xfId="19670" xr:uid="{00000000-0005-0000-0000-0000CE4C0000}"/>
    <cellStyle name="Normal 2 2 2 4 2 15 4 2" xfId="19671" xr:uid="{00000000-0005-0000-0000-0000CF4C0000}"/>
    <cellStyle name="Normal 2 2 2 4 2 15 4 3" xfId="19672" xr:uid="{00000000-0005-0000-0000-0000D04C0000}"/>
    <cellStyle name="Normal 2 2 2 4 2 15 4 4" xfId="19673" xr:uid="{00000000-0005-0000-0000-0000D14C0000}"/>
    <cellStyle name="Normal 2 2 2 4 2 15 4 5" xfId="19674" xr:uid="{00000000-0005-0000-0000-0000D24C0000}"/>
    <cellStyle name="Normal 2 2 2 4 2 15 4 6" xfId="19675" xr:uid="{00000000-0005-0000-0000-0000D34C0000}"/>
    <cellStyle name="Normal 2 2 2 4 2 15 4 7" xfId="19676" xr:uid="{00000000-0005-0000-0000-0000D44C0000}"/>
    <cellStyle name="Normal 2 2 2 4 2 15 4 8" xfId="19677" xr:uid="{00000000-0005-0000-0000-0000D54C0000}"/>
    <cellStyle name="Normal 2 2 2 4 2 15 4 9" xfId="19678" xr:uid="{00000000-0005-0000-0000-0000D64C0000}"/>
    <cellStyle name="Normal 2 2 2 4 2 15 5" xfId="19679" xr:uid="{00000000-0005-0000-0000-0000D74C0000}"/>
    <cellStyle name="Normal 2 2 2 4 2 15 5 10" xfId="19680" xr:uid="{00000000-0005-0000-0000-0000D84C0000}"/>
    <cellStyle name="Normal 2 2 2 4 2 15 5 2" xfId="19681" xr:uid="{00000000-0005-0000-0000-0000D94C0000}"/>
    <cellStyle name="Normal 2 2 2 4 2 15 5 3" xfId="19682" xr:uid="{00000000-0005-0000-0000-0000DA4C0000}"/>
    <cellStyle name="Normal 2 2 2 4 2 15 5 4" xfId="19683" xr:uid="{00000000-0005-0000-0000-0000DB4C0000}"/>
    <cellStyle name="Normal 2 2 2 4 2 15 5 5" xfId="19684" xr:uid="{00000000-0005-0000-0000-0000DC4C0000}"/>
    <cellStyle name="Normal 2 2 2 4 2 15 5 6" xfId="19685" xr:uid="{00000000-0005-0000-0000-0000DD4C0000}"/>
    <cellStyle name="Normal 2 2 2 4 2 15 5 7" xfId="19686" xr:uid="{00000000-0005-0000-0000-0000DE4C0000}"/>
    <cellStyle name="Normal 2 2 2 4 2 15 5 8" xfId="19687" xr:uid="{00000000-0005-0000-0000-0000DF4C0000}"/>
    <cellStyle name="Normal 2 2 2 4 2 15 5 9" xfId="19688" xr:uid="{00000000-0005-0000-0000-0000E04C0000}"/>
    <cellStyle name="Normal 2 2 2 4 2 15 6" xfId="19689" xr:uid="{00000000-0005-0000-0000-0000E14C0000}"/>
    <cellStyle name="Normal 2 2 2 4 2 15 7" xfId="19690" xr:uid="{00000000-0005-0000-0000-0000E24C0000}"/>
    <cellStyle name="Normal 2 2 2 4 2 15 8" xfId="19691" xr:uid="{00000000-0005-0000-0000-0000E34C0000}"/>
    <cellStyle name="Normal 2 2 2 4 2 15 9" xfId="19692" xr:uid="{00000000-0005-0000-0000-0000E44C0000}"/>
    <cellStyle name="Normal 2 2 2 4 2 16" xfId="19693" xr:uid="{00000000-0005-0000-0000-0000E54C0000}"/>
    <cellStyle name="Normal 2 2 2 4 2 16 10" xfId="19694" xr:uid="{00000000-0005-0000-0000-0000E64C0000}"/>
    <cellStyle name="Normal 2 2 2 4 2 16 11" xfId="19695" xr:uid="{00000000-0005-0000-0000-0000E74C0000}"/>
    <cellStyle name="Normal 2 2 2 4 2 16 12" xfId="19696" xr:uid="{00000000-0005-0000-0000-0000E84C0000}"/>
    <cellStyle name="Normal 2 2 2 4 2 16 13" xfId="19697" xr:uid="{00000000-0005-0000-0000-0000E94C0000}"/>
    <cellStyle name="Normal 2 2 2 4 2 16 14" xfId="19698" xr:uid="{00000000-0005-0000-0000-0000EA4C0000}"/>
    <cellStyle name="Normal 2 2 2 4 2 16 2" xfId="19699" xr:uid="{00000000-0005-0000-0000-0000EB4C0000}"/>
    <cellStyle name="Normal 2 2 2 4 2 16 2 10" xfId="19700" xr:uid="{00000000-0005-0000-0000-0000EC4C0000}"/>
    <cellStyle name="Normal 2 2 2 4 2 16 2 2" xfId="19701" xr:uid="{00000000-0005-0000-0000-0000ED4C0000}"/>
    <cellStyle name="Normal 2 2 2 4 2 16 2 3" xfId="19702" xr:uid="{00000000-0005-0000-0000-0000EE4C0000}"/>
    <cellStyle name="Normal 2 2 2 4 2 16 2 4" xfId="19703" xr:uid="{00000000-0005-0000-0000-0000EF4C0000}"/>
    <cellStyle name="Normal 2 2 2 4 2 16 2 5" xfId="19704" xr:uid="{00000000-0005-0000-0000-0000F04C0000}"/>
    <cellStyle name="Normal 2 2 2 4 2 16 2 6" xfId="19705" xr:uid="{00000000-0005-0000-0000-0000F14C0000}"/>
    <cellStyle name="Normal 2 2 2 4 2 16 2 7" xfId="19706" xr:uid="{00000000-0005-0000-0000-0000F24C0000}"/>
    <cellStyle name="Normal 2 2 2 4 2 16 2 8" xfId="19707" xr:uid="{00000000-0005-0000-0000-0000F34C0000}"/>
    <cellStyle name="Normal 2 2 2 4 2 16 2 9" xfId="19708" xr:uid="{00000000-0005-0000-0000-0000F44C0000}"/>
    <cellStyle name="Normal 2 2 2 4 2 16 3" xfId="19709" xr:uid="{00000000-0005-0000-0000-0000F54C0000}"/>
    <cellStyle name="Normal 2 2 2 4 2 16 3 10" xfId="19710" xr:uid="{00000000-0005-0000-0000-0000F64C0000}"/>
    <cellStyle name="Normal 2 2 2 4 2 16 3 2" xfId="19711" xr:uid="{00000000-0005-0000-0000-0000F74C0000}"/>
    <cellStyle name="Normal 2 2 2 4 2 16 3 3" xfId="19712" xr:uid="{00000000-0005-0000-0000-0000F84C0000}"/>
    <cellStyle name="Normal 2 2 2 4 2 16 3 4" xfId="19713" xr:uid="{00000000-0005-0000-0000-0000F94C0000}"/>
    <cellStyle name="Normal 2 2 2 4 2 16 3 5" xfId="19714" xr:uid="{00000000-0005-0000-0000-0000FA4C0000}"/>
    <cellStyle name="Normal 2 2 2 4 2 16 3 6" xfId="19715" xr:uid="{00000000-0005-0000-0000-0000FB4C0000}"/>
    <cellStyle name="Normal 2 2 2 4 2 16 3 7" xfId="19716" xr:uid="{00000000-0005-0000-0000-0000FC4C0000}"/>
    <cellStyle name="Normal 2 2 2 4 2 16 3 8" xfId="19717" xr:uid="{00000000-0005-0000-0000-0000FD4C0000}"/>
    <cellStyle name="Normal 2 2 2 4 2 16 3 9" xfId="19718" xr:uid="{00000000-0005-0000-0000-0000FE4C0000}"/>
    <cellStyle name="Normal 2 2 2 4 2 16 4" xfId="19719" xr:uid="{00000000-0005-0000-0000-0000FF4C0000}"/>
    <cellStyle name="Normal 2 2 2 4 2 16 4 10" xfId="19720" xr:uid="{00000000-0005-0000-0000-0000004D0000}"/>
    <cellStyle name="Normal 2 2 2 4 2 16 4 2" xfId="19721" xr:uid="{00000000-0005-0000-0000-0000014D0000}"/>
    <cellStyle name="Normal 2 2 2 4 2 16 4 3" xfId="19722" xr:uid="{00000000-0005-0000-0000-0000024D0000}"/>
    <cellStyle name="Normal 2 2 2 4 2 16 4 4" xfId="19723" xr:uid="{00000000-0005-0000-0000-0000034D0000}"/>
    <cellStyle name="Normal 2 2 2 4 2 16 4 5" xfId="19724" xr:uid="{00000000-0005-0000-0000-0000044D0000}"/>
    <cellStyle name="Normal 2 2 2 4 2 16 4 6" xfId="19725" xr:uid="{00000000-0005-0000-0000-0000054D0000}"/>
    <cellStyle name="Normal 2 2 2 4 2 16 4 7" xfId="19726" xr:uid="{00000000-0005-0000-0000-0000064D0000}"/>
    <cellStyle name="Normal 2 2 2 4 2 16 4 8" xfId="19727" xr:uid="{00000000-0005-0000-0000-0000074D0000}"/>
    <cellStyle name="Normal 2 2 2 4 2 16 4 9" xfId="19728" xr:uid="{00000000-0005-0000-0000-0000084D0000}"/>
    <cellStyle name="Normal 2 2 2 4 2 16 5" xfId="19729" xr:uid="{00000000-0005-0000-0000-0000094D0000}"/>
    <cellStyle name="Normal 2 2 2 4 2 16 5 10" xfId="19730" xr:uid="{00000000-0005-0000-0000-00000A4D0000}"/>
    <cellStyle name="Normal 2 2 2 4 2 16 5 2" xfId="19731" xr:uid="{00000000-0005-0000-0000-00000B4D0000}"/>
    <cellStyle name="Normal 2 2 2 4 2 16 5 3" xfId="19732" xr:uid="{00000000-0005-0000-0000-00000C4D0000}"/>
    <cellStyle name="Normal 2 2 2 4 2 16 5 4" xfId="19733" xr:uid="{00000000-0005-0000-0000-00000D4D0000}"/>
    <cellStyle name="Normal 2 2 2 4 2 16 5 5" xfId="19734" xr:uid="{00000000-0005-0000-0000-00000E4D0000}"/>
    <cellStyle name="Normal 2 2 2 4 2 16 5 6" xfId="19735" xr:uid="{00000000-0005-0000-0000-00000F4D0000}"/>
    <cellStyle name="Normal 2 2 2 4 2 16 5 7" xfId="19736" xr:uid="{00000000-0005-0000-0000-0000104D0000}"/>
    <cellStyle name="Normal 2 2 2 4 2 16 5 8" xfId="19737" xr:uid="{00000000-0005-0000-0000-0000114D0000}"/>
    <cellStyle name="Normal 2 2 2 4 2 16 5 9" xfId="19738" xr:uid="{00000000-0005-0000-0000-0000124D0000}"/>
    <cellStyle name="Normal 2 2 2 4 2 16 6" xfId="19739" xr:uid="{00000000-0005-0000-0000-0000134D0000}"/>
    <cellStyle name="Normal 2 2 2 4 2 16 7" xfId="19740" xr:uid="{00000000-0005-0000-0000-0000144D0000}"/>
    <cellStyle name="Normal 2 2 2 4 2 16 8" xfId="19741" xr:uid="{00000000-0005-0000-0000-0000154D0000}"/>
    <cellStyle name="Normal 2 2 2 4 2 16 9" xfId="19742" xr:uid="{00000000-0005-0000-0000-0000164D0000}"/>
    <cellStyle name="Normal 2 2 2 4 2 17" xfId="19743" xr:uid="{00000000-0005-0000-0000-0000174D0000}"/>
    <cellStyle name="Normal 2 2 2 4 2 17 10" xfId="19744" xr:uid="{00000000-0005-0000-0000-0000184D0000}"/>
    <cellStyle name="Normal 2 2 2 4 2 17 11" xfId="19745" xr:uid="{00000000-0005-0000-0000-0000194D0000}"/>
    <cellStyle name="Normal 2 2 2 4 2 17 12" xfId="19746" xr:uid="{00000000-0005-0000-0000-00001A4D0000}"/>
    <cellStyle name="Normal 2 2 2 4 2 17 13" xfId="19747" xr:uid="{00000000-0005-0000-0000-00001B4D0000}"/>
    <cellStyle name="Normal 2 2 2 4 2 17 14" xfId="19748" xr:uid="{00000000-0005-0000-0000-00001C4D0000}"/>
    <cellStyle name="Normal 2 2 2 4 2 17 2" xfId="19749" xr:uid="{00000000-0005-0000-0000-00001D4D0000}"/>
    <cellStyle name="Normal 2 2 2 4 2 17 2 10" xfId="19750" xr:uid="{00000000-0005-0000-0000-00001E4D0000}"/>
    <cellStyle name="Normal 2 2 2 4 2 17 2 2" xfId="19751" xr:uid="{00000000-0005-0000-0000-00001F4D0000}"/>
    <cellStyle name="Normal 2 2 2 4 2 17 2 3" xfId="19752" xr:uid="{00000000-0005-0000-0000-0000204D0000}"/>
    <cellStyle name="Normal 2 2 2 4 2 17 2 4" xfId="19753" xr:uid="{00000000-0005-0000-0000-0000214D0000}"/>
    <cellStyle name="Normal 2 2 2 4 2 17 2 5" xfId="19754" xr:uid="{00000000-0005-0000-0000-0000224D0000}"/>
    <cellStyle name="Normal 2 2 2 4 2 17 2 6" xfId="19755" xr:uid="{00000000-0005-0000-0000-0000234D0000}"/>
    <cellStyle name="Normal 2 2 2 4 2 17 2 7" xfId="19756" xr:uid="{00000000-0005-0000-0000-0000244D0000}"/>
    <cellStyle name="Normal 2 2 2 4 2 17 2 8" xfId="19757" xr:uid="{00000000-0005-0000-0000-0000254D0000}"/>
    <cellStyle name="Normal 2 2 2 4 2 17 2 9" xfId="19758" xr:uid="{00000000-0005-0000-0000-0000264D0000}"/>
    <cellStyle name="Normal 2 2 2 4 2 17 3" xfId="19759" xr:uid="{00000000-0005-0000-0000-0000274D0000}"/>
    <cellStyle name="Normal 2 2 2 4 2 17 3 10" xfId="19760" xr:uid="{00000000-0005-0000-0000-0000284D0000}"/>
    <cellStyle name="Normal 2 2 2 4 2 17 3 2" xfId="19761" xr:uid="{00000000-0005-0000-0000-0000294D0000}"/>
    <cellStyle name="Normal 2 2 2 4 2 17 3 3" xfId="19762" xr:uid="{00000000-0005-0000-0000-00002A4D0000}"/>
    <cellStyle name="Normal 2 2 2 4 2 17 3 4" xfId="19763" xr:uid="{00000000-0005-0000-0000-00002B4D0000}"/>
    <cellStyle name="Normal 2 2 2 4 2 17 3 5" xfId="19764" xr:uid="{00000000-0005-0000-0000-00002C4D0000}"/>
    <cellStyle name="Normal 2 2 2 4 2 17 3 6" xfId="19765" xr:uid="{00000000-0005-0000-0000-00002D4D0000}"/>
    <cellStyle name="Normal 2 2 2 4 2 17 3 7" xfId="19766" xr:uid="{00000000-0005-0000-0000-00002E4D0000}"/>
    <cellStyle name="Normal 2 2 2 4 2 17 3 8" xfId="19767" xr:uid="{00000000-0005-0000-0000-00002F4D0000}"/>
    <cellStyle name="Normal 2 2 2 4 2 17 3 9" xfId="19768" xr:uid="{00000000-0005-0000-0000-0000304D0000}"/>
    <cellStyle name="Normal 2 2 2 4 2 17 4" xfId="19769" xr:uid="{00000000-0005-0000-0000-0000314D0000}"/>
    <cellStyle name="Normal 2 2 2 4 2 17 4 10" xfId="19770" xr:uid="{00000000-0005-0000-0000-0000324D0000}"/>
    <cellStyle name="Normal 2 2 2 4 2 17 4 2" xfId="19771" xr:uid="{00000000-0005-0000-0000-0000334D0000}"/>
    <cellStyle name="Normal 2 2 2 4 2 17 4 3" xfId="19772" xr:uid="{00000000-0005-0000-0000-0000344D0000}"/>
    <cellStyle name="Normal 2 2 2 4 2 17 4 4" xfId="19773" xr:uid="{00000000-0005-0000-0000-0000354D0000}"/>
    <cellStyle name="Normal 2 2 2 4 2 17 4 5" xfId="19774" xr:uid="{00000000-0005-0000-0000-0000364D0000}"/>
    <cellStyle name="Normal 2 2 2 4 2 17 4 6" xfId="19775" xr:uid="{00000000-0005-0000-0000-0000374D0000}"/>
    <cellStyle name="Normal 2 2 2 4 2 17 4 7" xfId="19776" xr:uid="{00000000-0005-0000-0000-0000384D0000}"/>
    <cellStyle name="Normal 2 2 2 4 2 17 4 8" xfId="19777" xr:uid="{00000000-0005-0000-0000-0000394D0000}"/>
    <cellStyle name="Normal 2 2 2 4 2 17 4 9" xfId="19778" xr:uid="{00000000-0005-0000-0000-00003A4D0000}"/>
    <cellStyle name="Normal 2 2 2 4 2 17 5" xfId="19779" xr:uid="{00000000-0005-0000-0000-00003B4D0000}"/>
    <cellStyle name="Normal 2 2 2 4 2 17 5 10" xfId="19780" xr:uid="{00000000-0005-0000-0000-00003C4D0000}"/>
    <cellStyle name="Normal 2 2 2 4 2 17 5 2" xfId="19781" xr:uid="{00000000-0005-0000-0000-00003D4D0000}"/>
    <cellStyle name="Normal 2 2 2 4 2 17 5 3" xfId="19782" xr:uid="{00000000-0005-0000-0000-00003E4D0000}"/>
    <cellStyle name="Normal 2 2 2 4 2 17 5 4" xfId="19783" xr:uid="{00000000-0005-0000-0000-00003F4D0000}"/>
    <cellStyle name="Normal 2 2 2 4 2 17 5 5" xfId="19784" xr:uid="{00000000-0005-0000-0000-0000404D0000}"/>
    <cellStyle name="Normal 2 2 2 4 2 17 5 6" xfId="19785" xr:uid="{00000000-0005-0000-0000-0000414D0000}"/>
    <cellStyle name="Normal 2 2 2 4 2 17 5 7" xfId="19786" xr:uid="{00000000-0005-0000-0000-0000424D0000}"/>
    <cellStyle name="Normal 2 2 2 4 2 17 5 8" xfId="19787" xr:uid="{00000000-0005-0000-0000-0000434D0000}"/>
    <cellStyle name="Normal 2 2 2 4 2 17 5 9" xfId="19788" xr:uid="{00000000-0005-0000-0000-0000444D0000}"/>
    <cellStyle name="Normal 2 2 2 4 2 17 6" xfId="19789" xr:uid="{00000000-0005-0000-0000-0000454D0000}"/>
    <cellStyle name="Normal 2 2 2 4 2 17 7" xfId="19790" xr:uid="{00000000-0005-0000-0000-0000464D0000}"/>
    <cellStyle name="Normal 2 2 2 4 2 17 8" xfId="19791" xr:uid="{00000000-0005-0000-0000-0000474D0000}"/>
    <cellStyle name="Normal 2 2 2 4 2 17 9" xfId="19792" xr:uid="{00000000-0005-0000-0000-0000484D0000}"/>
    <cellStyle name="Normal 2 2 2 4 2 18" xfId="19793" xr:uid="{00000000-0005-0000-0000-0000494D0000}"/>
    <cellStyle name="Normal 2 2 2 4 2 18 10" xfId="19794" xr:uid="{00000000-0005-0000-0000-00004A4D0000}"/>
    <cellStyle name="Normal 2 2 2 4 2 18 11" xfId="19795" xr:uid="{00000000-0005-0000-0000-00004B4D0000}"/>
    <cellStyle name="Normal 2 2 2 4 2 18 12" xfId="19796" xr:uid="{00000000-0005-0000-0000-00004C4D0000}"/>
    <cellStyle name="Normal 2 2 2 4 2 18 13" xfId="19797" xr:uid="{00000000-0005-0000-0000-00004D4D0000}"/>
    <cellStyle name="Normal 2 2 2 4 2 18 14" xfId="19798" xr:uid="{00000000-0005-0000-0000-00004E4D0000}"/>
    <cellStyle name="Normal 2 2 2 4 2 18 2" xfId="19799" xr:uid="{00000000-0005-0000-0000-00004F4D0000}"/>
    <cellStyle name="Normal 2 2 2 4 2 18 2 10" xfId="19800" xr:uid="{00000000-0005-0000-0000-0000504D0000}"/>
    <cellStyle name="Normal 2 2 2 4 2 18 2 2" xfId="19801" xr:uid="{00000000-0005-0000-0000-0000514D0000}"/>
    <cellStyle name="Normal 2 2 2 4 2 18 2 3" xfId="19802" xr:uid="{00000000-0005-0000-0000-0000524D0000}"/>
    <cellStyle name="Normal 2 2 2 4 2 18 2 4" xfId="19803" xr:uid="{00000000-0005-0000-0000-0000534D0000}"/>
    <cellStyle name="Normal 2 2 2 4 2 18 2 5" xfId="19804" xr:uid="{00000000-0005-0000-0000-0000544D0000}"/>
    <cellStyle name="Normal 2 2 2 4 2 18 2 6" xfId="19805" xr:uid="{00000000-0005-0000-0000-0000554D0000}"/>
    <cellStyle name="Normal 2 2 2 4 2 18 2 7" xfId="19806" xr:uid="{00000000-0005-0000-0000-0000564D0000}"/>
    <cellStyle name="Normal 2 2 2 4 2 18 2 8" xfId="19807" xr:uid="{00000000-0005-0000-0000-0000574D0000}"/>
    <cellStyle name="Normal 2 2 2 4 2 18 2 9" xfId="19808" xr:uid="{00000000-0005-0000-0000-0000584D0000}"/>
    <cellStyle name="Normal 2 2 2 4 2 18 3" xfId="19809" xr:uid="{00000000-0005-0000-0000-0000594D0000}"/>
    <cellStyle name="Normal 2 2 2 4 2 18 3 10" xfId="19810" xr:uid="{00000000-0005-0000-0000-00005A4D0000}"/>
    <cellStyle name="Normal 2 2 2 4 2 18 3 2" xfId="19811" xr:uid="{00000000-0005-0000-0000-00005B4D0000}"/>
    <cellStyle name="Normal 2 2 2 4 2 18 3 3" xfId="19812" xr:uid="{00000000-0005-0000-0000-00005C4D0000}"/>
    <cellStyle name="Normal 2 2 2 4 2 18 3 4" xfId="19813" xr:uid="{00000000-0005-0000-0000-00005D4D0000}"/>
    <cellStyle name="Normal 2 2 2 4 2 18 3 5" xfId="19814" xr:uid="{00000000-0005-0000-0000-00005E4D0000}"/>
    <cellStyle name="Normal 2 2 2 4 2 18 3 6" xfId="19815" xr:uid="{00000000-0005-0000-0000-00005F4D0000}"/>
    <cellStyle name="Normal 2 2 2 4 2 18 3 7" xfId="19816" xr:uid="{00000000-0005-0000-0000-0000604D0000}"/>
    <cellStyle name="Normal 2 2 2 4 2 18 3 8" xfId="19817" xr:uid="{00000000-0005-0000-0000-0000614D0000}"/>
    <cellStyle name="Normal 2 2 2 4 2 18 3 9" xfId="19818" xr:uid="{00000000-0005-0000-0000-0000624D0000}"/>
    <cellStyle name="Normal 2 2 2 4 2 18 4" xfId="19819" xr:uid="{00000000-0005-0000-0000-0000634D0000}"/>
    <cellStyle name="Normal 2 2 2 4 2 18 4 10" xfId="19820" xr:uid="{00000000-0005-0000-0000-0000644D0000}"/>
    <cellStyle name="Normal 2 2 2 4 2 18 4 2" xfId="19821" xr:uid="{00000000-0005-0000-0000-0000654D0000}"/>
    <cellStyle name="Normal 2 2 2 4 2 18 4 3" xfId="19822" xr:uid="{00000000-0005-0000-0000-0000664D0000}"/>
    <cellStyle name="Normal 2 2 2 4 2 18 4 4" xfId="19823" xr:uid="{00000000-0005-0000-0000-0000674D0000}"/>
    <cellStyle name="Normal 2 2 2 4 2 18 4 5" xfId="19824" xr:uid="{00000000-0005-0000-0000-0000684D0000}"/>
    <cellStyle name="Normal 2 2 2 4 2 18 4 6" xfId="19825" xr:uid="{00000000-0005-0000-0000-0000694D0000}"/>
    <cellStyle name="Normal 2 2 2 4 2 18 4 7" xfId="19826" xr:uid="{00000000-0005-0000-0000-00006A4D0000}"/>
    <cellStyle name="Normal 2 2 2 4 2 18 4 8" xfId="19827" xr:uid="{00000000-0005-0000-0000-00006B4D0000}"/>
    <cellStyle name="Normal 2 2 2 4 2 18 4 9" xfId="19828" xr:uid="{00000000-0005-0000-0000-00006C4D0000}"/>
    <cellStyle name="Normal 2 2 2 4 2 18 5" xfId="19829" xr:uid="{00000000-0005-0000-0000-00006D4D0000}"/>
    <cellStyle name="Normal 2 2 2 4 2 18 5 10" xfId="19830" xr:uid="{00000000-0005-0000-0000-00006E4D0000}"/>
    <cellStyle name="Normal 2 2 2 4 2 18 5 2" xfId="19831" xr:uid="{00000000-0005-0000-0000-00006F4D0000}"/>
    <cellStyle name="Normal 2 2 2 4 2 18 5 3" xfId="19832" xr:uid="{00000000-0005-0000-0000-0000704D0000}"/>
    <cellStyle name="Normal 2 2 2 4 2 18 5 4" xfId="19833" xr:uid="{00000000-0005-0000-0000-0000714D0000}"/>
    <cellStyle name="Normal 2 2 2 4 2 18 5 5" xfId="19834" xr:uid="{00000000-0005-0000-0000-0000724D0000}"/>
    <cellStyle name="Normal 2 2 2 4 2 18 5 6" xfId="19835" xr:uid="{00000000-0005-0000-0000-0000734D0000}"/>
    <cellStyle name="Normal 2 2 2 4 2 18 5 7" xfId="19836" xr:uid="{00000000-0005-0000-0000-0000744D0000}"/>
    <cellStyle name="Normal 2 2 2 4 2 18 5 8" xfId="19837" xr:uid="{00000000-0005-0000-0000-0000754D0000}"/>
    <cellStyle name="Normal 2 2 2 4 2 18 5 9" xfId="19838" xr:uid="{00000000-0005-0000-0000-0000764D0000}"/>
    <cellStyle name="Normal 2 2 2 4 2 18 6" xfId="19839" xr:uid="{00000000-0005-0000-0000-0000774D0000}"/>
    <cellStyle name="Normal 2 2 2 4 2 18 7" xfId="19840" xr:uid="{00000000-0005-0000-0000-0000784D0000}"/>
    <cellStyle name="Normal 2 2 2 4 2 18 8" xfId="19841" xr:uid="{00000000-0005-0000-0000-0000794D0000}"/>
    <cellStyle name="Normal 2 2 2 4 2 18 9" xfId="19842" xr:uid="{00000000-0005-0000-0000-00007A4D0000}"/>
    <cellStyle name="Normal 2 2 2 4 2 19" xfId="19843" xr:uid="{00000000-0005-0000-0000-00007B4D0000}"/>
    <cellStyle name="Normal 2 2 2 4 2 19 10" xfId="19844" xr:uid="{00000000-0005-0000-0000-00007C4D0000}"/>
    <cellStyle name="Normal 2 2 2 4 2 19 11" xfId="19845" xr:uid="{00000000-0005-0000-0000-00007D4D0000}"/>
    <cellStyle name="Normal 2 2 2 4 2 19 12" xfId="19846" xr:uid="{00000000-0005-0000-0000-00007E4D0000}"/>
    <cellStyle name="Normal 2 2 2 4 2 19 13" xfId="19847" xr:uid="{00000000-0005-0000-0000-00007F4D0000}"/>
    <cellStyle name="Normal 2 2 2 4 2 19 14" xfId="19848" xr:uid="{00000000-0005-0000-0000-0000804D0000}"/>
    <cellStyle name="Normal 2 2 2 4 2 19 2" xfId="19849" xr:uid="{00000000-0005-0000-0000-0000814D0000}"/>
    <cellStyle name="Normal 2 2 2 4 2 19 2 10" xfId="19850" xr:uid="{00000000-0005-0000-0000-0000824D0000}"/>
    <cellStyle name="Normal 2 2 2 4 2 19 2 2" xfId="19851" xr:uid="{00000000-0005-0000-0000-0000834D0000}"/>
    <cellStyle name="Normal 2 2 2 4 2 19 2 3" xfId="19852" xr:uid="{00000000-0005-0000-0000-0000844D0000}"/>
    <cellStyle name="Normal 2 2 2 4 2 19 2 4" xfId="19853" xr:uid="{00000000-0005-0000-0000-0000854D0000}"/>
    <cellStyle name="Normal 2 2 2 4 2 19 2 5" xfId="19854" xr:uid="{00000000-0005-0000-0000-0000864D0000}"/>
    <cellStyle name="Normal 2 2 2 4 2 19 2 6" xfId="19855" xr:uid="{00000000-0005-0000-0000-0000874D0000}"/>
    <cellStyle name="Normal 2 2 2 4 2 19 2 7" xfId="19856" xr:uid="{00000000-0005-0000-0000-0000884D0000}"/>
    <cellStyle name="Normal 2 2 2 4 2 19 2 8" xfId="19857" xr:uid="{00000000-0005-0000-0000-0000894D0000}"/>
    <cellStyle name="Normal 2 2 2 4 2 19 2 9" xfId="19858" xr:uid="{00000000-0005-0000-0000-00008A4D0000}"/>
    <cellStyle name="Normal 2 2 2 4 2 19 3" xfId="19859" xr:uid="{00000000-0005-0000-0000-00008B4D0000}"/>
    <cellStyle name="Normal 2 2 2 4 2 19 3 10" xfId="19860" xr:uid="{00000000-0005-0000-0000-00008C4D0000}"/>
    <cellStyle name="Normal 2 2 2 4 2 19 3 2" xfId="19861" xr:uid="{00000000-0005-0000-0000-00008D4D0000}"/>
    <cellStyle name="Normal 2 2 2 4 2 19 3 3" xfId="19862" xr:uid="{00000000-0005-0000-0000-00008E4D0000}"/>
    <cellStyle name="Normal 2 2 2 4 2 19 3 4" xfId="19863" xr:uid="{00000000-0005-0000-0000-00008F4D0000}"/>
    <cellStyle name="Normal 2 2 2 4 2 19 3 5" xfId="19864" xr:uid="{00000000-0005-0000-0000-0000904D0000}"/>
    <cellStyle name="Normal 2 2 2 4 2 19 3 6" xfId="19865" xr:uid="{00000000-0005-0000-0000-0000914D0000}"/>
    <cellStyle name="Normal 2 2 2 4 2 19 3 7" xfId="19866" xr:uid="{00000000-0005-0000-0000-0000924D0000}"/>
    <cellStyle name="Normal 2 2 2 4 2 19 3 8" xfId="19867" xr:uid="{00000000-0005-0000-0000-0000934D0000}"/>
    <cellStyle name="Normal 2 2 2 4 2 19 3 9" xfId="19868" xr:uid="{00000000-0005-0000-0000-0000944D0000}"/>
    <cellStyle name="Normal 2 2 2 4 2 19 4" xfId="19869" xr:uid="{00000000-0005-0000-0000-0000954D0000}"/>
    <cellStyle name="Normal 2 2 2 4 2 19 4 10" xfId="19870" xr:uid="{00000000-0005-0000-0000-0000964D0000}"/>
    <cellStyle name="Normal 2 2 2 4 2 19 4 2" xfId="19871" xr:uid="{00000000-0005-0000-0000-0000974D0000}"/>
    <cellStyle name="Normal 2 2 2 4 2 19 4 3" xfId="19872" xr:uid="{00000000-0005-0000-0000-0000984D0000}"/>
    <cellStyle name="Normal 2 2 2 4 2 19 4 4" xfId="19873" xr:uid="{00000000-0005-0000-0000-0000994D0000}"/>
    <cellStyle name="Normal 2 2 2 4 2 19 4 5" xfId="19874" xr:uid="{00000000-0005-0000-0000-00009A4D0000}"/>
    <cellStyle name="Normal 2 2 2 4 2 19 4 6" xfId="19875" xr:uid="{00000000-0005-0000-0000-00009B4D0000}"/>
    <cellStyle name="Normal 2 2 2 4 2 19 4 7" xfId="19876" xr:uid="{00000000-0005-0000-0000-00009C4D0000}"/>
    <cellStyle name="Normal 2 2 2 4 2 19 4 8" xfId="19877" xr:uid="{00000000-0005-0000-0000-00009D4D0000}"/>
    <cellStyle name="Normal 2 2 2 4 2 19 4 9" xfId="19878" xr:uid="{00000000-0005-0000-0000-00009E4D0000}"/>
    <cellStyle name="Normal 2 2 2 4 2 19 5" xfId="19879" xr:uid="{00000000-0005-0000-0000-00009F4D0000}"/>
    <cellStyle name="Normal 2 2 2 4 2 19 5 10" xfId="19880" xr:uid="{00000000-0005-0000-0000-0000A04D0000}"/>
    <cellStyle name="Normal 2 2 2 4 2 19 5 2" xfId="19881" xr:uid="{00000000-0005-0000-0000-0000A14D0000}"/>
    <cellStyle name="Normal 2 2 2 4 2 19 5 3" xfId="19882" xr:uid="{00000000-0005-0000-0000-0000A24D0000}"/>
    <cellStyle name="Normal 2 2 2 4 2 19 5 4" xfId="19883" xr:uid="{00000000-0005-0000-0000-0000A34D0000}"/>
    <cellStyle name="Normal 2 2 2 4 2 19 5 5" xfId="19884" xr:uid="{00000000-0005-0000-0000-0000A44D0000}"/>
    <cellStyle name="Normal 2 2 2 4 2 19 5 6" xfId="19885" xr:uid="{00000000-0005-0000-0000-0000A54D0000}"/>
    <cellStyle name="Normal 2 2 2 4 2 19 5 7" xfId="19886" xr:uid="{00000000-0005-0000-0000-0000A64D0000}"/>
    <cellStyle name="Normal 2 2 2 4 2 19 5 8" xfId="19887" xr:uid="{00000000-0005-0000-0000-0000A74D0000}"/>
    <cellStyle name="Normal 2 2 2 4 2 19 5 9" xfId="19888" xr:uid="{00000000-0005-0000-0000-0000A84D0000}"/>
    <cellStyle name="Normal 2 2 2 4 2 19 6" xfId="19889" xr:uid="{00000000-0005-0000-0000-0000A94D0000}"/>
    <cellStyle name="Normal 2 2 2 4 2 19 7" xfId="19890" xr:uid="{00000000-0005-0000-0000-0000AA4D0000}"/>
    <cellStyle name="Normal 2 2 2 4 2 19 8" xfId="19891" xr:uid="{00000000-0005-0000-0000-0000AB4D0000}"/>
    <cellStyle name="Normal 2 2 2 4 2 19 9" xfId="19892" xr:uid="{00000000-0005-0000-0000-0000AC4D0000}"/>
    <cellStyle name="Normal 2 2 2 4 2 2" xfId="19893" xr:uid="{00000000-0005-0000-0000-0000AD4D0000}"/>
    <cellStyle name="Normal 2 2 2 4 2 2 10" xfId="19894" xr:uid="{00000000-0005-0000-0000-0000AE4D0000}"/>
    <cellStyle name="Normal 2 2 2 4 2 2 11" xfId="19895" xr:uid="{00000000-0005-0000-0000-0000AF4D0000}"/>
    <cellStyle name="Normal 2 2 2 4 2 2 12" xfId="19896" xr:uid="{00000000-0005-0000-0000-0000B04D0000}"/>
    <cellStyle name="Normal 2 2 2 4 2 2 13" xfId="19897" xr:uid="{00000000-0005-0000-0000-0000B14D0000}"/>
    <cellStyle name="Normal 2 2 2 4 2 2 14" xfId="19898" xr:uid="{00000000-0005-0000-0000-0000B24D0000}"/>
    <cellStyle name="Normal 2 2 2 4 2 2 15" xfId="19899" xr:uid="{00000000-0005-0000-0000-0000B34D0000}"/>
    <cellStyle name="Normal 2 2 2 4 2 2 16" xfId="19900" xr:uid="{00000000-0005-0000-0000-0000B44D0000}"/>
    <cellStyle name="Normal 2 2 2 4 2 2 17" xfId="19901" xr:uid="{00000000-0005-0000-0000-0000B54D0000}"/>
    <cellStyle name="Normal 2 2 2 4 2 2 18" xfId="19902" xr:uid="{00000000-0005-0000-0000-0000B64D0000}"/>
    <cellStyle name="Normal 2 2 2 4 2 2 19" xfId="19903" xr:uid="{00000000-0005-0000-0000-0000B74D0000}"/>
    <cellStyle name="Normal 2 2 2 4 2 2 2" xfId="19904" xr:uid="{00000000-0005-0000-0000-0000B84D0000}"/>
    <cellStyle name="Normal 2 2 2 4 2 2 20" xfId="19905" xr:uid="{00000000-0005-0000-0000-0000B94D0000}"/>
    <cellStyle name="Normal 2 2 2 4 2 2 21" xfId="19906" xr:uid="{00000000-0005-0000-0000-0000BA4D0000}"/>
    <cellStyle name="Normal 2 2 2 4 2 2 21 10" xfId="19907" xr:uid="{00000000-0005-0000-0000-0000BB4D0000}"/>
    <cellStyle name="Normal 2 2 2 4 2 2 21 2" xfId="19908" xr:uid="{00000000-0005-0000-0000-0000BC4D0000}"/>
    <cellStyle name="Normal 2 2 2 4 2 2 21 3" xfId="19909" xr:uid="{00000000-0005-0000-0000-0000BD4D0000}"/>
    <cellStyle name="Normal 2 2 2 4 2 2 21 4" xfId="19910" xr:uid="{00000000-0005-0000-0000-0000BE4D0000}"/>
    <cellStyle name="Normal 2 2 2 4 2 2 21 5" xfId="19911" xr:uid="{00000000-0005-0000-0000-0000BF4D0000}"/>
    <cellStyle name="Normal 2 2 2 4 2 2 21 6" xfId="19912" xr:uid="{00000000-0005-0000-0000-0000C04D0000}"/>
    <cellStyle name="Normal 2 2 2 4 2 2 21 7" xfId="19913" xr:uid="{00000000-0005-0000-0000-0000C14D0000}"/>
    <cellStyle name="Normal 2 2 2 4 2 2 21 8" xfId="19914" xr:uid="{00000000-0005-0000-0000-0000C24D0000}"/>
    <cellStyle name="Normal 2 2 2 4 2 2 21 9" xfId="19915" xr:uid="{00000000-0005-0000-0000-0000C34D0000}"/>
    <cellStyle name="Normal 2 2 2 4 2 2 22" xfId="19916" xr:uid="{00000000-0005-0000-0000-0000C44D0000}"/>
    <cellStyle name="Normal 2 2 2 4 2 2 22 10" xfId="19917" xr:uid="{00000000-0005-0000-0000-0000C54D0000}"/>
    <cellStyle name="Normal 2 2 2 4 2 2 22 2" xfId="19918" xr:uid="{00000000-0005-0000-0000-0000C64D0000}"/>
    <cellStyle name="Normal 2 2 2 4 2 2 22 3" xfId="19919" xr:uid="{00000000-0005-0000-0000-0000C74D0000}"/>
    <cellStyle name="Normal 2 2 2 4 2 2 22 4" xfId="19920" xr:uid="{00000000-0005-0000-0000-0000C84D0000}"/>
    <cellStyle name="Normal 2 2 2 4 2 2 22 5" xfId="19921" xr:uid="{00000000-0005-0000-0000-0000C94D0000}"/>
    <cellStyle name="Normal 2 2 2 4 2 2 22 6" xfId="19922" xr:uid="{00000000-0005-0000-0000-0000CA4D0000}"/>
    <cellStyle name="Normal 2 2 2 4 2 2 22 7" xfId="19923" xr:uid="{00000000-0005-0000-0000-0000CB4D0000}"/>
    <cellStyle name="Normal 2 2 2 4 2 2 22 8" xfId="19924" xr:uid="{00000000-0005-0000-0000-0000CC4D0000}"/>
    <cellStyle name="Normal 2 2 2 4 2 2 22 9" xfId="19925" xr:uid="{00000000-0005-0000-0000-0000CD4D0000}"/>
    <cellStyle name="Normal 2 2 2 4 2 2 23" xfId="19926" xr:uid="{00000000-0005-0000-0000-0000CE4D0000}"/>
    <cellStyle name="Normal 2 2 2 4 2 2 23 10" xfId="19927" xr:uid="{00000000-0005-0000-0000-0000CF4D0000}"/>
    <cellStyle name="Normal 2 2 2 4 2 2 23 2" xfId="19928" xr:uid="{00000000-0005-0000-0000-0000D04D0000}"/>
    <cellStyle name="Normal 2 2 2 4 2 2 23 3" xfId="19929" xr:uid="{00000000-0005-0000-0000-0000D14D0000}"/>
    <cellStyle name="Normal 2 2 2 4 2 2 23 4" xfId="19930" xr:uid="{00000000-0005-0000-0000-0000D24D0000}"/>
    <cellStyle name="Normal 2 2 2 4 2 2 23 5" xfId="19931" xr:uid="{00000000-0005-0000-0000-0000D34D0000}"/>
    <cellStyle name="Normal 2 2 2 4 2 2 23 6" xfId="19932" xr:uid="{00000000-0005-0000-0000-0000D44D0000}"/>
    <cellStyle name="Normal 2 2 2 4 2 2 23 7" xfId="19933" xr:uid="{00000000-0005-0000-0000-0000D54D0000}"/>
    <cellStyle name="Normal 2 2 2 4 2 2 23 8" xfId="19934" xr:uid="{00000000-0005-0000-0000-0000D64D0000}"/>
    <cellStyle name="Normal 2 2 2 4 2 2 23 9" xfId="19935" xr:uid="{00000000-0005-0000-0000-0000D74D0000}"/>
    <cellStyle name="Normal 2 2 2 4 2 2 24" xfId="19936" xr:uid="{00000000-0005-0000-0000-0000D84D0000}"/>
    <cellStyle name="Normal 2 2 2 4 2 2 24 10" xfId="19937" xr:uid="{00000000-0005-0000-0000-0000D94D0000}"/>
    <cellStyle name="Normal 2 2 2 4 2 2 24 2" xfId="19938" xr:uid="{00000000-0005-0000-0000-0000DA4D0000}"/>
    <cellStyle name="Normal 2 2 2 4 2 2 24 3" xfId="19939" xr:uid="{00000000-0005-0000-0000-0000DB4D0000}"/>
    <cellStyle name="Normal 2 2 2 4 2 2 24 4" xfId="19940" xr:uid="{00000000-0005-0000-0000-0000DC4D0000}"/>
    <cellStyle name="Normal 2 2 2 4 2 2 24 5" xfId="19941" xr:uid="{00000000-0005-0000-0000-0000DD4D0000}"/>
    <cellStyle name="Normal 2 2 2 4 2 2 24 6" xfId="19942" xr:uid="{00000000-0005-0000-0000-0000DE4D0000}"/>
    <cellStyle name="Normal 2 2 2 4 2 2 24 7" xfId="19943" xr:uid="{00000000-0005-0000-0000-0000DF4D0000}"/>
    <cellStyle name="Normal 2 2 2 4 2 2 24 8" xfId="19944" xr:uid="{00000000-0005-0000-0000-0000E04D0000}"/>
    <cellStyle name="Normal 2 2 2 4 2 2 24 9" xfId="19945" xr:uid="{00000000-0005-0000-0000-0000E14D0000}"/>
    <cellStyle name="Normal 2 2 2 4 2 2 25" xfId="19946" xr:uid="{00000000-0005-0000-0000-0000E24D0000}"/>
    <cellStyle name="Normal 2 2 2 4 2 2 26" xfId="19947" xr:uid="{00000000-0005-0000-0000-0000E34D0000}"/>
    <cellStyle name="Normal 2 2 2 4 2 2 27" xfId="19948" xr:uid="{00000000-0005-0000-0000-0000E44D0000}"/>
    <cellStyle name="Normal 2 2 2 4 2 2 28" xfId="19949" xr:uid="{00000000-0005-0000-0000-0000E54D0000}"/>
    <cellStyle name="Normal 2 2 2 4 2 2 29" xfId="19950" xr:uid="{00000000-0005-0000-0000-0000E64D0000}"/>
    <cellStyle name="Normal 2 2 2 4 2 2 3" xfId="19951" xr:uid="{00000000-0005-0000-0000-0000E74D0000}"/>
    <cellStyle name="Normal 2 2 2 4 2 2 30" xfId="19952" xr:uid="{00000000-0005-0000-0000-0000E84D0000}"/>
    <cellStyle name="Normal 2 2 2 4 2 2 31" xfId="19953" xr:uid="{00000000-0005-0000-0000-0000E94D0000}"/>
    <cellStyle name="Normal 2 2 2 4 2 2 32" xfId="19954" xr:uid="{00000000-0005-0000-0000-0000EA4D0000}"/>
    <cellStyle name="Normal 2 2 2 4 2 2 33" xfId="19955" xr:uid="{00000000-0005-0000-0000-0000EB4D0000}"/>
    <cellStyle name="Normal 2 2 2 4 2 2 34" xfId="19956" xr:uid="{00000000-0005-0000-0000-0000EC4D0000}"/>
    <cellStyle name="Normal 2 2 2 4 2 2 35" xfId="19957" xr:uid="{00000000-0005-0000-0000-0000ED4D0000}"/>
    <cellStyle name="Normal 2 2 2 4 2 2 4" xfId="19958" xr:uid="{00000000-0005-0000-0000-0000EE4D0000}"/>
    <cellStyle name="Normal 2 2 2 4 2 2 5" xfId="19959" xr:uid="{00000000-0005-0000-0000-0000EF4D0000}"/>
    <cellStyle name="Normal 2 2 2 4 2 2 6" xfId="19960" xr:uid="{00000000-0005-0000-0000-0000F04D0000}"/>
    <cellStyle name="Normal 2 2 2 4 2 2 7" xfId="19961" xr:uid="{00000000-0005-0000-0000-0000F14D0000}"/>
    <cellStyle name="Normal 2 2 2 4 2 2 8" xfId="19962" xr:uid="{00000000-0005-0000-0000-0000F24D0000}"/>
    <cellStyle name="Normal 2 2 2 4 2 2 9" xfId="19963" xr:uid="{00000000-0005-0000-0000-0000F34D0000}"/>
    <cellStyle name="Normal 2 2 2 4 2 20" xfId="19964" xr:uid="{00000000-0005-0000-0000-0000F44D0000}"/>
    <cellStyle name="Normal 2 2 2 4 2 20 10" xfId="19965" xr:uid="{00000000-0005-0000-0000-0000F54D0000}"/>
    <cellStyle name="Normal 2 2 2 4 2 20 11" xfId="19966" xr:uid="{00000000-0005-0000-0000-0000F64D0000}"/>
    <cellStyle name="Normal 2 2 2 4 2 20 12" xfId="19967" xr:uid="{00000000-0005-0000-0000-0000F74D0000}"/>
    <cellStyle name="Normal 2 2 2 4 2 20 13" xfId="19968" xr:uid="{00000000-0005-0000-0000-0000F84D0000}"/>
    <cellStyle name="Normal 2 2 2 4 2 20 14" xfId="19969" xr:uid="{00000000-0005-0000-0000-0000F94D0000}"/>
    <cellStyle name="Normal 2 2 2 4 2 20 2" xfId="19970" xr:uid="{00000000-0005-0000-0000-0000FA4D0000}"/>
    <cellStyle name="Normal 2 2 2 4 2 20 2 10" xfId="19971" xr:uid="{00000000-0005-0000-0000-0000FB4D0000}"/>
    <cellStyle name="Normal 2 2 2 4 2 20 2 2" xfId="19972" xr:uid="{00000000-0005-0000-0000-0000FC4D0000}"/>
    <cellStyle name="Normal 2 2 2 4 2 20 2 3" xfId="19973" xr:uid="{00000000-0005-0000-0000-0000FD4D0000}"/>
    <cellStyle name="Normal 2 2 2 4 2 20 2 4" xfId="19974" xr:uid="{00000000-0005-0000-0000-0000FE4D0000}"/>
    <cellStyle name="Normal 2 2 2 4 2 20 2 5" xfId="19975" xr:uid="{00000000-0005-0000-0000-0000FF4D0000}"/>
    <cellStyle name="Normal 2 2 2 4 2 20 2 6" xfId="19976" xr:uid="{00000000-0005-0000-0000-0000004E0000}"/>
    <cellStyle name="Normal 2 2 2 4 2 20 2 7" xfId="19977" xr:uid="{00000000-0005-0000-0000-0000014E0000}"/>
    <cellStyle name="Normal 2 2 2 4 2 20 2 8" xfId="19978" xr:uid="{00000000-0005-0000-0000-0000024E0000}"/>
    <cellStyle name="Normal 2 2 2 4 2 20 2 9" xfId="19979" xr:uid="{00000000-0005-0000-0000-0000034E0000}"/>
    <cellStyle name="Normal 2 2 2 4 2 20 3" xfId="19980" xr:uid="{00000000-0005-0000-0000-0000044E0000}"/>
    <cellStyle name="Normal 2 2 2 4 2 20 3 10" xfId="19981" xr:uid="{00000000-0005-0000-0000-0000054E0000}"/>
    <cellStyle name="Normal 2 2 2 4 2 20 3 2" xfId="19982" xr:uid="{00000000-0005-0000-0000-0000064E0000}"/>
    <cellStyle name="Normal 2 2 2 4 2 20 3 3" xfId="19983" xr:uid="{00000000-0005-0000-0000-0000074E0000}"/>
    <cellStyle name="Normal 2 2 2 4 2 20 3 4" xfId="19984" xr:uid="{00000000-0005-0000-0000-0000084E0000}"/>
    <cellStyle name="Normal 2 2 2 4 2 20 3 5" xfId="19985" xr:uid="{00000000-0005-0000-0000-0000094E0000}"/>
    <cellStyle name="Normal 2 2 2 4 2 20 3 6" xfId="19986" xr:uid="{00000000-0005-0000-0000-00000A4E0000}"/>
    <cellStyle name="Normal 2 2 2 4 2 20 3 7" xfId="19987" xr:uid="{00000000-0005-0000-0000-00000B4E0000}"/>
    <cellStyle name="Normal 2 2 2 4 2 20 3 8" xfId="19988" xr:uid="{00000000-0005-0000-0000-00000C4E0000}"/>
    <cellStyle name="Normal 2 2 2 4 2 20 3 9" xfId="19989" xr:uid="{00000000-0005-0000-0000-00000D4E0000}"/>
    <cellStyle name="Normal 2 2 2 4 2 20 4" xfId="19990" xr:uid="{00000000-0005-0000-0000-00000E4E0000}"/>
    <cellStyle name="Normal 2 2 2 4 2 20 4 10" xfId="19991" xr:uid="{00000000-0005-0000-0000-00000F4E0000}"/>
    <cellStyle name="Normal 2 2 2 4 2 20 4 2" xfId="19992" xr:uid="{00000000-0005-0000-0000-0000104E0000}"/>
    <cellStyle name="Normal 2 2 2 4 2 20 4 3" xfId="19993" xr:uid="{00000000-0005-0000-0000-0000114E0000}"/>
    <cellStyle name="Normal 2 2 2 4 2 20 4 4" xfId="19994" xr:uid="{00000000-0005-0000-0000-0000124E0000}"/>
    <cellStyle name="Normal 2 2 2 4 2 20 4 5" xfId="19995" xr:uid="{00000000-0005-0000-0000-0000134E0000}"/>
    <cellStyle name="Normal 2 2 2 4 2 20 4 6" xfId="19996" xr:uid="{00000000-0005-0000-0000-0000144E0000}"/>
    <cellStyle name="Normal 2 2 2 4 2 20 4 7" xfId="19997" xr:uid="{00000000-0005-0000-0000-0000154E0000}"/>
    <cellStyle name="Normal 2 2 2 4 2 20 4 8" xfId="19998" xr:uid="{00000000-0005-0000-0000-0000164E0000}"/>
    <cellStyle name="Normal 2 2 2 4 2 20 4 9" xfId="19999" xr:uid="{00000000-0005-0000-0000-0000174E0000}"/>
    <cellStyle name="Normal 2 2 2 4 2 20 5" xfId="20000" xr:uid="{00000000-0005-0000-0000-0000184E0000}"/>
    <cellStyle name="Normal 2 2 2 4 2 20 5 10" xfId="20001" xr:uid="{00000000-0005-0000-0000-0000194E0000}"/>
    <cellStyle name="Normal 2 2 2 4 2 20 5 2" xfId="20002" xr:uid="{00000000-0005-0000-0000-00001A4E0000}"/>
    <cellStyle name="Normal 2 2 2 4 2 20 5 3" xfId="20003" xr:uid="{00000000-0005-0000-0000-00001B4E0000}"/>
    <cellStyle name="Normal 2 2 2 4 2 20 5 4" xfId="20004" xr:uid="{00000000-0005-0000-0000-00001C4E0000}"/>
    <cellStyle name="Normal 2 2 2 4 2 20 5 5" xfId="20005" xr:uid="{00000000-0005-0000-0000-00001D4E0000}"/>
    <cellStyle name="Normal 2 2 2 4 2 20 5 6" xfId="20006" xr:uid="{00000000-0005-0000-0000-00001E4E0000}"/>
    <cellStyle name="Normal 2 2 2 4 2 20 5 7" xfId="20007" xr:uid="{00000000-0005-0000-0000-00001F4E0000}"/>
    <cellStyle name="Normal 2 2 2 4 2 20 5 8" xfId="20008" xr:uid="{00000000-0005-0000-0000-0000204E0000}"/>
    <cellStyle name="Normal 2 2 2 4 2 20 5 9" xfId="20009" xr:uid="{00000000-0005-0000-0000-0000214E0000}"/>
    <cellStyle name="Normal 2 2 2 4 2 20 6" xfId="20010" xr:uid="{00000000-0005-0000-0000-0000224E0000}"/>
    <cellStyle name="Normal 2 2 2 4 2 20 7" xfId="20011" xr:uid="{00000000-0005-0000-0000-0000234E0000}"/>
    <cellStyle name="Normal 2 2 2 4 2 20 8" xfId="20012" xr:uid="{00000000-0005-0000-0000-0000244E0000}"/>
    <cellStyle name="Normal 2 2 2 4 2 20 9" xfId="20013" xr:uid="{00000000-0005-0000-0000-0000254E0000}"/>
    <cellStyle name="Normal 2 2 2 4 2 21" xfId="20014" xr:uid="{00000000-0005-0000-0000-0000264E0000}"/>
    <cellStyle name="Normal 2 2 2 4 2 22" xfId="20015" xr:uid="{00000000-0005-0000-0000-0000274E0000}"/>
    <cellStyle name="Normal 2 2 2 4 2 3" xfId="20016" xr:uid="{00000000-0005-0000-0000-0000284E0000}"/>
    <cellStyle name="Normal 2 2 2 4 2 3 10" xfId="20017" xr:uid="{00000000-0005-0000-0000-0000294E0000}"/>
    <cellStyle name="Normal 2 2 2 4 2 3 11" xfId="20018" xr:uid="{00000000-0005-0000-0000-00002A4E0000}"/>
    <cellStyle name="Normal 2 2 2 4 2 3 12" xfId="20019" xr:uid="{00000000-0005-0000-0000-00002B4E0000}"/>
    <cellStyle name="Normal 2 2 2 4 2 3 13" xfId="20020" xr:uid="{00000000-0005-0000-0000-00002C4E0000}"/>
    <cellStyle name="Normal 2 2 2 4 2 3 14" xfId="20021" xr:uid="{00000000-0005-0000-0000-00002D4E0000}"/>
    <cellStyle name="Normal 2 2 2 4 2 3 2" xfId="20022" xr:uid="{00000000-0005-0000-0000-00002E4E0000}"/>
    <cellStyle name="Normal 2 2 2 4 2 3 2 10" xfId="20023" xr:uid="{00000000-0005-0000-0000-00002F4E0000}"/>
    <cellStyle name="Normal 2 2 2 4 2 3 2 2" xfId="20024" xr:uid="{00000000-0005-0000-0000-0000304E0000}"/>
    <cellStyle name="Normal 2 2 2 4 2 3 2 3" xfId="20025" xr:uid="{00000000-0005-0000-0000-0000314E0000}"/>
    <cellStyle name="Normal 2 2 2 4 2 3 2 4" xfId="20026" xr:uid="{00000000-0005-0000-0000-0000324E0000}"/>
    <cellStyle name="Normal 2 2 2 4 2 3 2 5" xfId="20027" xr:uid="{00000000-0005-0000-0000-0000334E0000}"/>
    <cellStyle name="Normal 2 2 2 4 2 3 2 6" xfId="20028" xr:uid="{00000000-0005-0000-0000-0000344E0000}"/>
    <cellStyle name="Normal 2 2 2 4 2 3 2 7" xfId="20029" xr:uid="{00000000-0005-0000-0000-0000354E0000}"/>
    <cellStyle name="Normal 2 2 2 4 2 3 2 8" xfId="20030" xr:uid="{00000000-0005-0000-0000-0000364E0000}"/>
    <cellStyle name="Normal 2 2 2 4 2 3 2 9" xfId="20031" xr:uid="{00000000-0005-0000-0000-0000374E0000}"/>
    <cellStyle name="Normal 2 2 2 4 2 3 3" xfId="20032" xr:uid="{00000000-0005-0000-0000-0000384E0000}"/>
    <cellStyle name="Normal 2 2 2 4 2 3 3 10" xfId="20033" xr:uid="{00000000-0005-0000-0000-0000394E0000}"/>
    <cellStyle name="Normal 2 2 2 4 2 3 3 2" xfId="20034" xr:uid="{00000000-0005-0000-0000-00003A4E0000}"/>
    <cellStyle name="Normal 2 2 2 4 2 3 3 3" xfId="20035" xr:uid="{00000000-0005-0000-0000-00003B4E0000}"/>
    <cellStyle name="Normal 2 2 2 4 2 3 3 4" xfId="20036" xr:uid="{00000000-0005-0000-0000-00003C4E0000}"/>
    <cellStyle name="Normal 2 2 2 4 2 3 3 5" xfId="20037" xr:uid="{00000000-0005-0000-0000-00003D4E0000}"/>
    <cellStyle name="Normal 2 2 2 4 2 3 3 6" xfId="20038" xr:uid="{00000000-0005-0000-0000-00003E4E0000}"/>
    <cellStyle name="Normal 2 2 2 4 2 3 3 7" xfId="20039" xr:uid="{00000000-0005-0000-0000-00003F4E0000}"/>
    <cellStyle name="Normal 2 2 2 4 2 3 3 8" xfId="20040" xr:uid="{00000000-0005-0000-0000-0000404E0000}"/>
    <cellStyle name="Normal 2 2 2 4 2 3 3 9" xfId="20041" xr:uid="{00000000-0005-0000-0000-0000414E0000}"/>
    <cellStyle name="Normal 2 2 2 4 2 3 4" xfId="20042" xr:uid="{00000000-0005-0000-0000-0000424E0000}"/>
    <cellStyle name="Normal 2 2 2 4 2 3 4 10" xfId="20043" xr:uid="{00000000-0005-0000-0000-0000434E0000}"/>
    <cellStyle name="Normal 2 2 2 4 2 3 4 2" xfId="20044" xr:uid="{00000000-0005-0000-0000-0000444E0000}"/>
    <cellStyle name="Normal 2 2 2 4 2 3 4 3" xfId="20045" xr:uid="{00000000-0005-0000-0000-0000454E0000}"/>
    <cellStyle name="Normal 2 2 2 4 2 3 4 4" xfId="20046" xr:uid="{00000000-0005-0000-0000-0000464E0000}"/>
    <cellStyle name="Normal 2 2 2 4 2 3 4 5" xfId="20047" xr:uid="{00000000-0005-0000-0000-0000474E0000}"/>
    <cellStyle name="Normal 2 2 2 4 2 3 4 6" xfId="20048" xr:uid="{00000000-0005-0000-0000-0000484E0000}"/>
    <cellStyle name="Normal 2 2 2 4 2 3 4 7" xfId="20049" xr:uid="{00000000-0005-0000-0000-0000494E0000}"/>
    <cellStyle name="Normal 2 2 2 4 2 3 4 8" xfId="20050" xr:uid="{00000000-0005-0000-0000-00004A4E0000}"/>
    <cellStyle name="Normal 2 2 2 4 2 3 4 9" xfId="20051" xr:uid="{00000000-0005-0000-0000-00004B4E0000}"/>
    <cellStyle name="Normal 2 2 2 4 2 3 5" xfId="20052" xr:uid="{00000000-0005-0000-0000-00004C4E0000}"/>
    <cellStyle name="Normal 2 2 2 4 2 3 5 10" xfId="20053" xr:uid="{00000000-0005-0000-0000-00004D4E0000}"/>
    <cellStyle name="Normal 2 2 2 4 2 3 5 2" xfId="20054" xr:uid="{00000000-0005-0000-0000-00004E4E0000}"/>
    <cellStyle name="Normal 2 2 2 4 2 3 5 3" xfId="20055" xr:uid="{00000000-0005-0000-0000-00004F4E0000}"/>
    <cellStyle name="Normal 2 2 2 4 2 3 5 4" xfId="20056" xr:uid="{00000000-0005-0000-0000-0000504E0000}"/>
    <cellStyle name="Normal 2 2 2 4 2 3 5 5" xfId="20057" xr:uid="{00000000-0005-0000-0000-0000514E0000}"/>
    <cellStyle name="Normal 2 2 2 4 2 3 5 6" xfId="20058" xr:uid="{00000000-0005-0000-0000-0000524E0000}"/>
    <cellStyle name="Normal 2 2 2 4 2 3 5 7" xfId="20059" xr:uid="{00000000-0005-0000-0000-0000534E0000}"/>
    <cellStyle name="Normal 2 2 2 4 2 3 5 8" xfId="20060" xr:uid="{00000000-0005-0000-0000-0000544E0000}"/>
    <cellStyle name="Normal 2 2 2 4 2 3 5 9" xfId="20061" xr:uid="{00000000-0005-0000-0000-0000554E0000}"/>
    <cellStyle name="Normal 2 2 2 4 2 3 6" xfId="20062" xr:uid="{00000000-0005-0000-0000-0000564E0000}"/>
    <cellStyle name="Normal 2 2 2 4 2 3 7" xfId="20063" xr:uid="{00000000-0005-0000-0000-0000574E0000}"/>
    <cellStyle name="Normal 2 2 2 4 2 3 8" xfId="20064" xr:uid="{00000000-0005-0000-0000-0000584E0000}"/>
    <cellStyle name="Normal 2 2 2 4 2 3 9" xfId="20065" xr:uid="{00000000-0005-0000-0000-0000594E0000}"/>
    <cellStyle name="Normal 2 2 2 4 2 4" xfId="20066" xr:uid="{00000000-0005-0000-0000-00005A4E0000}"/>
    <cellStyle name="Normal 2 2 2 4 2 4 10" xfId="20067" xr:uid="{00000000-0005-0000-0000-00005B4E0000}"/>
    <cellStyle name="Normal 2 2 2 4 2 4 11" xfId="20068" xr:uid="{00000000-0005-0000-0000-00005C4E0000}"/>
    <cellStyle name="Normal 2 2 2 4 2 4 12" xfId="20069" xr:uid="{00000000-0005-0000-0000-00005D4E0000}"/>
    <cellStyle name="Normal 2 2 2 4 2 4 13" xfId="20070" xr:uid="{00000000-0005-0000-0000-00005E4E0000}"/>
    <cellStyle name="Normal 2 2 2 4 2 4 14" xfId="20071" xr:uid="{00000000-0005-0000-0000-00005F4E0000}"/>
    <cellStyle name="Normal 2 2 2 4 2 4 2" xfId="20072" xr:uid="{00000000-0005-0000-0000-0000604E0000}"/>
    <cellStyle name="Normal 2 2 2 4 2 4 2 10" xfId="20073" xr:uid="{00000000-0005-0000-0000-0000614E0000}"/>
    <cellStyle name="Normal 2 2 2 4 2 4 2 2" xfId="20074" xr:uid="{00000000-0005-0000-0000-0000624E0000}"/>
    <cellStyle name="Normal 2 2 2 4 2 4 2 3" xfId="20075" xr:uid="{00000000-0005-0000-0000-0000634E0000}"/>
    <cellStyle name="Normal 2 2 2 4 2 4 2 4" xfId="20076" xr:uid="{00000000-0005-0000-0000-0000644E0000}"/>
    <cellStyle name="Normal 2 2 2 4 2 4 2 5" xfId="20077" xr:uid="{00000000-0005-0000-0000-0000654E0000}"/>
    <cellStyle name="Normal 2 2 2 4 2 4 2 6" xfId="20078" xr:uid="{00000000-0005-0000-0000-0000664E0000}"/>
    <cellStyle name="Normal 2 2 2 4 2 4 2 7" xfId="20079" xr:uid="{00000000-0005-0000-0000-0000674E0000}"/>
    <cellStyle name="Normal 2 2 2 4 2 4 2 8" xfId="20080" xr:uid="{00000000-0005-0000-0000-0000684E0000}"/>
    <cellStyle name="Normal 2 2 2 4 2 4 2 9" xfId="20081" xr:uid="{00000000-0005-0000-0000-0000694E0000}"/>
    <cellStyle name="Normal 2 2 2 4 2 4 3" xfId="20082" xr:uid="{00000000-0005-0000-0000-00006A4E0000}"/>
    <cellStyle name="Normal 2 2 2 4 2 4 3 10" xfId="20083" xr:uid="{00000000-0005-0000-0000-00006B4E0000}"/>
    <cellStyle name="Normal 2 2 2 4 2 4 3 2" xfId="20084" xr:uid="{00000000-0005-0000-0000-00006C4E0000}"/>
    <cellStyle name="Normal 2 2 2 4 2 4 3 3" xfId="20085" xr:uid="{00000000-0005-0000-0000-00006D4E0000}"/>
    <cellStyle name="Normal 2 2 2 4 2 4 3 4" xfId="20086" xr:uid="{00000000-0005-0000-0000-00006E4E0000}"/>
    <cellStyle name="Normal 2 2 2 4 2 4 3 5" xfId="20087" xr:uid="{00000000-0005-0000-0000-00006F4E0000}"/>
    <cellStyle name="Normal 2 2 2 4 2 4 3 6" xfId="20088" xr:uid="{00000000-0005-0000-0000-0000704E0000}"/>
    <cellStyle name="Normal 2 2 2 4 2 4 3 7" xfId="20089" xr:uid="{00000000-0005-0000-0000-0000714E0000}"/>
    <cellStyle name="Normal 2 2 2 4 2 4 3 8" xfId="20090" xr:uid="{00000000-0005-0000-0000-0000724E0000}"/>
    <cellStyle name="Normal 2 2 2 4 2 4 3 9" xfId="20091" xr:uid="{00000000-0005-0000-0000-0000734E0000}"/>
    <cellStyle name="Normal 2 2 2 4 2 4 4" xfId="20092" xr:uid="{00000000-0005-0000-0000-0000744E0000}"/>
    <cellStyle name="Normal 2 2 2 4 2 4 4 10" xfId="20093" xr:uid="{00000000-0005-0000-0000-0000754E0000}"/>
    <cellStyle name="Normal 2 2 2 4 2 4 4 2" xfId="20094" xr:uid="{00000000-0005-0000-0000-0000764E0000}"/>
    <cellStyle name="Normal 2 2 2 4 2 4 4 3" xfId="20095" xr:uid="{00000000-0005-0000-0000-0000774E0000}"/>
    <cellStyle name="Normal 2 2 2 4 2 4 4 4" xfId="20096" xr:uid="{00000000-0005-0000-0000-0000784E0000}"/>
    <cellStyle name="Normal 2 2 2 4 2 4 4 5" xfId="20097" xr:uid="{00000000-0005-0000-0000-0000794E0000}"/>
    <cellStyle name="Normal 2 2 2 4 2 4 4 6" xfId="20098" xr:uid="{00000000-0005-0000-0000-00007A4E0000}"/>
    <cellStyle name="Normal 2 2 2 4 2 4 4 7" xfId="20099" xr:uid="{00000000-0005-0000-0000-00007B4E0000}"/>
    <cellStyle name="Normal 2 2 2 4 2 4 4 8" xfId="20100" xr:uid="{00000000-0005-0000-0000-00007C4E0000}"/>
    <cellStyle name="Normal 2 2 2 4 2 4 4 9" xfId="20101" xr:uid="{00000000-0005-0000-0000-00007D4E0000}"/>
    <cellStyle name="Normal 2 2 2 4 2 4 5" xfId="20102" xr:uid="{00000000-0005-0000-0000-00007E4E0000}"/>
    <cellStyle name="Normal 2 2 2 4 2 4 5 10" xfId="20103" xr:uid="{00000000-0005-0000-0000-00007F4E0000}"/>
    <cellStyle name="Normal 2 2 2 4 2 4 5 2" xfId="20104" xr:uid="{00000000-0005-0000-0000-0000804E0000}"/>
    <cellStyle name="Normal 2 2 2 4 2 4 5 3" xfId="20105" xr:uid="{00000000-0005-0000-0000-0000814E0000}"/>
    <cellStyle name="Normal 2 2 2 4 2 4 5 4" xfId="20106" xr:uid="{00000000-0005-0000-0000-0000824E0000}"/>
    <cellStyle name="Normal 2 2 2 4 2 4 5 5" xfId="20107" xr:uid="{00000000-0005-0000-0000-0000834E0000}"/>
    <cellStyle name="Normal 2 2 2 4 2 4 5 6" xfId="20108" xr:uid="{00000000-0005-0000-0000-0000844E0000}"/>
    <cellStyle name="Normal 2 2 2 4 2 4 5 7" xfId="20109" xr:uid="{00000000-0005-0000-0000-0000854E0000}"/>
    <cellStyle name="Normal 2 2 2 4 2 4 5 8" xfId="20110" xr:uid="{00000000-0005-0000-0000-0000864E0000}"/>
    <cellStyle name="Normal 2 2 2 4 2 4 5 9" xfId="20111" xr:uid="{00000000-0005-0000-0000-0000874E0000}"/>
    <cellStyle name="Normal 2 2 2 4 2 4 6" xfId="20112" xr:uid="{00000000-0005-0000-0000-0000884E0000}"/>
    <cellStyle name="Normal 2 2 2 4 2 4 7" xfId="20113" xr:uid="{00000000-0005-0000-0000-0000894E0000}"/>
    <cellStyle name="Normal 2 2 2 4 2 4 8" xfId="20114" xr:uid="{00000000-0005-0000-0000-00008A4E0000}"/>
    <cellStyle name="Normal 2 2 2 4 2 4 9" xfId="20115" xr:uid="{00000000-0005-0000-0000-00008B4E0000}"/>
    <cellStyle name="Normal 2 2 2 4 2 5" xfId="20116" xr:uid="{00000000-0005-0000-0000-00008C4E0000}"/>
    <cellStyle name="Normal 2 2 2 4 2 5 10" xfId="20117" xr:uid="{00000000-0005-0000-0000-00008D4E0000}"/>
    <cellStyle name="Normal 2 2 2 4 2 5 11" xfId="20118" xr:uid="{00000000-0005-0000-0000-00008E4E0000}"/>
    <cellStyle name="Normal 2 2 2 4 2 5 12" xfId="20119" xr:uid="{00000000-0005-0000-0000-00008F4E0000}"/>
    <cellStyle name="Normal 2 2 2 4 2 5 13" xfId="20120" xr:uid="{00000000-0005-0000-0000-0000904E0000}"/>
    <cellStyle name="Normal 2 2 2 4 2 5 14" xfId="20121" xr:uid="{00000000-0005-0000-0000-0000914E0000}"/>
    <cellStyle name="Normal 2 2 2 4 2 5 2" xfId="20122" xr:uid="{00000000-0005-0000-0000-0000924E0000}"/>
    <cellStyle name="Normal 2 2 2 4 2 5 2 10" xfId="20123" xr:uid="{00000000-0005-0000-0000-0000934E0000}"/>
    <cellStyle name="Normal 2 2 2 4 2 5 2 2" xfId="20124" xr:uid="{00000000-0005-0000-0000-0000944E0000}"/>
    <cellStyle name="Normal 2 2 2 4 2 5 2 3" xfId="20125" xr:uid="{00000000-0005-0000-0000-0000954E0000}"/>
    <cellStyle name="Normal 2 2 2 4 2 5 2 4" xfId="20126" xr:uid="{00000000-0005-0000-0000-0000964E0000}"/>
    <cellStyle name="Normal 2 2 2 4 2 5 2 5" xfId="20127" xr:uid="{00000000-0005-0000-0000-0000974E0000}"/>
    <cellStyle name="Normal 2 2 2 4 2 5 2 6" xfId="20128" xr:uid="{00000000-0005-0000-0000-0000984E0000}"/>
    <cellStyle name="Normal 2 2 2 4 2 5 2 7" xfId="20129" xr:uid="{00000000-0005-0000-0000-0000994E0000}"/>
    <cellStyle name="Normal 2 2 2 4 2 5 2 8" xfId="20130" xr:uid="{00000000-0005-0000-0000-00009A4E0000}"/>
    <cellStyle name="Normal 2 2 2 4 2 5 2 9" xfId="20131" xr:uid="{00000000-0005-0000-0000-00009B4E0000}"/>
    <cellStyle name="Normal 2 2 2 4 2 5 3" xfId="20132" xr:uid="{00000000-0005-0000-0000-00009C4E0000}"/>
    <cellStyle name="Normal 2 2 2 4 2 5 3 10" xfId="20133" xr:uid="{00000000-0005-0000-0000-00009D4E0000}"/>
    <cellStyle name="Normal 2 2 2 4 2 5 3 2" xfId="20134" xr:uid="{00000000-0005-0000-0000-00009E4E0000}"/>
    <cellStyle name="Normal 2 2 2 4 2 5 3 3" xfId="20135" xr:uid="{00000000-0005-0000-0000-00009F4E0000}"/>
    <cellStyle name="Normal 2 2 2 4 2 5 3 4" xfId="20136" xr:uid="{00000000-0005-0000-0000-0000A04E0000}"/>
    <cellStyle name="Normal 2 2 2 4 2 5 3 5" xfId="20137" xr:uid="{00000000-0005-0000-0000-0000A14E0000}"/>
    <cellStyle name="Normal 2 2 2 4 2 5 3 6" xfId="20138" xr:uid="{00000000-0005-0000-0000-0000A24E0000}"/>
    <cellStyle name="Normal 2 2 2 4 2 5 3 7" xfId="20139" xr:uid="{00000000-0005-0000-0000-0000A34E0000}"/>
    <cellStyle name="Normal 2 2 2 4 2 5 3 8" xfId="20140" xr:uid="{00000000-0005-0000-0000-0000A44E0000}"/>
    <cellStyle name="Normal 2 2 2 4 2 5 3 9" xfId="20141" xr:uid="{00000000-0005-0000-0000-0000A54E0000}"/>
    <cellStyle name="Normal 2 2 2 4 2 5 4" xfId="20142" xr:uid="{00000000-0005-0000-0000-0000A64E0000}"/>
    <cellStyle name="Normal 2 2 2 4 2 5 4 10" xfId="20143" xr:uid="{00000000-0005-0000-0000-0000A74E0000}"/>
    <cellStyle name="Normal 2 2 2 4 2 5 4 2" xfId="20144" xr:uid="{00000000-0005-0000-0000-0000A84E0000}"/>
    <cellStyle name="Normal 2 2 2 4 2 5 4 3" xfId="20145" xr:uid="{00000000-0005-0000-0000-0000A94E0000}"/>
    <cellStyle name="Normal 2 2 2 4 2 5 4 4" xfId="20146" xr:uid="{00000000-0005-0000-0000-0000AA4E0000}"/>
    <cellStyle name="Normal 2 2 2 4 2 5 4 5" xfId="20147" xr:uid="{00000000-0005-0000-0000-0000AB4E0000}"/>
    <cellStyle name="Normal 2 2 2 4 2 5 4 6" xfId="20148" xr:uid="{00000000-0005-0000-0000-0000AC4E0000}"/>
    <cellStyle name="Normal 2 2 2 4 2 5 4 7" xfId="20149" xr:uid="{00000000-0005-0000-0000-0000AD4E0000}"/>
    <cellStyle name="Normal 2 2 2 4 2 5 4 8" xfId="20150" xr:uid="{00000000-0005-0000-0000-0000AE4E0000}"/>
    <cellStyle name="Normal 2 2 2 4 2 5 4 9" xfId="20151" xr:uid="{00000000-0005-0000-0000-0000AF4E0000}"/>
    <cellStyle name="Normal 2 2 2 4 2 5 5" xfId="20152" xr:uid="{00000000-0005-0000-0000-0000B04E0000}"/>
    <cellStyle name="Normal 2 2 2 4 2 5 5 10" xfId="20153" xr:uid="{00000000-0005-0000-0000-0000B14E0000}"/>
    <cellStyle name="Normal 2 2 2 4 2 5 5 2" xfId="20154" xr:uid="{00000000-0005-0000-0000-0000B24E0000}"/>
    <cellStyle name="Normal 2 2 2 4 2 5 5 3" xfId="20155" xr:uid="{00000000-0005-0000-0000-0000B34E0000}"/>
    <cellStyle name="Normal 2 2 2 4 2 5 5 4" xfId="20156" xr:uid="{00000000-0005-0000-0000-0000B44E0000}"/>
    <cellStyle name="Normal 2 2 2 4 2 5 5 5" xfId="20157" xr:uid="{00000000-0005-0000-0000-0000B54E0000}"/>
    <cellStyle name="Normal 2 2 2 4 2 5 5 6" xfId="20158" xr:uid="{00000000-0005-0000-0000-0000B64E0000}"/>
    <cellStyle name="Normal 2 2 2 4 2 5 5 7" xfId="20159" xr:uid="{00000000-0005-0000-0000-0000B74E0000}"/>
    <cellStyle name="Normal 2 2 2 4 2 5 5 8" xfId="20160" xr:uid="{00000000-0005-0000-0000-0000B84E0000}"/>
    <cellStyle name="Normal 2 2 2 4 2 5 5 9" xfId="20161" xr:uid="{00000000-0005-0000-0000-0000B94E0000}"/>
    <cellStyle name="Normal 2 2 2 4 2 5 6" xfId="20162" xr:uid="{00000000-0005-0000-0000-0000BA4E0000}"/>
    <cellStyle name="Normal 2 2 2 4 2 5 7" xfId="20163" xr:uid="{00000000-0005-0000-0000-0000BB4E0000}"/>
    <cellStyle name="Normal 2 2 2 4 2 5 8" xfId="20164" xr:uid="{00000000-0005-0000-0000-0000BC4E0000}"/>
    <cellStyle name="Normal 2 2 2 4 2 5 9" xfId="20165" xr:uid="{00000000-0005-0000-0000-0000BD4E0000}"/>
    <cellStyle name="Normal 2 2 2 4 2 6" xfId="20166" xr:uid="{00000000-0005-0000-0000-0000BE4E0000}"/>
    <cellStyle name="Normal 2 2 2 4 2 6 10" xfId="20167" xr:uid="{00000000-0005-0000-0000-0000BF4E0000}"/>
    <cellStyle name="Normal 2 2 2 4 2 6 11" xfId="20168" xr:uid="{00000000-0005-0000-0000-0000C04E0000}"/>
    <cellStyle name="Normal 2 2 2 4 2 6 12" xfId="20169" xr:uid="{00000000-0005-0000-0000-0000C14E0000}"/>
    <cellStyle name="Normal 2 2 2 4 2 6 13" xfId="20170" xr:uid="{00000000-0005-0000-0000-0000C24E0000}"/>
    <cellStyle name="Normal 2 2 2 4 2 6 14" xfId="20171" xr:uid="{00000000-0005-0000-0000-0000C34E0000}"/>
    <cellStyle name="Normal 2 2 2 4 2 6 2" xfId="20172" xr:uid="{00000000-0005-0000-0000-0000C44E0000}"/>
    <cellStyle name="Normal 2 2 2 4 2 6 2 10" xfId="20173" xr:uid="{00000000-0005-0000-0000-0000C54E0000}"/>
    <cellStyle name="Normal 2 2 2 4 2 6 2 2" xfId="20174" xr:uid="{00000000-0005-0000-0000-0000C64E0000}"/>
    <cellStyle name="Normal 2 2 2 4 2 6 2 3" xfId="20175" xr:uid="{00000000-0005-0000-0000-0000C74E0000}"/>
    <cellStyle name="Normal 2 2 2 4 2 6 2 4" xfId="20176" xr:uid="{00000000-0005-0000-0000-0000C84E0000}"/>
    <cellStyle name="Normal 2 2 2 4 2 6 2 5" xfId="20177" xr:uid="{00000000-0005-0000-0000-0000C94E0000}"/>
    <cellStyle name="Normal 2 2 2 4 2 6 2 6" xfId="20178" xr:uid="{00000000-0005-0000-0000-0000CA4E0000}"/>
    <cellStyle name="Normal 2 2 2 4 2 6 2 7" xfId="20179" xr:uid="{00000000-0005-0000-0000-0000CB4E0000}"/>
    <cellStyle name="Normal 2 2 2 4 2 6 2 8" xfId="20180" xr:uid="{00000000-0005-0000-0000-0000CC4E0000}"/>
    <cellStyle name="Normal 2 2 2 4 2 6 2 9" xfId="20181" xr:uid="{00000000-0005-0000-0000-0000CD4E0000}"/>
    <cellStyle name="Normal 2 2 2 4 2 6 3" xfId="20182" xr:uid="{00000000-0005-0000-0000-0000CE4E0000}"/>
    <cellStyle name="Normal 2 2 2 4 2 6 3 10" xfId="20183" xr:uid="{00000000-0005-0000-0000-0000CF4E0000}"/>
    <cellStyle name="Normal 2 2 2 4 2 6 3 2" xfId="20184" xr:uid="{00000000-0005-0000-0000-0000D04E0000}"/>
    <cellStyle name="Normal 2 2 2 4 2 6 3 3" xfId="20185" xr:uid="{00000000-0005-0000-0000-0000D14E0000}"/>
    <cellStyle name="Normal 2 2 2 4 2 6 3 4" xfId="20186" xr:uid="{00000000-0005-0000-0000-0000D24E0000}"/>
    <cellStyle name="Normal 2 2 2 4 2 6 3 5" xfId="20187" xr:uid="{00000000-0005-0000-0000-0000D34E0000}"/>
    <cellStyle name="Normal 2 2 2 4 2 6 3 6" xfId="20188" xr:uid="{00000000-0005-0000-0000-0000D44E0000}"/>
    <cellStyle name="Normal 2 2 2 4 2 6 3 7" xfId="20189" xr:uid="{00000000-0005-0000-0000-0000D54E0000}"/>
    <cellStyle name="Normal 2 2 2 4 2 6 3 8" xfId="20190" xr:uid="{00000000-0005-0000-0000-0000D64E0000}"/>
    <cellStyle name="Normal 2 2 2 4 2 6 3 9" xfId="20191" xr:uid="{00000000-0005-0000-0000-0000D74E0000}"/>
    <cellStyle name="Normal 2 2 2 4 2 6 4" xfId="20192" xr:uid="{00000000-0005-0000-0000-0000D84E0000}"/>
    <cellStyle name="Normal 2 2 2 4 2 6 4 10" xfId="20193" xr:uid="{00000000-0005-0000-0000-0000D94E0000}"/>
    <cellStyle name="Normal 2 2 2 4 2 6 4 2" xfId="20194" xr:uid="{00000000-0005-0000-0000-0000DA4E0000}"/>
    <cellStyle name="Normal 2 2 2 4 2 6 4 3" xfId="20195" xr:uid="{00000000-0005-0000-0000-0000DB4E0000}"/>
    <cellStyle name="Normal 2 2 2 4 2 6 4 4" xfId="20196" xr:uid="{00000000-0005-0000-0000-0000DC4E0000}"/>
    <cellStyle name="Normal 2 2 2 4 2 6 4 5" xfId="20197" xr:uid="{00000000-0005-0000-0000-0000DD4E0000}"/>
    <cellStyle name="Normal 2 2 2 4 2 6 4 6" xfId="20198" xr:uid="{00000000-0005-0000-0000-0000DE4E0000}"/>
    <cellStyle name="Normal 2 2 2 4 2 6 4 7" xfId="20199" xr:uid="{00000000-0005-0000-0000-0000DF4E0000}"/>
    <cellStyle name="Normal 2 2 2 4 2 6 4 8" xfId="20200" xr:uid="{00000000-0005-0000-0000-0000E04E0000}"/>
    <cellStyle name="Normal 2 2 2 4 2 6 4 9" xfId="20201" xr:uid="{00000000-0005-0000-0000-0000E14E0000}"/>
    <cellStyle name="Normal 2 2 2 4 2 6 5" xfId="20202" xr:uid="{00000000-0005-0000-0000-0000E24E0000}"/>
    <cellStyle name="Normal 2 2 2 4 2 6 5 10" xfId="20203" xr:uid="{00000000-0005-0000-0000-0000E34E0000}"/>
    <cellStyle name="Normal 2 2 2 4 2 6 5 2" xfId="20204" xr:uid="{00000000-0005-0000-0000-0000E44E0000}"/>
    <cellStyle name="Normal 2 2 2 4 2 6 5 3" xfId="20205" xr:uid="{00000000-0005-0000-0000-0000E54E0000}"/>
    <cellStyle name="Normal 2 2 2 4 2 6 5 4" xfId="20206" xr:uid="{00000000-0005-0000-0000-0000E64E0000}"/>
    <cellStyle name="Normal 2 2 2 4 2 6 5 5" xfId="20207" xr:uid="{00000000-0005-0000-0000-0000E74E0000}"/>
    <cellStyle name="Normal 2 2 2 4 2 6 5 6" xfId="20208" xr:uid="{00000000-0005-0000-0000-0000E84E0000}"/>
    <cellStyle name="Normal 2 2 2 4 2 6 5 7" xfId="20209" xr:uid="{00000000-0005-0000-0000-0000E94E0000}"/>
    <cellStyle name="Normal 2 2 2 4 2 6 5 8" xfId="20210" xr:uid="{00000000-0005-0000-0000-0000EA4E0000}"/>
    <cellStyle name="Normal 2 2 2 4 2 6 5 9" xfId="20211" xr:uid="{00000000-0005-0000-0000-0000EB4E0000}"/>
    <cellStyle name="Normal 2 2 2 4 2 6 6" xfId="20212" xr:uid="{00000000-0005-0000-0000-0000EC4E0000}"/>
    <cellStyle name="Normal 2 2 2 4 2 6 7" xfId="20213" xr:uid="{00000000-0005-0000-0000-0000ED4E0000}"/>
    <cellStyle name="Normal 2 2 2 4 2 6 8" xfId="20214" xr:uid="{00000000-0005-0000-0000-0000EE4E0000}"/>
    <cellStyle name="Normal 2 2 2 4 2 6 9" xfId="20215" xr:uid="{00000000-0005-0000-0000-0000EF4E0000}"/>
    <cellStyle name="Normal 2 2 2 4 2 7" xfId="20216" xr:uid="{00000000-0005-0000-0000-0000F04E0000}"/>
    <cellStyle name="Normal 2 2 2 4 2 7 10" xfId="20217" xr:uid="{00000000-0005-0000-0000-0000F14E0000}"/>
    <cellStyle name="Normal 2 2 2 4 2 7 11" xfId="20218" xr:uid="{00000000-0005-0000-0000-0000F24E0000}"/>
    <cellStyle name="Normal 2 2 2 4 2 7 12" xfId="20219" xr:uid="{00000000-0005-0000-0000-0000F34E0000}"/>
    <cellStyle name="Normal 2 2 2 4 2 7 13" xfId="20220" xr:uid="{00000000-0005-0000-0000-0000F44E0000}"/>
    <cellStyle name="Normal 2 2 2 4 2 7 14" xfId="20221" xr:uid="{00000000-0005-0000-0000-0000F54E0000}"/>
    <cellStyle name="Normal 2 2 2 4 2 7 2" xfId="20222" xr:uid="{00000000-0005-0000-0000-0000F64E0000}"/>
    <cellStyle name="Normal 2 2 2 4 2 7 2 10" xfId="20223" xr:uid="{00000000-0005-0000-0000-0000F74E0000}"/>
    <cellStyle name="Normal 2 2 2 4 2 7 2 2" xfId="20224" xr:uid="{00000000-0005-0000-0000-0000F84E0000}"/>
    <cellStyle name="Normal 2 2 2 4 2 7 2 3" xfId="20225" xr:uid="{00000000-0005-0000-0000-0000F94E0000}"/>
    <cellStyle name="Normal 2 2 2 4 2 7 2 4" xfId="20226" xr:uid="{00000000-0005-0000-0000-0000FA4E0000}"/>
    <cellStyle name="Normal 2 2 2 4 2 7 2 5" xfId="20227" xr:uid="{00000000-0005-0000-0000-0000FB4E0000}"/>
    <cellStyle name="Normal 2 2 2 4 2 7 2 6" xfId="20228" xr:uid="{00000000-0005-0000-0000-0000FC4E0000}"/>
    <cellStyle name="Normal 2 2 2 4 2 7 2 7" xfId="20229" xr:uid="{00000000-0005-0000-0000-0000FD4E0000}"/>
    <cellStyle name="Normal 2 2 2 4 2 7 2 8" xfId="20230" xr:uid="{00000000-0005-0000-0000-0000FE4E0000}"/>
    <cellStyle name="Normal 2 2 2 4 2 7 2 9" xfId="20231" xr:uid="{00000000-0005-0000-0000-0000FF4E0000}"/>
    <cellStyle name="Normal 2 2 2 4 2 7 3" xfId="20232" xr:uid="{00000000-0005-0000-0000-0000004F0000}"/>
    <cellStyle name="Normal 2 2 2 4 2 7 3 10" xfId="20233" xr:uid="{00000000-0005-0000-0000-0000014F0000}"/>
    <cellStyle name="Normal 2 2 2 4 2 7 3 2" xfId="20234" xr:uid="{00000000-0005-0000-0000-0000024F0000}"/>
    <cellStyle name="Normal 2 2 2 4 2 7 3 3" xfId="20235" xr:uid="{00000000-0005-0000-0000-0000034F0000}"/>
    <cellStyle name="Normal 2 2 2 4 2 7 3 4" xfId="20236" xr:uid="{00000000-0005-0000-0000-0000044F0000}"/>
    <cellStyle name="Normal 2 2 2 4 2 7 3 5" xfId="20237" xr:uid="{00000000-0005-0000-0000-0000054F0000}"/>
    <cellStyle name="Normal 2 2 2 4 2 7 3 6" xfId="20238" xr:uid="{00000000-0005-0000-0000-0000064F0000}"/>
    <cellStyle name="Normal 2 2 2 4 2 7 3 7" xfId="20239" xr:uid="{00000000-0005-0000-0000-0000074F0000}"/>
    <cellStyle name="Normal 2 2 2 4 2 7 3 8" xfId="20240" xr:uid="{00000000-0005-0000-0000-0000084F0000}"/>
    <cellStyle name="Normal 2 2 2 4 2 7 3 9" xfId="20241" xr:uid="{00000000-0005-0000-0000-0000094F0000}"/>
    <cellStyle name="Normal 2 2 2 4 2 7 4" xfId="20242" xr:uid="{00000000-0005-0000-0000-00000A4F0000}"/>
    <cellStyle name="Normal 2 2 2 4 2 7 4 10" xfId="20243" xr:uid="{00000000-0005-0000-0000-00000B4F0000}"/>
    <cellStyle name="Normal 2 2 2 4 2 7 4 2" xfId="20244" xr:uid="{00000000-0005-0000-0000-00000C4F0000}"/>
    <cellStyle name="Normal 2 2 2 4 2 7 4 3" xfId="20245" xr:uid="{00000000-0005-0000-0000-00000D4F0000}"/>
    <cellStyle name="Normal 2 2 2 4 2 7 4 4" xfId="20246" xr:uid="{00000000-0005-0000-0000-00000E4F0000}"/>
    <cellStyle name="Normal 2 2 2 4 2 7 4 5" xfId="20247" xr:uid="{00000000-0005-0000-0000-00000F4F0000}"/>
    <cellStyle name="Normal 2 2 2 4 2 7 4 6" xfId="20248" xr:uid="{00000000-0005-0000-0000-0000104F0000}"/>
    <cellStyle name="Normal 2 2 2 4 2 7 4 7" xfId="20249" xr:uid="{00000000-0005-0000-0000-0000114F0000}"/>
    <cellStyle name="Normal 2 2 2 4 2 7 4 8" xfId="20250" xr:uid="{00000000-0005-0000-0000-0000124F0000}"/>
    <cellStyle name="Normal 2 2 2 4 2 7 4 9" xfId="20251" xr:uid="{00000000-0005-0000-0000-0000134F0000}"/>
    <cellStyle name="Normal 2 2 2 4 2 7 5" xfId="20252" xr:uid="{00000000-0005-0000-0000-0000144F0000}"/>
    <cellStyle name="Normal 2 2 2 4 2 7 5 10" xfId="20253" xr:uid="{00000000-0005-0000-0000-0000154F0000}"/>
    <cellStyle name="Normal 2 2 2 4 2 7 5 2" xfId="20254" xr:uid="{00000000-0005-0000-0000-0000164F0000}"/>
    <cellStyle name="Normal 2 2 2 4 2 7 5 3" xfId="20255" xr:uid="{00000000-0005-0000-0000-0000174F0000}"/>
    <cellStyle name="Normal 2 2 2 4 2 7 5 4" xfId="20256" xr:uid="{00000000-0005-0000-0000-0000184F0000}"/>
    <cellStyle name="Normal 2 2 2 4 2 7 5 5" xfId="20257" xr:uid="{00000000-0005-0000-0000-0000194F0000}"/>
    <cellStyle name="Normal 2 2 2 4 2 7 5 6" xfId="20258" xr:uid="{00000000-0005-0000-0000-00001A4F0000}"/>
    <cellStyle name="Normal 2 2 2 4 2 7 5 7" xfId="20259" xr:uid="{00000000-0005-0000-0000-00001B4F0000}"/>
    <cellStyle name="Normal 2 2 2 4 2 7 5 8" xfId="20260" xr:uid="{00000000-0005-0000-0000-00001C4F0000}"/>
    <cellStyle name="Normal 2 2 2 4 2 7 5 9" xfId="20261" xr:uid="{00000000-0005-0000-0000-00001D4F0000}"/>
    <cellStyle name="Normal 2 2 2 4 2 7 6" xfId="20262" xr:uid="{00000000-0005-0000-0000-00001E4F0000}"/>
    <cellStyle name="Normal 2 2 2 4 2 7 7" xfId="20263" xr:uid="{00000000-0005-0000-0000-00001F4F0000}"/>
    <cellStyle name="Normal 2 2 2 4 2 7 8" xfId="20264" xr:uid="{00000000-0005-0000-0000-0000204F0000}"/>
    <cellStyle name="Normal 2 2 2 4 2 7 9" xfId="20265" xr:uid="{00000000-0005-0000-0000-0000214F0000}"/>
    <cellStyle name="Normal 2 2 2 4 2 8" xfId="20266" xr:uid="{00000000-0005-0000-0000-0000224F0000}"/>
    <cellStyle name="Normal 2 2 2 4 2 8 10" xfId="20267" xr:uid="{00000000-0005-0000-0000-0000234F0000}"/>
    <cellStyle name="Normal 2 2 2 4 2 8 11" xfId="20268" xr:uid="{00000000-0005-0000-0000-0000244F0000}"/>
    <cellStyle name="Normal 2 2 2 4 2 8 12" xfId="20269" xr:uid="{00000000-0005-0000-0000-0000254F0000}"/>
    <cellStyle name="Normal 2 2 2 4 2 8 13" xfId="20270" xr:uid="{00000000-0005-0000-0000-0000264F0000}"/>
    <cellStyle name="Normal 2 2 2 4 2 8 14" xfId="20271" xr:uid="{00000000-0005-0000-0000-0000274F0000}"/>
    <cellStyle name="Normal 2 2 2 4 2 8 2" xfId="20272" xr:uid="{00000000-0005-0000-0000-0000284F0000}"/>
    <cellStyle name="Normal 2 2 2 4 2 8 2 10" xfId="20273" xr:uid="{00000000-0005-0000-0000-0000294F0000}"/>
    <cellStyle name="Normal 2 2 2 4 2 8 2 2" xfId="20274" xr:uid="{00000000-0005-0000-0000-00002A4F0000}"/>
    <cellStyle name="Normal 2 2 2 4 2 8 2 3" xfId="20275" xr:uid="{00000000-0005-0000-0000-00002B4F0000}"/>
    <cellStyle name="Normal 2 2 2 4 2 8 2 4" xfId="20276" xr:uid="{00000000-0005-0000-0000-00002C4F0000}"/>
    <cellStyle name="Normal 2 2 2 4 2 8 2 5" xfId="20277" xr:uid="{00000000-0005-0000-0000-00002D4F0000}"/>
    <cellStyle name="Normal 2 2 2 4 2 8 2 6" xfId="20278" xr:uid="{00000000-0005-0000-0000-00002E4F0000}"/>
    <cellStyle name="Normal 2 2 2 4 2 8 2 7" xfId="20279" xr:uid="{00000000-0005-0000-0000-00002F4F0000}"/>
    <cellStyle name="Normal 2 2 2 4 2 8 2 8" xfId="20280" xr:uid="{00000000-0005-0000-0000-0000304F0000}"/>
    <cellStyle name="Normal 2 2 2 4 2 8 2 9" xfId="20281" xr:uid="{00000000-0005-0000-0000-0000314F0000}"/>
    <cellStyle name="Normal 2 2 2 4 2 8 3" xfId="20282" xr:uid="{00000000-0005-0000-0000-0000324F0000}"/>
    <cellStyle name="Normal 2 2 2 4 2 8 3 10" xfId="20283" xr:uid="{00000000-0005-0000-0000-0000334F0000}"/>
    <cellStyle name="Normal 2 2 2 4 2 8 3 2" xfId="20284" xr:uid="{00000000-0005-0000-0000-0000344F0000}"/>
    <cellStyle name="Normal 2 2 2 4 2 8 3 3" xfId="20285" xr:uid="{00000000-0005-0000-0000-0000354F0000}"/>
    <cellStyle name="Normal 2 2 2 4 2 8 3 4" xfId="20286" xr:uid="{00000000-0005-0000-0000-0000364F0000}"/>
    <cellStyle name="Normal 2 2 2 4 2 8 3 5" xfId="20287" xr:uid="{00000000-0005-0000-0000-0000374F0000}"/>
    <cellStyle name="Normal 2 2 2 4 2 8 3 6" xfId="20288" xr:uid="{00000000-0005-0000-0000-0000384F0000}"/>
    <cellStyle name="Normal 2 2 2 4 2 8 3 7" xfId="20289" xr:uid="{00000000-0005-0000-0000-0000394F0000}"/>
    <cellStyle name="Normal 2 2 2 4 2 8 3 8" xfId="20290" xr:uid="{00000000-0005-0000-0000-00003A4F0000}"/>
    <cellStyle name="Normal 2 2 2 4 2 8 3 9" xfId="20291" xr:uid="{00000000-0005-0000-0000-00003B4F0000}"/>
    <cellStyle name="Normal 2 2 2 4 2 8 4" xfId="20292" xr:uid="{00000000-0005-0000-0000-00003C4F0000}"/>
    <cellStyle name="Normal 2 2 2 4 2 8 4 10" xfId="20293" xr:uid="{00000000-0005-0000-0000-00003D4F0000}"/>
    <cellStyle name="Normal 2 2 2 4 2 8 4 2" xfId="20294" xr:uid="{00000000-0005-0000-0000-00003E4F0000}"/>
    <cellStyle name="Normal 2 2 2 4 2 8 4 3" xfId="20295" xr:uid="{00000000-0005-0000-0000-00003F4F0000}"/>
    <cellStyle name="Normal 2 2 2 4 2 8 4 4" xfId="20296" xr:uid="{00000000-0005-0000-0000-0000404F0000}"/>
    <cellStyle name="Normal 2 2 2 4 2 8 4 5" xfId="20297" xr:uid="{00000000-0005-0000-0000-0000414F0000}"/>
    <cellStyle name="Normal 2 2 2 4 2 8 4 6" xfId="20298" xr:uid="{00000000-0005-0000-0000-0000424F0000}"/>
    <cellStyle name="Normal 2 2 2 4 2 8 4 7" xfId="20299" xr:uid="{00000000-0005-0000-0000-0000434F0000}"/>
    <cellStyle name="Normal 2 2 2 4 2 8 4 8" xfId="20300" xr:uid="{00000000-0005-0000-0000-0000444F0000}"/>
    <cellStyle name="Normal 2 2 2 4 2 8 4 9" xfId="20301" xr:uid="{00000000-0005-0000-0000-0000454F0000}"/>
    <cellStyle name="Normal 2 2 2 4 2 8 5" xfId="20302" xr:uid="{00000000-0005-0000-0000-0000464F0000}"/>
    <cellStyle name="Normal 2 2 2 4 2 8 5 10" xfId="20303" xr:uid="{00000000-0005-0000-0000-0000474F0000}"/>
    <cellStyle name="Normal 2 2 2 4 2 8 5 2" xfId="20304" xr:uid="{00000000-0005-0000-0000-0000484F0000}"/>
    <cellStyle name="Normal 2 2 2 4 2 8 5 3" xfId="20305" xr:uid="{00000000-0005-0000-0000-0000494F0000}"/>
    <cellStyle name="Normal 2 2 2 4 2 8 5 4" xfId="20306" xr:uid="{00000000-0005-0000-0000-00004A4F0000}"/>
    <cellStyle name="Normal 2 2 2 4 2 8 5 5" xfId="20307" xr:uid="{00000000-0005-0000-0000-00004B4F0000}"/>
    <cellStyle name="Normal 2 2 2 4 2 8 5 6" xfId="20308" xr:uid="{00000000-0005-0000-0000-00004C4F0000}"/>
    <cellStyle name="Normal 2 2 2 4 2 8 5 7" xfId="20309" xr:uid="{00000000-0005-0000-0000-00004D4F0000}"/>
    <cellStyle name="Normal 2 2 2 4 2 8 5 8" xfId="20310" xr:uid="{00000000-0005-0000-0000-00004E4F0000}"/>
    <cellStyle name="Normal 2 2 2 4 2 8 5 9" xfId="20311" xr:uid="{00000000-0005-0000-0000-00004F4F0000}"/>
    <cellStyle name="Normal 2 2 2 4 2 8 6" xfId="20312" xr:uid="{00000000-0005-0000-0000-0000504F0000}"/>
    <cellStyle name="Normal 2 2 2 4 2 8 7" xfId="20313" xr:uid="{00000000-0005-0000-0000-0000514F0000}"/>
    <cellStyle name="Normal 2 2 2 4 2 8 8" xfId="20314" xr:uid="{00000000-0005-0000-0000-0000524F0000}"/>
    <cellStyle name="Normal 2 2 2 4 2 8 9" xfId="20315" xr:uid="{00000000-0005-0000-0000-0000534F0000}"/>
    <cellStyle name="Normal 2 2 2 4 2 9" xfId="20316" xr:uid="{00000000-0005-0000-0000-0000544F0000}"/>
    <cellStyle name="Normal 2 2 2 4 2 9 10" xfId="20317" xr:uid="{00000000-0005-0000-0000-0000554F0000}"/>
    <cellStyle name="Normal 2 2 2 4 2 9 11" xfId="20318" xr:uid="{00000000-0005-0000-0000-0000564F0000}"/>
    <cellStyle name="Normal 2 2 2 4 2 9 12" xfId="20319" xr:uid="{00000000-0005-0000-0000-0000574F0000}"/>
    <cellStyle name="Normal 2 2 2 4 2 9 13" xfId="20320" xr:uid="{00000000-0005-0000-0000-0000584F0000}"/>
    <cellStyle name="Normal 2 2 2 4 2 9 14" xfId="20321" xr:uid="{00000000-0005-0000-0000-0000594F0000}"/>
    <cellStyle name="Normal 2 2 2 4 2 9 2" xfId="20322" xr:uid="{00000000-0005-0000-0000-00005A4F0000}"/>
    <cellStyle name="Normal 2 2 2 4 2 9 2 10" xfId="20323" xr:uid="{00000000-0005-0000-0000-00005B4F0000}"/>
    <cellStyle name="Normal 2 2 2 4 2 9 2 2" xfId="20324" xr:uid="{00000000-0005-0000-0000-00005C4F0000}"/>
    <cellStyle name="Normal 2 2 2 4 2 9 2 3" xfId="20325" xr:uid="{00000000-0005-0000-0000-00005D4F0000}"/>
    <cellStyle name="Normal 2 2 2 4 2 9 2 4" xfId="20326" xr:uid="{00000000-0005-0000-0000-00005E4F0000}"/>
    <cellStyle name="Normal 2 2 2 4 2 9 2 5" xfId="20327" xr:uid="{00000000-0005-0000-0000-00005F4F0000}"/>
    <cellStyle name="Normal 2 2 2 4 2 9 2 6" xfId="20328" xr:uid="{00000000-0005-0000-0000-0000604F0000}"/>
    <cellStyle name="Normal 2 2 2 4 2 9 2 7" xfId="20329" xr:uid="{00000000-0005-0000-0000-0000614F0000}"/>
    <cellStyle name="Normal 2 2 2 4 2 9 2 8" xfId="20330" xr:uid="{00000000-0005-0000-0000-0000624F0000}"/>
    <cellStyle name="Normal 2 2 2 4 2 9 2 9" xfId="20331" xr:uid="{00000000-0005-0000-0000-0000634F0000}"/>
    <cellStyle name="Normal 2 2 2 4 2 9 3" xfId="20332" xr:uid="{00000000-0005-0000-0000-0000644F0000}"/>
    <cellStyle name="Normal 2 2 2 4 2 9 3 10" xfId="20333" xr:uid="{00000000-0005-0000-0000-0000654F0000}"/>
    <cellStyle name="Normal 2 2 2 4 2 9 3 2" xfId="20334" xr:uid="{00000000-0005-0000-0000-0000664F0000}"/>
    <cellStyle name="Normal 2 2 2 4 2 9 3 3" xfId="20335" xr:uid="{00000000-0005-0000-0000-0000674F0000}"/>
    <cellStyle name="Normal 2 2 2 4 2 9 3 4" xfId="20336" xr:uid="{00000000-0005-0000-0000-0000684F0000}"/>
    <cellStyle name="Normal 2 2 2 4 2 9 3 5" xfId="20337" xr:uid="{00000000-0005-0000-0000-0000694F0000}"/>
    <cellStyle name="Normal 2 2 2 4 2 9 3 6" xfId="20338" xr:uid="{00000000-0005-0000-0000-00006A4F0000}"/>
    <cellStyle name="Normal 2 2 2 4 2 9 3 7" xfId="20339" xr:uid="{00000000-0005-0000-0000-00006B4F0000}"/>
    <cellStyle name="Normal 2 2 2 4 2 9 3 8" xfId="20340" xr:uid="{00000000-0005-0000-0000-00006C4F0000}"/>
    <cellStyle name="Normal 2 2 2 4 2 9 3 9" xfId="20341" xr:uid="{00000000-0005-0000-0000-00006D4F0000}"/>
    <cellStyle name="Normal 2 2 2 4 2 9 4" xfId="20342" xr:uid="{00000000-0005-0000-0000-00006E4F0000}"/>
    <cellStyle name="Normal 2 2 2 4 2 9 4 10" xfId="20343" xr:uid="{00000000-0005-0000-0000-00006F4F0000}"/>
    <cellStyle name="Normal 2 2 2 4 2 9 4 2" xfId="20344" xr:uid="{00000000-0005-0000-0000-0000704F0000}"/>
    <cellStyle name="Normal 2 2 2 4 2 9 4 3" xfId="20345" xr:uid="{00000000-0005-0000-0000-0000714F0000}"/>
    <cellStyle name="Normal 2 2 2 4 2 9 4 4" xfId="20346" xr:uid="{00000000-0005-0000-0000-0000724F0000}"/>
    <cellStyle name="Normal 2 2 2 4 2 9 4 5" xfId="20347" xr:uid="{00000000-0005-0000-0000-0000734F0000}"/>
    <cellStyle name="Normal 2 2 2 4 2 9 4 6" xfId="20348" xr:uid="{00000000-0005-0000-0000-0000744F0000}"/>
    <cellStyle name="Normal 2 2 2 4 2 9 4 7" xfId="20349" xr:uid="{00000000-0005-0000-0000-0000754F0000}"/>
    <cellStyle name="Normal 2 2 2 4 2 9 4 8" xfId="20350" xr:uid="{00000000-0005-0000-0000-0000764F0000}"/>
    <cellStyle name="Normal 2 2 2 4 2 9 4 9" xfId="20351" xr:uid="{00000000-0005-0000-0000-0000774F0000}"/>
    <cellStyle name="Normal 2 2 2 4 2 9 5" xfId="20352" xr:uid="{00000000-0005-0000-0000-0000784F0000}"/>
    <cellStyle name="Normal 2 2 2 4 2 9 5 10" xfId="20353" xr:uid="{00000000-0005-0000-0000-0000794F0000}"/>
    <cellStyle name="Normal 2 2 2 4 2 9 5 2" xfId="20354" xr:uid="{00000000-0005-0000-0000-00007A4F0000}"/>
    <cellStyle name="Normal 2 2 2 4 2 9 5 3" xfId="20355" xr:uid="{00000000-0005-0000-0000-00007B4F0000}"/>
    <cellStyle name="Normal 2 2 2 4 2 9 5 4" xfId="20356" xr:uid="{00000000-0005-0000-0000-00007C4F0000}"/>
    <cellStyle name="Normal 2 2 2 4 2 9 5 5" xfId="20357" xr:uid="{00000000-0005-0000-0000-00007D4F0000}"/>
    <cellStyle name="Normal 2 2 2 4 2 9 5 6" xfId="20358" xr:uid="{00000000-0005-0000-0000-00007E4F0000}"/>
    <cellStyle name="Normal 2 2 2 4 2 9 5 7" xfId="20359" xr:uid="{00000000-0005-0000-0000-00007F4F0000}"/>
    <cellStyle name="Normal 2 2 2 4 2 9 5 8" xfId="20360" xr:uid="{00000000-0005-0000-0000-0000804F0000}"/>
    <cellStyle name="Normal 2 2 2 4 2 9 5 9" xfId="20361" xr:uid="{00000000-0005-0000-0000-0000814F0000}"/>
    <cellStyle name="Normal 2 2 2 4 2 9 6" xfId="20362" xr:uid="{00000000-0005-0000-0000-0000824F0000}"/>
    <cellStyle name="Normal 2 2 2 4 2 9 7" xfId="20363" xr:uid="{00000000-0005-0000-0000-0000834F0000}"/>
    <cellStyle name="Normal 2 2 2 4 2 9 8" xfId="20364" xr:uid="{00000000-0005-0000-0000-0000844F0000}"/>
    <cellStyle name="Normal 2 2 2 4 2 9 9" xfId="20365" xr:uid="{00000000-0005-0000-0000-0000854F0000}"/>
    <cellStyle name="Normal 2 2 2 4 20" xfId="20366" xr:uid="{00000000-0005-0000-0000-0000864F0000}"/>
    <cellStyle name="Normal 2 2 2 4 21" xfId="20367" xr:uid="{00000000-0005-0000-0000-0000874F0000}"/>
    <cellStyle name="Normal 2 2 2 4 22" xfId="20368" xr:uid="{00000000-0005-0000-0000-0000884F0000}"/>
    <cellStyle name="Normal 2 2 2 4 23" xfId="20369" xr:uid="{00000000-0005-0000-0000-0000894F0000}"/>
    <cellStyle name="Normal 2 2 2 4 24" xfId="20370" xr:uid="{00000000-0005-0000-0000-00008A4F0000}"/>
    <cellStyle name="Normal 2 2 2 4 25" xfId="20371" xr:uid="{00000000-0005-0000-0000-00008B4F0000}"/>
    <cellStyle name="Normal 2 2 2 4 26" xfId="20372" xr:uid="{00000000-0005-0000-0000-00008C4F0000}"/>
    <cellStyle name="Normal 2 2 2 4 27" xfId="20373" xr:uid="{00000000-0005-0000-0000-00008D4F0000}"/>
    <cellStyle name="Normal 2 2 2 4 28" xfId="20374" xr:uid="{00000000-0005-0000-0000-00008E4F0000}"/>
    <cellStyle name="Normal 2 2 2 4 29" xfId="20375" xr:uid="{00000000-0005-0000-0000-00008F4F0000}"/>
    <cellStyle name="Normal 2 2 2 4 3" xfId="20376" xr:uid="{00000000-0005-0000-0000-0000904F0000}"/>
    <cellStyle name="Normal 2 2 2 4 3 2" xfId="20377" xr:uid="{00000000-0005-0000-0000-0000914F0000}"/>
    <cellStyle name="Normal 2 2 2 4 3 3" xfId="20378" xr:uid="{00000000-0005-0000-0000-0000924F0000}"/>
    <cellStyle name="Normal 2 2 2 4 30" xfId="20379" xr:uid="{00000000-0005-0000-0000-0000934F0000}"/>
    <cellStyle name="Normal 2 2 2 4 31" xfId="20380" xr:uid="{00000000-0005-0000-0000-0000944F0000}"/>
    <cellStyle name="Normal 2 2 2 4 32" xfId="20381" xr:uid="{00000000-0005-0000-0000-0000954F0000}"/>
    <cellStyle name="Normal 2 2 2 4 33" xfId="20382" xr:uid="{00000000-0005-0000-0000-0000964F0000}"/>
    <cellStyle name="Normal 2 2 2 4 34" xfId="20383" xr:uid="{00000000-0005-0000-0000-0000974F0000}"/>
    <cellStyle name="Normal 2 2 2 4 34 10" xfId="20384" xr:uid="{00000000-0005-0000-0000-0000984F0000}"/>
    <cellStyle name="Normal 2 2 2 4 34 2" xfId="20385" xr:uid="{00000000-0005-0000-0000-0000994F0000}"/>
    <cellStyle name="Normal 2 2 2 4 34 3" xfId="20386" xr:uid="{00000000-0005-0000-0000-00009A4F0000}"/>
    <cellStyle name="Normal 2 2 2 4 34 4" xfId="20387" xr:uid="{00000000-0005-0000-0000-00009B4F0000}"/>
    <cellStyle name="Normal 2 2 2 4 34 5" xfId="20388" xr:uid="{00000000-0005-0000-0000-00009C4F0000}"/>
    <cellStyle name="Normal 2 2 2 4 34 6" xfId="20389" xr:uid="{00000000-0005-0000-0000-00009D4F0000}"/>
    <cellStyle name="Normal 2 2 2 4 34 7" xfId="20390" xr:uid="{00000000-0005-0000-0000-00009E4F0000}"/>
    <cellStyle name="Normal 2 2 2 4 34 8" xfId="20391" xr:uid="{00000000-0005-0000-0000-00009F4F0000}"/>
    <cellStyle name="Normal 2 2 2 4 34 9" xfId="20392" xr:uid="{00000000-0005-0000-0000-0000A04F0000}"/>
    <cellStyle name="Normal 2 2 2 4 35" xfId="20393" xr:uid="{00000000-0005-0000-0000-0000A14F0000}"/>
    <cellStyle name="Normal 2 2 2 4 35 10" xfId="20394" xr:uid="{00000000-0005-0000-0000-0000A24F0000}"/>
    <cellStyle name="Normal 2 2 2 4 35 2" xfId="20395" xr:uid="{00000000-0005-0000-0000-0000A34F0000}"/>
    <cellStyle name="Normal 2 2 2 4 35 3" xfId="20396" xr:uid="{00000000-0005-0000-0000-0000A44F0000}"/>
    <cellStyle name="Normal 2 2 2 4 35 4" xfId="20397" xr:uid="{00000000-0005-0000-0000-0000A54F0000}"/>
    <cellStyle name="Normal 2 2 2 4 35 5" xfId="20398" xr:uid="{00000000-0005-0000-0000-0000A64F0000}"/>
    <cellStyle name="Normal 2 2 2 4 35 6" xfId="20399" xr:uid="{00000000-0005-0000-0000-0000A74F0000}"/>
    <cellStyle name="Normal 2 2 2 4 35 7" xfId="20400" xr:uid="{00000000-0005-0000-0000-0000A84F0000}"/>
    <cellStyle name="Normal 2 2 2 4 35 8" xfId="20401" xr:uid="{00000000-0005-0000-0000-0000A94F0000}"/>
    <cellStyle name="Normal 2 2 2 4 35 9" xfId="20402" xr:uid="{00000000-0005-0000-0000-0000AA4F0000}"/>
    <cellStyle name="Normal 2 2 2 4 36" xfId="20403" xr:uid="{00000000-0005-0000-0000-0000AB4F0000}"/>
    <cellStyle name="Normal 2 2 2 4 36 10" xfId="20404" xr:uid="{00000000-0005-0000-0000-0000AC4F0000}"/>
    <cellStyle name="Normal 2 2 2 4 36 2" xfId="20405" xr:uid="{00000000-0005-0000-0000-0000AD4F0000}"/>
    <cellStyle name="Normal 2 2 2 4 36 3" xfId="20406" xr:uid="{00000000-0005-0000-0000-0000AE4F0000}"/>
    <cellStyle name="Normal 2 2 2 4 36 4" xfId="20407" xr:uid="{00000000-0005-0000-0000-0000AF4F0000}"/>
    <cellStyle name="Normal 2 2 2 4 36 5" xfId="20408" xr:uid="{00000000-0005-0000-0000-0000B04F0000}"/>
    <cellStyle name="Normal 2 2 2 4 36 6" xfId="20409" xr:uid="{00000000-0005-0000-0000-0000B14F0000}"/>
    <cellStyle name="Normal 2 2 2 4 36 7" xfId="20410" xr:uid="{00000000-0005-0000-0000-0000B24F0000}"/>
    <cellStyle name="Normal 2 2 2 4 36 8" xfId="20411" xr:uid="{00000000-0005-0000-0000-0000B34F0000}"/>
    <cellStyle name="Normal 2 2 2 4 36 9" xfId="20412" xr:uid="{00000000-0005-0000-0000-0000B44F0000}"/>
    <cellStyle name="Normal 2 2 2 4 37" xfId="20413" xr:uid="{00000000-0005-0000-0000-0000B54F0000}"/>
    <cellStyle name="Normal 2 2 2 4 37 10" xfId="20414" xr:uid="{00000000-0005-0000-0000-0000B64F0000}"/>
    <cellStyle name="Normal 2 2 2 4 37 2" xfId="20415" xr:uid="{00000000-0005-0000-0000-0000B74F0000}"/>
    <cellStyle name="Normal 2 2 2 4 37 3" xfId="20416" xr:uid="{00000000-0005-0000-0000-0000B84F0000}"/>
    <cellStyle name="Normal 2 2 2 4 37 4" xfId="20417" xr:uid="{00000000-0005-0000-0000-0000B94F0000}"/>
    <cellStyle name="Normal 2 2 2 4 37 5" xfId="20418" xr:uid="{00000000-0005-0000-0000-0000BA4F0000}"/>
    <cellStyle name="Normal 2 2 2 4 37 6" xfId="20419" xr:uid="{00000000-0005-0000-0000-0000BB4F0000}"/>
    <cellStyle name="Normal 2 2 2 4 37 7" xfId="20420" xr:uid="{00000000-0005-0000-0000-0000BC4F0000}"/>
    <cellStyle name="Normal 2 2 2 4 37 8" xfId="20421" xr:uid="{00000000-0005-0000-0000-0000BD4F0000}"/>
    <cellStyle name="Normal 2 2 2 4 37 9" xfId="20422" xr:uid="{00000000-0005-0000-0000-0000BE4F0000}"/>
    <cellStyle name="Normal 2 2 2 4 38" xfId="20423" xr:uid="{00000000-0005-0000-0000-0000BF4F0000}"/>
    <cellStyle name="Normal 2 2 2 4 39" xfId="20424" xr:uid="{00000000-0005-0000-0000-0000C04F0000}"/>
    <cellStyle name="Normal 2 2 2 4 4" xfId="20425" xr:uid="{00000000-0005-0000-0000-0000C14F0000}"/>
    <cellStyle name="Normal 2 2 2 4 40" xfId="20426" xr:uid="{00000000-0005-0000-0000-0000C24F0000}"/>
    <cellStyle name="Normal 2 2 2 4 41" xfId="20427" xr:uid="{00000000-0005-0000-0000-0000C34F0000}"/>
    <cellStyle name="Normal 2 2 2 4 42" xfId="20428" xr:uid="{00000000-0005-0000-0000-0000C44F0000}"/>
    <cellStyle name="Normal 2 2 2 4 43" xfId="20429" xr:uid="{00000000-0005-0000-0000-0000C54F0000}"/>
    <cellStyle name="Normal 2 2 2 4 44" xfId="20430" xr:uid="{00000000-0005-0000-0000-0000C64F0000}"/>
    <cellStyle name="Normal 2 2 2 4 45" xfId="20431" xr:uid="{00000000-0005-0000-0000-0000C74F0000}"/>
    <cellStyle name="Normal 2 2 2 4 46" xfId="20432" xr:uid="{00000000-0005-0000-0000-0000C84F0000}"/>
    <cellStyle name="Normal 2 2 2 4 47" xfId="20433" xr:uid="{00000000-0005-0000-0000-0000C94F0000}"/>
    <cellStyle name="Normal 2 2 2 4 48" xfId="20434" xr:uid="{00000000-0005-0000-0000-0000CA4F0000}"/>
    <cellStyle name="Normal 2 2 2 4 5" xfId="20435" xr:uid="{00000000-0005-0000-0000-0000CB4F0000}"/>
    <cellStyle name="Normal 2 2 2 4 6" xfId="20436" xr:uid="{00000000-0005-0000-0000-0000CC4F0000}"/>
    <cellStyle name="Normal 2 2 2 4 7" xfId="20437" xr:uid="{00000000-0005-0000-0000-0000CD4F0000}"/>
    <cellStyle name="Normal 2 2 2 4 8" xfId="20438" xr:uid="{00000000-0005-0000-0000-0000CE4F0000}"/>
    <cellStyle name="Normal 2 2 2 4 9" xfId="20439" xr:uid="{00000000-0005-0000-0000-0000CF4F0000}"/>
    <cellStyle name="Normal 2 2 2 40" xfId="20440" xr:uid="{00000000-0005-0000-0000-0000D04F0000}"/>
    <cellStyle name="Normal 2 2 2 40 10" xfId="20441" xr:uid="{00000000-0005-0000-0000-0000D14F0000}"/>
    <cellStyle name="Normal 2 2 2 40 2" xfId="20442" xr:uid="{00000000-0005-0000-0000-0000D24F0000}"/>
    <cellStyle name="Normal 2 2 2 40 3" xfId="20443" xr:uid="{00000000-0005-0000-0000-0000D34F0000}"/>
    <cellStyle name="Normal 2 2 2 40 4" xfId="20444" xr:uid="{00000000-0005-0000-0000-0000D44F0000}"/>
    <cellStyle name="Normal 2 2 2 40 5" xfId="20445" xr:uid="{00000000-0005-0000-0000-0000D54F0000}"/>
    <cellStyle name="Normal 2 2 2 40 6" xfId="20446" xr:uid="{00000000-0005-0000-0000-0000D64F0000}"/>
    <cellStyle name="Normal 2 2 2 40 7" xfId="20447" xr:uid="{00000000-0005-0000-0000-0000D74F0000}"/>
    <cellStyle name="Normal 2 2 2 40 8" xfId="20448" xr:uid="{00000000-0005-0000-0000-0000D84F0000}"/>
    <cellStyle name="Normal 2 2 2 40 9" xfId="20449" xr:uid="{00000000-0005-0000-0000-0000D94F0000}"/>
    <cellStyle name="Normal 2 2 2 41" xfId="20450" xr:uid="{00000000-0005-0000-0000-0000DA4F0000}"/>
    <cellStyle name="Normal 2 2 2 42" xfId="20451" xr:uid="{00000000-0005-0000-0000-0000DB4F0000}"/>
    <cellStyle name="Normal 2 2 2 43" xfId="20452" xr:uid="{00000000-0005-0000-0000-0000DC4F0000}"/>
    <cellStyle name="Normal 2 2 2 44" xfId="20453" xr:uid="{00000000-0005-0000-0000-0000DD4F0000}"/>
    <cellStyle name="Normal 2 2 2 45" xfId="20454" xr:uid="{00000000-0005-0000-0000-0000DE4F0000}"/>
    <cellStyle name="Normal 2 2 2 46" xfId="20455" xr:uid="{00000000-0005-0000-0000-0000DF4F0000}"/>
    <cellStyle name="Normal 2 2 2 47" xfId="20456" xr:uid="{00000000-0005-0000-0000-0000E04F0000}"/>
    <cellStyle name="Normal 2 2 2 48" xfId="20457" xr:uid="{00000000-0005-0000-0000-0000E14F0000}"/>
    <cellStyle name="Normal 2 2 2 49" xfId="20458" xr:uid="{00000000-0005-0000-0000-0000E24F0000}"/>
    <cellStyle name="Normal 2 2 2 5" xfId="20459" xr:uid="{00000000-0005-0000-0000-0000E34F0000}"/>
    <cellStyle name="Normal 2 2 2 5 10" xfId="20460" xr:uid="{00000000-0005-0000-0000-0000E44F0000}"/>
    <cellStyle name="Normal 2 2 2 5 11" xfId="20461" xr:uid="{00000000-0005-0000-0000-0000E54F0000}"/>
    <cellStyle name="Normal 2 2 2 5 12" xfId="20462" xr:uid="{00000000-0005-0000-0000-0000E64F0000}"/>
    <cellStyle name="Normal 2 2 2 5 13" xfId="20463" xr:uid="{00000000-0005-0000-0000-0000E74F0000}"/>
    <cellStyle name="Normal 2 2 2 5 14" xfId="20464" xr:uid="{00000000-0005-0000-0000-0000E84F0000}"/>
    <cellStyle name="Normal 2 2 2 5 15" xfId="20465" xr:uid="{00000000-0005-0000-0000-0000E94F0000}"/>
    <cellStyle name="Normal 2 2 2 5 16" xfId="20466" xr:uid="{00000000-0005-0000-0000-0000EA4F0000}"/>
    <cellStyle name="Normal 2 2 2 5 17" xfId="20467" xr:uid="{00000000-0005-0000-0000-0000EB4F0000}"/>
    <cellStyle name="Normal 2 2 2 5 18" xfId="20468" xr:uid="{00000000-0005-0000-0000-0000EC4F0000}"/>
    <cellStyle name="Normal 2 2 2 5 19" xfId="20469" xr:uid="{00000000-0005-0000-0000-0000ED4F0000}"/>
    <cellStyle name="Normal 2 2 2 5 2" xfId="20470" xr:uid="{00000000-0005-0000-0000-0000EE4F0000}"/>
    <cellStyle name="Normal 2 2 2 5 2 10" xfId="20471" xr:uid="{00000000-0005-0000-0000-0000EF4F0000}"/>
    <cellStyle name="Normal 2 2 2 5 2 10 10" xfId="20472" xr:uid="{00000000-0005-0000-0000-0000F04F0000}"/>
    <cellStyle name="Normal 2 2 2 5 2 10 11" xfId="20473" xr:uid="{00000000-0005-0000-0000-0000F14F0000}"/>
    <cellStyle name="Normal 2 2 2 5 2 10 12" xfId="20474" xr:uid="{00000000-0005-0000-0000-0000F24F0000}"/>
    <cellStyle name="Normal 2 2 2 5 2 10 13" xfId="20475" xr:uid="{00000000-0005-0000-0000-0000F34F0000}"/>
    <cellStyle name="Normal 2 2 2 5 2 10 14" xfId="20476" xr:uid="{00000000-0005-0000-0000-0000F44F0000}"/>
    <cellStyle name="Normal 2 2 2 5 2 10 2" xfId="20477" xr:uid="{00000000-0005-0000-0000-0000F54F0000}"/>
    <cellStyle name="Normal 2 2 2 5 2 10 2 10" xfId="20478" xr:uid="{00000000-0005-0000-0000-0000F64F0000}"/>
    <cellStyle name="Normal 2 2 2 5 2 10 2 2" xfId="20479" xr:uid="{00000000-0005-0000-0000-0000F74F0000}"/>
    <cellStyle name="Normal 2 2 2 5 2 10 2 3" xfId="20480" xr:uid="{00000000-0005-0000-0000-0000F84F0000}"/>
    <cellStyle name="Normal 2 2 2 5 2 10 2 4" xfId="20481" xr:uid="{00000000-0005-0000-0000-0000F94F0000}"/>
    <cellStyle name="Normal 2 2 2 5 2 10 2 5" xfId="20482" xr:uid="{00000000-0005-0000-0000-0000FA4F0000}"/>
    <cellStyle name="Normal 2 2 2 5 2 10 2 6" xfId="20483" xr:uid="{00000000-0005-0000-0000-0000FB4F0000}"/>
    <cellStyle name="Normal 2 2 2 5 2 10 2 7" xfId="20484" xr:uid="{00000000-0005-0000-0000-0000FC4F0000}"/>
    <cellStyle name="Normal 2 2 2 5 2 10 2 8" xfId="20485" xr:uid="{00000000-0005-0000-0000-0000FD4F0000}"/>
    <cellStyle name="Normal 2 2 2 5 2 10 2 9" xfId="20486" xr:uid="{00000000-0005-0000-0000-0000FE4F0000}"/>
    <cellStyle name="Normal 2 2 2 5 2 10 3" xfId="20487" xr:uid="{00000000-0005-0000-0000-0000FF4F0000}"/>
    <cellStyle name="Normal 2 2 2 5 2 10 3 10" xfId="20488" xr:uid="{00000000-0005-0000-0000-000000500000}"/>
    <cellStyle name="Normal 2 2 2 5 2 10 3 2" xfId="20489" xr:uid="{00000000-0005-0000-0000-000001500000}"/>
    <cellStyle name="Normal 2 2 2 5 2 10 3 3" xfId="20490" xr:uid="{00000000-0005-0000-0000-000002500000}"/>
    <cellStyle name="Normal 2 2 2 5 2 10 3 4" xfId="20491" xr:uid="{00000000-0005-0000-0000-000003500000}"/>
    <cellStyle name="Normal 2 2 2 5 2 10 3 5" xfId="20492" xr:uid="{00000000-0005-0000-0000-000004500000}"/>
    <cellStyle name="Normal 2 2 2 5 2 10 3 6" xfId="20493" xr:uid="{00000000-0005-0000-0000-000005500000}"/>
    <cellStyle name="Normal 2 2 2 5 2 10 3 7" xfId="20494" xr:uid="{00000000-0005-0000-0000-000006500000}"/>
    <cellStyle name="Normal 2 2 2 5 2 10 3 8" xfId="20495" xr:uid="{00000000-0005-0000-0000-000007500000}"/>
    <cellStyle name="Normal 2 2 2 5 2 10 3 9" xfId="20496" xr:uid="{00000000-0005-0000-0000-000008500000}"/>
    <cellStyle name="Normal 2 2 2 5 2 10 4" xfId="20497" xr:uid="{00000000-0005-0000-0000-000009500000}"/>
    <cellStyle name="Normal 2 2 2 5 2 10 4 10" xfId="20498" xr:uid="{00000000-0005-0000-0000-00000A500000}"/>
    <cellStyle name="Normal 2 2 2 5 2 10 4 2" xfId="20499" xr:uid="{00000000-0005-0000-0000-00000B500000}"/>
    <cellStyle name="Normal 2 2 2 5 2 10 4 3" xfId="20500" xr:uid="{00000000-0005-0000-0000-00000C500000}"/>
    <cellStyle name="Normal 2 2 2 5 2 10 4 4" xfId="20501" xr:uid="{00000000-0005-0000-0000-00000D500000}"/>
    <cellStyle name="Normal 2 2 2 5 2 10 4 5" xfId="20502" xr:uid="{00000000-0005-0000-0000-00000E500000}"/>
    <cellStyle name="Normal 2 2 2 5 2 10 4 6" xfId="20503" xr:uid="{00000000-0005-0000-0000-00000F500000}"/>
    <cellStyle name="Normal 2 2 2 5 2 10 4 7" xfId="20504" xr:uid="{00000000-0005-0000-0000-000010500000}"/>
    <cellStyle name="Normal 2 2 2 5 2 10 4 8" xfId="20505" xr:uid="{00000000-0005-0000-0000-000011500000}"/>
    <cellStyle name="Normal 2 2 2 5 2 10 4 9" xfId="20506" xr:uid="{00000000-0005-0000-0000-000012500000}"/>
    <cellStyle name="Normal 2 2 2 5 2 10 5" xfId="20507" xr:uid="{00000000-0005-0000-0000-000013500000}"/>
    <cellStyle name="Normal 2 2 2 5 2 10 5 10" xfId="20508" xr:uid="{00000000-0005-0000-0000-000014500000}"/>
    <cellStyle name="Normal 2 2 2 5 2 10 5 2" xfId="20509" xr:uid="{00000000-0005-0000-0000-000015500000}"/>
    <cellStyle name="Normal 2 2 2 5 2 10 5 3" xfId="20510" xr:uid="{00000000-0005-0000-0000-000016500000}"/>
    <cellStyle name="Normal 2 2 2 5 2 10 5 4" xfId="20511" xr:uid="{00000000-0005-0000-0000-000017500000}"/>
    <cellStyle name="Normal 2 2 2 5 2 10 5 5" xfId="20512" xr:uid="{00000000-0005-0000-0000-000018500000}"/>
    <cellStyle name="Normal 2 2 2 5 2 10 5 6" xfId="20513" xr:uid="{00000000-0005-0000-0000-000019500000}"/>
    <cellStyle name="Normal 2 2 2 5 2 10 5 7" xfId="20514" xr:uid="{00000000-0005-0000-0000-00001A500000}"/>
    <cellStyle name="Normal 2 2 2 5 2 10 5 8" xfId="20515" xr:uid="{00000000-0005-0000-0000-00001B500000}"/>
    <cellStyle name="Normal 2 2 2 5 2 10 5 9" xfId="20516" xr:uid="{00000000-0005-0000-0000-00001C500000}"/>
    <cellStyle name="Normal 2 2 2 5 2 10 6" xfId="20517" xr:uid="{00000000-0005-0000-0000-00001D500000}"/>
    <cellStyle name="Normal 2 2 2 5 2 10 7" xfId="20518" xr:uid="{00000000-0005-0000-0000-00001E500000}"/>
    <cellStyle name="Normal 2 2 2 5 2 10 8" xfId="20519" xr:uid="{00000000-0005-0000-0000-00001F500000}"/>
    <cellStyle name="Normal 2 2 2 5 2 10 9" xfId="20520" xr:uid="{00000000-0005-0000-0000-000020500000}"/>
    <cellStyle name="Normal 2 2 2 5 2 11" xfId="20521" xr:uid="{00000000-0005-0000-0000-000021500000}"/>
    <cellStyle name="Normal 2 2 2 5 2 11 10" xfId="20522" xr:uid="{00000000-0005-0000-0000-000022500000}"/>
    <cellStyle name="Normal 2 2 2 5 2 11 11" xfId="20523" xr:uid="{00000000-0005-0000-0000-000023500000}"/>
    <cellStyle name="Normal 2 2 2 5 2 11 12" xfId="20524" xr:uid="{00000000-0005-0000-0000-000024500000}"/>
    <cellStyle name="Normal 2 2 2 5 2 11 13" xfId="20525" xr:uid="{00000000-0005-0000-0000-000025500000}"/>
    <cellStyle name="Normal 2 2 2 5 2 11 14" xfId="20526" xr:uid="{00000000-0005-0000-0000-000026500000}"/>
    <cellStyle name="Normal 2 2 2 5 2 11 2" xfId="20527" xr:uid="{00000000-0005-0000-0000-000027500000}"/>
    <cellStyle name="Normal 2 2 2 5 2 11 2 10" xfId="20528" xr:uid="{00000000-0005-0000-0000-000028500000}"/>
    <cellStyle name="Normal 2 2 2 5 2 11 2 2" xfId="20529" xr:uid="{00000000-0005-0000-0000-000029500000}"/>
    <cellStyle name="Normal 2 2 2 5 2 11 2 3" xfId="20530" xr:uid="{00000000-0005-0000-0000-00002A500000}"/>
    <cellStyle name="Normal 2 2 2 5 2 11 2 4" xfId="20531" xr:uid="{00000000-0005-0000-0000-00002B500000}"/>
    <cellStyle name="Normal 2 2 2 5 2 11 2 5" xfId="20532" xr:uid="{00000000-0005-0000-0000-00002C500000}"/>
    <cellStyle name="Normal 2 2 2 5 2 11 2 6" xfId="20533" xr:uid="{00000000-0005-0000-0000-00002D500000}"/>
    <cellStyle name="Normal 2 2 2 5 2 11 2 7" xfId="20534" xr:uid="{00000000-0005-0000-0000-00002E500000}"/>
    <cellStyle name="Normal 2 2 2 5 2 11 2 8" xfId="20535" xr:uid="{00000000-0005-0000-0000-00002F500000}"/>
    <cellStyle name="Normal 2 2 2 5 2 11 2 9" xfId="20536" xr:uid="{00000000-0005-0000-0000-000030500000}"/>
    <cellStyle name="Normal 2 2 2 5 2 11 3" xfId="20537" xr:uid="{00000000-0005-0000-0000-000031500000}"/>
    <cellStyle name="Normal 2 2 2 5 2 11 3 10" xfId="20538" xr:uid="{00000000-0005-0000-0000-000032500000}"/>
    <cellStyle name="Normal 2 2 2 5 2 11 3 2" xfId="20539" xr:uid="{00000000-0005-0000-0000-000033500000}"/>
    <cellStyle name="Normal 2 2 2 5 2 11 3 3" xfId="20540" xr:uid="{00000000-0005-0000-0000-000034500000}"/>
    <cellStyle name="Normal 2 2 2 5 2 11 3 4" xfId="20541" xr:uid="{00000000-0005-0000-0000-000035500000}"/>
    <cellStyle name="Normal 2 2 2 5 2 11 3 5" xfId="20542" xr:uid="{00000000-0005-0000-0000-000036500000}"/>
    <cellStyle name="Normal 2 2 2 5 2 11 3 6" xfId="20543" xr:uid="{00000000-0005-0000-0000-000037500000}"/>
    <cellStyle name="Normal 2 2 2 5 2 11 3 7" xfId="20544" xr:uid="{00000000-0005-0000-0000-000038500000}"/>
    <cellStyle name="Normal 2 2 2 5 2 11 3 8" xfId="20545" xr:uid="{00000000-0005-0000-0000-000039500000}"/>
    <cellStyle name="Normal 2 2 2 5 2 11 3 9" xfId="20546" xr:uid="{00000000-0005-0000-0000-00003A500000}"/>
    <cellStyle name="Normal 2 2 2 5 2 11 4" xfId="20547" xr:uid="{00000000-0005-0000-0000-00003B500000}"/>
    <cellStyle name="Normal 2 2 2 5 2 11 4 10" xfId="20548" xr:uid="{00000000-0005-0000-0000-00003C500000}"/>
    <cellStyle name="Normal 2 2 2 5 2 11 4 2" xfId="20549" xr:uid="{00000000-0005-0000-0000-00003D500000}"/>
    <cellStyle name="Normal 2 2 2 5 2 11 4 3" xfId="20550" xr:uid="{00000000-0005-0000-0000-00003E500000}"/>
    <cellStyle name="Normal 2 2 2 5 2 11 4 4" xfId="20551" xr:uid="{00000000-0005-0000-0000-00003F500000}"/>
    <cellStyle name="Normal 2 2 2 5 2 11 4 5" xfId="20552" xr:uid="{00000000-0005-0000-0000-000040500000}"/>
    <cellStyle name="Normal 2 2 2 5 2 11 4 6" xfId="20553" xr:uid="{00000000-0005-0000-0000-000041500000}"/>
    <cellStyle name="Normal 2 2 2 5 2 11 4 7" xfId="20554" xr:uid="{00000000-0005-0000-0000-000042500000}"/>
    <cellStyle name="Normal 2 2 2 5 2 11 4 8" xfId="20555" xr:uid="{00000000-0005-0000-0000-000043500000}"/>
    <cellStyle name="Normal 2 2 2 5 2 11 4 9" xfId="20556" xr:uid="{00000000-0005-0000-0000-000044500000}"/>
    <cellStyle name="Normal 2 2 2 5 2 11 5" xfId="20557" xr:uid="{00000000-0005-0000-0000-000045500000}"/>
    <cellStyle name="Normal 2 2 2 5 2 11 5 10" xfId="20558" xr:uid="{00000000-0005-0000-0000-000046500000}"/>
    <cellStyle name="Normal 2 2 2 5 2 11 5 2" xfId="20559" xr:uid="{00000000-0005-0000-0000-000047500000}"/>
    <cellStyle name="Normal 2 2 2 5 2 11 5 3" xfId="20560" xr:uid="{00000000-0005-0000-0000-000048500000}"/>
    <cellStyle name="Normal 2 2 2 5 2 11 5 4" xfId="20561" xr:uid="{00000000-0005-0000-0000-000049500000}"/>
    <cellStyle name="Normal 2 2 2 5 2 11 5 5" xfId="20562" xr:uid="{00000000-0005-0000-0000-00004A500000}"/>
    <cellStyle name="Normal 2 2 2 5 2 11 5 6" xfId="20563" xr:uid="{00000000-0005-0000-0000-00004B500000}"/>
    <cellStyle name="Normal 2 2 2 5 2 11 5 7" xfId="20564" xr:uid="{00000000-0005-0000-0000-00004C500000}"/>
    <cellStyle name="Normal 2 2 2 5 2 11 5 8" xfId="20565" xr:uid="{00000000-0005-0000-0000-00004D500000}"/>
    <cellStyle name="Normal 2 2 2 5 2 11 5 9" xfId="20566" xr:uid="{00000000-0005-0000-0000-00004E500000}"/>
    <cellStyle name="Normal 2 2 2 5 2 11 6" xfId="20567" xr:uid="{00000000-0005-0000-0000-00004F500000}"/>
    <cellStyle name="Normal 2 2 2 5 2 11 7" xfId="20568" xr:uid="{00000000-0005-0000-0000-000050500000}"/>
    <cellStyle name="Normal 2 2 2 5 2 11 8" xfId="20569" xr:uid="{00000000-0005-0000-0000-000051500000}"/>
    <cellStyle name="Normal 2 2 2 5 2 11 9" xfId="20570" xr:uid="{00000000-0005-0000-0000-000052500000}"/>
    <cellStyle name="Normal 2 2 2 5 2 12" xfId="20571" xr:uid="{00000000-0005-0000-0000-000053500000}"/>
    <cellStyle name="Normal 2 2 2 5 2 12 10" xfId="20572" xr:uid="{00000000-0005-0000-0000-000054500000}"/>
    <cellStyle name="Normal 2 2 2 5 2 12 11" xfId="20573" xr:uid="{00000000-0005-0000-0000-000055500000}"/>
    <cellStyle name="Normal 2 2 2 5 2 12 12" xfId="20574" xr:uid="{00000000-0005-0000-0000-000056500000}"/>
    <cellStyle name="Normal 2 2 2 5 2 12 13" xfId="20575" xr:uid="{00000000-0005-0000-0000-000057500000}"/>
    <cellStyle name="Normal 2 2 2 5 2 12 14" xfId="20576" xr:uid="{00000000-0005-0000-0000-000058500000}"/>
    <cellStyle name="Normal 2 2 2 5 2 12 2" xfId="20577" xr:uid="{00000000-0005-0000-0000-000059500000}"/>
    <cellStyle name="Normal 2 2 2 5 2 12 2 10" xfId="20578" xr:uid="{00000000-0005-0000-0000-00005A500000}"/>
    <cellStyle name="Normal 2 2 2 5 2 12 2 2" xfId="20579" xr:uid="{00000000-0005-0000-0000-00005B500000}"/>
    <cellStyle name="Normal 2 2 2 5 2 12 2 3" xfId="20580" xr:uid="{00000000-0005-0000-0000-00005C500000}"/>
    <cellStyle name="Normal 2 2 2 5 2 12 2 4" xfId="20581" xr:uid="{00000000-0005-0000-0000-00005D500000}"/>
    <cellStyle name="Normal 2 2 2 5 2 12 2 5" xfId="20582" xr:uid="{00000000-0005-0000-0000-00005E500000}"/>
    <cellStyle name="Normal 2 2 2 5 2 12 2 6" xfId="20583" xr:uid="{00000000-0005-0000-0000-00005F500000}"/>
    <cellStyle name="Normal 2 2 2 5 2 12 2 7" xfId="20584" xr:uid="{00000000-0005-0000-0000-000060500000}"/>
    <cellStyle name="Normal 2 2 2 5 2 12 2 8" xfId="20585" xr:uid="{00000000-0005-0000-0000-000061500000}"/>
    <cellStyle name="Normal 2 2 2 5 2 12 2 9" xfId="20586" xr:uid="{00000000-0005-0000-0000-000062500000}"/>
    <cellStyle name="Normal 2 2 2 5 2 12 3" xfId="20587" xr:uid="{00000000-0005-0000-0000-000063500000}"/>
    <cellStyle name="Normal 2 2 2 5 2 12 3 10" xfId="20588" xr:uid="{00000000-0005-0000-0000-000064500000}"/>
    <cellStyle name="Normal 2 2 2 5 2 12 3 2" xfId="20589" xr:uid="{00000000-0005-0000-0000-000065500000}"/>
    <cellStyle name="Normal 2 2 2 5 2 12 3 3" xfId="20590" xr:uid="{00000000-0005-0000-0000-000066500000}"/>
    <cellStyle name="Normal 2 2 2 5 2 12 3 4" xfId="20591" xr:uid="{00000000-0005-0000-0000-000067500000}"/>
    <cellStyle name="Normal 2 2 2 5 2 12 3 5" xfId="20592" xr:uid="{00000000-0005-0000-0000-000068500000}"/>
    <cellStyle name="Normal 2 2 2 5 2 12 3 6" xfId="20593" xr:uid="{00000000-0005-0000-0000-000069500000}"/>
    <cellStyle name="Normal 2 2 2 5 2 12 3 7" xfId="20594" xr:uid="{00000000-0005-0000-0000-00006A500000}"/>
    <cellStyle name="Normal 2 2 2 5 2 12 3 8" xfId="20595" xr:uid="{00000000-0005-0000-0000-00006B500000}"/>
    <cellStyle name="Normal 2 2 2 5 2 12 3 9" xfId="20596" xr:uid="{00000000-0005-0000-0000-00006C500000}"/>
    <cellStyle name="Normal 2 2 2 5 2 12 4" xfId="20597" xr:uid="{00000000-0005-0000-0000-00006D500000}"/>
    <cellStyle name="Normal 2 2 2 5 2 12 4 10" xfId="20598" xr:uid="{00000000-0005-0000-0000-00006E500000}"/>
    <cellStyle name="Normal 2 2 2 5 2 12 4 2" xfId="20599" xr:uid="{00000000-0005-0000-0000-00006F500000}"/>
    <cellStyle name="Normal 2 2 2 5 2 12 4 3" xfId="20600" xr:uid="{00000000-0005-0000-0000-000070500000}"/>
    <cellStyle name="Normal 2 2 2 5 2 12 4 4" xfId="20601" xr:uid="{00000000-0005-0000-0000-000071500000}"/>
    <cellStyle name="Normal 2 2 2 5 2 12 4 5" xfId="20602" xr:uid="{00000000-0005-0000-0000-000072500000}"/>
    <cellStyle name="Normal 2 2 2 5 2 12 4 6" xfId="20603" xr:uid="{00000000-0005-0000-0000-000073500000}"/>
    <cellStyle name="Normal 2 2 2 5 2 12 4 7" xfId="20604" xr:uid="{00000000-0005-0000-0000-000074500000}"/>
    <cellStyle name="Normal 2 2 2 5 2 12 4 8" xfId="20605" xr:uid="{00000000-0005-0000-0000-000075500000}"/>
    <cellStyle name="Normal 2 2 2 5 2 12 4 9" xfId="20606" xr:uid="{00000000-0005-0000-0000-000076500000}"/>
    <cellStyle name="Normal 2 2 2 5 2 12 5" xfId="20607" xr:uid="{00000000-0005-0000-0000-000077500000}"/>
    <cellStyle name="Normal 2 2 2 5 2 12 5 10" xfId="20608" xr:uid="{00000000-0005-0000-0000-000078500000}"/>
    <cellStyle name="Normal 2 2 2 5 2 12 5 2" xfId="20609" xr:uid="{00000000-0005-0000-0000-000079500000}"/>
    <cellStyle name="Normal 2 2 2 5 2 12 5 3" xfId="20610" xr:uid="{00000000-0005-0000-0000-00007A500000}"/>
    <cellStyle name="Normal 2 2 2 5 2 12 5 4" xfId="20611" xr:uid="{00000000-0005-0000-0000-00007B500000}"/>
    <cellStyle name="Normal 2 2 2 5 2 12 5 5" xfId="20612" xr:uid="{00000000-0005-0000-0000-00007C500000}"/>
    <cellStyle name="Normal 2 2 2 5 2 12 5 6" xfId="20613" xr:uid="{00000000-0005-0000-0000-00007D500000}"/>
    <cellStyle name="Normal 2 2 2 5 2 12 5 7" xfId="20614" xr:uid="{00000000-0005-0000-0000-00007E500000}"/>
    <cellStyle name="Normal 2 2 2 5 2 12 5 8" xfId="20615" xr:uid="{00000000-0005-0000-0000-00007F500000}"/>
    <cellStyle name="Normal 2 2 2 5 2 12 5 9" xfId="20616" xr:uid="{00000000-0005-0000-0000-000080500000}"/>
    <cellStyle name="Normal 2 2 2 5 2 12 6" xfId="20617" xr:uid="{00000000-0005-0000-0000-000081500000}"/>
    <cellStyle name="Normal 2 2 2 5 2 12 7" xfId="20618" xr:uid="{00000000-0005-0000-0000-000082500000}"/>
    <cellStyle name="Normal 2 2 2 5 2 12 8" xfId="20619" xr:uid="{00000000-0005-0000-0000-000083500000}"/>
    <cellStyle name="Normal 2 2 2 5 2 12 9" xfId="20620" xr:uid="{00000000-0005-0000-0000-000084500000}"/>
    <cellStyle name="Normal 2 2 2 5 2 13" xfId="20621" xr:uid="{00000000-0005-0000-0000-000085500000}"/>
    <cellStyle name="Normal 2 2 2 5 2 13 10" xfId="20622" xr:uid="{00000000-0005-0000-0000-000086500000}"/>
    <cellStyle name="Normal 2 2 2 5 2 13 11" xfId="20623" xr:uid="{00000000-0005-0000-0000-000087500000}"/>
    <cellStyle name="Normal 2 2 2 5 2 13 12" xfId="20624" xr:uid="{00000000-0005-0000-0000-000088500000}"/>
    <cellStyle name="Normal 2 2 2 5 2 13 13" xfId="20625" xr:uid="{00000000-0005-0000-0000-000089500000}"/>
    <cellStyle name="Normal 2 2 2 5 2 13 14" xfId="20626" xr:uid="{00000000-0005-0000-0000-00008A500000}"/>
    <cellStyle name="Normal 2 2 2 5 2 13 2" xfId="20627" xr:uid="{00000000-0005-0000-0000-00008B500000}"/>
    <cellStyle name="Normal 2 2 2 5 2 13 2 10" xfId="20628" xr:uid="{00000000-0005-0000-0000-00008C500000}"/>
    <cellStyle name="Normal 2 2 2 5 2 13 2 2" xfId="20629" xr:uid="{00000000-0005-0000-0000-00008D500000}"/>
    <cellStyle name="Normal 2 2 2 5 2 13 2 3" xfId="20630" xr:uid="{00000000-0005-0000-0000-00008E500000}"/>
    <cellStyle name="Normal 2 2 2 5 2 13 2 4" xfId="20631" xr:uid="{00000000-0005-0000-0000-00008F500000}"/>
    <cellStyle name="Normal 2 2 2 5 2 13 2 5" xfId="20632" xr:uid="{00000000-0005-0000-0000-000090500000}"/>
    <cellStyle name="Normal 2 2 2 5 2 13 2 6" xfId="20633" xr:uid="{00000000-0005-0000-0000-000091500000}"/>
    <cellStyle name="Normal 2 2 2 5 2 13 2 7" xfId="20634" xr:uid="{00000000-0005-0000-0000-000092500000}"/>
    <cellStyle name="Normal 2 2 2 5 2 13 2 8" xfId="20635" xr:uid="{00000000-0005-0000-0000-000093500000}"/>
    <cellStyle name="Normal 2 2 2 5 2 13 2 9" xfId="20636" xr:uid="{00000000-0005-0000-0000-000094500000}"/>
    <cellStyle name="Normal 2 2 2 5 2 13 3" xfId="20637" xr:uid="{00000000-0005-0000-0000-000095500000}"/>
    <cellStyle name="Normal 2 2 2 5 2 13 3 10" xfId="20638" xr:uid="{00000000-0005-0000-0000-000096500000}"/>
    <cellStyle name="Normal 2 2 2 5 2 13 3 2" xfId="20639" xr:uid="{00000000-0005-0000-0000-000097500000}"/>
    <cellStyle name="Normal 2 2 2 5 2 13 3 3" xfId="20640" xr:uid="{00000000-0005-0000-0000-000098500000}"/>
    <cellStyle name="Normal 2 2 2 5 2 13 3 4" xfId="20641" xr:uid="{00000000-0005-0000-0000-000099500000}"/>
    <cellStyle name="Normal 2 2 2 5 2 13 3 5" xfId="20642" xr:uid="{00000000-0005-0000-0000-00009A500000}"/>
    <cellStyle name="Normal 2 2 2 5 2 13 3 6" xfId="20643" xr:uid="{00000000-0005-0000-0000-00009B500000}"/>
    <cellStyle name="Normal 2 2 2 5 2 13 3 7" xfId="20644" xr:uid="{00000000-0005-0000-0000-00009C500000}"/>
    <cellStyle name="Normal 2 2 2 5 2 13 3 8" xfId="20645" xr:uid="{00000000-0005-0000-0000-00009D500000}"/>
    <cellStyle name="Normal 2 2 2 5 2 13 3 9" xfId="20646" xr:uid="{00000000-0005-0000-0000-00009E500000}"/>
    <cellStyle name="Normal 2 2 2 5 2 13 4" xfId="20647" xr:uid="{00000000-0005-0000-0000-00009F500000}"/>
    <cellStyle name="Normal 2 2 2 5 2 13 4 10" xfId="20648" xr:uid="{00000000-0005-0000-0000-0000A0500000}"/>
    <cellStyle name="Normal 2 2 2 5 2 13 4 2" xfId="20649" xr:uid="{00000000-0005-0000-0000-0000A1500000}"/>
    <cellStyle name="Normal 2 2 2 5 2 13 4 3" xfId="20650" xr:uid="{00000000-0005-0000-0000-0000A2500000}"/>
    <cellStyle name="Normal 2 2 2 5 2 13 4 4" xfId="20651" xr:uid="{00000000-0005-0000-0000-0000A3500000}"/>
    <cellStyle name="Normal 2 2 2 5 2 13 4 5" xfId="20652" xr:uid="{00000000-0005-0000-0000-0000A4500000}"/>
    <cellStyle name="Normal 2 2 2 5 2 13 4 6" xfId="20653" xr:uid="{00000000-0005-0000-0000-0000A5500000}"/>
    <cellStyle name="Normal 2 2 2 5 2 13 4 7" xfId="20654" xr:uid="{00000000-0005-0000-0000-0000A6500000}"/>
    <cellStyle name="Normal 2 2 2 5 2 13 4 8" xfId="20655" xr:uid="{00000000-0005-0000-0000-0000A7500000}"/>
    <cellStyle name="Normal 2 2 2 5 2 13 4 9" xfId="20656" xr:uid="{00000000-0005-0000-0000-0000A8500000}"/>
    <cellStyle name="Normal 2 2 2 5 2 13 5" xfId="20657" xr:uid="{00000000-0005-0000-0000-0000A9500000}"/>
    <cellStyle name="Normal 2 2 2 5 2 13 5 10" xfId="20658" xr:uid="{00000000-0005-0000-0000-0000AA500000}"/>
    <cellStyle name="Normal 2 2 2 5 2 13 5 2" xfId="20659" xr:uid="{00000000-0005-0000-0000-0000AB500000}"/>
    <cellStyle name="Normal 2 2 2 5 2 13 5 3" xfId="20660" xr:uid="{00000000-0005-0000-0000-0000AC500000}"/>
    <cellStyle name="Normal 2 2 2 5 2 13 5 4" xfId="20661" xr:uid="{00000000-0005-0000-0000-0000AD500000}"/>
    <cellStyle name="Normal 2 2 2 5 2 13 5 5" xfId="20662" xr:uid="{00000000-0005-0000-0000-0000AE500000}"/>
    <cellStyle name="Normal 2 2 2 5 2 13 5 6" xfId="20663" xr:uid="{00000000-0005-0000-0000-0000AF500000}"/>
    <cellStyle name="Normal 2 2 2 5 2 13 5 7" xfId="20664" xr:uid="{00000000-0005-0000-0000-0000B0500000}"/>
    <cellStyle name="Normal 2 2 2 5 2 13 5 8" xfId="20665" xr:uid="{00000000-0005-0000-0000-0000B1500000}"/>
    <cellStyle name="Normal 2 2 2 5 2 13 5 9" xfId="20666" xr:uid="{00000000-0005-0000-0000-0000B2500000}"/>
    <cellStyle name="Normal 2 2 2 5 2 13 6" xfId="20667" xr:uid="{00000000-0005-0000-0000-0000B3500000}"/>
    <cellStyle name="Normal 2 2 2 5 2 13 7" xfId="20668" xr:uid="{00000000-0005-0000-0000-0000B4500000}"/>
    <cellStyle name="Normal 2 2 2 5 2 13 8" xfId="20669" xr:uid="{00000000-0005-0000-0000-0000B5500000}"/>
    <cellStyle name="Normal 2 2 2 5 2 13 9" xfId="20670" xr:uid="{00000000-0005-0000-0000-0000B6500000}"/>
    <cellStyle name="Normal 2 2 2 5 2 14" xfId="20671" xr:uid="{00000000-0005-0000-0000-0000B7500000}"/>
    <cellStyle name="Normal 2 2 2 5 2 14 10" xfId="20672" xr:uid="{00000000-0005-0000-0000-0000B8500000}"/>
    <cellStyle name="Normal 2 2 2 5 2 14 11" xfId="20673" xr:uid="{00000000-0005-0000-0000-0000B9500000}"/>
    <cellStyle name="Normal 2 2 2 5 2 14 12" xfId="20674" xr:uid="{00000000-0005-0000-0000-0000BA500000}"/>
    <cellStyle name="Normal 2 2 2 5 2 14 13" xfId="20675" xr:uid="{00000000-0005-0000-0000-0000BB500000}"/>
    <cellStyle name="Normal 2 2 2 5 2 14 14" xfId="20676" xr:uid="{00000000-0005-0000-0000-0000BC500000}"/>
    <cellStyle name="Normal 2 2 2 5 2 14 2" xfId="20677" xr:uid="{00000000-0005-0000-0000-0000BD500000}"/>
    <cellStyle name="Normal 2 2 2 5 2 14 2 10" xfId="20678" xr:uid="{00000000-0005-0000-0000-0000BE500000}"/>
    <cellStyle name="Normal 2 2 2 5 2 14 2 2" xfId="20679" xr:uid="{00000000-0005-0000-0000-0000BF500000}"/>
    <cellStyle name="Normal 2 2 2 5 2 14 2 3" xfId="20680" xr:uid="{00000000-0005-0000-0000-0000C0500000}"/>
    <cellStyle name="Normal 2 2 2 5 2 14 2 4" xfId="20681" xr:uid="{00000000-0005-0000-0000-0000C1500000}"/>
    <cellStyle name="Normal 2 2 2 5 2 14 2 5" xfId="20682" xr:uid="{00000000-0005-0000-0000-0000C2500000}"/>
    <cellStyle name="Normal 2 2 2 5 2 14 2 6" xfId="20683" xr:uid="{00000000-0005-0000-0000-0000C3500000}"/>
    <cellStyle name="Normal 2 2 2 5 2 14 2 7" xfId="20684" xr:uid="{00000000-0005-0000-0000-0000C4500000}"/>
    <cellStyle name="Normal 2 2 2 5 2 14 2 8" xfId="20685" xr:uid="{00000000-0005-0000-0000-0000C5500000}"/>
    <cellStyle name="Normal 2 2 2 5 2 14 2 9" xfId="20686" xr:uid="{00000000-0005-0000-0000-0000C6500000}"/>
    <cellStyle name="Normal 2 2 2 5 2 14 3" xfId="20687" xr:uid="{00000000-0005-0000-0000-0000C7500000}"/>
    <cellStyle name="Normal 2 2 2 5 2 14 3 10" xfId="20688" xr:uid="{00000000-0005-0000-0000-0000C8500000}"/>
    <cellStyle name="Normal 2 2 2 5 2 14 3 2" xfId="20689" xr:uid="{00000000-0005-0000-0000-0000C9500000}"/>
    <cellStyle name="Normal 2 2 2 5 2 14 3 3" xfId="20690" xr:uid="{00000000-0005-0000-0000-0000CA500000}"/>
    <cellStyle name="Normal 2 2 2 5 2 14 3 4" xfId="20691" xr:uid="{00000000-0005-0000-0000-0000CB500000}"/>
    <cellStyle name="Normal 2 2 2 5 2 14 3 5" xfId="20692" xr:uid="{00000000-0005-0000-0000-0000CC500000}"/>
    <cellStyle name="Normal 2 2 2 5 2 14 3 6" xfId="20693" xr:uid="{00000000-0005-0000-0000-0000CD500000}"/>
    <cellStyle name="Normal 2 2 2 5 2 14 3 7" xfId="20694" xr:uid="{00000000-0005-0000-0000-0000CE500000}"/>
    <cellStyle name="Normal 2 2 2 5 2 14 3 8" xfId="20695" xr:uid="{00000000-0005-0000-0000-0000CF500000}"/>
    <cellStyle name="Normal 2 2 2 5 2 14 3 9" xfId="20696" xr:uid="{00000000-0005-0000-0000-0000D0500000}"/>
    <cellStyle name="Normal 2 2 2 5 2 14 4" xfId="20697" xr:uid="{00000000-0005-0000-0000-0000D1500000}"/>
    <cellStyle name="Normal 2 2 2 5 2 14 4 10" xfId="20698" xr:uid="{00000000-0005-0000-0000-0000D2500000}"/>
    <cellStyle name="Normal 2 2 2 5 2 14 4 2" xfId="20699" xr:uid="{00000000-0005-0000-0000-0000D3500000}"/>
    <cellStyle name="Normal 2 2 2 5 2 14 4 3" xfId="20700" xr:uid="{00000000-0005-0000-0000-0000D4500000}"/>
    <cellStyle name="Normal 2 2 2 5 2 14 4 4" xfId="20701" xr:uid="{00000000-0005-0000-0000-0000D5500000}"/>
    <cellStyle name="Normal 2 2 2 5 2 14 4 5" xfId="20702" xr:uid="{00000000-0005-0000-0000-0000D6500000}"/>
    <cellStyle name="Normal 2 2 2 5 2 14 4 6" xfId="20703" xr:uid="{00000000-0005-0000-0000-0000D7500000}"/>
    <cellStyle name="Normal 2 2 2 5 2 14 4 7" xfId="20704" xr:uid="{00000000-0005-0000-0000-0000D8500000}"/>
    <cellStyle name="Normal 2 2 2 5 2 14 4 8" xfId="20705" xr:uid="{00000000-0005-0000-0000-0000D9500000}"/>
    <cellStyle name="Normal 2 2 2 5 2 14 4 9" xfId="20706" xr:uid="{00000000-0005-0000-0000-0000DA500000}"/>
    <cellStyle name="Normal 2 2 2 5 2 14 5" xfId="20707" xr:uid="{00000000-0005-0000-0000-0000DB500000}"/>
    <cellStyle name="Normal 2 2 2 5 2 14 5 10" xfId="20708" xr:uid="{00000000-0005-0000-0000-0000DC500000}"/>
    <cellStyle name="Normal 2 2 2 5 2 14 5 2" xfId="20709" xr:uid="{00000000-0005-0000-0000-0000DD500000}"/>
    <cellStyle name="Normal 2 2 2 5 2 14 5 3" xfId="20710" xr:uid="{00000000-0005-0000-0000-0000DE500000}"/>
    <cellStyle name="Normal 2 2 2 5 2 14 5 4" xfId="20711" xr:uid="{00000000-0005-0000-0000-0000DF500000}"/>
    <cellStyle name="Normal 2 2 2 5 2 14 5 5" xfId="20712" xr:uid="{00000000-0005-0000-0000-0000E0500000}"/>
    <cellStyle name="Normal 2 2 2 5 2 14 5 6" xfId="20713" xr:uid="{00000000-0005-0000-0000-0000E1500000}"/>
    <cellStyle name="Normal 2 2 2 5 2 14 5 7" xfId="20714" xr:uid="{00000000-0005-0000-0000-0000E2500000}"/>
    <cellStyle name="Normal 2 2 2 5 2 14 5 8" xfId="20715" xr:uid="{00000000-0005-0000-0000-0000E3500000}"/>
    <cellStyle name="Normal 2 2 2 5 2 14 5 9" xfId="20716" xr:uid="{00000000-0005-0000-0000-0000E4500000}"/>
    <cellStyle name="Normal 2 2 2 5 2 14 6" xfId="20717" xr:uid="{00000000-0005-0000-0000-0000E5500000}"/>
    <cellStyle name="Normal 2 2 2 5 2 14 7" xfId="20718" xr:uid="{00000000-0005-0000-0000-0000E6500000}"/>
    <cellStyle name="Normal 2 2 2 5 2 14 8" xfId="20719" xr:uid="{00000000-0005-0000-0000-0000E7500000}"/>
    <cellStyle name="Normal 2 2 2 5 2 14 9" xfId="20720" xr:uid="{00000000-0005-0000-0000-0000E8500000}"/>
    <cellStyle name="Normal 2 2 2 5 2 15" xfId="20721" xr:uid="{00000000-0005-0000-0000-0000E9500000}"/>
    <cellStyle name="Normal 2 2 2 5 2 15 10" xfId="20722" xr:uid="{00000000-0005-0000-0000-0000EA500000}"/>
    <cellStyle name="Normal 2 2 2 5 2 15 11" xfId="20723" xr:uid="{00000000-0005-0000-0000-0000EB500000}"/>
    <cellStyle name="Normal 2 2 2 5 2 15 12" xfId="20724" xr:uid="{00000000-0005-0000-0000-0000EC500000}"/>
    <cellStyle name="Normal 2 2 2 5 2 15 13" xfId="20725" xr:uid="{00000000-0005-0000-0000-0000ED500000}"/>
    <cellStyle name="Normal 2 2 2 5 2 15 14" xfId="20726" xr:uid="{00000000-0005-0000-0000-0000EE500000}"/>
    <cellStyle name="Normal 2 2 2 5 2 15 2" xfId="20727" xr:uid="{00000000-0005-0000-0000-0000EF500000}"/>
    <cellStyle name="Normal 2 2 2 5 2 15 2 10" xfId="20728" xr:uid="{00000000-0005-0000-0000-0000F0500000}"/>
    <cellStyle name="Normal 2 2 2 5 2 15 2 2" xfId="20729" xr:uid="{00000000-0005-0000-0000-0000F1500000}"/>
    <cellStyle name="Normal 2 2 2 5 2 15 2 3" xfId="20730" xr:uid="{00000000-0005-0000-0000-0000F2500000}"/>
    <cellStyle name="Normal 2 2 2 5 2 15 2 4" xfId="20731" xr:uid="{00000000-0005-0000-0000-0000F3500000}"/>
    <cellStyle name="Normal 2 2 2 5 2 15 2 5" xfId="20732" xr:uid="{00000000-0005-0000-0000-0000F4500000}"/>
    <cellStyle name="Normal 2 2 2 5 2 15 2 6" xfId="20733" xr:uid="{00000000-0005-0000-0000-0000F5500000}"/>
    <cellStyle name="Normal 2 2 2 5 2 15 2 7" xfId="20734" xr:uid="{00000000-0005-0000-0000-0000F6500000}"/>
    <cellStyle name="Normal 2 2 2 5 2 15 2 8" xfId="20735" xr:uid="{00000000-0005-0000-0000-0000F7500000}"/>
    <cellStyle name="Normal 2 2 2 5 2 15 2 9" xfId="20736" xr:uid="{00000000-0005-0000-0000-0000F8500000}"/>
    <cellStyle name="Normal 2 2 2 5 2 15 3" xfId="20737" xr:uid="{00000000-0005-0000-0000-0000F9500000}"/>
    <cellStyle name="Normal 2 2 2 5 2 15 3 10" xfId="20738" xr:uid="{00000000-0005-0000-0000-0000FA500000}"/>
    <cellStyle name="Normal 2 2 2 5 2 15 3 2" xfId="20739" xr:uid="{00000000-0005-0000-0000-0000FB500000}"/>
    <cellStyle name="Normal 2 2 2 5 2 15 3 3" xfId="20740" xr:uid="{00000000-0005-0000-0000-0000FC500000}"/>
    <cellStyle name="Normal 2 2 2 5 2 15 3 4" xfId="20741" xr:uid="{00000000-0005-0000-0000-0000FD500000}"/>
    <cellStyle name="Normal 2 2 2 5 2 15 3 5" xfId="20742" xr:uid="{00000000-0005-0000-0000-0000FE500000}"/>
    <cellStyle name="Normal 2 2 2 5 2 15 3 6" xfId="20743" xr:uid="{00000000-0005-0000-0000-0000FF500000}"/>
    <cellStyle name="Normal 2 2 2 5 2 15 3 7" xfId="20744" xr:uid="{00000000-0005-0000-0000-000000510000}"/>
    <cellStyle name="Normal 2 2 2 5 2 15 3 8" xfId="20745" xr:uid="{00000000-0005-0000-0000-000001510000}"/>
    <cellStyle name="Normal 2 2 2 5 2 15 3 9" xfId="20746" xr:uid="{00000000-0005-0000-0000-000002510000}"/>
    <cellStyle name="Normal 2 2 2 5 2 15 4" xfId="20747" xr:uid="{00000000-0005-0000-0000-000003510000}"/>
    <cellStyle name="Normal 2 2 2 5 2 15 4 10" xfId="20748" xr:uid="{00000000-0005-0000-0000-000004510000}"/>
    <cellStyle name="Normal 2 2 2 5 2 15 4 2" xfId="20749" xr:uid="{00000000-0005-0000-0000-000005510000}"/>
    <cellStyle name="Normal 2 2 2 5 2 15 4 3" xfId="20750" xr:uid="{00000000-0005-0000-0000-000006510000}"/>
    <cellStyle name="Normal 2 2 2 5 2 15 4 4" xfId="20751" xr:uid="{00000000-0005-0000-0000-000007510000}"/>
    <cellStyle name="Normal 2 2 2 5 2 15 4 5" xfId="20752" xr:uid="{00000000-0005-0000-0000-000008510000}"/>
    <cellStyle name="Normal 2 2 2 5 2 15 4 6" xfId="20753" xr:uid="{00000000-0005-0000-0000-000009510000}"/>
    <cellStyle name="Normal 2 2 2 5 2 15 4 7" xfId="20754" xr:uid="{00000000-0005-0000-0000-00000A510000}"/>
    <cellStyle name="Normal 2 2 2 5 2 15 4 8" xfId="20755" xr:uid="{00000000-0005-0000-0000-00000B510000}"/>
    <cellStyle name="Normal 2 2 2 5 2 15 4 9" xfId="20756" xr:uid="{00000000-0005-0000-0000-00000C510000}"/>
    <cellStyle name="Normal 2 2 2 5 2 15 5" xfId="20757" xr:uid="{00000000-0005-0000-0000-00000D510000}"/>
    <cellStyle name="Normal 2 2 2 5 2 15 5 10" xfId="20758" xr:uid="{00000000-0005-0000-0000-00000E510000}"/>
    <cellStyle name="Normal 2 2 2 5 2 15 5 2" xfId="20759" xr:uid="{00000000-0005-0000-0000-00000F510000}"/>
    <cellStyle name="Normal 2 2 2 5 2 15 5 3" xfId="20760" xr:uid="{00000000-0005-0000-0000-000010510000}"/>
    <cellStyle name="Normal 2 2 2 5 2 15 5 4" xfId="20761" xr:uid="{00000000-0005-0000-0000-000011510000}"/>
    <cellStyle name="Normal 2 2 2 5 2 15 5 5" xfId="20762" xr:uid="{00000000-0005-0000-0000-000012510000}"/>
    <cellStyle name="Normal 2 2 2 5 2 15 5 6" xfId="20763" xr:uid="{00000000-0005-0000-0000-000013510000}"/>
    <cellStyle name="Normal 2 2 2 5 2 15 5 7" xfId="20764" xr:uid="{00000000-0005-0000-0000-000014510000}"/>
    <cellStyle name="Normal 2 2 2 5 2 15 5 8" xfId="20765" xr:uid="{00000000-0005-0000-0000-000015510000}"/>
    <cellStyle name="Normal 2 2 2 5 2 15 5 9" xfId="20766" xr:uid="{00000000-0005-0000-0000-000016510000}"/>
    <cellStyle name="Normal 2 2 2 5 2 15 6" xfId="20767" xr:uid="{00000000-0005-0000-0000-000017510000}"/>
    <cellStyle name="Normal 2 2 2 5 2 15 7" xfId="20768" xr:uid="{00000000-0005-0000-0000-000018510000}"/>
    <cellStyle name="Normal 2 2 2 5 2 15 8" xfId="20769" xr:uid="{00000000-0005-0000-0000-000019510000}"/>
    <cellStyle name="Normal 2 2 2 5 2 15 9" xfId="20770" xr:uid="{00000000-0005-0000-0000-00001A510000}"/>
    <cellStyle name="Normal 2 2 2 5 2 16" xfId="20771" xr:uid="{00000000-0005-0000-0000-00001B510000}"/>
    <cellStyle name="Normal 2 2 2 5 2 16 10" xfId="20772" xr:uid="{00000000-0005-0000-0000-00001C510000}"/>
    <cellStyle name="Normal 2 2 2 5 2 16 11" xfId="20773" xr:uid="{00000000-0005-0000-0000-00001D510000}"/>
    <cellStyle name="Normal 2 2 2 5 2 16 12" xfId="20774" xr:uid="{00000000-0005-0000-0000-00001E510000}"/>
    <cellStyle name="Normal 2 2 2 5 2 16 13" xfId="20775" xr:uid="{00000000-0005-0000-0000-00001F510000}"/>
    <cellStyle name="Normal 2 2 2 5 2 16 14" xfId="20776" xr:uid="{00000000-0005-0000-0000-000020510000}"/>
    <cellStyle name="Normal 2 2 2 5 2 16 2" xfId="20777" xr:uid="{00000000-0005-0000-0000-000021510000}"/>
    <cellStyle name="Normal 2 2 2 5 2 16 2 10" xfId="20778" xr:uid="{00000000-0005-0000-0000-000022510000}"/>
    <cellStyle name="Normal 2 2 2 5 2 16 2 2" xfId="20779" xr:uid="{00000000-0005-0000-0000-000023510000}"/>
    <cellStyle name="Normal 2 2 2 5 2 16 2 3" xfId="20780" xr:uid="{00000000-0005-0000-0000-000024510000}"/>
    <cellStyle name="Normal 2 2 2 5 2 16 2 4" xfId="20781" xr:uid="{00000000-0005-0000-0000-000025510000}"/>
    <cellStyle name="Normal 2 2 2 5 2 16 2 5" xfId="20782" xr:uid="{00000000-0005-0000-0000-000026510000}"/>
    <cellStyle name="Normal 2 2 2 5 2 16 2 6" xfId="20783" xr:uid="{00000000-0005-0000-0000-000027510000}"/>
    <cellStyle name="Normal 2 2 2 5 2 16 2 7" xfId="20784" xr:uid="{00000000-0005-0000-0000-000028510000}"/>
    <cellStyle name="Normal 2 2 2 5 2 16 2 8" xfId="20785" xr:uid="{00000000-0005-0000-0000-000029510000}"/>
    <cellStyle name="Normal 2 2 2 5 2 16 2 9" xfId="20786" xr:uid="{00000000-0005-0000-0000-00002A510000}"/>
    <cellStyle name="Normal 2 2 2 5 2 16 3" xfId="20787" xr:uid="{00000000-0005-0000-0000-00002B510000}"/>
    <cellStyle name="Normal 2 2 2 5 2 16 3 10" xfId="20788" xr:uid="{00000000-0005-0000-0000-00002C510000}"/>
    <cellStyle name="Normal 2 2 2 5 2 16 3 2" xfId="20789" xr:uid="{00000000-0005-0000-0000-00002D510000}"/>
    <cellStyle name="Normal 2 2 2 5 2 16 3 3" xfId="20790" xr:uid="{00000000-0005-0000-0000-00002E510000}"/>
    <cellStyle name="Normal 2 2 2 5 2 16 3 4" xfId="20791" xr:uid="{00000000-0005-0000-0000-00002F510000}"/>
    <cellStyle name="Normal 2 2 2 5 2 16 3 5" xfId="20792" xr:uid="{00000000-0005-0000-0000-000030510000}"/>
    <cellStyle name="Normal 2 2 2 5 2 16 3 6" xfId="20793" xr:uid="{00000000-0005-0000-0000-000031510000}"/>
    <cellStyle name="Normal 2 2 2 5 2 16 3 7" xfId="20794" xr:uid="{00000000-0005-0000-0000-000032510000}"/>
    <cellStyle name="Normal 2 2 2 5 2 16 3 8" xfId="20795" xr:uid="{00000000-0005-0000-0000-000033510000}"/>
    <cellStyle name="Normal 2 2 2 5 2 16 3 9" xfId="20796" xr:uid="{00000000-0005-0000-0000-000034510000}"/>
    <cellStyle name="Normal 2 2 2 5 2 16 4" xfId="20797" xr:uid="{00000000-0005-0000-0000-000035510000}"/>
    <cellStyle name="Normal 2 2 2 5 2 16 4 10" xfId="20798" xr:uid="{00000000-0005-0000-0000-000036510000}"/>
    <cellStyle name="Normal 2 2 2 5 2 16 4 2" xfId="20799" xr:uid="{00000000-0005-0000-0000-000037510000}"/>
    <cellStyle name="Normal 2 2 2 5 2 16 4 3" xfId="20800" xr:uid="{00000000-0005-0000-0000-000038510000}"/>
    <cellStyle name="Normal 2 2 2 5 2 16 4 4" xfId="20801" xr:uid="{00000000-0005-0000-0000-000039510000}"/>
    <cellStyle name="Normal 2 2 2 5 2 16 4 5" xfId="20802" xr:uid="{00000000-0005-0000-0000-00003A510000}"/>
    <cellStyle name="Normal 2 2 2 5 2 16 4 6" xfId="20803" xr:uid="{00000000-0005-0000-0000-00003B510000}"/>
    <cellStyle name="Normal 2 2 2 5 2 16 4 7" xfId="20804" xr:uid="{00000000-0005-0000-0000-00003C510000}"/>
    <cellStyle name="Normal 2 2 2 5 2 16 4 8" xfId="20805" xr:uid="{00000000-0005-0000-0000-00003D510000}"/>
    <cellStyle name="Normal 2 2 2 5 2 16 4 9" xfId="20806" xr:uid="{00000000-0005-0000-0000-00003E510000}"/>
    <cellStyle name="Normal 2 2 2 5 2 16 5" xfId="20807" xr:uid="{00000000-0005-0000-0000-00003F510000}"/>
    <cellStyle name="Normal 2 2 2 5 2 16 5 10" xfId="20808" xr:uid="{00000000-0005-0000-0000-000040510000}"/>
    <cellStyle name="Normal 2 2 2 5 2 16 5 2" xfId="20809" xr:uid="{00000000-0005-0000-0000-000041510000}"/>
    <cellStyle name="Normal 2 2 2 5 2 16 5 3" xfId="20810" xr:uid="{00000000-0005-0000-0000-000042510000}"/>
    <cellStyle name="Normal 2 2 2 5 2 16 5 4" xfId="20811" xr:uid="{00000000-0005-0000-0000-000043510000}"/>
    <cellStyle name="Normal 2 2 2 5 2 16 5 5" xfId="20812" xr:uid="{00000000-0005-0000-0000-000044510000}"/>
    <cellStyle name="Normal 2 2 2 5 2 16 5 6" xfId="20813" xr:uid="{00000000-0005-0000-0000-000045510000}"/>
    <cellStyle name="Normal 2 2 2 5 2 16 5 7" xfId="20814" xr:uid="{00000000-0005-0000-0000-000046510000}"/>
    <cellStyle name="Normal 2 2 2 5 2 16 5 8" xfId="20815" xr:uid="{00000000-0005-0000-0000-000047510000}"/>
    <cellStyle name="Normal 2 2 2 5 2 16 5 9" xfId="20816" xr:uid="{00000000-0005-0000-0000-000048510000}"/>
    <cellStyle name="Normal 2 2 2 5 2 16 6" xfId="20817" xr:uid="{00000000-0005-0000-0000-000049510000}"/>
    <cellStyle name="Normal 2 2 2 5 2 16 7" xfId="20818" xr:uid="{00000000-0005-0000-0000-00004A510000}"/>
    <cellStyle name="Normal 2 2 2 5 2 16 8" xfId="20819" xr:uid="{00000000-0005-0000-0000-00004B510000}"/>
    <cellStyle name="Normal 2 2 2 5 2 16 9" xfId="20820" xr:uid="{00000000-0005-0000-0000-00004C510000}"/>
    <cellStyle name="Normal 2 2 2 5 2 17" xfId="20821" xr:uid="{00000000-0005-0000-0000-00004D510000}"/>
    <cellStyle name="Normal 2 2 2 5 2 17 10" xfId="20822" xr:uid="{00000000-0005-0000-0000-00004E510000}"/>
    <cellStyle name="Normal 2 2 2 5 2 17 11" xfId="20823" xr:uid="{00000000-0005-0000-0000-00004F510000}"/>
    <cellStyle name="Normal 2 2 2 5 2 17 12" xfId="20824" xr:uid="{00000000-0005-0000-0000-000050510000}"/>
    <cellStyle name="Normal 2 2 2 5 2 17 13" xfId="20825" xr:uid="{00000000-0005-0000-0000-000051510000}"/>
    <cellStyle name="Normal 2 2 2 5 2 17 14" xfId="20826" xr:uid="{00000000-0005-0000-0000-000052510000}"/>
    <cellStyle name="Normal 2 2 2 5 2 17 2" xfId="20827" xr:uid="{00000000-0005-0000-0000-000053510000}"/>
    <cellStyle name="Normal 2 2 2 5 2 17 2 10" xfId="20828" xr:uid="{00000000-0005-0000-0000-000054510000}"/>
    <cellStyle name="Normal 2 2 2 5 2 17 2 2" xfId="20829" xr:uid="{00000000-0005-0000-0000-000055510000}"/>
    <cellStyle name="Normal 2 2 2 5 2 17 2 3" xfId="20830" xr:uid="{00000000-0005-0000-0000-000056510000}"/>
    <cellStyle name="Normal 2 2 2 5 2 17 2 4" xfId="20831" xr:uid="{00000000-0005-0000-0000-000057510000}"/>
    <cellStyle name="Normal 2 2 2 5 2 17 2 5" xfId="20832" xr:uid="{00000000-0005-0000-0000-000058510000}"/>
    <cellStyle name="Normal 2 2 2 5 2 17 2 6" xfId="20833" xr:uid="{00000000-0005-0000-0000-000059510000}"/>
    <cellStyle name="Normal 2 2 2 5 2 17 2 7" xfId="20834" xr:uid="{00000000-0005-0000-0000-00005A510000}"/>
    <cellStyle name="Normal 2 2 2 5 2 17 2 8" xfId="20835" xr:uid="{00000000-0005-0000-0000-00005B510000}"/>
    <cellStyle name="Normal 2 2 2 5 2 17 2 9" xfId="20836" xr:uid="{00000000-0005-0000-0000-00005C510000}"/>
    <cellStyle name="Normal 2 2 2 5 2 17 3" xfId="20837" xr:uid="{00000000-0005-0000-0000-00005D510000}"/>
    <cellStyle name="Normal 2 2 2 5 2 17 3 10" xfId="20838" xr:uid="{00000000-0005-0000-0000-00005E510000}"/>
    <cellStyle name="Normal 2 2 2 5 2 17 3 2" xfId="20839" xr:uid="{00000000-0005-0000-0000-00005F510000}"/>
    <cellStyle name="Normal 2 2 2 5 2 17 3 3" xfId="20840" xr:uid="{00000000-0005-0000-0000-000060510000}"/>
    <cellStyle name="Normal 2 2 2 5 2 17 3 4" xfId="20841" xr:uid="{00000000-0005-0000-0000-000061510000}"/>
    <cellStyle name="Normal 2 2 2 5 2 17 3 5" xfId="20842" xr:uid="{00000000-0005-0000-0000-000062510000}"/>
    <cellStyle name="Normal 2 2 2 5 2 17 3 6" xfId="20843" xr:uid="{00000000-0005-0000-0000-000063510000}"/>
    <cellStyle name="Normal 2 2 2 5 2 17 3 7" xfId="20844" xr:uid="{00000000-0005-0000-0000-000064510000}"/>
    <cellStyle name="Normal 2 2 2 5 2 17 3 8" xfId="20845" xr:uid="{00000000-0005-0000-0000-000065510000}"/>
    <cellStyle name="Normal 2 2 2 5 2 17 3 9" xfId="20846" xr:uid="{00000000-0005-0000-0000-000066510000}"/>
    <cellStyle name="Normal 2 2 2 5 2 17 4" xfId="20847" xr:uid="{00000000-0005-0000-0000-000067510000}"/>
    <cellStyle name="Normal 2 2 2 5 2 17 4 10" xfId="20848" xr:uid="{00000000-0005-0000-0000-000068510000}"/>
    <cellStyle name="Normal 2 2 2 5 2 17 4 2" xfId="20849" xr:uid="{00000000-0005-0000-0000-000069510000}"/>
    <cellStyle name="Normal 2 2 2 5 2 17 4 3" xfId="20850" xr:uid="{00000000-0005-0000-0000-00006A510000}"/>
    <cellStyle name="Normal 2 2 2 5 2 17 4 4" xfId="20851" xr:uid="{00000000-0005-0000-0000-00006B510000}"/>
    <cellStyle name="Normal 2 2 2 5 2 17 4 5" xfId="20852" xr:uid="{00000000-0005-0000-0000-00006C510000}"/>
    <cellStyle name="Normal 2 2 2 5 2 17 4 6" xfId="20853" xr:uid="{00000000-0005-0000-0000-00006D510000}"/>
    <cellStyle name="Normal 2 2 2 5 2 17 4 7" xfId="20854" xr:uid="{00000000-0005-0000-0000-00006E510000}"/>
    <cellStyle name="Normal 2 2 2 5 2 17 4 8" xfId="20855" xr:uid="{00000000-0005-0000-0000-00006F510000}"/>
    <cellStyle name="Normal 2 2 2 5 2 17 4 9" xfId="20856" xr:uid="{00000000-0005-0000-0000-000070510000}"/>
    <cellStyle name="Normal 2 2 2 5 2 17 5" xfId="20857" xr:uid="{00000000-0005-0000-0000-000071510000}"/>
    <cellStyle name="Normal 2 2 2 5 2 17 5 10" xfId="20858" xr:uid="{00000000-0005-0000-0000-000072510000}"/>
    <cellStyle name="Normal 2 2 2 5 2 17 5 2" xfId="20859" xr:uid="{00000000-0005-0000-0000-000073510000}"/>
    <cellStyle name="Normal 2 2 2 5 2 17 5 3" xfId="20860" xr:uid="{00000000-0005-0000-0000-000074510000}"/>
    <cellStyle name="Normal 2 2 2 5 2 17 5 4" xfId="20861" xr:uid="{00000000-0005-0000-0000-000075510000}"/>
    <cellStyle name="Normal 2 2 2 5 2 17 5 5" xfId="20862" xr:uid="{00000000-0005-0000-0000-000076510000}"/>
    <cellStyle name="Normal 2 2 2 5 2 17 5 6" xfId="20863" xr:uid="{00000000-0005-0000-0000-000077510000}"/>
    <cellStyle name="Normal 2 2 2 5 2 17 5 7" xfId="20864" xr:uid="{00000000-0005-0000-0000-000078510000}"/>
    <cellStyle name="Normal 2 2 2 5 2 17 5 8" xfId="20865" xr:uid="{00000000-0005-0000-0000-000079510000}"/>
    <cellStyle name="Normal 2 2 2 5 2 17 5 9" xfId="20866" xr:uid="{00000000-0005-0000-0000-00007A510000}"/>
    <cellStyle name="Normal 2 2 2 5 2 17 6" xfId="20867" xr:uid="{00000000-0005-0000-0000-00007B510000}"/>
    <cellStyle name="Normal 2 2 2 5 2 17 7" xfId="20868" xr:uid="{00000000-0005-0000-0000-00007C510000}"/>
    <cellStyle name="Normal 2 2 2 5 2 17 8" xfId="20869" xr:uid="{00000000-0005-0000-0000-00007D510000}"/>
    <cellStyle name="Normal 2 2 2 5 2 17 9" xfId="20870" xr:uid="{00000000-0005-0000-0000-00007E510000}"/>
    <cellStyle name="Normal 2 2 2 5 2 18" xfId="20871" xr:uid="{00000000-0005-0000-0000-00007F510000}"/>
    <cellStyle name="Normal 2 2 2 5 2 18 10" xfId="20872" xr:uid="{00000000-0005-0000-0000-000080510000}"/>
    <cellStyle name="Normal 2 2 2 5 2 18 11" xfId="20873" xr:uid="{00000000-0005-0000-0000-000081510000}"/>
    <cellStyle name="Normal 2 2 2 5 2 18 12" xfId="20874" xr:uid="{00000000-0005-0000-0000-000082510000}"/>
    <cellStyle name="Normal 2 2 2 5 2 18 13" xfId="20875" xr:uid="{00000000-0005-0000-0000-000083510000}"/>
    <cellStyle name="Normal 2 2 2 5 2 18 14" xfId="20876" xr:uid="{00000000-0005-0000-0000-000084510000}"/>
    <cellStyle name="Normal 2 2 2 5 2 18 2" xfId="20877" xr:uid="{00000000-0005-0000-0000-000085510000}"/>
    <cellStyle name="Normal 2 2 2 5 2 18 2 10" xfId="20878" xr:uid="{00000000-0005-0000-0000-000086510000}"/>
    <cellStyle name="Normal 2 2 2 5 2 18 2 2" xfId="20879" xr:uid="{00000000-0005-0000-0000-000087510000}"/>
    <cellStyle name="Normal 2 2 2 5 2 18 2 3" xfId="20880" xr:uid="{00000000-0005-0000-0000-000088510000}"/>
    <cellStyle name="Normal 2 2 2 5 2 18 2 4" xfId="20881" xr:uid="{00000000-0005-0000-0000-000089510000}"/>
    <cellStyle name="Normal 2 2 2 5 2 18 2 5" xfId="20882" xr:uid="{00000000-0005-0000-0000-00008A510000}"/>
    <cellStyle name="Normal 2 2 2 5 2 18 2 6" xfId="20883" xr:uid="{00000000-0005-0000-0000-00008B510000}"/>
    <cellStyle name="Normal 2 2 2 5 2 18 2 7" xfId="20884" xr:uid="{00000000-0005-0000-0000-00008C510000}"/>
    <cellStyle name="Normal 2 2 2 5 2 18 2 8" xfId="20885" xr:uid="{00000000-0005-0000-0000-00008D510000}"/>
    <cellStyle name="Normal 2 2 2 5 2 18 2 9" xfId="20886" xr:uid="{00000000-0005-0000-0000-00008E510000}"/>
    <cellStyle name="Normal 2 2 2 5 2 18 3" xfId="20887" xr:uid="{00000000-0005-0000-0000-00008F510000}"/>
    <cellStyle name="Normal 2 2 2 5 2 18 3 10" xfId="20888" xr:uid="{00000000-0005-0000-0000-000090510000}"/>
    <cellStyle name="Normal 2 2 2 5 2 18 3 2" xfId="20889" xr:uid="{00000000-0005-0000-0000-000091510000}"/>
    <cellStyle name="Normal 2 2 2 5 2 18 3 3" xfId="20890" xr:uid="{00000000-0005-0000-0000-000092510000}"/>
    <cellStyle name="Normal 2 2 2 5 2 18 3 4" xfId="20891" xr:uid="{00000000-0005-0000-0000-000093510000}"/>
    <cellStyle name="Normal 2 2 2 5 2 18 3 5" xfId="20892" xr:uid="{00000000-0005-0000-0000-000094510000}"/>
    <cellStyle name="Normal 2 2 2 5 2 18 3 6" xfId="20893" xr:uid="{00000000-0005-0000-0000-000095510000}"/>
    <cellStyle name="Normal 2 2 2 5 2 18 3 7" xfId="20894" xr:uid="{00000000-0005-0000-0000-000096510000}"/>
    <cellStyle name="Normal 2 2 2 5 2 18 3 8" xfId="20895" xr:uid="{00000000-0005-0000-0000-000097510000}"/>
    <cellStyle name="Normal 2 2 2 5 2 18 3 9" xfId="20896" xr:uid="{00000000-0005-0000-0000-000098510000}"/>
    <cellStyle name="Normal 2 2 2 5 2 18 4" xfId="20897" xr:uid="{00000000-0005-0000-0000-000099510000}"/>
    <cellStyle name="Normal 2 2 2 5 2 18 4 10" xfId="20898" xr:uid="{00000000-0005-0000-0000-00009A510000}"/>
    <cellStyle name="Normal 2 2 2 5 2 18 4 2" xfId="20899" xr:uid="{00000000-0005-0000-0000-00009B510000}"/>
    <cellStyle name="Normal 2 2 2 5 2 18 4 3" xfId="20900" xr:uid="{00000000-0005-0000-0000-00009C510000}"/>
    <cellStyle name="Normal 2 2 2 5 2 18 4 4" xfId="20901" xr:uid="{00000000-0005-0000-0000-00009D510000}"/>
    <cellStyle name="Normal 2 2 2 5 2 18 4 5" xfId="20902" xr:uid="{00000000-0005-0000-0000-00009E510000}"/>
    <cellStyle name="Normal 2 2 2 5 2 18 4 6" xfId="20903" xr:uid="{00000000-0005-0000-0000-00009F510000}"/>
    <cellStyle name="Normal 2 2 2 5 2 18 4 7" xfId="20904" xr:uid="{00000000-0005-0000-0000-0000A0510000}"/>
    <cellStyle name="Normal 2 2 2 5 2 18 4 8" xfId="20905" xr:uid="{00000000-0005-0000-0000-0000A1510000}"/>
    <cellStyle name="Normal 2 2 2 5 2 18 4 9" xfId="20906" xr:uid="{00000000-0005-0000-0000-0000A2510000}"/>
    <cellStyle name="Normal 2 2 2 5 2 18 5" xfId="20907" xr:uid="{00000000-0005-0000-0000-0000A3510000}"/>
    <cellStyle name="Normal 2 2 2 5 2 18 5 10" xfId="20908" xr:uid="{00000000-0005-0000-0000-0000A4510000}"/>
    <cellStyle name="Normal 2 2 2 5 2 18 5 2" xfId="20909" xr:uid="{00000000-0005-0000-0000-0000A5510000}"/>
    <cellStyle name="Normal 2 2 2 5 2 18 5 3" xfId="20910" xr:uid="{00000000-0005-0000-0000-0000A6510000}"/>
    <cellStyle name="Normal 2 2 2 5 2 18 5 4" xfId="20911" xr:uid="{00000000-0005-0000-0000-0000A7510000}"/>
    <cellStyle name="Normal 2 2 2 5 2 18 5 5" xfId="20912" xr:uid="{00000000-0005-0000-0000-0000A8510000}"/>
    <cellStyle name="Normal 2 2 2 5 2 18 5 6" xfId="20913" xr:uid="{00000000-0005-0000-0000-0000A9510000}"/>
    <cellStyle name="Normal 2 2 2 5 2 18 5 7" xfId="20914" xr:uid="{00000000-0005-0000-0000-0000AA510000}"/>
    <cellStyle name="Normal 2 2 2 5 2 18 5 8" xfId="20915" xr:uid="{00000000-0005-0000-0000-0000AB510000}"/>
    <cellStyle name="Normal 2 2 2 5 2 18 5 9" xfId="20916" xr:uid="{00000000-0005-0000-0000-0000AC510000}"/>
    <cellStyle name="Normal 2 2 2 5 2 18 6" xfId="20917" xr:uid="{00000000-0005-0000-0000-0000AD510000}"/>
    <cellStyle name="Normal 2 2 2 5 2 18 7" xfId="20918" xr:uid="{00000000-0005-0000-0000-0000AE510000}"/>
    <cellStyle name="Normal 2 2 2 5 2 18 8" xfId="20919" xr:uid="{00000000-0005-0000-0000-0000AF510000}"/>
    <cellStyle name="Normal 2 2 2 5 2 18 9" xfId="20920" xr:uid="{00000000-0005-0000-0000-0000B0510000}"/>
    <cellStyle name="Normal 2 2 2 5 2 19" xfId="20921" xr:uid="{00000000-0005-0000-0000-0000B1510000}"/>
    <cellStyle name="Normal 2 2 2 5 2 19 10" xfId="20922" xr:uid="{00000000-0005-0000-0000-0000B2510000}"/>
    <cellStyle name="Normal 2 2 2 5 2 19 11" xfId="20923" xr:uid="{00000000-0005-0000-0000-0000B3510000}"/>
    <cellStyle name="Normal 2 2 2 5 2 19 12" xfId="20924" xr:uid="{00000000-0005-0000-0000-0000B4510000}"/>
    <cellStyle name="Normal 2 2 2 5 2 19 13" xfId="20925" xr:uid="{00000000-0005-0000-0000-0000B5510000}"/>
    <cellStyle name="Normal 2 2 2 5 2 19 14" xfId="20926" xr:uid="{00000000-0005-0000-0000-0000B6510000}"/>
    <cellStyle name="Normal 2 2 2 5 2 19 2" xfId="20927" xr:uid="{00000000-0005-0000-0000-0000B7510000}"/>
    <cellStyle name="Normal 2 2 2 5 2 19 2 10" xfId="20928" xr:uid="{00000000-0005-0000-0000-0000B8510000}"/>
    <cellStyle name="Normal 2 2 2 5 2 19 2 2" xfId="20929" xr:uid="{00000000-0005-0000-0000-0000B9510000}"/>
    <cellStyle name="Normal 2 2 2 5 2 19 2 3" xfId="20930" xr:uid="{00000000-0005-0000-0000-0000BA510000}"/>
    <cellStyle name="Normal 2 2 2 5 2 19 2 4" xfId="20931" xr:uid="{00000000-0005-0000-0000-0000BB510000}"/>
    <cellStyle name="Normal 2 2 2 5 2 19 2 5" xfId="20932" xr:uid="{00000000-0005-0000-0000-0000BC510000}"/>
    <cellStyle name="Normal 2 2 2 5 2 19 2 6" xfId="20933" xr:uid="{00000000-0005-0000-0000-0000BD510000}"/>
    <cellStyle name="Normal 2 2 2 5 2 19 2 7" xfId="20934" xr:uid="{00000000-0005-0000-0000-0000BE510000}"/>
    <cellStyle name="Normal 2 2 2 5 2 19 2 8" xfId="20935" xr:uid="{00000000-0005-0000-0000-0000BF510000}"/>
    <cellStyle name="Normal 2 2 2 5 2 19 2 9" xfId="20936" xr:uid="{00000000-0005-0000-0000-0000C0510000}"/>
    <cellStyle name="Normal 2 2 2 5 2 19 3" xfId="20937" xr:uid="{00000000-0005-0000-0000-0000C1510000}"/>
    <cellStyle name="Normal 2 2 2 5 2 19 3 10" xfId="20938" xr:uid="{00000000-0005-0000-0000-0000C2510000}"/>
    <cellStyle name="Normal 2 2 2 5 2 19 3 2" xfId="20939" xr:uid="{00000000-0005-0000-0000-0000C3510000}"/>
    <cellStyle name="Normal 2 2 2 5 2 19 3 3" xfId="20940" xr:uid="{00000000-0005-0000-0000-0000C4510000}"/>
    <cellStyle name="Normal 2 2 2 5 2 19 3 4" xfId="20941" xr:uid="{00000000-0005-0000-0000-0000C5510000}"/>
    <cellStyle name="Normal 2 2 2 5 2 19 3 5" xfId="20942" xr:uid="{00000000-0005-0000-0000-0000C6510000}"/>
    <cellStyle name="Normal 2 2 2 5 2 19 3 6" xfId="20943" xr:uid="{00000000-0005-0000-0000-0000C7510000}"/>
    <cellStyle name="Normal 2 2 2 5 2 19 3 7" xfId="20944" xr:uid="{00000000-0005-0000-0000-0000C8510000}"/>
    <cellStyle name="Normal 2 2 2 5 2 19 3 8" xfId="20945" xr:uid="{00000000-0005-0000-0000-0000C9510000}"/>
    <cellStyle name="Normal 2 2 2 5 2 19 3 9" xfId="20946" xr:uid="{00000000-0005-0000-0000-0000CA510000}"/>
    <cellStyle name="Normal 2 2 2 5 2 19 4" xfId="20947" xr:uid="{00000000-0005-0000-0000-0000CB510000}"/>
    <cellStyle name="Normal 2 2 2 5 2 19 4 10" xfId="20948" xr:uid="{00000000-0005-0000-0000-0000CC510000}"/>
    <cellStyle name="Normal 2 2 2 5 2 19 4 2" xfId="20949" xr:uid="{00000000-0005-0000-0000-0000CD510000}"/>
    <cellStyle name="Normal 2 2 2 5 2 19 4 3" xfId="20950" xr:uid="{00000000-0005-0000-0000-0000CE510000}"/>
    <cellStyle name="Normal 2 2 2 5 2 19 4 4" xfId="20951" xr:uid="{00000000-0005-0000-0000-0000CF510000}"/>
    <cellStyle name="Normal 2 2 2 5 2 19 4 5" xfId="20952" xr:uid="{00000000-0005-0000-0000-0000D0510000}"/>
    <cellStyle name="Normal 2 2 2 5 2 19 4 6" xfId="20953" xr:uid="{00000000-0005-0000-0000-0000D1510000}"/>
    <cellStyle name="Normal 2 2 2 5 2 19 4 7" xfId="20954" xr:uid="{00000000-0005-0000-0000-0000D2510000}"/>
    <cellStyle name="Normal 2 2 2 5 2 19 4 8" xfId="20955" xr:uid="{00000000-0005-0000-0000-0000D3510000}"/>
    <cellStyle name="Normal 2 2 2 5 2 19 4 9" xfId="20956" xr:uid="{00000000-0005-0000-0000-0000D4510000}"/>
    <cellStyle name="Normal 2 2 2 5 2 19 5" xfId="20957" xr:uid="{00000000-0005-0000-0000-0000D5510000}"/>
    <cellStyle name="Normal 2 2 2 5 2 19 5 10" xfId="20958" xr:uid="{00000000-0005-0000-0000-0000D6510000}"/>
    <cellStyle name="Normal 2 2 2 5 2 19 5 2" xfId="20959" xr:uid="{00000000-0005-0000-0000-0000D7510000}"/>
    <cellStyle name="Normal 2 2 2 5 2 19 5 3" xfId="20960" xr:uid="{00000000-0005-0000-0000-0000D8510000}"/>
    <cellStyle name="Normal 2 2 2 5 2 19 5 4" xfId="20961" xr:uid="{00000000-0005-0000-0000-0000D9510000}"/>
    <cellStyle name="Normal 2 2 2 5 2 19 5 5" xfId="20962" xr:uid="{00000000-0005-0000-0000-0000DA510000}"/>
    <cellStyle name="Normal 2 2 2 5 2 19 5 6" xfId="20963" xr:uid="{00000000-0005-0000-0000-0000DB510000}"/>
    <cellStyle name="Normal 2 2 2 5 2 19 5 7" xfId="20964" xr:uid="{00000000-0005-0000-0000-0000DC510000}"/>
    <cellStyle name="Normal 2 2 2 5 2 19 5 8" xfId="20965" xr:uid="{00000000-0005-0000-0000-0000DD510000}"/>
    <cellStyle name="Normal 2 2 2 5 2 19 5 9" xfId="20966" xr:uid="{00000000-0005-0000-0000-0000DE510000}"/>
    <cellStyle name="Normal 2 2 2 5 2 19 6" xfId="20967" xr:uid="{00000000-0005-0000-0000-0000DF510000}"/>
    <cellStyle name="Normal 2 2 2 5 2 19 7" xfId="20968" xr:uid="{00000000-0005-0000-0000-0000E0510000}"/>
    <cellStyle name="Normal 2 2 2 5 2 19 8" xfId="20969" xr:uid="{00000000-0005-0000-0000-0000E1510000}"/>
    <cellStyle name="Normal 2 2 2 5 2 19 9" xfId="20970" xr:uid="{00000000-0005-0000-0000-0000E2510000}"/>
    <cellStyle name="Normal 2 2 2 5 2 2" xfId="20971" xr:uid="{00000000-0005-0000-0000-0000E3510000}"/>
    <cellStyle name="Normal 2 2 2 5 2 2 10" xfId="20972" xr:uid="{00000000-0005-0000-0000-0000E4510000}"/>
    <cellStyle name="Normal 2 2 2 5 2 2 11" xfId="20973" xr:uid="{00000000-0005-0000-0000-0000E5510000}"/>
    <cellStyle name="Normal 2 2 2 5 2 2 12" xfId="20974" xr:uid="{00000000-0005-0000-0000-0000E6510000}"/>
    <cellStyle name="Normal 2 2 2 5 2 2 13" xfId="20975" xr:uid="{00000000-0005-0000-0000-0000E7510000}"/>
    <cellStyle name="Normal 2 2 2 5 2 2 14" xfId="20976" xr:uid="{00000000-0005-0000-0000-0000E8510000}"/>
    <cellStyle name="Normal 2 2 2 5 2 2 2" xfId="20977" xr:uid="{00000000-0005-0000-0000-0000E9510000}"/>
    <cellStyle name="Normal 2 2 2 5 2 2 2 10" xfId="20978" xr:uid="{00000000-0005-0000-0000-0000EA510000}"/>
    <cellStyle name="Normal 2 2 2 5 2 2 2 2" xfId="20979" xr:uid="{00000000-0005-0000-0000-0000EB510000}"/>
    <cellStyle name="Normal 2 2 2 5 2 2 2 3" xfId="20980" xr:uid="{00000000-0005-0000-0000-0000EC510000}"/>
    <cellStyle name="Normal 2 2 2 5 2 2 2 4" xfId="20981" xr:uid="{00000000-0005-0000-0000-0000ED510000}"/>
    <cellStyle name="Normal 2 2 2 5 2 2 2 5" xfId="20982" xr:uid="{00000000-0005-0000-0000-0000EE510000}"/>
    <cellStyle name="Normal 2 2 2 5 2 2 2 6" xfId="20983" xr:uid="{00000000-0005-0000-0000-0000EF510000}"/>
    <cellStyle name="Normal 2 2 2 5 2 2 2 7" xfId="20984" xr:uid="{00000000-0005-0000-0000-0000F0510000}"/>
    <cellStyle name="Normal 2 2 2 5 2 2 2 8" xfId="20985" xr:uid="{00000000-0005-0000-0000-0000F1510000}"/>
    <cellStyle name="Normal 2 2 2 5 2 2 2 9" xfId="20986" xr:uid="{00000000-0005-0000-0000-0000F2510000}"/>
    <cellStyle name="Normal 2 2 2 5 2 2 3" xfId="20987" xr:uid="{00000000-0005-0000-0000-0000F3510000}"/>
    <cellStyle name="Normal 2 2 2 5 2 2 3 10" xfId="20988" xr:uid="{00000000-0005-0000-0000-0000F4510000}"/>
    <cellStyle name="Normal 2 2 2 5 2 2 3 2" xfId="20989" xr:uid="{00000000-0005-0000-0000-0000F5510000}"/>
    <cellStyle name="Normal 2 2 2 5 2 2 3 3" xfId="20990" xr:uid="{00000000-0005-0000-0000-0000F6510000}"/>
    <cellStyle name="Normal 2 2 2 5 2 2 3 4" xfId="20991" xr:uid="{00000000-0005-0000-0000-0000F7510000}"/>
    <cellStyle name="Normal 2 2 2 5 2 2 3 5" xfId="20992" xr:uid="{00000000-0005-0000-0000-0000F8510000}"/>
    <cellStyle name="Normal 2 2 2 5 2 2 3 6" xfId="20993" xr:uid="{00000000-0005-0000-0000-0000F9510000}"/>
    <cellStyle name="Normal 2 2 2 5 2 2 3 7" xfId="20994" xr:uid="{00000000-0005-0000-0000-0000FA510000}"/>
    <cellStyle name="Normal 2 2 2 5 2 2 3 8" xfId="20995" xr:uid="{00000000-0005-0000-0000-0000FB510000}"/>
    <cellStyle name="Normal 2 2 2 5 2 2 3 9" xfId="20996" xr:uid="{00000000-0005-0000-0000-0000FC510000}"/>
    <cellStyle name="Normal 2 2 2 5 2 2 4" xfId="20997" xr:uid="{00000000-0005-0000-0000-0000FD510000}"/>
    <cellStyle name="Normal 2 2 2 5 2 2 4 10" xfId="20998" xr:uid="{00000000-0005-0000-0000-0000FE510000}"/>
    <cellStyle name="Normal 2 2 2 5 2 2 4 2" xfId="20999" xr:uid="{00000000-0005-0000-0000-0000FF510000}"/>
    <cellStyle name="Normal 2 2 2 5 2 2 4 3" xfId="21000" xr:uid="{00000000-0005-0000-0000-000000520000}"/>
    <cellStyle name="Normal 2 2 2 5 2 2 4 4" xfId="21001" xr:uid="{00000000-0005-0000-0000-000001520000}"/>
    <cellStyle name="Normal 2 2 2 5 2 2 4 5" xfId="21002" xr:uid="{00000000-0005-0000-0000-000002520000}"/>
    <cellStyle name="Normal 2 2 2 5 2 2 4 6" xfId="21003" xr:uid="{00000000-0005-0000-0000-000003520000}"/>
    <cellStyle name="Normal 2 2 2 5 2 2 4 7" xfId="21004" xr:uid="{00000000-0005-0000-0000-000004520000}"/>
    <cellStyle name="Normal 2 2 2 5 2 2 4 8" xfId="21005" xr:uid="{00000000-0005-0000-0000-000005520000}"/>
    <cellStyle name="Normal 2 2 2 5 2 2 4 9" xfId="21006" xr:uid="{00000000-0005-0000-0000-000006520000}"/>
    <cellStyle name="Normal 2 2 2 5 2 2 5" xfId="21007" xr:uid="{00000000-0005-0000-0000-000007520000}"/>
    <cellStyle name="Normal 2 2 2 5 2 2 5 10" xfId="21008" xr:uid="{00000000-0005-0000-0000-000008520000}"/>
    <cellStyle name="Normal 2 2 2 5 2 2 5 2" xfId="21009" xr:uid="{00000000-0005-0000-0000-000009520000}"/>
    <cellStyle name="Normal 2 2 2 5 2 2 5 3" xfId="21010" xr:uid="{00000000-0005-0000-0000-00000A520000}"/>
    <cellStyle name="Normal 2 2 2 5 2 2 5 4" xfId="21011" xr:uid="{00000000-0005-0000-0000-00000B520000}"/>
    <cellStyle name="Normal 2 2 2 5 2 2 5 5" xfId="21012" xr:uid="{00000000-0005-0000-0000-00000C520000}"/>
    <cellStyle name="Normal 2 2 2 5 2 2 5 6" xfId="21013" xr:uid="{00000000-0005-0000-0000-00000D520000}"/>
    <cellStyle name="Normal 2 2 2 5 2 2 5 7" xfId="21014" xr:uid="{00000000-0005-0000-0000-00000E520000}"/>
    <cellStyle name="Normal 2 2 2 5 2 2 5 8" xfId="21015" xr:uid="{00000000-0005-0000-0000-00000F520000}"/>
    <cellStyle name="Normal 2 2 2 5 2 2 5 9" xfId="21016" xr:uid="{00000000-0005-0000-0000-000010520000}"/>
    <cellStyle name="Normal 2 2 2 5 2 2 6" xfId="21017" xr:uid="{00000000-0005-0000-0000-000011520000}"/>
    <cellStyle name="Normal 2 2 2 5 2 2 7" xfId="21018" xr:uid="{00000000-0005-0000-0000-000012520000}"/>
    <cellStyle name="Normal 2 2 2 5 2 2 8" xfId="21019" xr:uid="{00000000-0005-0000-0000-000013520000}"/>
    <cellStyle name="Normal 2 2 2 5 2 2 9" xfId="21020" xr:uid="{00000000-0005-0000-0000-000014520000}"/>
    <cellStyle name="Normal 2 2 2 5 2 20" xfId="21021" xr:uid="{00000000-0005-0000-0000-000015520000}"/>
    <cellStyle name="Normal 2 2 2 5 2 20 10" xfId="21022" xr:uid="{00000000-0005-0000-0000-000016520000}"/>
    <cellStyle name="Normal 2 2 2 5 2 20 11" xfId="21023" xr:uid="{00000000-0005-0000-0000-000017520000}"/>
    <cellStyle name="Normal 2 2 2 5 2 20 12" xfId="21024" xr:uid="{00000000-0005-0000-0000-000018520000}"/>
    <cellStyle name="Normal 2 2 2 5 2 20 13" xfId="21025" xr:uid="{00000000-0005-0000-0000-000019520000}"/>
    <cellStyle name="Normal 2 2 2 5 2 20 14" xfId="21026" xr:uid="{00000000-0005-0000-0000-00001A520000}"/>
    <cellStyle name="Normal 2 2 2 5 2 20 2" xfId="21027" xr:uid="{00000000-0005-0000-0000-00001B520000}"/>
    <cellStyle name="Normal 2 2 2 5 2 20 2 10" xfId="21028" xr:uid="{00000000-0005-0000-0000-00001C520000}"/>
    <cellStyle name="Normal 2 2 2 5 2 20 2 2" xfId="21029" xr:uid="{00000000-0005-0000-0000-00001D520000}"/>
    <cellStyle name="Normal 2 2 2 5 2 20 2 3" xfId="21030" xr:uid="{00000000-0005-0000-0000-00001E520000}"/>
    <cellStyle name="Normal 2 2 2 5 2 20 2 4" xfId="21031" xr:uid="{00000000-0005-0000-0000-00001F520000}"/>
    <cellStyle name="Normal 2 2 2 5 2 20 2 5" xfId="21032" xr:uid="{00000000-0005-0000-0000-000020520000}"/>
    <cellStyle name="Normal 2 2 2 5 2 20 2 6" xfId="21033" xr:uid="{00000000-0005-0000-0000-000021520000}"/>
    <cellStyle name="Normal 2 2 2 5 2 20 2 7" xfId="21034" xr:uid="{00000000-0005-0000-0000-000022520000}"/>
    <cellStyle name="Normal 2 2 2 5 2 20 2 8" xfId="21035" xr:uid="{00000000-0005-0000-0000-000023520000}"/>
    <cellStyle name="Normal 2 2 2 5 2 20 2 9" xfId="21036" xr:uid="{00000000-0005-0000-0000-000024520000}"/>
    <cellStyle name="Normal 2 2 2 5 2 20 3" xfId="21037" xr:uid="{00000000-0005-0000-0000-000025520000}"/>
    <cellStyle name="Normal 2 2 2 5 2 20 3 10" xfId="21038" xr:uid="{00000000-0005-0000-0000-000026520000}"/>
    <cellStyle name="Normal 2 2 2 5 2 20 3 2" xfId="21039" xr:uid="{00000000-0005-0000-0000-000027520000}"/>
    <cellStyle name="Normal 2 2 2 5 2 20 3 3" xfId="21040" xr:uid="{00000000-0005-0000-0000-000028520000}"/>
    <cellStyle name="Normal 2 2 2 5 2 20 3 4" xfId="21041" xr:uid="{00000000-0005-0000-0000-000029520000}"/>
    <cellStyle name="Normal 2 2 2 5 2 20 3 5" xfId="21042" xr:uid="{00000000-0005-0000-0000-00002A520000}"/>
    <cellStyle name="Normal 2 2 2 5 2 20 3 6" xfId="21043" xr:uid="{00000000-0005-0000-0000-00002B520000}"/>
    <cellStyle name="Normal 2 2 2 5 2 20 3 7" xfId="21044" xr:uid="{00000000-0005-0000-0000-00002C520000}"/>
    <cellStyle name="Normal 2 2 2 5 2 20 3 8" xfId="21045" xr:uid="{00000000-0005-0000-0000-00002D520000}"/>
    <cellStyle name="Normal 2 2 2 5 2 20 3 9" xfId="21046" xr:uid="{00000000-0005-0000-0000-00002E520000}"/>
    <cellStyle name="Normal 2 2 2 5 2 20 4" xfId="21047" xr:uid="{00000000-0005-0000-0000-00002F520000}"/>
    <cellStyle name="Normal 2 2 2 5 2 20 4 10" xfId="21048" xr:uid="{00000000-0005-0000-0000-000030520000}"/>
    <cellStyle name="Normal 2 2 2 5 2 20 4 2" xfId="21049" xr:uid="{00000000-0005-0000-0000-000031520000}"/>
    <cellStyle name="Normal 2 2 2 5 2 20 4 3" xfId="21050" xr:uid="{00000000-0005-0000-0000-000032520000}"/>
    <cellStyle name="Normal 2 2 2 5 2 20 4 4" xfId="21051" xr:uid="{00000000-0005-0000-0000-000033520000}"/>
    <cellStyle name="Normal 2 2 2 5 2 20 4 5" xfId="21052" xr:uid="{00000000-0005-0000-0000-000034520000}"/>
    <cellStyle name="Normal 2 2 2 5 2 20 4 6" xfId="21053" xr:uid="{00000000-0005-0000-0000-000035520000}"/>
    <cellStyle name="Normal 2 2 2 5 2 20 4 7" xfId="21054" xr:uid="{00000000-0005-0000-0000-000036520000}"/>
    <cellStyle name="Normal 2 2 2 5 2 20 4 8" xfId="21055" xr:uid="{00000000-0005-0000-0000-000037520000}"/>
    <cellStyle name="Normal 2 2 2 5 2 20 4 9" xfId="21056" xr:uid="{00000000-0005-0000-0000-000038520000}"/>
    <cellStyle name="Normal 2 2 2 5 2 20 5" xfId="21057" xr:uid="{00000000-0005-0000-0000-000039520000}"/>
    <cellStyle name="Normal 2 2 2 5 2 20 5 10" xfId="21058" xr:uid="{00000000-0005-0000-0000-00003A520000}"/>
    <cellStyle name="Normal 2 2 2 5 2 20 5 2" xfId="21059" xr:uid="{00000000-0005-0000-0000-00003B520000}"/>
    <cellStyle name="Normal 2 2 2 5 2 20 5 3" xfId="21060" xr:uid="{00000000-0005-0000-0000-00003C520000}"/>
    <cellStyle name="Normal 2 2 2 5 2 20 5 4" xfId="21061" xr:uid="{00000000-0005-0000-0000-00003D520000}"/>
    <cellStyle name="Normal 2 2 2 5 2 20 5 5" xfId="21062" xr:uid="{00000000-0005-0000-0000-00003E520000}"/>
    <cellStyle name="Normal 2 2 2 5 2 20 5 6" xfId="21063" xr:uid="{00000000-0005-0000-0000-00003F520000}"/>
    <cellStyle name="Normal 2 2 2 5 2 20 5 7" xfId="21064" xr:uid="{00000000-0005-0000-0000-000040520000}"/>
    <cellStyle name="Normal 2 2 2 5 2 20 5 8" xfId="21065" xr:uid="{00000000-0005-0000-0000-000041520000}"/>
    <cellStyle name="Normal 2 2 2 5 2 20 5 9" xfId="21066" xr:uid="{00000000-0005-0000-0000-000042520000}"/>
    <cellStyle name="Normal 2 2 2 5 2 20 6" xfId="21067" xr:uid="{00000000-0005-0000-0000-000043520000}"/>
    <cellStyle name="Normal 2 2 2 5 2 20 7" xfId="21068" xr:uid="{00000000-0005-0000-0000-000044520000}"/>
    <cellStyle name="Normal 2 2 2 5 2 20 8" xfId="21069" xr:uid="{00000000-0005-0000-0000-000045520000}"/>
    <cellStyle name="Normal 2 2 2 5 2 20 9" xfId="21070" xr:uid="{00000000-0005-0000-0000-000046520000}"/>
    <cellStyle name="Normal 2 2 2 5 2 21" xfId="21071" xr:uid="{00000000-0005-0000-0000-000047520000}"/>
    <cellStyle name="Normal 2 2 2 5 2 22" xfId="21072" xr:uid="{00000000-0005-0000-0000-000048520000}"/>
    <cellStyle name="Normal 2 2 2 5 2 3" xfId="21073" xr:uid="{00000000-0005-0000-0000-000049520000}"/>
    <cellStyle name="Normal 2 2 2 5 2 3 10" xfId="21074" xr:uid="{00000000-0005-0000-0000-00004A520000}"/>
    <cellStyle name="Normal 2 2 2 5 2 3 11" xfId="21075" xr:uid="{00000000-0005-0000-0000-00004B520000}"/>
    <cellStyle name="Normal 2 2 2 5 2 3 12" xfId="21076" xr:uid="{00000000-0005-0000-0000-00004C520000}"/>
    <cellStyle name="Normal 2 2 2 5 2 3 13" xfId="21077" xr:uid="{00000000-0005-0000-0000-00004D520000}"/>
    <cellStyle name="Normal 2 2 2 5 2 3 14" xfId="21078" xr:uid="{00000000-0005-0000-0000-00004E520000}"/>
    <cellStyle name="Normal 2 2 2 5 2 3 2" xfId="21079" xr:uid="{00000000-0005-0000-0000-00004F520000}"/>
    <cellStyle name="Normal 2 2 2 5 2 3 2 10" xfId="21080" xr:uid="{00000000-0005-0000-0000-000050520000}"/>
    <cellStyle name="Normal 2 2 2 5 2 3 2 2" xfId="21081" xr:uid="{00000000-0005-0000-0000-000051520000}"/>
    <cellStyle name="Normal 2 2 2 5 2 3 2 3" xfId="21082" xr:uid="{00000000-0005-0000-0000-000052520000}"/>
    <cellStyle name="Normal 2 2 2 5 2 3 2 4" xfId="21083" xr:uid="{00000000-0005-0000-0000-000053520000}"/>
    <cellStyle name="Normal 2 2 2 5 2 3 2 5" xfId="21084" xr:uid="{00000000-0005-0000-0000-000054520000}"/>
    <cellStyle name="Normal 2 2 2 5 2 3 2 6" xfId="21085" xr:uid="{00000000-0005-0000-0000-000055520000}"/>
    <cellStyle name="Normal 2 2 2 5 2 3 2 7" xfId="21086" xr:uid="{00000000-0005-0000-0000-000056520000}"/>
    <cellStyle name="Normal 2 2 2 5 2 3 2 8" xfId="21087" xr:uid="{00000000-0005-0000-0000-000057520000}"/>
    <cellStyle name="Normal 2 2 2 5 2 3 2 9" xfId="21088" xr:uid="{00000000-0005-0000-0000-000058520000}"/>
    <cellStyle name="Normal 2 2 2 5 2 3 3" xfId="21089" xr:uid="{00000000-0005-0000-0000-000059520000}"/>
    <cellStyle name="Normal 2 2 2 5 2 3 3 10" xfId="21090" xr:uid="{00000000-0005-0000-0000-00005A520000}"/>
    <cellStyle name="Normal 2 2 2 5 2 3 3 2" xfId="21091" xr:uid="{00000000-0005-0000-0000-00005B520000}"/>
    <cellStyle name="Normal 2 2 2 5 2 3 3 3" xfId="21092" xr:uid="{00000000-0005-0000-0000-00005C520000}"/>
    <cellStyle name="Normal 2 2 2 5 2 3 3 4" xfId="21093" xr:uid="{00000000-0005-0000-0000-00005D520000}"/>
    <cellStyle name="Normal 2 2 2 5 2 3 3 5" xfId="21094" xr:uid="{00000000-0005-0000-0000-00005E520000}"/>
    <cellStyle name="Normal 2 2 2 5 2 3 3 6" xfId="21095" xr:uid="{00000000-0005-0000-0000-00005F520000}"/>
    <cellStyle name="Normal 2 2 2 5 2 3 3 7" xfId="21096" xr:uid="{00000000-0005-0000-0000-000060520000}"/>
    <cellStyle name="Normal 2 2 2 5 2 3 3 8" xfId="21097" xr:uid="{00000000-0005-0000-0000-000061520000}"/>
    <cellStyle name="Normal 2 2 2 5 2 3 3 9" xfId="21098" xr:uid="{00000000-0005-0000-0000-000062520000}"/>
    <cellStyle name="Normal 2 2 2 5 2 3 4" xfId="21099" xr:uid="{00000000-0005-0000-0000-000063520000}"/>
    <cellStyle name="Normal 2 2 2 5 2 3 4 10" xfId="21100" xr:uid="{00000000-0005-0000-0000-000064520000}"/>
    <cellStyle name="Normal 2 2 2 5 2 3 4 2" xfId="21101" xr:uid="{00000000-0005-0000-0000-000065520000}"/>
    <cellStyle name="Normal 2 2 2 5 2 3 4 3" xfId="21102" xr:uid="{00000000-0005-0000-0000-000066520000}"/>
    <cellStyle name="Normal 2 2 2 5 2 3 4 4" xfId="21103" xr:uid="{00000000-0005-0000-0000-000067520000}"/>
    <cellStyle name="Normal 2 2 2 5 2 3 4 5" xfId="21104" xr:uid="{00000000-0005-0000-0000-000068520000}"/>
    <cellStyle name="Normal 2 2 2 5 2 3 4 6" xfId="21105" xr:uid="{00000000-0005-0000-0000-000069520000}"/>
    <cellStyle name="Normal 2 2 2 5 2 3 4 7" xfId="21106" xr:uid="{00000000-0005-0000-0000-00006A520000}"/>
    <cellStyle name="Normal 2 2 2 5 2 3 4 8" xfId="21107" xr:uid="{00000000-0005-0000-0000-00006B520000}"/>
    <cellStyle name="Normal 2 2 2 5 2 3 4 9" xfId="21108" xr:uid="{00000000-0005-0000-0000-00006C520000}"/>
    <cellStyle name="Normal 2 2 2 5 2 3 5" xfId="21109" xr:uid="{00000000-0005-0000-0000-00006D520000}"/>
    <cellStyle name="Normal 2 2 2 5 2 3 5 10" xfId="21110" xr:uid="{00000000-0005-0000-0000-00006E520000}"/>
    <cellStyle name="Normal 2 2 2 5 2 3 5 2" xfId="21111" xr:uid="{00000000-0005-0000-0000-00006F520000}"/>
    <cellStyle name="Normal 2 2 2 5 2 3 5 3" xfId="21112" xr:uid="{00000000-0005-0000-0000-000070520000}"/>
    <cellStyle name="Normal 2 2 2 5 2 3 5 4" xfId="21113" xr:uid="{00000000-0005-0000-0000-000071520000}"/>
    <cellStyle name="Normal 2 2 2 5 2 3 5 5" xfId="21114" xr:uid="{00000000-0005-0000-0000-000072520000}"/>
    <cellStyle name="Normal 2 2 2 5 2 3 5 6" xfId="21115" xr:uid="{00000000-0005-0000-0000-000073520000}"/>
    <cellStyle name="Normal 2 2 2 5 2 3 5 7" xfId="21116" xr:uid="{00000000-0005-0000-0000-000074520000}"/>
    <cellStyle name="Normal 2 2 2 5 2 3 5 8" xfId="21117" xr:uid="{00000000-0005-0000-0000-000075520000}"/>
    <cellStyle name="Normal 2 2 2 5 2 3 5 9" xfId="21118" xr:uid="{00000000-0005-0000-0000-000076520000}"/>
    <cellStyle name="Normal 2 2 2 5 2 3 6" xfId="21119" xr:uid="{00000000-0005-0000-0000-000077520000}"/>
    <cellStyle name="Normal 2 2 2 5 2 3 7" xfId="21120" xr:uid="{00000000-0005-0000-0000-000078520000}"/>
    <cellStyle name="Normal 2 2 2 5 2 3 8" xfId="21121" xr:uid="{00000000-0005-0000-0000-000079520000}"/>
    <cellStyle name="Normal 2 2 2 5 2 3 9" xfId="21122" xr:uid="{00000000-0005-0000-0000-00007A520000}"/>
    <cellStyle name="Normal 2 2 2 5 2 4" xfId="21123" xr:uid="{00000000-0005-0000-0000-00007B520000}"/>
    <cellStyle name="Normal 2 2 2 5 2 4 10" xfId="21124" xr:uid="{00000000-0005-0000-0000-00007C520000}"/>
    <cellStyle name="Normal 2 2 2 5 2 4 11" xfId="21125" xr:uid="{00000000-0005-0000-0000-00007D520000}"/>
    <cellStyle name="Normal 2 2 2 5 2 4 12" xfId="21126" xr:uid="{00000000-0005-0000-0000-00007E520000}"/>
    <cellStyle name="Normal 2 2 2 5 2 4 13" xfId="21127" xr:uid="{00000000-0005-0000-0000-00007F520000}"/>
    <cellStyle name="Normal 2 2 2 5 2 4 14" xfId="21128" xr:uid="{00000000-0005-0000-0000-000080520000}"/>
    <cellStyle name="Normal 2 2 2 5 2 4 2" xfId="21129" xr:uid="{00000000-0005-0000-0000-000081520000}"/>
    <cellStyle name="Normal 2 2 2 5 2 4 2 10" xfId="21130" xr:uid="{00000000-0005-0000-0000-000082520000}"/>
    <cellStyle name="Normal 2 2 2 5 2 4 2 2" xfId="21131" xr:uid="{00000000-0005-0000-0000-000083520000}"/>
    <cellStyle name="Normal 2 2 2 5 2 4 2 3" xfId="21132" xr:uid="{00000000-0005-0000-0000-000084520000}"/>
    <cellStyle name="Normal 2 2 2 5 2 4 2 4" xfId="21133" xr:uid="{00000000-0005-0000-0000-000085520000}"/>
    <cellStyle name="Normal 2 2 2 5 2 4 2 5" xfId="21134" xr:uid="{00000000-0005-0000-0000-000086520000}"/>
    <cellStyle name="Normal 2 2 2 5 2 4 2 6" xfId="21135" xr:uid="{00000000-0005-0000-0000-000087520000}"/>
    <cellStyle name="Normal 2 2 2 5 2 4 2 7" xfId="21136" xr:uid="{00000000-0005-0000-0000-000088520000}"/>
    <cellStyle name="Normal 2 2 2 5 2 4 2 8" xfId="21137" xr:uid="{00000000-0005-0000-0000-000089520000}"/>
    <cellStyle name="Normal 2 2 2 5 2 4 2 9" xfId="21138" xr:uid="{00000000-0005-0000-0000-00008A520000}"/>
    <cellStyle name="Normal 2 2 2 5 2 4 3" xfId="21139" xr:uid="{00000000-0005-0000-0000-00008B520000}"/>
    <cellStyle name="Normal 2 2 2 5 2 4 3 10" xfId="21140" xr:uid="{00000000-0005-0000-0000-00008C520000}"/>
    <cellStyle name="Normal 2 2 2 5 2 4 3 2" xfId="21141" xr:uid="{00000000-0005-0000-0000-00008D520000}"/>
    <cellStyle name="Normal 2 2 2 5 2 4 3 3" xfId="21142" xr:uid="{00000000-0005-0000-0000-00008E520000}"/>
    <cellStyle name="Normal 2 2 2 5 2 4 3 4" xfId="21143" xr:uid="{00000000-0005-0000-0000-00008F520000}"/>
    <cellStyle name="Normal 2 2 2 5 2 4 3 5" xfId="21144" xr:uid="{00000000-0005-0000-0000-000090520000}"/>
    <cellStyle name="Normal 2 2 2 5 2 4 3 6" xfId="21145" xr:uid="{00000000-0005-0000-0000-000091520000}"/>
    <cellStyle name="Normal 2 2 2 5 2 4 3 7" xfId="21146" xr:uid="{00000000-0005-0000-0000-000092520000}"/>
    <cellStyle name="Normal 2 2 2 5 2 4 3 8" xfId="21147" xr:uid="{00000000-0005-0000-0000-000093520000}"/>
    <cellStyle name="Normal 2 2 2 5 2 4 3 9" xfId="21148" xr:uid="{00000000-0005-0000-0000-000094520000}"/>
    <cellStyle name="Normal 2 2 2 5 2 4 4" xfId="21149" xr:uid="{00000000-0005-0000-0000-000095520000}"/>
    <cellStyle name="Normal 2 2 2 5 2 4 4 10" xfId="21150" xr:uid="{00000000-0005-0000-0000-000096520000}"/>
    <cellStyle name="Normal 2 2 2 5 2 4 4 2" xfId="21151" xr:uid="{00000000-0005-0000-0000-000097520000}"/>
    <cellStyle name="Normal 2 2 2 5 2 4 4 3" xfId="21152" xr:uid="{00000000-0005-0000-0000-000098520000}"/>
    <cellStyle name="Normal 2 2 2 5 2 4 4 4" xfId="21153" xr:uid="{00000000-0005-0000-0000-000099520000}"/>
    <cellStyle name="Normal 2 2 2 5 2 4 4 5" xfId="21154" xr:uid="{00000000-0005-0000-0000-00009A520000}"/>
    <cellStyle name="Normal 2 2 2 5 2 4 4 6" xfId="21155" xr:uid="{00000000-0005-0000-0000-00009B520000}"/>
    <cellStyle name="Normal 2 2 2 5 2 4 4 7" xfId="21156" xr:uid="{00000000-0005-0000-0000-00009C520000}"/>
    <cellStyle name="Normal 2 2 2 5 2 4 4 8" xfId="21157" xr:uid="{00000000-0005-0000-0000-00009D520000}"/>
    <cellStyle name="Normal 2 2 2 5 2 4 4 9" xfId="21158" xr:uid="{00000000-0005-0000-0000-00009E520000}"/>
    <cellStyle name="Normal 2 2 2 5 2 4 5" xfId="21159" xr:uid="{00000000-0005-0000-0000-00009F520000}"/>
    <cellStyle name="Normal 2 2 2 5 2 4 5 10" xfId="21160" xr:uid="{00000000-0005-0000-0000-0000A0520000}"/>
    <cellStyle name="Normal 2 2 2 5 2 4 5 2" xfId="21161" xr:uid="{00000000-0005-0000-0000-0000A1520000}"/>
    <cellStyle name="Normal 2 2 2 5 2 4 5 3" xfId="21162" xr:uid="{00000000-0005-0000-0000-0000A2520000}"/>
    <cellStyle name="Normal 2 2 2 5 2 4 5 4" xfId="21163" xr:uid="{00000000-0005-0000-0000-0000A3520000}"/>
    <cellStyle name="Normal 2 2 2 5 2 4 5 5" xfId="21164" xr:uid="{00000000-0005-0000-0000-0000A4520000}"/>
    <cellStyle name="Normal 2 2 2 5 2 4 5 6" xfId="21165" xr:uid="{00000000-0005-0000-0000-0000A5520000}"/>
    <cellStyle name="Normal 2 2 2 5 2 4 5 7" xfId="21166" xr:uid="{00000000-0005-0000-0000-0000A6520000}"/>
    <cellStyle name="Normal 2 2 2 5 2 4 5 8" xfId="21167" xr:uid="{00000000-0005-0000-0000-0000A7520000}"/>
    <cellStyle name="Normal 2 2 2 5 2 4 5 9" xfId="21168" xr:uid="{00000000-0005-0000-0000-0000A8520000}"/>
    <cellStyle name="Normal 2 2 2 5 2 4 6" xfId="21169" xr:uid="{00000000-0005-0000-0000-0000A9520000}"/>
    <cellStyle name="Normal 2 2 2 5 2 4 7" xfId="21170" xr:uid="{00000000-0005-0000-0000-0000AA520000}"/>
    <cellStyle name="Normal 2 2 2 5 2 4 8" xfId="21171" xr:uid="{00000000-0005-0000-0000-0000AB520000}"/>
    <cellStyle name="Normal 2 2 2 5 2 4 9" xfId="21172" xr:uid="{00000000-0005-0000-0000-0000AC520000}"/>
    <cellStyle name="Normal 2 2 2 5 2 5" xfId="21173" xr:uid="{00000000-0005-0000-0000-0000AD520000}"/>
    <cellStyle name="Normal 2 2 2 5 2 5 10" xfId="21174" xr:uid="{00000000-0005-0000-0000-0000AE520000}"/>
    <cellStyle name="Normal 2 2 2 5 2 5 11" xfId="21175" xr:uid="{00000000-0005-0000-0000-0000AF520000}"/>
    <cellStyle name="Normal 2 2 2 5 2 5 12" xfId="21176" xr:uid="{00000000-0005-0000-0000-0000B0520000}"/>
    <cellStyle name="Normal 2 2 2 5 2 5 13" xfId="21177" xr:uid="{00000000-0005-0000-0000-0000B1520000}"/>
    <cellStyle name="Normal 2 2 2 5 2 5 14" xfId="21178" xr:uid="{00000000-0005-0000-0000-0000B2520000}"/>
    <cellStyle name="Normal 2 2 2 5 2 5 2" xfId="21179" xr:uid="{00000000-0005-0000-0000-0000B3520000}"/>
    <cellStyle name="Normal 2 2 2 5 2 5 2 10" xfId="21180" xr:uid="{00000000-0005-0000-0000-0000B4520000}"/>
    <cellStyle name="Normal 2 2 2 5 2 5 2 2" xfId="21181" xr:uid="{00000000-0005-0000-0000-0000B5520000}"/>
    <cellStyle name="Normal 2 2 2 5 2 5 2 3" xfId="21182" xr:uid="{00000000-0005-0000-0000-0000B6520000}"/>
    <cellStyle name="Normal 2 2 2 5 2 5 2 4" xfId="21183" xr:uid="{00000000-0005-0000-0000-0000B7520000}"/>
    <cellStyle name="Normal 2 2 2 5 2 5 2 5" xfId="21184" xr:uid="{00000000-0005-0000-0000-0000B8520000}"/>
    <cellStyle name="Normal 2 2 2 5 2 5 2 6" xfId="21185" xr:uid="{00000000-0005-0000-0000-0000B9520000}"/>
    <cellStyle name="Normal 2 2 2 5 2 5 2 7" xfId="21186" xr:uid="{00000000-0005-0000-0000-0000BA520000}"/>
    <cellStyle name="Normal 2 2 2 5 2 5 2 8" xfId="21187" xr:uid="{00000000-0005-0000-0000-0000BB520000}"/>
    <cellStyle name="Normal 2 2 2 5 2 5 2 9" xfId="21188" xr:uid="{00000000-0005-0000-0000-0000BC520000}"/>
    <cellStyle name="Normal 2 2 2 5 2 5 3" xfId="21189" xr:uid="{00000000-0005-0000-0000-0000BD520000}"/>
    <cellStyle name="Normal 2 2 2 5 2 5 3 10" xfId="21190" xr:uid="{00000000-0005-0000-0000-0000BE520000}"/>
    <cellStyle name="Normal 2 2 2 5 2 5 3 2" xfId="21191" xr:uid="{00000000-0005-0000-0000-0000BF520000}"/>
    <cellStyle name="Normal 2 2 2 5 2 5 3 3" xfId="21192" xr:uid="{00000000-0005-0000-0000-0000C0520000}"/>
    <cellStyle name="Normal 2 2 2 5 2 5 3 4" xfId="21193" xr:uid="{00000000-0005-0000-0000-0000C1520000}"/>
    <cellStyle name="Normal 2 2 2 5 2 5 3 5" xfId="21194" xr:uid="{00000000-0005-0000-0000-0000C2520000}"/>
    <cellStyle name="Normal 2 2 2 5 2 5 3 6" xfId="21195" xr:uid="{00000000-0005-0000-0000-0000C3520000}"/>
    <cellStyle name="Normal 2 2 2 5 2 5 3 7" xfId="21196" xr:uid="{00000000-0005-0000-0000-0000C4520000}"/>
    <cellStyle name="Normal 2 2 2 5 2 5 3 8" xfId="21197" xr:uid="{00000000-0005-0000-0000-0000C5520000}"/>
    <cellStyle name="Normal 2 2 2 5 2 5 3 9" xfId="21198" xr:uid="{00000000-0005-0000-0000-0000C6520000}"/>
    <cellStyle name="Normal 2 2 2 5 2 5 4" xfId="21199" xr:uid="{00000000-0005-0000-0000-0000C7520000}"/>
    <cellStyle name="Normal 2 2 2 5 2 5 4 10" xfId="21200" xr:uid="{00000000-0005-0000-0000-0000C8520000}"/>
    <cellStyle name="Normal 2 2 2 5 2 5 4 2" xfId="21201" xr:uid="{00000000-0005-0000-0000-0000C9520000}"/>
    <cellStyle name="Normal 2 2 2 5 2 5 4 3" xfId="21202" xr:uid="{00000000-0005-0000-0000-0000CA520000}"/>
    <cellStyle name="Normal 2 2 2 5 2 5 4 4" xfId="21203" xr:uid="{00000000-0005-0000-0000-0000CB520000}"/>
    <cellStyle name="Normal 2 2 2 5 2 5 4 5" xfId="21204" xr:uid="{00000000-0005-0000-0000-0000CC520000}"/>
    <cellStyle name="Normal 2 2 2 5 2 5 4 6" xfId="21205" xr:uid="{00000000-0005-0000-0000-0000CD520000}"/>
    <cellStyle name="Normal 2 2 2 5 2 5 4 7" xfId="21206" xr:uid="{00000000-0005-0000-0000-0000CE520000}"/>
    <cellStyle name="Normal 2 2 2 5 2 5 4 8" xfId="21207" xr:uid="{00000000-0005-0000-0000-0000CF520000}"/>
    <cellStyle name="Normal 2 2 2 5 2 5 4 9" xfId="21208" xr:uid="{00000000-0005-0000-0000-0000D0520000}"/>
    <cellStyle name="Normal 2 2 2 5 2 5 5" xfId="21209" xr:uid="{00000000-0005-0000-0000-0000D1520000}"/>
    <cellStyle name="Normal 2 2 2 5 2 5 5 10" xfId="21210" xr:uid="{00000000-0005-0000-0000-0000D2520000}"/>
    <cellStyle name="Normal 2 2 2 5 2 5 5 2" xfId="21211" xr:uid="{00000000-0005-0000-0000-0000D3520000}"/>
    <cellStyle name="Normal 2 2 2 5 2 5 5 3" xfId="21212" xr:uid="{00000000-0005-0000-0000-0000D4520000}"/>
    <cellStyle name="Normal 2 2 2 5 2 5 5 4" xfId="21213" xr:uid="{00000000-0005-0000-0000-0000D5520000}"/>
    <cellStyle name="Normal 2 2 2 5 2 5 5 5" xfId="21214" xr:uid="{00000000-0005-0000-0000-0000D6520000}"/>
    <cellStyle name="Normal 2 2 2 5 2 5 5 6" xfId="21215" xr:uid="{00000000-0005-0000-0000-0000D7520000}"/>
    <cellStyle name="Normal 2 2 2 5 2 5 5 7" xfId="21216" xr:uid="{00000000-0005-0000-0000-0000D8520000}"/>
    <cellStyle name="Normal 2 2 2 5 2 5 5 8" xfId="21217" xr:uid="{00000000-0005-0000-0000-0000D9520000}"/>
    <cellStyle name="Normal 2 2 2 5 2 5 5 9" xfId="21218" xr:uid="{00000000-0005-0000-0000-0000DA520000}"/>
    <cellStyle name="Normal 2 2 2 5 2 5 6" xfId="21219" xr:uid="{00000000-0005-0000-0000-0000DB520000}"/>
    <cellStyle name="Normal 2 2 2 5 2 5 7" xfId="21220" xr:uid="{00000000-0005-0000-0000-0000DC520000}"/>
    <cellStyle name="Normal 2 2 2 5 2 5 8" xfId="21221" xr:uid="{00000000-0005-0000-0000-0000DD520000}"/>
    <cellStyle name="Normal 2 2 2 5 2 5 9" xfId="21222" xr:uid="{00000000-0005-0000-0000-0000DE520000}"/>
    <cellStyle name="Normal 2 2 2 5 2 6" xfId="21223" xr:uid="{00000000-0005-0000-0000-0000DF520000}"/>
    <cellStyle name="Normal 2 2 2 5 2 6 10" xfId="21224" xr:uid="{00000000-0005-0000-0000-0000E0520000}"/>
    <cellStyle name="Normal 2 2 2 5 2 6 11" xfId="21225" xr:uid="{00000000-0005-0000-0000-0000E1520000}"/>
    <cellStyle name="Normal 2 2 2 5 2 6 12" xfId="21226" xr:uid="{00000000-0005-0000-0000-0000E2520000}"/>
    <cellStyle name="Normal 2 2 2 5 2 6 13" xfId="21227" xr:uid="{00000000-0005-0000-0000-0000E3520000}"/>
    <cellStyle name="Normal 2 2 2 5 2 6 14" xfId="21228" xr:uid="{00000000-0005-0000-0000-0000E4520000}"/>
    <cellStyle name="Normal 2 2 2 5 2 6 2" xfId="21229" xr:uid="{00000000-0005-0000-0000-0000E5520000}"/>
    <cellStyle name="Normal 2 2 2 5 2 6 2 10" xfId="21230" xr:uid="{00000000-0005-0000-0000-0000E6520000}"/>
    <cellStyle name="Normal 2 2 2 5 2 6 2 2" xfId="21231" xr:uid="{00000000-0005-0000-0000-0000E7520000}"/>
    <cellStyle name="Normal 2 2 2 5 2 6 2 3" xfId="21232" xr:uid="{00000000-0005-0000-0000-0000E8520000}"/>
    <cellStyle name="Normal 2 2 2 5 2 6 2 4" xfId="21233" xr:uid="{00000000-0005-0000-0000-0000E9520000}"/>
    <cellStyle name="Normal 2 2 2 5 2 6 2 5" xfId="21234" xr:uid="{00000000-0005-0000-0000-0000EA520000}"/>
    <cellStyle name="Normal 2 2 2 5 2 6 2 6" xfId="21235" xr:uid="{00000000-0005-0000-0000-0000EB520000}"/>
    <cellStyle name="Normal 2 2 2 5 2 6 2 7" xfId="21236" xr:uid="{00000000-0005-0000-0000-0000EC520000}"/>
    <cellStyle name="Normal 2 2 2 5 2 6 2 8" xfId="21237" xr:uid="{00000000-0005-0000-0000-0000ED520000}"/>
    <cellStyle name="Normal 2 2 2 5 2 6 2 9" xfId="21238" xr:uid="{00000000-0005-0000-0000-0000EE520000}"/>
    <cellStyle name="Normal 2 2 2 5 2 6 3" xfId="21239" xr:uid="{00000000-0005-0000-0000-0000EF520000}"/>
    <cellStyle name="Normal 2 2 2 5 2 6 3 10" xfId="21240" xr:uid="{00000000-0005-0000-0000-0000F0520000}"/>
    <cellStyle name="Normal 2 2 2 5 2 6 3 2" xfId="21241" xr:uid="{00000000-0005-0000-0000-0000F1520000}"/>
    <cellStyle name="Normal 2 2 2 5 2 6 3 3" xfId="21242" xr:uid="{00000000-0005-0000-0000-0000F2520000}"/>
    <cellStyle name="Normal 2 2 2 5 2 6 3 4" xfId="21243" xr:uid="{00000000-0005-0000-0000-0000F3520000}"/>
    <cellStyle name="Normal 2 2 2 5 2 6 3 5" xfId="21244" xr:uid="{00000000-0005-0000-0000-0000F4520000}"/>
    <cellStyle name="Normal 2 2 2 5 2 6 3 6" xfId="21245" xr:uid="{00000000-0005-0000-0000-0000F5520000}"/>
    <cellStyle name="Normal 2 2 2 5 2 6 3 7" xfId="21246" xr:uid="{00000000-0005-0000-0000-0000F6520000}"/>
    <cellStyle name="Normal 2 2 2 5 2 6 3 8" xfId="21247" xr:uid="{00000000-0005-0000-0000-0000F7520000}"/>
    <cellStyle name="Normal 2 2 2 5 2 6 3 9" xfId="21248" xr:uid="{00000000-0005-0000-0000-0000F8520000}"/>
    <cellStyle name="Normal 2 2 2 5 2 6 4" xfId="21249" xr:uid="{00000000-0005-0000-0000-0000F9520000}"/>
    <cellStyle name="Normal 2 2 2 5 2 6 4 10" xfId="21250" xr:uid="{00000000-0005-0000-0000-0000FA520000}"/>
    <cellStyle name="Normal 2 2 2 5 2 6 4 2" xfId="21251" xr:uid="{00000000-0005-0000-0000-0000FB520000}"/>
    <cellStyle name="Normal 2 2 2 5 2 6 4 3" xfId="21252" xr:uid="{00000000-0005-0000-0000-0000FC520000}"/>
    <cellStyle name="Normal 2 2 2 5 2 6 4 4" xfId="21253" xr:uid="{00000000-0005-0000-0000-0000FD520000}"/>
    <cellStyle name="Normal 2 2 2 5 2 6 4 5" xfId="21254" xr:uid="{00000000-0005-0000-0000-0000FE520000}"/>
    <cellStyle name="Normal 2 2 2 5 2 6 4 6" xfId="21255" xr:uid="{00000000-0005-0000-0000-0000FF520000}"/>
    <cellStyle name="Normal 2 2 2 5 2 6 4 7" xfId="21256" xr:uid="{00000000-0005-0000-0000-000000530000}"/>
    <cellStyle name="Normal 2 2 2 5 2 6 4 8" xfId="21257" xr:uid="{00000000-0005-0000-0000-000001530000}"/>
    <cellStyle name="Normal 2 2 2 5 2 6 4 9" xfId="21258" xr:uid="{00000000-0005-0000-0000-000002530000}"/>
    <cellStyle name="Normal 2 2 2 5 2 6 5" xfId="21259" xr:uid="{00000000-0005-0000-0000-000003530000}"/>
    <cellStyle name="Normal 2 2 2 5 2 6 5 10" xfId="21260" xr:uid="{00000000-0005-0000-0000-000004530000}"/>
    <cellStyle name="Normal 2 2 2 5 2 6 5 2" xfId="21261" xr:uid="{00000000-0005-0000-0000-000005530000}"/>
    <cellStyle name="Normal 2 2 2 5 2 6 5 3" xfId="21262" xr:uid="{00000000-0005-0000-0000-000006530000}"/>
    <cellStyle name="Normal 2 2 2 5 2 6 5 4" xfId="21263" xr:uid="{00000000-0005-0000-0000-000007530000}"/>
    <cellStyle name="Normal 2 2 2 5 2 6 5 5" xfId="21264" xr:uid="{00000000-0005-0000-0000-000008530000}"/>
    <cellStyle name="Normal 2 2 2 5 2 6 5 6" xfId="21265" xr:uid="{00000000-0005-0000-0000-000009530000}"/>
    <cellStyle name="Normal 2 2 2 5 2 6 5 7" xfId="21266" xr:uid="{00000000-0005-0000-0000-00000A530000}"/>
    <cellStyle name="Normal 2 2 2 5 2 6 5 8" xfId="21267" xr:uid="{00000000-0005-0000-0000-00000B530000}"/>
    <cellStyle name="Normal 2 2 2 5 2 6 5 9" xfId="21268" xr:uid="{00000000-0005-0000-0000-00000C530000}"/>
    <cellStyle name="Normal 2 2 2 5 2 6 6" xfId="21269" xr:uid="{00000000-0005-0000-0000-00000D530000}"/>
    <cellStyle name="Normal 2 2 2 5 2 6 7" xfId="21270" xr:uid="{00000000-0005-0000-0000-00000E530000}"/>
    <cellStyle name="Normal 2 2 2 5 2 6 8" xfId="21271" xr:uid="{00000000-0005-0000-0000-00000F530000}"/>
    <cellStyle name="Normal 2 2 2 5 2 6 9" xfId="21272" xr:uid="{00000000-0005-0000-0000-000010530000}"/>
    <cellStyle name="Normal 2 2 2 5 2 7" xfId="21273" xr:uid="{00000000-0005-0000-0000-000011530000}"/>
    <cellStyle name="Normal 2 2 2 5 2 7 10" xfId="21274" xr:uid="{00000000-0005-0000-0000-000012530000}"/>
    <cellStyle name="Normal 2 2 2 5 2 7 11" xfId="21275" xr:uid="{00000000-0005-0000-0000-000013530000}"/>
    <cellStyle name="Normal 2 2 2 5 2 7 12" xfId="21276" xr:uid="{00000000-0005-0000-0000-000014530000}"/>
    <cellStyle name="Normal 2 2 2 5 2 7 13" xfId="21277" xr:uid="{00000000-0005-0000-0000-000015530000}"/>
    <cellStyle name="Normal 2 2 2 5 2 7 14" xfId="21278" xr:uid="{00000000-0005-0000-0000-000016530000}"/>
    <cellStyle name="Normal 2 2 2 5 2 7 2" xfId="21279" xr:uid="{00000000-0005-0000-0000-000017530000}"/>
    <cellStyle name="Normal 2 2 2 5 2 7 2 10" xfId="21280" xr:uid="{00000000-0005-0000-0000-000018530000}"/>
    <cellStyle name="Normal 2 2 2 5 2 7 2 2" xfId="21281" xr:uid="{00000000-0005-0000-0000-000019530000}"/>
    <cellStyle name="Normal 2 2 2 5 2 7 2 3" xfId="21282" xr:uid="{00000000-0005-0000-0000-00001A530000}"/>
    <cellStyle name="Normal 2 2 2 5 2 7 2 4" xfId="21283" xr:uid="{00000000-0005-0000-0000-00001B530000}"/>
    <cellStyle name="Normal 2 2 2 5 2 7 2 5" xfId="21284" xr:uid="{00000000-0005-0000-0000-00001C530000}"/>
    <cellStyle name="Normal 2 2 2 5 2 7 2 6" xfId="21285" xr:uid="{00000000-0005-0000-0000-00001D530000}"/>
    <cellStyle name="Normal 2 2 2 5 2 7 2 7" xfId="21286" xr:uid="{00000000-0005-0000-0000-00001E530000}"/>
    <cellStyle name="Normal 2 2 2 5 2 7 2 8" xfId="21287" xr:uid="{00000000-0005-0000-0000-00001F530000}"/>
    <cellStyle name="Normal 2 2 2 5 2 7 2 9" xfId="21288" xr:uid="{00000000-0005-0000-0000-000020530000}"/>
    <cellStyle name="Normal 2 2 2 5 2 7 3" xfId="21289" xr:uid="{00000000-0005-0000-0000-000021530000}"/>
    <cellStyle name="Normal 2 2 2 5 2 7 3 10" xfId="21290" xr:uid="{00000000-0005-0000-0000-000022530000}"/>
    <cellStyle name="Normal 2 2 2 5 2 7 3 2" xfId="21291" xr:uid="{00000000-0005-0000-0000-000023530000}"/>
    <cellStyle name="Normal 2 2 2 5 2 7 3 3" xfId="21292" xr:uid="{00000000-0005-0000-0000-000024530000}"/>
    <cellStyle name="Normal 2 2 2 5 2 7 3 4" xfId="21293" xr:uid="{00000000-0005-0000-0000-000025530000}"/>
    <cellStyle name="Normal 2 2 2 5 2 7 3 5" xfId="21294" xr:uid="{00000000-0005-0000-0000-000026530000}"/>
    <cellStyle name="Normal 2 2 2 5 2 7 3 6" xfId="21295" xr:uid="{00000000-0005-0000-0000-000027530000}"/>
    <cellStyle name="Normal 2 2 2 5 2 7 3 7" xfId="21296" xr:uid="{00000000-0005-0000-0000-000028530000}"/>
    <cellStyle name="Normal 2 2 2 5 2 7 3 8" xfId="21297" xr:uid="{00000000-0005-0000-0000-000029530000}"/>
    <cellStyle name="Normal 2 2 2 5 2 7 3 9" xfId="21298" xr:uid="{00000000-0005-0000-0000-00002A530000}"/>
    <cellStyle name="Normal 2 2 2 5 2 7 4" xfId="21299" xr:uid="{00000000-0005-0000-0000-00002B530000}"/>
    <cellStyle name="Normal 2 2 2 5 2 7 4 10" xfId="21300" xr:uid="{00000000-0005-0000-0000-00002C530000}"/>
    <cellStyle name="Normal 2 2 2 5 2 7 4 2" xfId="21301" xr:uid="{00000000-0005-0000-0000-00002D530000}"/>
    <cellStyle name="Normal 2 2 2 5 2 7 4 3" xfId="21302" xr:uid="{00000000-0005-0000-0000-00002E530000}"/>
    <cellStyle name="Normal 2 2 2 5 2 7 4 4" xfId="21303" xr:uid="{00000000-0005-0000-0000-00002F530000}"/>
    <cellStyle name="Normal 2 2 2 5 2 7 4 5" xfId="21304" xr:uid="{00000000-0005-0000-0000-000030530000}"/>
    <cellStyle name="Normal 2 2 2 5 2 7 4 6" xfId="21305" xr:uid="{00000000-0005-0000-0000-000031530000}"/>
    <cellStyle name="Normal 2 2 2 5 2 7 4 7" xfId="21306" xr:uid="{00000000-0005-0000-0000-000032530000}"/>
    <cellStyle name="Normal 2 2 2 5 2 7 4 8" xfId="21307" xr:uid="{00000000-0005-0000-0000-000033530000}"/>
    <cellStyle name="Normal 2 2 2 5 2 7 4 9" xfId="21308" xr:uid="{00000000-0005-0000-0000-000034530000}"/>
    <cellStyle name="Normal 2 2 2 5 2 7 5" xfId="21309" xr:uid="{00000000-0005-0000-0000-000035530000}"/>
    <cellStyle name="Normal 2 2 2 5 2 7 5 10" xfId="21310" xr:uid="{00000000-0005-0000-0000-000036530000}"/>
    <cellStyle name="Normal 2 2 2 5 2 7 5 2" xfId="21311" xr:uid="{00000000-0005-0000-0000-000037530000}"/>
    <cellStyle name="Normal 2 2 2 5 2 7 5 3" xfId="21312" xr:uid="{00000000-0005-0000-0000-000038530000}"/>
    <cellStyle name="Normal 2 2 2 5 2 7 5 4" xfId="21313" xr:uid="{00000000-0005-0000-0000-000039530000}"/>
    <cellStyle name="Normal 2 2 2 5 2 7 5 5" xfId="21314" xr:uid="{00000000-0005-0000-0000-00003A530000}"/>
    <cellStyle name="Normal 2 2 2 5 2 7 5 6" xfId="21315" xr:uid="{00000000-0005-0000-0000-00003B530000}"/>
    <cellStyle name="Normal 2 2 2 5 2 7 5 7" xfId="21316" xr:uid="{00000000-0005-0000-0000-00003C530000}"/>
    <cellStyle name="Normal 2 2 2 5 2 7 5 8" xfId="21317" xr:uid="{00000000-0005-0000-0000-00003D530000}"/>
    <cellStyle name="Normal 2 2 2 5 2 7 5 9" xfId="21318" xr:uid="{00000000-0005-0000-0000-00003E530000}"/>
    <cellStyle name="Normal 2 2 2 5 2 7 6" xfId="21319" xr:uid="{00000000-0005-0000-0000-00003F530000}"/>
    <cellStyle name="Normal 2 2 2 5 2 7 7" xfId="21320" xr:uid="{00000000-0005-0000-0000-000040530000}"/>
    <cellStyle name="Normal 2 2 2 5 2 7 8" xfId="21321" xr:uid="{00000000-0005-0000-0000-000041530000}"/>
    <cellStyle name="Normal 2 2 2 5 2 7 9" xfId="21322" xr:uid="{00000000-0005-0000-0000-000042530000}"/>
    <cellStyle name="Normal 2 2 2 5 2 8" xfId="21323" xr:uid="{00000000-0005-0000-0000-000043530000}"/>
    <cellStyle name="Normal 2 2 2 5 2 8 10" xfId="21324" xr:uid="{00000000-0005-0000-0000-000044530000}"/>
    <cellStyle name="Normal 2 2 2 5 2 8 11" xfId="21325" xr:uid="{00000000-0005-0000-0000-000045530000}"/>
    <cellStyle name="Normal 2 2 2 5 2 8 12" xfId="21326" xr:uid="{00000000-0005-0000-0000-000046530000}"/>
    <cellStyle name="Normal 2 2 2 5 2 8 13" xfId="21327" xr:uid="{00000000-0005-0000-0000-000047530000}"/>
    <cellStyle name="Normal 2 2 2 5 2 8 14" xfId="21328" xr:uid="{00000000-0005-0000-0000-000048530000}"/>
    <cellStyle name="Normal 2 2 2 5 2 8 2" xfId="21329" xr:uid="{00000000-0005-0000-0000-000049530000}"/>
    <cellStyle name="Normal 2 2 2 5 2 8 2 10" xfId="21330" xr:uid="{00000000-0005-0000-0000-00004A530000}"/>
    <cellStyle name="Normal 2 2 2 5 2 8 2 2" xfId="21331" xr:uid="{00000000-0005-0000-0000-00004B530000}"/>
    <cellStyle name="Normal 2 2 2 5 2 8 2 3" xfId="21332" xr:uid="{00000000-0005-0000-0000-00004C530000}"/>
    <cellStyle name="Normal 2 2 2 5 2 8 2 4" xfId="21333" xr:uid="{00000000-0005-0000-0000-00004D530000}"/>
    <cellStyle name="Normal 2 2 2 5 2 8 2 5" xfId="21334" xr:uid="{00000000-0005-0000-0000-00004E530000}"/>
    <cellStyle name="Normal 2 2 2 5 2 8 2 6" xfId="21335" xr:uid="{00000000-0005-0000-0000-00004F530000}"/>
    <cellStyle name="Normal 2 2 2 5 2 8 2 7" xfId="21336" xr:uid="{00000000-0005-0000-0000-000050530000}"/>
    <cellStyle name="Normal 2 2 2 5 2 8 2 8" xfId="21337" xr:uid="{00000000-0005-0000-0000-000051530000}"/>
    <cellStyle name="Normal 2 2 2 5 2 8 2 9" xfId="21338" xr:uid="{00000000-0005-0000-0000-000052530000}"/>
    <cellStyle name="Normal 2 2 2 5 2 8 3" xfId="21339" xr:uid="{00000000-0005-0000-0000-000053530000}"/>
    <cellStyle name="Normal 2 2 2 5 2 8 3 10" xfId="21340" xr:uid="{00000000-0005-0000-0000-000054530000}"/>
    <cellStyle name="Normal 2 2 2 5 2 8 3 2" xfId="21341" xr:uid="{00000000-0005-0000-0000-000055530000}"/>
    <cellStyle name="Normal 2 2 2 5 2 8 3 3" xfId="21342" xr:uid="{00000000-0005-0000-0000-000056530000}"/>
    <cellStyle name="Normal 2 2 2 5 2 8 3 4" xfId="21343" xr:uid="{00000000-0005-0000-0000-000057530000}"/>
    <cellStyle name="Normal 2 2 2 5 2 8 3 5" xfId="21344" xr:uid="{00000000-0005-0000-0000-000058530000}"/>
    <cellStyle name="Normal 2 2 2 5 2 8 3 6" xfId="21345" xr:uid="{00000000-0005-0000-0000-000059530000}"/>
    <cellStyle name="Normal 2 2 2 5 2 8 3 7" xfId="21346" xr:uid="{00000000-0005-0000-0000-00005A530000}"/>
    <cellStyle name="Normal 2 2 2 5 2 8 3 8" xfId="21347" xr:uid="{00000000-0005-0000-0000-00005B530000}"/>
    <cellStyle name="Normal 2 2 2 5 2 8 3 9" xfId="21348" xr:uid="{00000000-0005-0000-0000-00005C530000}"/>
    <cellStyle name="Normal 2 2 2 5 2 8 4" xfId="21349" xr:uid="{00000000-0005-0000-0000-00005D530000}"/>
    <cellStyle name="Normal 2 2 2 5 2 8 4 10" xfId="21350" xr:uid="{00000000-0005-0000-0000-00005E530000}"/>
    <cellStyle name="Normal 2 2 2 5 2 8 4 2" xfId="21351" xr:uid="{00000000-0005-0000-0000-00005F530000}"/>
    <cellStyle name="Normal 2 2 2 5 2 8 4 3" xfId="21352" xr:uid="{00000000-0005-0000-0000-000060530000}"/>
    <cellStyle name="Normal 2 2 2 5 2 8 4 4" xfId="21353" xr:uid="{00000000-0005-0000-0000-000061530000}"/>
    <cellStyle name="Normal 2 2 2 5 2 8 4 5" xfId="21354" xr:uid="{00000000-0005-0000-0000-000062530000}"/>
    <cellStyle name="Normal 2 2 2 5 2 8 4 6" xfId="21355" xr:uid="{00000000-0005-0000-0000-000063530000}"/>
    <cellStyle name="Normal 2 2 2 5 2 8 4 7" xfId="21356" xr:uid="{00000000-0005-0000-0000-000064530000}"/>
    <cellStyle name="Normal 2 2 2 5 2 8 4 8" xfId="21357" xr:uid="{00000000-0005-0000-0000-000065530000}"/>
    <cellStyle name="Normal 2 2 2 5 2 8 4 9" xfId="21358" xr:uid="{00000000-0005-0000-0000-000066530000}"/>
    <cellStyle name="Normal 2 2 2 5 2 8 5" xfId="21359" xr:uid="{00000000-0005-0000-0000-000067530000}"/>
    <cellStyle name="Normal 2 2 2 5 2 8 5 10" xfId="21360" xr:uid="{00000000-0005-0000-0000-000068530000}"/>
    <cellStyle name="Normal 2 2 2 5 2 8 5 2" xfId="21361" xr:uid="{00000000-0005-0000-0000-000069530000}"/>
    <cellStyle name="Normal 2 2 2 5 2 8 5 3" xfId="21362" xr:uid="{00000000-0005-0000-0000-00006A530000}"/>
    <cellStyle name="Normal 2 2 2 5 2 8 5 4" xfId="21363" xr:uid="{00000000-0005-0000-0000-00006B530000}"/>
    <cellStyle name="Normal 2 2 2 5 2 8 5 5" xfId="21364" xr:uid="{00000000-0005-0000-0000-00006C530000}"/>
    <cellStyle name="Normal 2 2 2 5 2 8 5 6" xfId="21365" xr:uid="{00000000-0005-0000-0000-00006D530000}"/>
    <cellStyle name="Normal 2 2 2 5 2 8 5 7" xfId="21366" xr:uid="{00000000-0005-0000-0000-00006E530000}"/>
    <cellStyle name="Normal 2 2 2 5 2 8 5 8" xfId="21367" xr:uid="{00000000-0005-0000-0000-00006F530000}"/>
    <cellStyle name="Normal 2 2 2 5 2 8 5 9" xfId="21368" xr:uid="{00000000-0005-0000-0000-000070530000}"/>
    <cellStyle name="Normal 2 2 2 5 2 8 6" xfId="21369" xr:uid="{00000000-0005-0000-0000-000071530000}"/>
    <cellStyle name="Normal 2 2 2 5 2 8 7" xfId="21370" xr:uid="{00000000-0005-0000-0000-000072530000}"/>
    <cellStyle name="Normal 2 2 2 5 2 8 8" xfId="21371" xr:uid="{00000000-0005-0000-0000-000073530000}"/>
    <cellStyle name="Normal 2 2 2 5 2 8 9" xfId="21372" xr:uid="{00000000-0005-0000-0000-000074530000}"/>
    <cellStyle name="Normal 2 2 2 5 2 9" xfId="21373" xr:uid="{00000000-0005-0000-0000-000075530000}"/>
    <cellStyle name="Normal 2 2 2 5 2 9 10" xfId="21374" xr:uid="{00000000-0005-0000-0000-000076530000}"/>
    <cellStyle name="Normal 2 2 2 5 2 9 11" xfId="21375" xr:uid="{00000000-0005-0000-0000-000077530000}"/>
    <cellStyle name="Normal 2 2 2 5 2 9 12" xfId="21376" xr:uid="{00000000-0005-0000-0000-000078530000}"/>
    <cellStyle name="Normal 2 2 2 5 2 9 13" xfId="21377" xr:uid="{00000000-0005-0000-0000-000079530000}"/>
    <cellStyle name="Normal 2 2 2 5 2 9 14" xfId="21378" xr:uid="{00000000-0005-0000-0000-00007A530000}"/>
    <cellStyle name="Normal 2 2 2 5 2 9 2" xfId="21379" xr:uid="{00000000-0005-0000-0000-00007B530000}"/>
    <cellStyle name="Normal 2 2 2 5 2 9 2 10" xfId="21380" xr:uid="{00000000-0005-0000-0000-00007C530000}"/>
    <cellStyle name="Normal 2 2 2 5 2 9 2 2" xfId="21381" xr:uid="{00000000-0005-0000-0000-00007D530000}"/>
    <cellStyle name="Normal 2 2 2 5 2 9 2 3" xfId="21382" xr:uid="{00000000-0005-0000-0000-00007E530000}"/>
    <cellStyle name="Normal 2 2 2 5 2 9 2 4" xfId="21383" xr:uid="{00000000-0005-0000-0000-00007F530000}"/>
    <cellStyle name="Normal 2 2 2 5 2 9 2 5" xfId="21384" xr:uid="{00000000-0005-0000-0000-000080530000}"/>
    <cellStyle name="Normal 2 2 2 5 2 9 2 6" xfId="21385" xr:uid="{00000000-0005-0000-0000-000081530000}"/>
    <cellStyle name="Normal 2 2 2 5 2 9 2 7" xfId="21386" xr:uid="{00000000-0005-0000-0000-000082530000}"/>
    <cellStyle name="Normal 2 2 2 5 2 9 2 8" xfId="21387" xr:uid="{00000000-0005-0000-0000-000083530000}"/>
    <cellStyle name="Normal 2 2 2 5 2 9 2 9" xfId="21388" xr:uid="{00000000-0005-0000-0000-000084530000}"/>
    <cellStyle name="Normal 2 2 2 5 2 9 3" xfId="21389" xr:uid="{00000000-0005-0000-0000-000085530000}"/>
    <cellStyle name="Normal 2 2 2 5 2 9 3 10" xfId="21390" xr:uid="{00000000-0005-0000-0000-000086530000}"/>
    <cellStyle name="Normal 2 2 2 5 2 9 3 2" xfId="21391" xr:uid="{00000000-0005-0000-0000-000087530000}"/>
    <cellStyle name="Normal 2 2 2 5 2 9 3 3" xfId="21392" xr:uid="{00000000-0005-0000-0000-000088530000}"/>
    <cellStyle name="Normal 2 2 2 5 2 9 3 4" xfId="21393" xr:uid="{00000000-0005-0000-0000-000089530000}"/>
    <cellStyle name="Normal 2 2 2 5 2 9 3 5" xfId="21394" xr:uid="{00000000-0005-0000-0000-00008A530000}"/>
    <cellStyle name="Normal 2 2 2 5 2 9 3 6" xfId="21395" xr:uid="{00000000-0005-0000-0000-00008B530000}"/>
    <cellStyle name="Normal 2 2 2 5 2 9 3 7" xfId="21396" xr:uid="{00000000-0005-0000-0000-00008C530000}"/>
    <cellStyle name="Normal 2 2 2 5 2 9 3 8" xfId="21397" xr:uid="{00000000-0005-0000-0000-00008D530000}"/>
    <cellStyle name="Normal 2 2 2 5 2 9 3 9" xfId="21398" xr:uid="{00000000-0005-0000-0000-00008E530000}"/>
    <cellStyle name="Normal 2 2 2 5 2 9 4" xfId="21399" xr:uid="{00000000-0005-0000-0000-00008F530000}"/>
    <cellStyle name="Normal 2 2 2 5 2 9 4 10" xfId="21400" xr:uid="{00000000-0005-0000-0000-000090530000}"/>
    <cellStyle name="Normal 2 2 2 5 2 9 4 2" xfId="21401" xr:uid="{00000000-0005-0000-0000-000091530000}"/>
    <cellStyle name="Normal 2 2 2 5 2 9 4 3" xfId="21402" xr:uid="{00000000-0005-0000-0000-000092530000}"/>
    <cellStyle name="Normal 2 2 2 5 2 9 4 4" xfId="21403" xr:uid="{00000000-0005-0000-0000-000093530000}"/>
    <cellStyle name="Normal 2 2 2 5 2 9 4 5" xfId="21404" xr:uid="{00000000-0005-0000-0000-000094530000}"/>
    <cellStyle name="Normal 2 2 2 5 2 9 4 6" xfId="21405" xr:uid="{00000000-0005-0000-0000-000095530000}"/>
    <cellStyle name="Normal 2 2 2 5 2 9 4 7" xfId="21406" xr:uid="{00000000-0005-0000-0000-000096530000}"/>
    <cellStyle name="Normal 2 2 2 5 2 9 4 8" xfId="21407" xr:uid="{00000000-0005-0000-0000-000097530000}"/>
    <cellStyle name="Normal 2 2 2 5 2 9 4 9" xfId="21408" xr:uid="{00000000-0005-0000-0000-000098530000}"/>
    <cellStyle name="Normal 2 2 2 5 2 9 5" xfId="21409" xr:uid="{00000000-0005-0000-0000-000099530000}"/>
    <cellStyle name="Normal 2 2 2 5 2 9 5 10" xfId="21410" xr:uid="{00000000-0005-0000-0000-00009A530000}"/>
    <cellStyle name="Normal 2 2 2 5 2 9 5 2" xfId="21411" xr:uid="{00000000-0005-0000-0000-00009B530000}"/>
    <cellStyle name="Normal 2 2 2 5 2 9 5 3" xfId="21412" xr:uid="{00000000-0005-0000-0000-00009C530000}"/>
    <cellStyle name="Normal 2 2 2 5 2 9 5 4" xfId="21413" xr:uid="{00000000-0005-0000-0000-00009D530000}"/>
    <cellStyle name="Normal 2 2 2 5 2 9 5 5" xfId="21414" xr:uid="{00000000-0005-0000-0000-00009E530000}"/>
    <cellStyle name="Normal 2 2 2 5 2 9 5 6" xfId="21415" xr:uid="{00000000-0005-0000-0000-00009F530000}"/>
    <cellStyle name="Normal 2 2 2 5 2 9 5 7" xfId="21416" xr:uid="{00000000-0005-0000-0000-0000A0530000}"/>
    <cellStyle name="Normal 2 2 2 5 2 9 5 8" xfId="21417" xr:uid="{00000000-0005-0000-0000-0000A1530000}"/>
    <cellStyle name="Normal 2 2 2 5 2 9 5 9" xfId="21418" xr:uid="{00000000-0005-0000-0000-0000A2530000}"/>
    <cellStyle name="Normal 2 2 2 5 2 9 6" xfId="21419" xr:uid="{00000000-0005-0000-0000-0000A3530000}"/>
    <cellStyle name="Normal 2 2 2 5 2 9 7" xfId="21420" xr:uid="{00000000-0005-0000-0000-0000A4530000}"/>
    <cellStyle name="Normal 2 2 2 5 2 9 8" xfId="21421" xr:uid="{00000000-0005-0000-0000-0000A5530000}"/>
    <cellStyle name="Normal 2 2 2 5 2 9 9" xfId="21422" xr:uid="{00000000-0005-0000-0000-0000A6530000}"/>
    <cellStyle name="Normal 2 2 2 5 20" xfId="21423" xr:uid="{00000000-0005-0000-0000-0000A7530000}"/>
    <cellStyle name="Normal 2 2 2 5 21" xfId="21424" xr:uid="{00000000-0005-0000-0000-0000A8530000}"/>
    <cellStyle name="Normal 2 2 2 5 21 10" xfId="21425" xr:uid="{00000000-0005-0000-0000-0000A9530000}"/>
    <cellStyle name="Normal 2 2 2 5 21 2" xfId="21426" xr:uid="{00000000-0005-0000-0000-0000AA530000}"/>
    <cellStyle name="Normal 2 2 2 5 21 3" xfId="21427" xr:uid="{00000000-0005-0000-0000-0000AB530000}"/>
    <cellStyle name="Normal 2 2 2 5 21 4" xfId="21428" xr:uid="{00000000-0005-0000-0000-0000AC530000}"/>
    <cellStyle name="Normal 2 2 2 5 21 5" xfId="21429" xr:uid="{00000000-0005-0000-0000-0000AD530000}"/>
    <cellStyle name="Normal 2 2 2 5 21 6" xfId="21430" xr:uid="{00000000-0005-0000-0000-0000AE530000}"/>
    <cellStyle name="Normal 2 2 2 5 21 7" xfId="21431" xr:uid="{00000000-0005-0000-0000-0000AF530000}"/>
    <cellStyle name="Normal 2 2 2 5 21 8" xfId="21432" xr:uid="{00000000-0005-0000-0000-0000B0530000}"/>
    <cellStyle name="Normal 2 2 2 5 21 9" xfId="21433" xr:uid="{00000000-0005-0000-0000-0000B1530000}"/>
    <cellStyle name="Normal 2 2 2 5 22" xfId="21434" xr:uid="{00000000-0005-0000-0000-0000B2530000}"/>
    <cellStyle name="Normal 2 2 2 5 22 10" xfId="21435" xr:uid="{00000000-0005-0000-0000-0000B3530000}"/>
    <cellStyle name="Normal 2 2 2 5 22 2" xfId="21436" xr:uid="{00000000-0005-0000-0000-0000B4530000}"/>
    <cellStyle name="Normal 2 2 2 5 22 3" xfId="21437" xr:uid="{00000000-0005-0000-0000-0000B5530000}"/>
    <cellStyle name="Normal 2 2 2 5 22 4" xfId="21438" xr:uid="{00000000-0005-0000-0000-0000B6530000}"/>
    <cellStyle name="Normal 2 2 2 5 22 5" xfId="21439" xr:uid="{00000000-0005-0000-0000-0000B7530000}"/>
    <cellStyle name="Normal 2 2 2 5 22 6" xfId="21440" xr:uid="{00000000-0005-0000-0000-0000B8530000}"/>
    <cellStyle name="Normal 2 2 2 5 22 7" xfId="21441" xr:uid="{00000000-0005-0000-0000-0000B9530000}"/>
    <cellStyle name="Normal 2 2 2 5 22 8" xfId="21442" xr:uid="{00000000-0005-0000-0000-0000BA530000}"/>
    <cellStyle name="Normal 2 2 2 5 22 9" xfId="21443" xr:uid="{00000000-0005-0000-0000-0000BB530000}"/>
    <cellStyle name="Normal 2 2 2 5 23" xfId="21444" xr:uid="{00000000-0005-0000-0000-0000BC530000}"/>
    <cellStyle name="Normal 2 2 2 5 23 10" xfId="21445" xr:uid="{00000000-0005-0000-0000-0000BD530000}"/>
    <cellStyle name="Normal 2 2 2 5 23 2" xfId="21446" xr:uid="{00000000-0005-0000-0000-0000BE530000}"/>
    <cellStyle name="Normal 2 2 2 5 23 3" xfId="21447" xr:uid="{00000000-0005-0000-0000-0000BF530000}"/>
    <cellStyle name="Normal 2 2 2 5 23 4" xfId="21448" xr:uid="{00000000-0005-0000-0000-0000C0530000}"/>
    <cellStyle name="Normal 2 2 2 5 23 5" xfId="21449" xr:uid="{00000000-0005-0000-0000-0000C1530000}"/>
    <cellStyle name="Normal 2 2 2 5 23 6" xfId="21450" xr:uid="{00000000-0005-0000-0000-0000C2530000}"/>
    <cellStyle name="Normal 2 2 2 5 23 7" xfId="21451" xr:uid="{00000000-0005-0000-0000-0000C3530000}"/>
    <cellStyle name="Normal 2 2 2 5 23 8" xfId="21452" xr:uid="{00000000-0005-0000-0000-0000C4530000}"/>
    <cellStyle name="Normal 2 2 2 5 23 9" xfId="21453" xr:uid="{00000000-0005-0000-0000-0000C5530000}"/>
    <cellStyle name="Normal 2 2 2 5 24" xfId="21454" xr:uid="{00000000-0005-0000-0000-0000C6530000}"/>
    <cellStyle name="Normal 2 2 2 5 24 10" xfId="21455" xr:uid="{00000000-0005-0000-0000-0000C7530000}"/>
    <cellStyle name="Normal 2 2 2 5 24 2" xfId="21456" xr:uid="{00000000-0005-0000-0000-0000C8530000}"/>
    <cellStyle name="Normal 2 2 2 5 24 3" xfId="21457" xr:uid="{00000000-0005-0000-0000-0000C9530000}"/>
    <cellStyle name="Normal 2 2 2 5 24 4" xfId="21458" xr:uid="{00000000-0005-0000-0000-0000CA530000}"/>
    <cellStyle name="Normal 2 2 2 5 24 5" xfId="21459" xr:uid="{00000000-0005-0000-0000-0000CB530000}"/>
    <cellStyle name="Normal 2 2 2 5 24 6" xfId="21460" xr:uid="{00000000-0005-0000-0000-0000CC530000}"/>
    <cellStyle name="Normal 2 2 2 5 24 7" xfId="21461" xr:uid="{00000000-0005-0000-0000-0000CD530000}"/>
    <cellStyle name="Normal 2 2 2 5 24 8" xfId="21462" xr:uid="{00000000-0005-0000-0000-0000CE530000}"/>
    <cellStyle name="Normal 2 2 2 5 24 9" xfId="21463" xr:uid="{00000000-0005-0000-0000-0000CF530000}"/>
    <cellStyle name="Normal 2 2 2 5 25" xfId="21464" xr:uid="{00000000-0005-0000-0000-0000D0530000}"/>
    <cellStyle name="Normal 2 2 2 5 26" xfId="21465" xr:uid="{00000000-0005-0000-0000-0000D1530000}"/>
    <cellStyle name="Normal 2 2 2 5 27" xfId="21466" xr:uid="{00000000-0005-0000-0000-0000D2530000}"/>
    <cellStyle name="Normal 2 2 2 5 28" xfId="21467" xr:uid="{00000000-0005-0000-0000-0000D3530000}"/>
    <cellStyle name="Normal 2 2 2 5 29" xfId="21468" xr:uid="{00000000-0005-0000-0000-0000D4530000}"/>
    <cellStyle name="Normal 2 2 2 5 3" xfId="21469" xr:uid="{00000000-0005-0000-0000-0000D5530000}"/>
    <cellStyle name="Normal 2 2 2 5 30" xfId="21470" xr:uid="{00000000-0005-0000-0000-0000D6530000}"/>
    <cellStyle name="Normal 2 2 2 5 31" xfId="21471" xr:uid="{00000000-0005-0000-0000-0000D7530000}"/>
    <cellStyle name="Normal 2 2 2 5 32" xfId="21472" xr:uid="{00000000-0005-0000-0000-0000D8530000}"/>
    <cellStyle name="Normal 2 2 2 5 33" xfId="21473" xr:uid="{00000000-0005-0000-0000-0000D9530000}"/>
    <cellStyle name="Normal 2 2 2 5 34" xfId="21474" xr:uid="{00000000-0005-0000-0000-0000DA530000}"/>
    <cellStyle name="Normal 2 2 2 5 35" xfId="21475" xr:uid="{00000000-0005-0000-0000-0000DB530000}"/>
    <cellStyle name="Normal 2 2 2 5 4" xfId="21476" xr:uid="{00000000-0005-0000-0000-0000DC530000}"/>
    <cellStyle name="Normal 2 2 2 5 5" xfId="21477" xr:uid="{00000000-0005-0000-0000-0000DD530000}"/>
    <cellStyle name="Normal 2 2 2 5 6" xfId="21478" xr:uid="{00000000-0005-0000-0000-0000DE530000}"/>
    <cellStyle name="Normal 2 2 2 5 7" xfId="21479" xr:uid="{00000000-0005-0000-0000-0000DF530000}"/>
    <cellStyle name="Normal 2 2 2 5 8" xfId="21480" xr:uid="{00000000-0005-0000-0000-0000E0530000}"/>
    <cellStyle name="Normal 2 2 2 5 9" xfId="21481" xr:uid="{00000000-0005-0000-0000-0000E1530000}"/>
    <cellStyle name="Normal 2 2 2 50" xfId="21482" xr:uid="{00000000-0005-0000-0000-0000E2530000}"/>
    <cellStyle name="Normal 2 2 2 51" xfId="21483" xr:uid="{00000000-0005-0000-0000-0000E3530000}"/>
    <cellStyle name="Normal 2 2 2 6" xfId="21484" xr:uid="{00000000-0005-0000-0000-0000E4530000}"/>
    <cellStyle name="Normal 2 2 2 6 10" xfId="21485" xr:uid="{00000000-0005-0000-0000-0000E5530000}"/>
    <cellStyle name="Normal 2 2 2 6 11" xfId="21486" xr:uid="{00000000-0005-0000-0000-0000E6530000}"/>
    <cellStyle name="Normal 2 2 2 6 12" xfId="21487" xr:uid="{00000000-0005-0000-0000-0000E7530000}"/>
    <cellStyle name="Normal 2 2 2 6 13" xfId="21488" xr:uid="{00000000-0005-0000-0000-0000E8530000}"/>
    <cellStyle name="Normal 2 2 2 6 14" xfId="21489" xr:uid="{00000000-0005-0000-0000-0000E9530000}"/>
    <cellStyle name="Normal 2 2 2 6 15" xfId="21490" xr:uid="{00000000-0005-0000-0000-0000EA530000}"/>
    <cellStyle name="Normal 2 2 2 6 16" xfId="21491" xr:uid="{00000000-0005-0000-0000-0000EB530000}"/>
    <cellStyle name="Normal 2 2 2 6 2" xfId="21492" xr:uid="{00000000-0005-0000-0000-0000EC530000}"/>
    <cellStyle name="Normal 2 2 2 6 2 10" xfId="21493" xr:uid="{00000000-0005-0000-0000-0000ED530000}"/>
    <cellStyle name="Normal 2 2 2 6 2 2" xfId="21494" xr:uid="{00000000-0005-0000-0000-0000EE530000}"/>
    <cellStyle name="Normal 2 2 2 6 2 3" xfId="21495" xr:uid="{00000000-0005-0000-0000-0000EF530000}"/>
    <cellStyle name="Normal 2 2 2 6 2 4" xfId="21496" xr:uid="{00000000-0005-0000-0000-0000F0530000}"/>
    <cellStyle name="Normal 2 2 2 6 2 5" xfId="21497" xr:uid="{00000000-0005-0000-0000-0000F1530000}"/>
    <cellStyle name="Normal 2 2 2 6 2 6" xfId="21498" xr:uid="{00000000-0005-0000-0000-0000F2530000}"/>
    <cellStyle name="Normal 2 2 2 6 2 7" xfId="21499" xr:uid="{00000000-0005-0000-0000-0000F3530000}"/>
    <cellStyle name="Normal 2 2 2 6 2 8" xfId="21500" xr:uid="{00000000-0005-0000-0000-0000F4530000}"/>
    <cellStyle name="Normal 2 2 2 6 2 9" xfId="21501" xr:uid="{00000000-0005-0000-0000-0000F5530000}"/>
    <cellStyle name="Normal 2 2 2 6 3" xfId="21502" xr:uid="{00000000-0005-0000-0000-0000F6530000}"/>
    <cellStyle name="Normal 2 2 2 6 3 10" xfId="21503" xr:uid="{00000000-0005-0000-0000-0000F7530000}"/>
    <cellStyle name="Normal 2 2 2 6 3 2" xfId="21504" xr:uid="{00000000-0005-0000-0000-0000F8530000}"/>
    <cellStyle name="Normal 2 2 2 6 3 3" xfId="21505" xr:uid="{00000000-0005-0000-0000-0000F9530000}"/>
    <cellStyle name="Normal 2 2 2 6 3 4" xfId="21506" xr:uid="{00000000-0005-0000-0000-0000FA530000}"/>
    <cellStyle name="Normal 2 2 2 6 3 5" xfId="21507" xr:uid="{00000000-0005-0000-0000-0000FB530000}"/>
    <cellStyle name="Normal 2 2 2 6 3 6" xfId="21508" xr:uid="{00000000-0005-0000-0000-0000FC530000}"/>
    <cellStyle name="Normal 2 2 2 6 3 7" xfId="21509" xr:uid="{00000000-0005-0000-0000-0000FD530000}"/>
    <cellStyle name="Normal 2 2 2 6 3 8" xfId="21510" xr:uid="{00000000-0005-0000-0000-0000FE530000}"/>
    <cellStyle name="Normal 2 2 2 6 3 9" xfId="21511" xr:uid="{00000000-0005-0000-0000-0000FF530000}"/>
    <cellStyle name="Normal 2 2 2 6 4" xfId="21512" xr:uid="{00000000-0005-0000-0000-000000540000}"/>
    <cellStyle name="Normal 2 2 2 6 4 10" xfId="21513" xr:uid="{00000000-0005-0000-0000-000001540000}"/>
    <cellStyle name="Normal 2 2 2 6 4 2" xfId="21514" xr:uid="{00000000-0005-0000-0000-000002540000}"/>
    <cellStyle name="Normal 2 2 2 6 4 3" xfId="21515" xr:uid="{00000000-0005-0000-0000-000003540000}"/>
    <cellStyle name="Normal 2 2 2 6 4 4" xfId="21516" xr:uid="{00000000-0005-0000-0000-000004540000}"/>
    <cellStyle name="Normal 2 2 2 6 4 5" xfId="21517" xr:uid="{00000000-0005-0000-0000-000005540000}"/>
    <cellStyle name="Normal 2 2 2 6 4 6" xfId="21518" xr:uid="{00000000-0005-0000-0000-000006540000}"/>
    <cellStyle name="Normal 2 2 2 6 4 7" xfId="21519" xr:uid="{00000000-0005-0000-0000-000007540000}"/>
    <cellStyle name="Normal 2 2 2 6 4 8" xfId="21520" xr:uid="{00000000-0005-0000-0000-000008540000}"/>
    <cellStyle name="Normal 2 2 2 6 4 9" xfId="21521" xr:uid="{00000000-0005-0000-0000-000009540000}"/>
    <cellStyle name="Normal 2 2 2 6 5" xfId="21522" xr:uid="{00000000-0005-0000-0000-00000A540000}"/>
    <cellStyle name="Normal 2 2 2 6 5 10" xfId="21523" xr:uid="{00000000-0005-0000-0000-00000B540000}"/>
    <cellStyle name="Normal 2 2 2 6 5 2" xfId="21524" xr:uid="{00000000-0005-0000-0000-00000C540000}"/>
    <cellStyle name="Normal 2 2 2 6 5 3" xfId="21525" xr:uid="{00000000-0005-0000-0000-00000D540000}"/>
    <cellStyle name="Normal 2 2 2 6 5 4" xfId="21526" xr:uid="{00000000-0005-0000-0000-00000E540000}"/>
    <cellStyle name="Normal 2 2 2 6 5 5" xfId="21527" xr:uid="{00000000-0005-0000-0000-00000F540000}"/>
    <cellStyle name="Normal 2 2 2 6 5 6" xfId="21528" xr:uid="{00000000-0005-0000-0000-000010540000}"/>
    <cellStyle name="Normal 2 2 2 6 5 7" xfId="21529" xr:uid="{00000000-0005-0000-0000-000011540000}"/>
    <cellStyle name="Normal 2 2 2 6 5 8" xfId="21530" xr:uid="{00000000-0005-0000-0000-000012540000}"/>
    <cellStyle name="Normal 2 2 2 6 5 9" xfId="21531" xr:uid="{00000000-0005-0000-0000-000013540000}"/>
    <cellStyle name="Normal 2 2 2 6 6" xfId="21532" xr:uid="{00000000-0005-0000-0000-000014540000}"/>
    <cellStyle name="Normal 2 2 2 6 7" xfId="21533" xr:uid="{00000000-0005-0000-0000-000015540000}"/>
    <cellStyle name="Normal 2 2 2 6 8" xfId="21534" xr:uid="{00000000-0005-0000-0000-000016540000}"/>
    <cellStyle name="Normal 2 2 2 6 9" xfId="21535" xr:uid="{00000000-0005-0000-0000-000017540000}"/>
    <cellStyle name="Normal 2 2 2 7" xfId="21536" xr:uid="{00000000-0005-0000-0000-000018540000}"/>
    <cellStyle name="Normal 2 2 2 7 10" xfId="21537" xr:uid="{00000000-0005-0000-0000-000019540000}"/>
    <cellStyle name="Normal 2 2 2 7 11" xfId="21538" xr:uid="{00000000-0005-0000-0000-00001A540000}"/>
    <cellStyle name="Normal 2 2 2 7 12" xfId="21539" xr:uid="{00000000-0005-0000-0000-00001B540000}"/>
    <cellStyle name="Normal 2 2 2 7 13" xfId="21540" xr:uid="{00000000-0005-0000-0000-00001C540000}"/>
    <cellStyle name="Normal 2 2 2 7 14" xfId="21541" xr:uid="{00000000-0005-0000-0000-00001D540000}"/>
    <cellStyle name="Normal 2 2 2 7 15" xfId="21542" xr:uid="{00000000-0005-0000-0000-00001E540000}"/>
    <cellStyle name="Normal 2 2 2 7 16" xfId="21543" xr:uid="{00000000-0005-0000-0000-00001F540000}"/>
    <cellStyle name="Normal 2 2 2 7 2" xfId="21544" xr:uid="{00000000-0005-0000-0000-000020540000}"/>
    <cellStyle name="Normal 2 2 2 7 2 10" xfId="21545" xr:uid="{00000000-0005-0000-0000-000021540000}"/>
    <cellStyle name="Normal 2 2 2 7 2 2" xfId="21546" xr:uid="{00000000-0005-0000-0000-000022540000}"/>
    <cellStyle name="Normal 2 2 2 7 2 3" xfId="21547" xr:uid="{00000000-0005-0000-0000-000023540000}"/>
    <cellStyle name="Normal 2 2 2 7 2 4" xfId="21548" xr:uid="{00000000-0005-0000-0000-000024540000}"/>
    <cellStyle name="Normal 2 2 2 7 2 5" xfId="21549" xr:uid="{00000000-0005-0000-0000-000025540000}"/>
    <cellStyle name="Normal 2 2 2 7 2 6" xfId="21550" xr:uid="{00000000-0005-0000-0000-000026540000}"/>
    <cellStyle name="Normal 2 2 2 7 2 7" xfId="21551" xr:uid="{00000000-0005-0000-0000-000027540000}"/>
    <cellStyle name="Normal 2 2 2 7 2 8" xfId="21552" xr:uid="{00000000-0005-0000-0000-000028540000}"/>
    <cellStyle name="Normal 2 2 2 7 2 9" xfId="21553" xr:uid="{00000000-0005-0000-0000-000029540000}"/>
    <cellStyle name="Normal 2 2 2 7 3" xfId="21554" xr:uid="{00000000-0005-0000-0000-00002A540000}"/>
    <cellStyle name="Normal 2 2 2 7 3 10" xfId="21555" xr:uid="{00000000-0005-0000-0000-00002B540000}"/>
    <cellStyle name="Normal 2 2 2 7 3 2" xfId="21556" xr:uid="{00000000-0005-0000-0000-00002C540000}"/>
    <cellStyle name="Normal 2 2 2 7 3 3" xfId="21557" xr:uid="{00000000-0005-0000-0000-00002D540000}"/>
    <cellStyle name="Normal 2 2 2 7 3 4" xfId="21558" xr:uid="{00000000-0005-0000-0000-00002E540000}"/>
    <cellStyle name="Normal 2 2 2 7 3 5" xfId="21559" xr:uid="{00000000-0005-0000-0000-00002F540000}"/>
    <cellStyle name="Normal 2 2 2 7 3 6" xfId="21560" xr:uid="{00000000-0005-0000-0000-000030540000}"/>
    <cellStyle name="Normal 2 2 2 7 3 7" xfId="21561" xr:uid="{00000000-0005-0000-0000-000031540000}"/>
    <cellStyle name="Normal 2 2 2 7 3 8" xfId="21562" xr:uid="{00000000-0005-0000-0000-000032540000}"/>
    <cellStyle name="Normal 2 2 2 7 3 9" xfId="21563" xr:uid="{00000000-0005-0000-0000-000033540000}"/>
    <cellStyle name="Normal 2 2 2 7 4" xfId="21564" xr:uid="{00000000-0005-0000-0000-000034540000}"/>
    <cellStyle name="Normal 2 2 2 7 4 10" xfId="21565" xr:uid="{00000000-0005-0000-0000-000035540000}"/>
    <cellStyle name="Normal 2 2 2 7 4 2" xfId="21566" xr:uid="{00000000-0005-0000-0000-000036540000}"/>
    <cellStyle name="Normal 2 2 2 7 4 3" xfId="21567" xr:uid="{00000000-0005-0000-0000-000037540000}"/>
    <cellStyle name="Normal 2 2 2 7 4 4" xfId="21568" xr:uid="{00000000-0005-0000-0000-000038540000}"/>
    <cellStyle name="Normal 2 2 2 7 4 5" xfId="21569" xr:uid="{00000000-0005-0000-0000-000039540000}"/>
    <cellStyle name="Normal 2 2 2 7 4 6" xfId="21570" xr:uid="{00000000-0005-0000-0000-00003A540000}"/>
    <cellStyle name="Normal 2 2 2 7 4 7" xfId="21571" xr:uid="{00000000-0005-0000-0000-00003B540000}"/>
    <cellStyle name="Normal 2 2 2 7 4 8" xfId="21572" xr:uid="{00000000-0005-0000-0000-00003C540000}"/>
    <cellStyle name="Normal 2 2 2 7 4 9" xfId="21573" xr:uid="{00000000-0005-0000-0000-00003D540000}"/>
    <cellStyle name="Normal 2 2 2 7 5" xfId="21574" xr:uid="{00000000-0005-0000-0000-00003E540000}"/>
    <cellStyle name="Normal 2 2 2 7 5 10" xfId="21575" xr:uid="{00000000-0005-0000-0000-00003F540000}"/>
    <cellStyle name="Normal 2 2 2 7 5 2" xfId="21576" xr:uid="{00000000-0005-0000-0000-000040540000}"/>
    <cellStyle name="Normal 2 2 2 7 5 3" xfId="21577" xr:uid="{00000000-0005-0000-0000-000041540000}"/>
    <cellStyle name="Normal 2 2 2 7 5 4" xfId="21578" xr:uid="{00000000-0005-0000-0000-000042540000}"/>
    <cellStyle name="Normal 2 2 2 7 5 5" xfId="21579" xr:uid="{00000000-0005-0000-0000-000043540000}"/>
    <cellStyle name="Normal 2 2 2 7 5 6" xfId="21580" xr:uid="{00000000-0005-0000-0000-000044540000}"/>
    <cellStyle name="Normal 2 2 2 7 5 7" xfId="21581" xr:uid="{00000000-0005-0000-0000-000045540000}"/>
    <cellStyle name="Normal 2 2 2 7 5 8" xfId="21582" xr:uid="{00000000-0005-0000-0000-000046540000}"/>
    <cellStyle name="Normal 2 2 2 7 5 9" xfId="21583" xr:uid="{00000000-0005-0000-0000-000047540000}"/>
    <cellStyle name="Normal 2 2 2 7 6" xfId="21584" xr:uid="{00000000-0005-0000-0000-000048540000}"/>
    <cellStyle name="Normal 2 2 2 7 7" xfId="21585" xr:uid="{00000000-0005-0000-0000-000049540000}"/>
    <cellStyle name="Normal 2 2 2 7 8" xfId="21586" xr:uid="{00000000-0005-0000-0000-00004A540000}"/>
    <cellStyle name="Normal 2 2 2 7 9" xfId="21587" xr:uid="{00000000-0005-0000-0000-00004B540000}"/>
    <cellStyle name="Normal 2 2 2 8" xfId="21588" xr:uid="{00000000-0005-0000-0000-00004C540000}"/>
    <cellStyle name="Normal 2 2 2 8 10" xfId="21589" xr:uid="{00000000-0005-0000-0000-00004D540000}"/>
    <cellStyle name="Normal 2 2 2 8 11" xfId="21590" xr:uid="{00000000-0005-0000-0000-00004E540000}"/>
    <cellStyle name="Normal 2 2 2 8 12" xfId="21591" xr:uid="{00000000-0005-0000-0000-00004F540000}"/>
    <cellStyle name="Normal 2 2 2 8 13" xfId="21592" xr:uid="{00000000-0005-0000-0000-000050540000}"/>
    <cellStyle name="Normal 2 2 2 8 14" xfId="21593" xr:uid="{00000000-0005-0000-0000-000051540000}"/>
    <cellStyle name="Normal 2 2 2 8 2" xfId="21594" xr:uid="{00000000-0005-0000-0000-000052540000}"/>
    <cellStyle name="Normal 2 2 2 8 2 10" xfId="21595" xr:uid="{00000000-0005-0000-0000-000053540000}"/>
    <cellStyle name="Normal 2 2 2 8 2 2" xfId="21596" xr:uid="{00000000-0005-0000-0000-000054540000}"/>
    <cellStyle name="Normal 2 2 2 8 2 3" xfId="21597" xr:uid="{00000000-0005-0000-0000-000055540000}"/>
    <cellStyle name="Normal 2 2 2 8 2 4" xfId="21598" xr:uid="{00000000-0005-0000-0000-000056540000}"/>
    <cellStyle name="Normal 2 2 2 8 2 5" xfId="21599" xr:uid="{00000000-0005-0000-0000-000057540000}"/>
    <cellStyle name="Normal 2 2 2 8 2 6" xfId="21600" xr:uid="{00000000-0005-0000-0000-000058540000}"/>
    <cellStyle name="Normal 2 2 2 8 2 7" xfId="21601" xr:uid="{00000000-0005-0000-0000-000059540000}"/>
    <cellStyle name="Normal 2 2 2 8 2 8" xfId="21602" xr:uid="{00000000-0005-0000-0000-00005A540000}"/>
    <cellStyle name="Normal 2 2 2 8 2 9" xfId="21603" xr:uid="{00000000-0005-0000-0000-00005B540000}"/>
    <cellStyle name="Normal 2 2 2 8 3" xfId="21604" xr:uid="{00000000-0005-0000-0000-00005C540000}"/>
    <cellStyle name="Normal 2 2 2 8 3 10" xfId="21605" xr:uid="{00000000-0005-0000-0000-00005D540000}"/>
    <cellStyle name="Normal 2 2 2 8 3 2" xfId="21606" xr:uid="{00000000-0005-0000-0000-00005E540000}"/>
    <cellStyle name="Normal 2 2 2 8 3 3" xfId="21607" xr:uid="{00000000-0005-0000-0000-00005F540000}"/>
    <cellStyle name="Normal 2 2 2 8 3 4" xfId="21608" xr:uid="{00000000-0005-0000-0000-000060540000}"/>
    <cellStyle name="Normal 2 2 2 8 3 5" xfId="21609" xr:uid="{00000000-0005-0000-0000-000061540000}"/>
    <cellStyle name="Normal 2 2 2 8 3 6" xfId="21610" xr:uid="{00000000-0005-0000-0000-000062540000}"/>
    <cellStyle name="Normal 2 2 2 8 3 7" xfId="21611" xr:uid="{00000000-0005-0000-0000-000063540000}"/>
    <cellStyle name="Normal 2 2 2 8 3 8" xfId="21612" xr:uid="{00000000-0005-0000-0000-000064540000}"/>
    <cellStyle name="Normal 2 2 2 8 3 9" xfId="21613" xr:uid="{00000000-0005-0000-0000-000065540000}"/>
    <cellStyle name="Normal 2 2 2 8 4" xfId="21614" xr:uid="{00000000-0005-0000-0000-000066540000}"/>
    <cellStyle name="Normal 2 2 2 8 4 10" xfId="21615" xr:uid="{00000000-0005-0000-0000-000067540000}"/>
    <cellStyle name="Normal 2 2 2 8 4 2" xfId="21616" xr:uid="{00000000-0005-0000-0000-000068540000}"/>
    <cellStyle name="Normal 2 2 2 8 4 3" xfId="21617" xr:uid="{00000000-0005-0000-0000-000069540000}"/>
    <cellStyle name="Normal 2 2 2 8 4 4" xfId="21618" xr:uid="{00000000-0005-0000-0000-00006A540000}"/>
    <cellStyle name="Normal 2 2 2 8 4 5" xfId="21619" xr:uid="{00000000-0005-0000-0000-00006B540000}"/>
    <cellStyle name="Normal 2 2 2 8 4 6" xfId="21620" xr:uid="{00000000-0005-0000-0000-00006C540000}"/>
    <cellStyle name="Normal 2 2 2 8 4 7" xfId="21621" xr:uid="{00000000-0005-0000-0000-00006D540000}"/>
    <cellStyle name="Normal 2 2 2 8 4 8" xfId="21622" xr:uid="{00000000-0005-0000-0000-00006E540000}"/>
    <cellStyle name="Normal 2 2 2 8 4 9" xfId="21623" xr:uid="{00000000-0005-0000-0000-00006F540000}"/>
    <cellStyle name="Normal 2 2 2 8 5" xfId="21624" xr:uid="{00000000-0005-0000-0000-000070540000}"/>
    <cellStyle name="Normal 2 2 2 8 5 10" xfId="21625" xr:uid="{00000000-0005-0000-0000-000071540000}"/>
    <cellStyle name="Normal 2 2 2 8 5 2" xfId="21626" xr:uid="{00000000-0005-0000-0000-000072540000}"/>
    <cellStyle name="Normal 2 2 2 8 5 3" xfId="21627" xr:uid="{00000000-0005-0000-0000-000073540000}"/>
    <cellStyle name="Normal 2 2 2 8 5 4" xfId="21628" xr:uid="{00000000-0005-0000-0000-000074540000}"/>
    <cellStyle name="Normal 2 2 2 8 5 5" xfId="21629" xr:uid="{00000000-0005-0000-0000-000075540000}"/>
    <cellStyle name="Normal 2 2 2 8 5 6" xfId="21630" xr:uid="{00000000-0005-0000-0000-000076540000}"/>
    <cellStyle name="Normal 2 2 2 8 5 7" xfId="21631" xr:uid="{00000000-0005-0000-0000-000077540000}"/>
    <cellStyle name="Normal 2 2 2 8 5 8" xfId="21632" xr:uid="{00000000-0005-0000-0000-000078540000}"/>
    <cellStyle name="Normal 2 2 2 8 5 9" xfId="21633" xr:uid="{00000000-0005-0000-0000-000079540000}"/>
    <cellStyle name="Normal 2 2 2 8 6" xfId="21634" xr:uid="{00000000-0005-0000-0000-00007A540000}"/>
    <cellStyle name="Normal 2 2 2 8 7" xfId="21635" xr:uid="{00000000-0005-0000-0000-00007B540000}"/>
    <cellStyle name="Normal 2 2 2 8 8" xfId="21636" xr:uid="{00000000-0005-0000-0000-00007C540000}"/>
    <cellStyle name="Normal 2 2 2 8 9" xfId="21637" xr:uid="{00000000-0005-0000-0000-00007D540000}"/>
    <cellStyle name="Normal 2 2 2 9" xfId="21638" xr:uid="{00000000-0005-0000-0000-00007E540000}"/>
    <cellStyle name="Normal 2 2 2 9 10" xfId="21639" xr:uid="{00000000-0005-0000-0000-00007F540000}"/>
    <cellStyle name="Normal 2 2 2 9 11" xfId="21640" xr:uid="{00000000-0005-0000-0000-000080540000}"/>
    <cellStyle name="Normal 2 2 2 9 12" xfId="21641" xr:uid="{00000000-0005-0000-0000-000081540000}"/>
    <cellStyle name="Normal 2 2 2 9 13" xfId="21642" xr:uid="{00000000-0005-0000-0000-000082540000}"/>
    <cellStyle name="Normal 2 2 2 9 14" xfId="21643" xr:uid="{00000000-0005-0000-0000-000083540000}"/>
    <cellStyle name="Normal 2 2 2 9 2" xfId="21644" xr:uid="{00000000-0005-0000-0000-000084540000}"/>
    <cellStyle name="Normal 2 2 2 9 2 10" xfId="21645" xr:uid="{00000000-0005-0000-0000-000085540000}"/>
    <cellStyle name="Normal 2 2 2 9 2 2" xfId="21646" xr:uid="{00000000-0005-0000-0000-000086540000}"/>
    <cellStyle name="Normal 2 2 2 9 2 3" xfId="21647" xr:uid="{00000000-0005-0000-0000-000087540000}"/>
    <cellStyle name="Normal 2 2 2 9 2 4" xfId="21648" xr:uid="{00000000-0005-0000-0000-000088540000}"/>
    <cellStyle name="Normal 2 2 2 9 2 5" xfId="21649" xr:uid="{00000000-0005-0000-0000-000089540000}"/>
    <cellStyle name="Normal 2 2 2 9 2 6" xfId="21650" xr:uid="{00000000-0005-0000-0000-00008A540000}"/>
    <cellStyle name="Normal 2 2 2 9 2 7" xfId="21651" xr:uid="{00000000-0005-0000-0000-00008B540000}"/>
    <cellStyle name="Normal 2 2 2 9 2 8" xfId="21652" xr:uid="{00000000-0005-0000-0000-00008C540000}"/>
    <cellStyle name="Normal 2 2 2 9 2 9" xfId="21653" xr:uid="{00000000-0005-0000-0000-00008D540000}"/>
    <cellStyle name="Normal 2 2 2 9 3" xfId="21654" xr:uid="{00000000-0005-0000-0000-00008E540000}"/>
    <cellStyle name="Normal 2 2 2 9 3 10" xfId="21655" xr:uid="{00000000-0005-0000-0000-00008F540000}"/>
    <cellStyle name="Normal 2 2 2 9 3 2" xfId="21656" xr:uid="{00000000-0005-0000-0000-000090540000}"/>
    <cellStyle name="Normal 2 2 2 9 3 3" xfId="21657" xr:uid="{00000000-0005-0000-0000-000091540000}"/>
    <cellStyle name="Normal 2 2 2 9 3 4" xfId="21658" xr:uid="{00000000-0005-0000-0000-000092540000}"/>
    <cellStyle name="Normal 2 2 2 9 3 5" xfId="21659" xr:uid="{00000000-0005-0000-0000-000093540000}"/>
    <cellStyle name="Normal 2 2 2 9 3 6" xfId="21660" xr:uid="{00000000-0005-0000-0000-000094540000}"/>
    <cellStyle name="Normal 2 2 2 9 3 7" xfId="21661" xr:uid="{00000000-0005-0000-0000-000095540000}"/>
    <cellStyle name="Normal 2 2 2 9 3 8" xfId="21662" xr:uid="{00000000-0005-0000-0000-000096540000}"/>
    <cellStyle name="Normal 2 2 2 9 3 9" xfId="21663" xr:uid="{00000000-0005-0000-0000-000097540000}"/>
    <cellStyle name="Normal 2 2 2 9 4" xfId="21664" xr:uid="{00000000-0005-0000-0000-000098540000}"/>
    <cellStyle name="Normal 2 2 2 9 4 10" xfId="21665" xr:uid="{00000000-0005-0000-0000-000099540000}"/>
    <cellStyle name="Normal 2 2 2 9 4 2" xfId="21666" xr:uid="{00000000-0005-0000-0000-00009A540000}"/>
    <cellStyle name="Normal 2 2 2 9 4 3" xfId="21667" xr:uid="{00000000-0005-0000-0000-00009B540000}"/>
    <cellStyle name="Normal 2 2 2 9 4 4" xfId="21668" xr:uid="{00000000-0005-0000-0000-00009C540000}"/>
    <cellStyle name="Normal 2 2 2 9 4 5" xfId="21669" xr:uid="{00000000-0005-0000-0000-00009D540000}"/>
    <cellStyle name="Normal 2 2 2 9 4 6" xfId="21670" xr:uid="{00000000-0005-0000-0000-00009E540000}"/>
    <cellStyle name="Normal 2 2 2 9 4 7" xfId="21671" xr:uid="{00000000-0005-0000-0000-00009F540000}"/>
    <cellStyle name="Normal 2 2 2 9 4 8" xfId="21672" xr:uid="{00000000-0005-0000-0000-0000A0540000}"/>
    <cellStyle name="Normal 2 2 2 9 4 9" xfId="21673" xr:uid="{00000000-0005-0000-0000-0000A1540000}"/>
    <cellStyle name="Normal 2 2 2 9 5" xfId="21674" xr:uid="{00000000-0005-0000-0000-0000A2540000}"/>
    <cellStyle name="Normal 2 2 2 9 5 10" xfId="21675" xr:uid="{00000000-0005-0000-0000-0000A3540000}"/>
    <cellStyle name="Normal 2 2 2 9 5 2" xfId="21676" xr:uid="{00000000-0005-0000-0000-0000A4540000}"/>
    <cellStyle name="Normal 2 2 2 9 5 3" xfId="21677" xr:uid="{00000000-0005-0000-0000-0000A5540000}"/>
    <cellStyle name="Normal 2 2 2 9 5 4" xfId="21678" xr:uid="{00000000-0005-0000-0000-0000A6540000}"/>
    <cellStyle name="Normal 2 2 2 9 5 5" xfId="21679" xr:uid="{00000000-0005-0000-0000-0000A7540000}"/>
    <cellStyle name="Normal 2 2 2 9 5 6" xfId="21680" xr:uid="{00000000-0005-0000-0000-0000A8540000}"/>
    <cellStyle name="Normal 2 2 2 9 5 7" xfId="21681" xr:uid="{00000000-0005-0000-0000-0000A9540000}"/>
    <cellStyle name="Normal 2 2 2 9 5 8" xfId="21682" xr:uid="{00000000-0005-0000-0000-0000AA540000}"/>
    <cellStyle name="Normal 2 2 2 9 5 9" xfId="21683" xr:uid="{00000000-0005-0000-0000-0000AB540000}"/>
    <cellStyle name="Normal 2 2 2 9 6" xfId="21684" xr:uid="{00000000-0005-0000-0000-0000AC540000}"/>
    <cellStyle name="Normal 2 2 2 9 7" xfId="21685" xr:uid="{00000000-0005-0000-0000-0000AD540000}"/>
    <cellStyle name="Normal 2 2 2 9 8" xfId="21686" xr:uid="{00000000-0005-0000-0000-0000AE540000}"/>
    <cellStyle name="Normal 2 2 2 9 9" xfId="21687" xr:uid="{00000000-0005-0000-0000-0000AF540000}"/>
    <cellStyle name="Normal 2 2 20" xfId="21688" xr:uid="{00000000-0005-0000-0000-0000B0540000}"/>
    <cellStyle name="Normal 2 2 21" xfId="21689" xr:uid="{00000000-0005-0000-0000-0000B1540000}"/>
    <cellStyle name="Normal 2 2 22" xfId="21690" xr:uid="{00000000-0005-0000-0000-0000B2540000}"/>
    <cellStyle name="Normal 2 2 23" xfId="21691" xr:uid="{00000000-0005-0000-0000-0000B3540000}"/>
    <cellStyle name="Normal 2 2 24" xfId="21692" xr:uid="{00000000-0005-0000-0000-0000B4540000}"/>
    <cellStyle name="Normal 2 2 25" xfId="21693" xr:uid="{00000000-0005-0000-0000-0000B5540000}"/>
    <cellStyle name="Normal 2 2 26" xfId="21694" xr:uid="{00000000-0005-0000-0000-0000B6540000}"/>
    <cellStyle name="Normal 2 2 27" xfId="21695" xr:uid="{00000000-0005-0000-0000-0000B7540000}"/>
    <cellStyle name="Normal 2 2 28" xfId="21696" xr:uid="{00000000-0005-0000-0000-0000B8540000}"/>
    <cellStyle name="Normal 2 2 29" xfId="21697" xr:uid="{00000000-0005-0000-0000-0000B9540000}"/>
    <cellStyle name="Normal 2 2 3" xfId="21698" xr:uid="{00000000-0005-0000-0000-0000BA540000}"/>
    <cellStyle name="Normal 2 2 3 2" xfId="21699" xr:uid="{00000000-0005-0000-0000-0000BB540000}"/>
    <cellStyle name="Normal 2 2 3 3" xfId="21700" xr:uid="{00000000-0005-0000-0000-0000BC540000}"/>
    <cellStyle name="Normal 2 2 3 4" xfId="21701" xr:uid="{00000000-0005-0000-0000-0000BD540000}"/>
    <cellStyle name="Normal 2 2 30" xfId="21702" xr:uid="{00000000-0005-0000-0000-0000BE540000}"/>
    <cellStyle name="Normal 2 2 31" xfId="21703" xr:uid="{00000000-0005-0000-0000-0000BF540000}"/>
    <cellStyle name="Normal 2 2 32" xfId="21704" xr:uid="{00000000-0005-0000-0000-0000C0540000}"/>
    <cellStyle name="Normal 2 2 33" xfId="21705" xr:uid="{00000000-0005-0000-0000-0000C1540000}"/>
    <cellStyle name="Normal 2 2 34" xfId="21706" xr:uid="{00000000-0005-0000-0000-0000C2540000}"/>
    <cellStyle name="Normal 2 2 35" xfId="21707" xr:uid="{00000000-0005-0000-0000-0000C3540000}"/>
    <cellStyle name="Normal 2 2 36" xfId="21708" xr:uid="{00000000-0005-0000-0000-0000C4540000}"/>
    <cellStyle name="Normal 2 2 37" xfId="21709" xr:uid="{00000000-0005-0000-0000-0000C5540000}"/>
    <cellStyle name="Normal 2 2 38" xfId="21710" xr:uid="{00000000-0005-0000-0000-0000C6540000}"/>
    <cellStyle name="Normal 2 2 39" xfId="21711" xr:uid="{00000000-0005-0000-0000-0000C7540000}"/>
    <cellStyle name="Normal 2 2 4" xfId="17" xr:uid="{00000000-0005-0000-0000-0000C8540000}"/>
    <cellStyle name="Normal 2 2 4 10" xfId="21712" xr:uid="{00000000-0005-0000-0000-0000C9540000}"/>
    <cellStyle name="Normal 2 2 4 10 10" xfId="21713" xr:uid="{00000000-0005-0000-0000-0000CA540000}"/>
    <cellStyle name="Normal 2 2 4 10 11" xfId="21714" xr:uid="{00000000-0005-0000-0000-0000CB540000}"/>
    <cellStyle name="Normal 2 2 4 10 12" xfId="21715" xr:uid="{00000000-0005-0000-0000-0000CC540000}"/>
    <cellStyle name="Normal 2 2 4 10 13" xfId="21716" xr:uid="{00000000-0005-0000-0000-0000CD540000}"/>
    <cellStyle name="Normal 2 2 4 10 14" xfId="21717" xr:uid="{00000000-0005-0000-0000-0000CE540000}"/>
    <cellStyle name="Normal 2 2 4 10 2" xfId="21718" xr:uid="{00000000-0005-0000-0000-0000CF540000}"/>
    <cellStyle name="Normal 2 2 4 10 2 10" xfId="21719" xr:uid="{00000000-0005-0000-0000-0000D0540000}"/>
    <cellStyle name="Normal 2 2 4 10 2 2" xfId="21720" xr:uid="{00000000-0005-0000-0000-0000D1540000}"/>
    <cellStyle name="Normal 2 2 4 10 2 3" xfId="21721" xr:uid="{00000000-0005-0000-0000-0000D2540000}"/>
    <cellStyle name="Normal 2 2 4 10 2 4" xfId="21722" xr:uid="{00000000-0005-0000-0000-0000D3540000}"/>
    <cellStyle name="Normal 2 2 4 10 2 5" xfId="21723" xr:uid="{00000000-0005-0000-0000-0000D4540000}"/>
    <cellStyle name="Normal 2 2 4 10 2 6" xfId="21724" xr:uid="{00000000-0005-0000-0000-0000D5540000}"/>
    <cellStyle name="Normal 2 2 4 10 2 7" xfId="21725" xr:uid="{00000000-0005-0000-0000-0000D6540000}"/>
    <cellStyle name="Normal 2 2 4 10 2 8" xfId="21726" xr:uid="{00000000-0005-0000-0000-0000D7540000}"/>
    <cellStyle name="Normal 2 2 4 10 2 9" xfId="21727" xr:uid="{00000000-0005-0000-0000-0000D8540000}"/>
    <cellStyle name="Normal 2 2 4 10 3" xfId="21728" xr:uid="{00000000-0005-0000-0000-0000D9540000}"/>
    <cellStyle name="Normal 2 2 4 10 3 10" xfId="21729" xr:uid="{00000000-0005-0000-0000-0000DA540000}"/>
    <cellStyle name="Normal 2 2 4 10 3 2" xfId="21730" xr:uid="{00000000-0005-0000-0000-0000DB540000}"/>
    <cellStyle name="Normal 2 2 4 10 3 3" xfId="21731" xr:uid="{00000000-0005-0000-0000-0000DC540000}"/>
    <cellStyle name="Normal 2 2 4 10 3 4" xfId="21732" xr:uid="{00000000-0005-0000-0000-0000DD540000}"/>
    <cellStyle name="Normal 2 2 4 10 3 5" xfId="21733" xr:uid="{00000000-0005-0000-0000-0000DE540000}"/>
    <cellStyle name="Normal 2 2 4 10 3 6" xfId="21734" xr:uid="{00000000-0005-0000-0000-0000DF540000}"/>
    <cellStyle name="Normal 2 2 4 10 3 7" xfId="21735" xr:uid="{00000000-0005-0000-0000-0000E0540000}"/>
    <cellStyle name="Normal 2 2 4 10 3 8" xfId="21736" xr:uid="{00000000-0005-0000-0000-0000E1540000}"/>
    <cellStyle name="Normal 2 2 4 10 3 9" xfId="21737" xr:uid="{00000000-0005-0000-0000-0000E2540000}"/>
    <cellStyle name="Normal 2 2 4 10 4" xfId="21738" xr:uid="{00000000-0005-0000-0000-0000E3540000}"/>
    <cellStyle name="Normal 2 2 4 10 4 10" xfId="21739" xr:uid="{00000000-0005-0000-0000-0000E4540000}"/>
    <cellStyle name="Normal 2 2 4 10 4 2" xfId="21740" xr:uid="{00000000-0005-0000-0000-0000E5540000}"/>
    <cellStyle name="Normal 2 2 4 10 4 3" xfId="21741" xr:uid="{00000000-0005-0000-0000-0000E6540000}"/>
    <cellStyle name="Normal 2 2 4 10 4 4" xfId="21742" xr:uid="{00000000-0005-0000-0000-0000E7540000}"/>
    <cellStyle name="Normal 2 2 4 10 4 5" xfId="21743" xr:uid="{00000000-0005-0000-0000-0000E8540000}"/>
    <cellStyle name="Normal 2 2 4 10 4 6" xfId="21744" xr:uid="{00000000-0005-0000-0000-0000E9540000}"/>
    <cellStyle name="Normal 2 2 4 10 4 7" xfId="21745" xr:uid="{00000000-0005-0000-0000-0000EA540000}"/>
    <cellStyle name="Normal 2 2 4 10 4 8" xfId="21746" xr:uid="{00000000-0005-0000-0000-0000EB540000}"/>
    <cellStyle name="Normal 2 2 4 10 4 9" xfId="21747" xr:uid="{00000000-0005-0000-0000-0000EC540000}"/>
    <cellStyle name="Normal 2 2 4 10 5" xfId="21748" xr:uid="{00000000-0005-0000-0000-0000ED540000}"/>
    <cellStyle name="Normal 2 2 4 10 5 10" xfId="21749" xr:uid="{00000000-0005-0000-0000-0000EE540000}"/>
    <cellStyle name="Normal 2 2 4 10 5 2" xfId="21750" xr:uid="{00000000-0005-0000-0000-0000EF540000}"/>
    <cellStyle name="Normal 2 2 4 10 5 3" xfId="21751" xr:uid="{00000000-0005-0000-0000-0000F0540000}"/>
    <cellStyle name="Normal 2 2 4 10 5 4" xfId="21752" xr:uid="{00000000-0005-0000-0000-0000F1540000}"/>
    <cellStyle name="Normal 2 2 4 10 5 5" xfId="21753" xr:uid="{00000000-0005-0000-0000-0000F2540000}"/>
    <cellStyle name="Normal 2 2 4 10 5 6" xfId="21754" xr:uid="{00000000-0005-0000-0000-0000F3540000}"/>
    <cellStyle name="Normal 2 2 4 10 5 7" xfId="21755" xr:uid="{00000000-0005-0000-0000-0000F4540000}"/>
    <cellStyle name="Normal 2 2 4 10 5 8" xfId="21756" xr:uid="{00000000-0005-0000-0000-0000F5540000}"/>
    <cellStyle name="Normal 2 2 4 10 5 9" xfId="21757" xr:uid="{00000000-0005-0000-0000-0000F6540000}"/>
    <cellStyle name="Normal 2 2 4 10 6" xfId="21758" xr:uid="{00000000-0005-0000-0000-0000F7540000}"/>
    <cellStyle name="Normal 2 2 4 10 7" xfId="21759" xr:uid="{00000000-0005-0000-0000-0000F8540000}"/>
    <cellStyle name="Normal 2 2 4 10 8" xfId="21760" xr:uid="{00000000-0005-0000-0000-0000F9540000}"/>
    <cellStyle name="Normal 2 2 4 10 9" xfId="21761" xr:uid="{00000000-0005-0000-0000-0000FA540000}"/>
    <cellStyle name="Normal 2 2 4 11" xfId="21762" xr:uid="{00000000-0005-0000-0000-0000FB540000}"/>
    <cellStyle name="Normal 2 2 4 11 10" xfId="21763" xr:uid="{00000000-0005-0000-0000-0000FC540000}"/>
    <cellStyle name="Normal 2 2 4 11 11" xfId="21764" xr:uid="{00000000-0005-0000-0000-0000FD540000}"/>
    <cellStyle name="Normal 2 2 4 11 12" xfId="21765" xr:uid="{00000000-0005-0000-0000-0000FE540000}"/>
    <cellStyle name="Normal 2 2 4 11 13" xfId="21766" xr:uid="{00000000-0005-0000-0000-0000FF540000}"/>
    <cellStyle name="Normal 2 2 4 11 14" xfId="21767" xr:uid="{00000000-0005-0000-0000-000000550000}"/>
    <cellStyle name="Normal 2 2 4 11 2" xfId="21768" xr:uid="{00000000-0005-0000-0000-000001550000}"/>
    <cellStyle name="Normal 2 2 4 11 2 10" xfId="21769" xr:uid="{00000000-0005-0000-0000-000002550000}"/>
    <cellStyle name="Normal 2 2 4 11 2 2" xfId="21770" xr:uid="{00000000-0005-0000-0000-000003550000}"/>
    <cellStyle name="Normal 2 2 4 11 2 3" xfId="21771" xr:uid="{00000000-0005-0000-0000-000004550000}"/>
    <cellStyle name="Normal 2 2 4 11 2 4" xfId="21772" xr:uid="{00000000-0005-0000-0000-000005550000}"/>
    <cellStyle name="Normal 2 2 4 11 2 5" xfId="21773" xr:uid="{00000000-0005-0000-0000-000006550000}"/>
    <cellStyle name="Normal 2 2 4 11 2 6" xfId="21774" xr:uid="{00000000-0005-0000-0000-000007550000}"/>
    <cellStyle name="Normal 2 2 4 11 2 7" xfId="21775" xr:uid="{00000000-0005-0000-0000-000008550000}"/>
    <cellStyle name="Normal 2 2 4 11 2 8" xfId="21776" xr:uid="{00000000-0005-0000-0000-000009550000}"/>
    <cellStyle name="Normal 2 2 4 11 2 9" xfId="21777" xr:uid="{00000000-0005-0000-0000-00000A550000}"/>
    <cellStyle name="Normal 2 2 4 11 3" xfId="21778" xr:uid="{00000000-0005-0000-0000-00000B550000}"/>
    <cellStyle name="Normal 2 2 4 11 3 10" xfId="21779" xr:uid="{00000000-0005-0000-0000-00000C550000}"/>
    <cellStyle name="Normal 2 2 4 11 3 2" xfId="21780" xr:uid="{00000000-0005-0000-0000-00000D550000}"/>
    <cellStyle name="Normal 2 2 4 11 3 3" xfId="21781" xr:uid="{00000000-0005-0000-0000-00000E550000}"/>
    <cellStyle name="Normal 2 2 4 11 3 4" xfId="21782" xr:uid="{00000000-0005-0000-0000-00000F550000}"/>
    <cellStyle name="Normal 2 2 4 11 3 5" xfId="21783" xr:uid="{00000000-0005-0000-0000-000010550000}"/>
    <cellStyle name="Normal 2 2 4 11 3 6" xfId="21784" xr:uid="{00000000-0005-0000-0000-000011550000}"/>
    <cellStyle name="Normal 2 2 4 11 3 7" xfId="21785" xr:uid="{00000000-0005-0000-0000-000012550000}"/>
    <cellStyle name="Normal 2 2 4 11 3 8" xfId="21786" xr:uid="{00000000-0005-0000-0000-000013550000}"/>
    <cellStyle name="Normal 2 2 4 11 3 9" xfId="21787" xr:uid="{00000000-0005-0000-0000-000014550000}"/>
    <cellStyle name="Normal 2 2 4 11 4" xfId="21788" xr:uid="{00000000-0005-0000-0000-000015550000}"/>
    <cellStyle name="Normal 2 2 4 11 4 10" xfId="21789" xr:uid="{00000000-0005-0000-0000-000016550000}"/>
    <cellStyle name="Normal 2 2 4 11 4 2" xfId="21790" xr:uid="{00000000-0005-0000-0000-000017550000}"/>
    <cellStyle name="Normal 2 2 4 11 4 3" xfId="21791" xr:uid="{00000000-0005-0000-0000-000018550000}"/>
    <cellStyle name="Normal 2 2 4 11 4 4" xfId="21792" xr:uid="{00000000-0005-0000-0000-000019550000}"/>
    <cellStyle name="Normal 2 2 4 11 4 5" xfId="21793" xr:uid="{00000000-0005-0000-0000-00001A550000}"/>
    <cellStyle name="Normal 2 2 4 11 4 6" xfId="21794" xr:uid="{00000000-0005-0000-0000-00001B550000}"/>
    <cellStyle name="Normal 2 2 4 11 4 7" xfId="21795" xr:uid="{00000000-0005-0000-0000-00001C550000}"/>
    <cellStyle name="Normal 2 2 4 11 4 8" xfId="21796" xr:uid="{00000000-0005-0000-0000-00001D550000}"/>
    <cellStyle name="Normal 2 2 4 11 4 9" xfId="21797" xr:uid="{00000000-0005-0000-0000-00001E550000}"/>
    <cellStyle name="Normal 2 2 4 11 5" xfId="21798" xr:uid="{00000000-0005-0000-0000-00001F550000}"/>
    <cellStyle name="Normal 2 2 4 11 5 10" xfId="21799" xr:uid="{00000000-0005-0000-0000-000020550000}"/>
    <cellStyle name="Normal 2 2 4 11 5 2" xfId="21800" xr:uid="{00000000-0005-0000-0000-000021550000}"/>
    <cellStyle name="Normal 2 2 4 11 5 3" xfId="21801" xr:uid="{00000000-0005-0000-0000-000022550000}"/>
    <cellStyle name="Normal 2 2 4 11 5 4" xfId="21802" xr:uid="{00000000-0005-0000-0000-000023550000}"/>
    <cellStyle name="Normal 2 2 4 11 5 5" xfId="21803" xr:uid="{00000000-0005-0000-0000-000024550000}"/>
    <cellStyle name="Normal 2 2 4 11 5 6" xfId="21804" xr:uid="{00000000-0005-0000-0000-000025550000}"/>
    <cellStyle name="Normal 2 2 4 11 5 7" xfId="21805" xr:uid="{00000000-0005-0000-0000-000026550000}"/>
    <cellStyle name="Normal 2 2 4 11 5 8" xfId="21806" xr:uid="{00000000-0005-0000-0000-000027550000}"/>
    <cellStyle name="Normal 2 2 4 11 5 9" xfId="21807" xr:uid="{00000000-0005-0000-0000-000028550000}"/>
    <cellStyle name="Normal 2 2 4 11 6" xfId="21808" xr:uid="{00000000-0005-0000-0000-000029550000}"/>
    <cellStyle name="Normal 2 2 4 11 7" xfId="21809" xr:uid="{00000000-0005-0000-0000-00002A550000}"/>
    <cellStyle name="Normal 2 2 4 11 8" xfId="21810" xr:uid="{00000000-0005-0000-0000-00002B550000}"/>
    <cellStyle name="Normal 2 2 4 11 9" xfId="21811" xr:uid="{00000000-0005-0000-0000-00002C550000}"/>
    <cellStyle name="Normal 2 2 4 12" xfId="21812" xr:uid="{00000000-0005-0000-0000-00002D550000}"/>
    <cellStyle name="Normal 2 2 4 12 10" xfId="21813" xr:uid="{00000000-0005-0000-0000-00002E550000}"/>
    <cellStyle name="Normal 2 2 4 12 11" xfId="21814" xr:uid="{00000000-0005-0000-0000-00002F550000}"/>
    <cellStyle name="Normal 2 2 4 12 12" xfId="21815" xr:uid="{00000000-0005-0000-0000-000030550000}"/>
    <cellStyle name="Normal 2 2 4 12 13" xfId="21816" xr:uid="{00000000-0005-0000-0000-000031550000}"/>
    <cellStyle name="Normal 2 2 4 12 14" xfId="21817" xr:uid="{00000000-0005-0000-0000-000032550000}"/>
    <cellStyle name="Normal 2 2 4 12 2" xfId="21818" xr:uid="{00000000-0005-0000-0000-000033550000}"/>
    <cellStyle name="Normal 2 2 4 12 2 10" xfId="21819" xr:uid="{00000000-0005-0000-0000-000034550000}"/>
    <cellStyle name="Normal 2 2 4 12 2 2" xfId="21820" xr:uid="{00000000-0005-0000-0000-000035550000}"/>
    <cellStyle name="Normal 2 2 4 12 2 3" xfId="21821" xr:uid="{00000000-0005-0000-0000-000036550000}"/>
    <cellStyle name="Normal 2 2 4 12 2 4" xfId="21822" xr:uid="{00000000-0005-0000-0000-000037550000}"/>
    <cellStyle name="Normal 2 2 4 12 2 5" xfId="21823" xr:uid="{00000000-0005-0000-0000-000038550000}"/>
    <cellStyle name="Normal 2 2 4 12 2 6" xfId="21824" xr:uid="{00000000-0005-0000-0000-000039550000}"/>
    <cellStyle name="Normal 2 2 4 12 2 7" xfId="21825" xr:uid="{00000000-0005-0000-0000-00003A550000}"/>
    <cellStyle name="Normal 2 2 4 12 2 8" xfId="21826" xr:uid="{00000000-0005-0000-0000-00003B550000}"/>
    <cellStyle name="Normal 2 2 4 12 2 9" xfId="21827" xr:uid="{00000000-0005-0000-0000-00003C550000}"/>
    <cellStyle name="Normal 2 2 4 12 3" xfId="21828" xr:uid="{00000000-0005-0000-0000-00003D550000}"/>
    <cellStyle name="Normal 2 2 4 12 3 10" xfId="21829" xr:uid="{00000000-0005-0000-0000-00003E550000}"/>
    <cellStyle name="Normal 2 2 4 12 3 2" xfId="21830" xr:uid="{00000000-0005-0000-0000-00003F550000}"/>
    <cellStyle name="Normal 2 2 4 12 3 3" xfId="21831" xr:uid="{00000000-0005-0000-0000-000040550000}"/>
    <cellStyle name="Normal 2 2 4 12 3 4" xfId="21832" xr:uid="{00000000-0005-0000-0000-000041550000}"/>
    <cellStyle name="Normal 2 2 4 12 3 5" xfId="21833" xr:uid="{00000000-0005-0000-0000-000042550000}"/>
    <cellStyle name="Normal 2 2 4 12 3 6" xfId="21834" xr:uid="{00000000-0005-0000-0000-000043550000}"/>
    <cellStyle name="Normal 2 2 4 12 3 7" xfId="21835" xr:uid="{00000000-0005-0000-0000-000044550000}"/>
    <cellStyle name="Normal 2 2 4 12 3 8" xfId="21836" xr:uid="{00000000-0005-0000-0000-000045550000}"/>
    <cellStyle name="Normal 2 2 4 12 3 9" xfId="21837" xr:uid="{00000000-0005-0000-0000-000046550000}"/>
    <cellStyle name="Normal 2 2 4 12 4" xfId="21838" xr:uid="{00000000-0005-0000-0000-000047550000}"/>
    <cellStyle name="Normal 2 2 4 12 4 10" xfId="21839" xr:uid="{00000000-0005-0000-0000-000048550000}"/>
    <cellStyle name="Normal 2 2 4 12 4 2" xfId="21840" xr:uid="{00000000-0005-0000-0000-000049550000}"/>
    <cellStyle name="Normal 2 2 4 12 4 3" xfId="21841" xr:uid="{00000000-0005-0000-0000-00004A550000}"/>
    <cellStyle name="Normal 2 2 4 12 4 4" xfId="21842" xr:uid="{00000000-0005-0000-0000-00004B550000}"/>
    <cellStyle name="Normal 2 2 4 12 4 5" xfId="21843" xr:uid="{00000000-0005-0000-0000-00004C550000}"/>
    <cellStyle name="Normal 2 2 4 12 4 6" xfId="21844" xr:uid="{00000000-0005-0000-0000-00004D550000}"/>
    <cellStyle name="Normal 2 2 4 12 4 7" xfId="21845" xr:uid="{00000000-0005-0000-0000-00004E550000}"/>
    <cellStyle name="Normal 2 2 4 12 4 8" xfId="21846" xr:uid="{00000000-0005-0000-0000-00004F550000}"/>
    <cellStyle name="Normal 2 2 4 12 4 9" xfId="21847" xr:uid="{00000000-0005-0000-0000-000050550000}"/>
    <cellStyle name="Normal 2 2 4 12 5" xfId="21848" xr:uid="{00000000-0005-0000-0000-000051550000}"/>
    <cellStyle name="Normal 2 2 4 12 5 10" xfId="21849" xr:uid="{00000000-0005-0000-0000-000052550000}"/>
    <cellStyle name="Normal 2 2 4 12 5 2" xfId="21850" xr:uid="{00000000-0005-0000-0000-000053550000}"/>
    <cellStyle name="Normal 2 2 4 12 5 3" xfId="21851" xr:uid="{00000000-0005-0000-0000-000054550000}"/>
    <cellStyle name="Normal 2 2 4 12 5 4" xfId="21852" xr:uid="{00000000-0005-0000-0000-000055550000}"/>
    <cellStyle name="Normal 2 2 4 12 5 5" xfId="21853" xr:uid="{00000000-0005-0000-0000-000056550000}"/>
    <cellStyle name="Normal 2 2 4 12 5 6" xfId="21854" xr:uid="{00000000-0005-0000-0000-000057550000}"/>
    <cellStyle name="Normal 2 2 4 12 5 7" xfId="21855" xr:uid="{00000000-0005-0000-0000-000058550000}"/>
    <cellStyle name="Normal 2 2 4 12 5 8" xfId="21856" xr:uid="{00000000-0005-0000-0000-000059550000}"/>
    <cellStyle name="Normal 2 2 4 12 5 9" xfId="21857" xr:uid="{00000000-0005-0000-0000-00005A550000}"/>
    <cellStyle name="Normal 2 2 4 12 6" xfId="21858" xr:uid="{00000000-0005-0000-0000-00005B550000}"/>
    <cellStyle name="Normal 2 2 4 12 7" xfId="21859" xr:uid="{00000000-0005-0000-0000-00005C550000}"/>
    <cellStyle name="Normal 2 2 4 12 8" xfId="21860" xr:uid="{00000000-0005-0000-0000-00005D550000}"/>
    <cellStyle name="Normal 2 2 4 12 9" xfId="21861" xr:uid="{00000000-0005-0000-0000-00005E550000}"/>
    <cellStyle name="Normal 2 2 4 13" xfId="21862" xr:uid="{00000000-0005-0000-0000-00005F550000}"/>
    <cellStyle name="Normal 2 2 4 13 10" xfId="21863" xr:uid="{00000000-0005-0000-0000-000060550000}"/>
    <cellStyle name="Normal 2 2 4 13 11" xfId="21864" xr:uid="{00000000-0005-0000-0000-000061550000}"/>
    <cellStyle name="Normal 2 2 4 13 12" xfId="21865" xr:uid="{00000000-0005-0000-0000-000062550000}"/>
    <cellStyle name="Normal 2 2 4 13 13" xfId="21866" xr:uid="{00000000-0005-0000-0000-000063550000}"/>
    <cellStyle name="Normal 2 2 4 13 14" xfId="21867" xr:uid="{00000000-0005-0000-0000-000064550000}"/>
    <cellStyle name="Normal 2 2 4 13 2" xfId="21868" xr:uid="{00000000-0005-0000-0000-000065550000}"/>
    <cellStyle name="Normal 2 2 4 13 2 10" xfId="21869" xr:uid="{00000000-0005-0000-0000-000066550000}"/>
    <cellStyle name="Normal 2 2 4 13 2 2" xfId="21870" xr:uid="{00000000-0005-0000-0000-000067550000}"/>
    <cellStyle name="Normal 2 2 4 13 2 3" xfId="21871" xr:uid="{00000000-0005-0000-0000-000068550000}"/>
    <cellStyle name="Normal 2 2 4 13 2 4" xfId="21872" xr:uid="{00000000-0005-0000-0000-000069550000}"/>
    <cellStyle name="Normal 2 2 4 13 2 5" xfId="21873" xr:uid="{00000000-0005-0000-0000-00006A550000}"/>
    <cellStyle name="Normal 2 2 4 13 2 6" xfId="21874" xr:uid="{00000000-0005-0000-0000-00006B550000}"/>
    <cellStyle name="Normal 2 2 4 13 2 7" xfId="21875" xr:uid="{00000000-0005-0000-0000-00006C550000}"/>
    <cellStyle name="Normal 2 2 4 13 2 8" xfId="21876" xr:uid="{00000000-0005-0000-0000-00006D550000}"/>
    <cellStyle name="Normal 2 2 4 13 2 9" xfId="21877" xr:uid="{00000000-0005-0000-0000-00006E550000}"/>
    <cellStyle name="Normal 2 2 4 13 3" xfId="21878" xr:uid="{00000000-0005-0000-0000-00006F550000}"/>
    <cellStyle name="Normal 2 2 4 13 3 10" xfId="21879" xr:uid="{00000000-0005-0000-0000-000070550000}"/>
    <cellStyle name="Normal 2 2 4 13 3 2" xfId="21880" xr:uid="{00000000-0005-0000-0000-000071550000}"/>
    <cellStyle name="Normal 2 2 4 13 3 3" xfId="21881" xr:uid="{00000000-0005-0000-0000-000072550000}"/>
    <cellStyle name="Normal 2 2 4 13 3 4" xfId="21882" xr:uid="{00000000-0005-0000-0000-000073550000}"/>
    <cellStyle name="Normal 2 2 4 13 3 5" xfId="21883" xr:uid="{00000000-0005-0000-0000-000074550000}"/>
    <cellStyle name="Normal 2 2 4 13 3 6" xfId="21884" xr:uid="{00000000-0005-0000-0000-000075550000}"/>
    <cellStyle name="Normal 2 2 4 13 3 7" xfId="21885" xr:uid="{00000000-0005-0000-0000-000076550000}"/>
    <cellStyle name="Normal 2 2 4 13 3 8" xfId="21886" xr:uid="{00000000-0005-0000-0000-000077550000}"/>
    <cellStyle name="Normal 2 2 4 13 3 9" xfId="21887" xr:uid="{00000000-0005-0000-0000-000078550000}"/>
    <cellStyle name="Normal 2 2 4 13 4" xfId="21888" xr:uid="{00000000-0005-0000-0000-000079550000}"/>
    <cellStyle name="Normal 2 2 4 13 4 10" xfId="21889" xr:uid="{00000000-0005-0000-0000-00007A550000}"/>
    <cellStyle name="Normal 2 2 4 13 4 2" xfId="21890" xr:uid="{00000000-0005-0000-0000-00007B550000}"/>
    <cellStyle name="Normal 2 2 4 13 4 3" xfId="21891" xr:uid="{00000000-0005-0000-0000-00007C550000}"/>
    <cellStyle name="Normal 2 2 4 13 4 4" xfId="21892" xr:uid="{00000000-0005-0000-0000-00007D550000}"/>
    <cellStyle name="Normal 2 2 4 13 4 5" xfId="21893" xr:uid="{00000000-0005-0000-0000-00007E550000}"/>
    <cellStyle name="Normal 2 2 4 13 4 6" xfId="21894" xr:uid="{00000000-0005-0000-0000-00007F550000}"/>
    <cellStyle name="Normal 2 2 4 13 4 7" xfId="21895" xr:uid="{00000000-0005-0000-0000-000080550000}"/>
    <cellStyle name="Normal 2 2 4 13 4 8" xfId="21896" xr:uid="{00000000-0005-0000-0000-000081550000}"/>
    <cellStyle name="Normal 2 2 4 13 4 9" xfId="21897" xr:uid="{00000000-0005-0000-0000-000082550000}"/>
    <cellStyle name="Normal 2 2 4 13 5" xfId="21898" xr:uid="{00000000-0005-0000-0000-000083550000}"/>
    <cellStyle name="Normal 2 2 4 13 5 10" xfId="21899" xr:uid="{00000000-0005-0000-0000-000084550000}"/>
    <cellStyle name="Normal 2 2 4 13 5 2" xfId="21900" xr:uid="{00000000-0005-0000-0000-000085550000}"/>
    <cellStyle name="Normal 2 2 4 13 5 3" xfId="21901" xr:uid="{00000000-0005-0000-0000-000086550000}"/>
    <cellStyle name="Normal 2 2 4 13 5 4" xfId="21902" xr:uid="{00000000-0005-0000-0000-000087550000}"/>
    <cellStyle name="Normal 2 2 4 13 5 5" xfId="21903" xr:uid="{00000000-0005-0000-0000-000088550000}"/>
    <cellStyle name="Normal 2 2 4 13 5 6" xfId="21904" xr:uid="{00000000-0005-0000-0000-000089550000}"/>
    <cellStyle name="Normal 2 2 4 13 5 7" xfId="21905" xr:uid="{00000000-0005-0000-0000-00008A550000}"/>
    <cellStyle name="Normal 2 2 4 13 5 8" xfId="21906" xr:uid="{00000000-0005-0000-0000-00008B550000}"/>
    <cellStyle name="Normal 2 2 4 13 5 9" xfId="21907" xr:uid="{00000000-0005-0000-0000-00008C550000}"/>
    <cellStyle name="Normal 2 2 4 13 6" xfId="21908" xr:uid="{00000000-0005-0000-0000-00008D550000}"/>
    <cellStyle name="Normal 2 2 4 13 7" xfId="21909" xr:uid="{00000000-0005-0000-0000-00008E550000}"/>
    <cellStyle name="Normal 2 2 4 13 8" xfId="21910" xr:uid="{00000000-0005-0000-0000-00008F550000}"/>
    <cellStyle name="Normal 2 2 4 13 9" xfId="21911" xr:uid="{00000000-0005-0000-0000-000090550000}"/>
    <cellStyle name="Normal 2 2 4 14" xfId="21912" xr:uid="{00000000-0005-0000-0000-000091550000}"/>
    <cellStyle name="Normal 2 2 4 14 10" xfId="21913" xr:uid="{00000000-0005-0000-0000-000092550000}"/>
    <cellStyle name="Normal 2 2 4 14 11" xfId="21914" xr:uid="{00000000-0005-0000-0000-000093550000}"/>
    <cellStyle name="Normal 2 2 4 14 12" xfId="21915" xr:uid="{00000000-0005-0000-0000-000094550000}"/>
    <cellStyle name="Normal 2 2 4 14 13" xfId="21916" xr:uid="{00000000-0005-0000-0000-000095550000}"/>
    <cellStyle name="Normal 2 2 4 14 14" xfId="21917" xr:uid="{00000000-0005-0000-0000-000096550000}"/>
    <cellStyle name="Normal 2 2 4 14 2" xfId="21918" xr:uid="{00000000-0005-0000-0000-000097550000}"/>
    <cellStyle name="Normal 2 2 4 14 2 10" xfId="21919" xr:uid="{00000000-0005-0000-0000-000098550000}"/>
    <cellStyle name="Normal 2 2 4 14 2 2" xfId="21920" xr:uid="{00000000-0005-0000-0000-000099550000}"/>
    <cellStyle name="Normal 2 2 4 14 2 3" xfId="21921" xr:uid="{00000000-0005-0000-0000-00009A550000}"/>
    <cellStyle name="Normal 2 2 4 14 2 4" xfId="21922" xr:uid="{00000000-0005-0000-0000-00009B550000}"/>
    <cellStyle name="Normal 2 2 4 14 2 5" xfId="21923" xr:uid="{00000000-0005-0000-0000-00009C550000}"/>
    <cellStyle name="Normal 2 2 4 14 2 6" xfId="21924" xr:uid="{00000000-0005-0000-0000-00009D550000}"/>
    <cellStyle name="Normal 2 2 4 14 2 7" xfId="21925" xr:uid="{00000000-0005-0000-0000-00009E550000}"/>
    <cellStyle name="Normal 2 2 4 14 2 8" xfId="21926" xr:uid="{00000000-0005-0000-0000-00009F550000}"/>
    <cellStyle name="Normal 2 2 4 14 2 9" xfId="21927" xr:uid="{00000000-0005-0000-0000-0000A0550000}"/>
    <cellStyle name="Normal 2 2 4 14 3" xfId="21928" xr:uid="{00000000-0005-0000-0000-0000A1550000}"/>
    <cellStyle name="Normal 2 2 4 14 3 10" xfId="21929" xr:uid="{00000000-0005-0000-0000-0000A2550000}"/>
    <cellStyle name="Normal 2 2 4 14 3 2" xfId="21930" xr:uid="{00000000-0005-0000-0000-0000A3550000}"/>
    <cellStyle name="Normal 2 2 4 14 3 3" xfId="21931" xr:uid="{00000000-0005-0000-0000-0000A4550000}"/>
    <cellStyle name="Normal 2 2 4 14 3 4" xfId="21932" xr:uid="{00000000-0005-0000-0000-0000A5550000}"/>
    <cellStyle name="Normal 2 2 4 14 3 5" xfId="21933" xr:uid="{00000000-0005-0000-0000-0000A6550000}"/>
    <cellStyle name="Normal 2 2 4 14 3 6" xfId="21934" xr:uid="{00000000-0005-0000-0000-0000A7550000}"/>
    <cellStyle name="Normal 2 2 4 14 3 7" xfId="21935" xr:uid="{00000000-0005-0000-0000-0000A8550000}"/>
    <cellStyle name="Normal 2 2 4 14 3 8" xfId="21936" xr:uid="{00000000-0005-0000-0000-0000A9550000}"/>
    <cellStyle name="Normal 2 2 4 14 3 9" xfId="21937" xr:uid="{00000000-0005-0000-0000-0000AA550000}"/>
    <cellStyle name="Normal 2 2 4 14 4" xfId="21938" xr:uid="{00000000-0005-0000-0000-0000AB550000}"/>
    <cellStyle name="Normal 2 2 4 14 4 10" xfId="21939" xr:uid="{00000000-0005-0000-0000-0000AC550000}"/>
    <cellStyle name="Normal 2 2 4 14 4 2" xfId="21940" xr:uid="{00000000-0005-0000-0000-0000AD550000}"/>
    <cellStyle name="Normal 2 2 4 14 4 3" xfId="21941" xr:uid="{00000000-0005-0000-0000-0000AE550000}"/>
    <cellStyle name="Normal 2 2 4 14 4 4" xfId="21942" xr:uid="{00000000-0005-0000-0000-0000AF550000}"/>
    <cellStyle name="Normal 2 2 4 14 4 5" xfId="21943" xr:uid="{00000000-0005-0000-0000-0000B0550000}"/>
    <cellStyle name="Normal 2 2 4 14 4 6" xfId="21944" xr:uid="{00000000-0005-0000-0000-0000B1550000}"/>
    <cellStyle name="Normal 2 2 4 14 4 7" xfId="21945" xr:uid="{00000000-0005-0000-0000-0000B2550000}"/>
    <cellStyle name="Normal 2 2 4 14 4 8" xfId="21946" xr:uid="{00000000-0005-0000-0000-0000B3550000}"/>
    <cellStyle name="Normal 2 2 4 14 4 9" xfId="21947" xr:uid="{00000000-0005-0000-0000-0000B4550000}"/>
    <cellStyle name="Normal 2 2 4 14 5" xfId="21948" xr:uid="{00000000-0005-0000-0000-0000B5550000}"/>
    <cellStyle name="Normal 2 2 4 14 5 10" xfId="21949" xr:uid="{00000000-0005-0000-0000-0000B6550000}"/>
    <cellStyle name="Normal 2 2 4 14 5 2" xfId="21950" xr:uid="{00000000-0005-0000-0000-0000B7550000}"/>
    <cellStyle name="Normal 2 2 4 14 5 3" xfId="21951" xr:uid="{00000000-0005-0000-0000-0000B8550000}"/>
    <cellStyle name="Normal 2 2 4 14 5 4" xfId="21952" xr:uid="{00000000-0005-0000-0000-0000B9550000}"/>
    <cellStyle name="Normal 2 2 4 14 5 5" xfId="21953" xr:uid="{00000000-0005-0000-0000-0000BA550000}"/>
    <cellStyle name="Normal 2 2 4 14 5 6" xfId="21954" xr:uid="{00000000-0005-0000-0000-0000BB550000}"/>
    <cellStyle name="Normal 2 2 4 14 5 7" xfId="21955" xr:uid="{00000000-0005-0000-0000-0000BC550000}"/>
    <cellStyle name="Normal 2 2 4 14 5 8" xfId="21956" xr:uid="{00000000-0005-0000-0000-0000BD550000}"/>
    <cellStyle name="Normal 2 2 4 14 5 9" xfId="21957" xr:uid="{00000000-0005-0000-0000-0000BE550000}"/>
    <cellStyle name="Normal 2 2 4 14 6" xfId="21958" xr:uid="{00000000-0005-0000-0000-0000BF550000}"/>
    <cellStyle name="Normal 2 2 4 14 7" xfId="21959" xr:uid="{00000000-0005-0000-0000-0000C0550000}"/>
    <cellStyle name="Normal 2 2 4 14 8" xfId="21960" xr:uid="{00000000-0005-0000-0000-0000C1550000}"/>
    <cellStyle name="Normal 2 2 4 14 9" xfId="21961" xr:uid="{00000000-0005-0000-0000-0000C2550000}"/>
    <cellStyle name="Normal 2 2 4 15" xfId="21962" xr:uid="{00000000-0005-0000-0000-0000C3550000}"/>
    <cellStyle name="Normal 2 2 4 15 10" xfId="21963" xr:uid="{00000000-0005-0000-0000-0000C4550000}"/>
    <cellStyle name="Normal 2 2 4 15 11" xfId="21964" xr:uid="{00000000-0005-0000-0000-0000C5550000}"/>
    <cellStyle name="Normal 2 2 4 15 12" xfId="21965" xr:uid="{00000000-0005-0000-0000-0000C6550000}"/>
    <cellStyle name="Normal 2 2 4 15 13" xfId="21966" xr:uid="{00000000-0005-0000-0000-0000C7550000}"/>
    <cellStyle name="Normal 2 2 4 15 14" xfId="21967" xr:uid="{00000000-0005-0000-0000-0000C8550000}"/>
    <cellStyle name="Normal 2 2 4 15 2" xfId="21968" xr:uid="{00000000-0005-0000-0000-0000C9550000}"/>
    <cellStyle name="Normal 2 2 4 15 2 10" xfId="21969" xr:uid="{00000000-0005-0000-0000-0000CA550000}"/>
    <cellStyle name="Normal 2 2 4 15 2 2" xfId="21970" xr:uid="{00000000-0005-0000-0000-0000CB550000}"/>
    <cellStyle name="Normal 2 2 4 15 2 3" xfId="21971" xr:uid="{00000000-0005-0000-0000-0000CC550000}"/>
    <cellStyle name="Normal 2 2 4 15 2 4" xfId="21972" xr:uid="{00000000-0005-0000-0000-0000CD550000}"/>
    <cellStyle name="Normal 2 2 4 15 2 5" xfId="21973" xr:uid="{00000000-0005-0000-0000-0000CE550000}"/>
    <cellStyle name="Normal 2 2 4 15 2 6" xfId="21974" xr:uid="{00000000-0005-0000-0000-0000CF550000}"/>
    <cellStyle name="Normal 2 2 4 15 2 7" xfId="21975" xr:uid="{00000000-0005-0000-0000-0000D0550000}"/>
    <cellStyle name="Normal 2 2 4 15 2 8" xfId="21976" xr:uid="{00000000-0005-0000-0000-0000D1550000}"/>
    <cellStyle name="Normal 2 2 4 15 2 9" xfId="21977" xr:uid="{00000000-0005-0000-0000-0000D2550000}"/>
    <cellStyle name="Normal 2 2 4 15 3" xfId="21978" xr:uid="{00000000-0005-0000-0000-0000D3550000}"/>
    <cellStyle name="Normal 2 2 4 15 3 10" xfId="21979" xr:uid="{00000000-0005-0000-0000-0000D4550000}"/>
    <cellStyle name="Normal 2 2 4 15 3 2" xfId="21980" xr:uid="{00000000-0005-0000-0000-0000D5550000}"/>
    <cellStyle name="Normal 2 2 4 15 3 3" xfId="21981" xr:uid="{00000000-0005-0000-0000-0000D6550000}"/>
    <cellStyle name="Normal 2 2 4 15 3 4" xfId="21982" xr:uid="{00000000-0005-0000-0000-0000D7550000}"/>
    <cellStyle name="Normal 2 2 4 15 3 5" xfId="21983" xr:uid="{00000000-0005-0000-0000-0000D8550000}"/>
    <cellStyle name="Normal 2 2 4 15 3 6" xfId="21984" xr:uid="{00000000-0005-0000-0000-0000D9550000}"/>
    <cellStyle name="Normal 2 2 4 15 3 7" xfId="21985" xr:uid="{00000000-0005-0000-0000-0000DA550000}"/>
    <cellStyle name="Normal 2 2 4 15 3 8" xfId="21986" xr:uid="{00000000-0005-0000-0000-0000DB550000}"/>
    <cellStyle name="Normal 2 2 4 15 3 9" xfId="21987" xr:uid="{00000000-0005-0000-0000-0000DC550000}"/>
    <cellStyle name="Normal 2 2 4 15 4" xfId="21988" xr:uid="{00000000-0005-0000-0000-0000DD550000}"/>
    <cellStyle name="Normal 2 2 4 15 4 10" xfId="21989" xr:uid="{00000000-0005-0000-0000-0000DE550000}"/>
    <cellStyle name="Normal 2 2 4 15 4 2" xfId="21990" xr:uid="{00000000-0005-0000-0000-0000DF550000}"/>
    <cellStyle name="Normal 2 2 4 15 4 3" xfId="21991" xr:uid="{00000000-0005-0000-0000-0000E0550000}"/>
    <cellStyle name="Normal 2 2 4 15 4 4" xfId="21992" xr:uid="{00000000-0005-0000-0000-0000E1550000}"/>
    <cellStyle name="Normal 2 2 4 15 4 5" xfId="21993" xr:uid="{00000000-0005-0000-0000-0000E2550000}"/>
    <cellStyle name="Normal 2 2 4 15 4 6" xfId="21994" xr:uid="{00000000-0005-0000-0000-0000E3550000}"/>
    <cellStyle name="Normal 2 2 4 15 4 7" xfId="21995" xr:uid="{00000000-0005-0000-0000-0000E4550000}"/>
    <cellStyle name="Normal 2 2 4 15 4 8" xfId="21996" xr:uid="{00000000-0005-0000-0000-0000E5550000}"/>
    <cellStyle name="Normal 2 2 4 15 4 9" xfId="21997" xr:uid="{00000000-0005-0000-0000-0000E6550000}"/>
    <cellStyle name="Normal 2 2 4 15 5" xfId="21998" xr:uid="{00000000-0005-0000-0000-0000E7550000}"/>
    <cellStyle name="Normal 2 2 4 15 5 10" xfId="21999" xr:uid="{00000000-0005-0000-0000-0000E8550000}"/>
    <cellStyle name="Normal 2 2 4 15 5 2" xfId="22000" xr:uid="{00000000-0005-0000-0000-0000E9550000}"/>
    <cellStyle name="Normal 2 2 4 15 5 3" xfId="22001" xr:uid="{00000000-0005-0000-0000-0000EA550000}"/>
    <cellStyle name="Normal 2 2 4 15 5 4" xfId="22002" xr:uid="{00000000-0005-0000-0000-0000EB550000}"/>
    <cellStyle name="Normal 2 2 4 15 5 5" xfId="22003" xr:uid="{00000000-0005-0000-0000-0000EC550000}"/>
    <cellStyle name="Normal 2 2 4 15 5 6" xfId="22004" xr:uid="{00000000-0005-0000-0000-0000ED550000}"/>
    <cellStyle name="Normal 2 2 4 15 5 7" xfId="22005" xr:uid="{00000000-0005-0000-0000-0000EE550000}"/>
    <cellStyle name="Normal 2 2 4 15 5 8" xfId="22006" xr:uid="{00000000-0005-0000-0000-0000EF550000}"/>
    <cellStyle name="Normal 2 2 4 15 5 9" xfId="22007" xr:uid="{00000000-0005-0000-0000-0000F0550000}"/>
    <cellStyle name="Normal 2 2 4 15 6" xfId="22008" xr:uid="{00000000-0005-0000-0000-0000F1550000}"/>
    <cellStyle name="Normal 2 2 4 15 7" xfId="22009" xr:uid="{00000000-0005-0000-0000-0000F2550000}"/>
    <cellStyle name="Normal 2 2 4 15 8" xfId="22010" xr:uid="{00000000-0005-0000-0000-0000F3550000}"/>
    <cellStyle name="Normal 2 2 4 15 9" xfId="22011" xr:uid="{00000000-0005-0000-0000-0000F4550000}"/>
    <cellStyle name="Normal 2 2 4 16" xfId="22012" xr:uid="{00000000-0005-0000-0000-0000F5550000}"/>
    <cellStyle name="Normal 2 2 4 16 10" xfId="22013" xr:uid="{00000000-0005-0000-0000-0000F6550000}"/>
    <cellStyle name="Normal 2 2 4 16 11" xfId="22014" xr:uid="{00000000-0005-0000-0000-0000F7550000}"/>
    <cellStyle name="Normal 2 2 4 16 12" xfId="22015" xr:uid="{00000000-0005-0000-0000-0000F8550000}"/>
    <cellStyle name="Normal 2 2 4 16 13" xfId="22016" xr:uid="{00000000-0005-0000-0000-0000F9550000}"/>
    <cellStyle name="Normal 2 2 4 16 14" xfId="22017" xr:uid="{00000000-0005-0000-0000-0000FA550000}"/>
    <cellStyle name="Normal 2 2 4 16 2" xfId="22018" xr:uid="{00000000-0005-0000-0000-0000FB550000}"/>
    <cellStyle name="Normal 2 2 4 16 2 10" xfId="22019" xr:uid="{00000000-0005-0000-0000-0000FC550000}"/>
    <cellStyle name="Normal 2 2 4 16 2 2" xfId="22020" xr:uid="{00000000-0005-0000-0000-0000FD550000}"/>
    <cellStyle name="Normal 2 2 4 16 2 3" xfId="22021" xr:uid="{00000000-0005-0000-0000-0000FE550000}"/>
    <cellStyle name="Normal 2 2 4 16 2 4" xfId="22022" xr:uid="{00000000-0005-0000-0000-0000FF550000}"/>
    <cellStyle name="Normal 2 2 4 16 2 5" xfId="22023" xr:uid="{00000000-0005-0000-0000-000000560000}"/>
    <cellStyle name="Normal 2 2 4 16 2 6" xfId="22024" xr:uid="{00000000-0005-0000-0000-000001560000}"/>
    <cellStyle name="Normal 2 2 4 16 2 7" xfId="22025" xr:uid="{00000000-0005-0000-0000-000002560000}"/>
    <cellStyle name="Normal 2 2 4 16 2 8" xfId="22026" xr:uid="{00000000-0005-0000-0000-000003560000}"/>
    <cellStyle name="Normal 2 2 4 16 2 9" xfId="22027" xr:uid="{00000000-0005-0000-0000-000004560000}"/>
    <cellStyle name="Normal 2 2 4 16 3" xfId="22028" xr:uid="{00000000-0005-0000-0000-000005560000}"/>
    <cellStyle name="Normal 2 2 4 16 3 10" xfId="22029" xr:uid="{00000000-0005-0000-0000-000006560000}"/>
    <cellStyle name="Normal 2 2 4 16 3 2" xfId="22030" xr:uid="{00000000-0005-0000-0000-000007560000}"/>
    <cellStyle name="Normal 2 2 4 16 3 3" xfId="22031" xr:uid="{00000000-0005-0000-0000-000008560000}"/>
    <cellStyle name="Normal 2 2 4 16 3 4" xfId="22032" xr:uid="{00000000-0005-0000-0000-000009560000}"/>
    <cellStyle name="Normal 2 2 4 16 3 5" xfId="22033" xr:uid="{00000000-0005-0000-0000-00000A560000}"/>
    <cellStyle name="Normal 2 2 4 16 3 6" xfId="22034" xr:uid="{00000000-0005-0000-0000-00000B560000}"/>
    <cellStyle name="Normal 2 2 4 16 3 7" xfId="22035" xr:uid="{00000000-0005-0000-0000-00000C560000}"/>
    <cellStyle name="Normal 2 2 4 16 3 8" xfId="22036" xr:uid="{00000000-0005-0000-0000-00000D560000}"/>
    <cellStyle name="Normal 2 2 4 16 3 9" xfId="22037" xr:uid="{00000000-0005-0000-0000-00000E560000}"/>
    <cellStyle name="Normal 2 2 4 16 4" xfId="22038" xr:uid="{00000000-0005-0000-0000-00000F560000}"/>
    <cellStyle name="Normal 2 2 4 16 4 10" xfId="22039" xr:uid="{00000000-0005-0000-0000-000010560000}"/>
    <cellStyle name="Normal 2 2 4 16 4 2" xfId="22040" xr:uid="{00000000-0005-0000-0000-000011560000}"/>
    <cellStyle name="Normal 2 2 4 16 4 3" xfId="22041" xr:uid="{00000000-0005-0000-0000-000012560000}"/>
    <cellStyle name="Normal 2 2 4 16 4 4" xfId="22042" xr:uid="{00000000-0005-0000-0000-000013560000}"/>
    <cellStyle name="Normal 2 2 4 16 4 5" xfId="22043" xr:uid="{00000000-0005-0000-0000-000014560000}"/>
    <cellStyle name="Normal 2 2 4 16 4 6" xfId="22044" xr:uid="{00000000-0005-0000-0000-000015560000}"/>
    <cellStyle name="Normal 2 2 4 16 4 7" xfId="22045" xr:uid="{00000000-0005-0000-0000-000016560000}"/>
    <cellStyle name="Normal 2 2 4 16 4 8" xfId="22046" xr:uid="{00000000-0005-0000-0000-000017560000}"/>
    <cellStyle name="Normal 2 2 4 16 4 9" xfId="22047" xr:uid="{00000000-0005-0000-0000-000018560000}"/>
    <cellStyle name="Normal 2 2 4 16 5" xfId="22048" xr:uid="{00000000-0005-0000-0000-000019560000}"/>
    <cellStyle name="Normal 2 2 4 16 5 10" xfId="22049" xr:uid="{00000000-0005-0000-0000-00001A560000}"/>
    <cellStyle name="Normal 2 2 4 16 5 2" xfId="22050" xr:uid="{00000000-0005-0000-0000-00001B560000}"/>
    <cellStyle name="Normal 2 2 4 16 5 3" xfId="22051" xr:uid="{00000000-0005-0000-0000-00001C560000}"/>
    <cellStyle name="Normal 2 2 4 16 5 4" xfId="22052" xr:uid="{00000000-0005-0000-0000-00001D560000}"/>
    <cellStyle name="Normal 2 2 4 16 5 5" xfId="22053" xr:uid="{00000000-0005-0000-0000-00001E560000}"/>
    <cellStyle name="Normal 2 2 4 16 5 6" xfId="22054" xr:uid="{00000000-0005-0000-0000-00001F560000}"/>
    <cellStyle name="Normal 2 2 4 16 5 7" xfId="22055" xr:uid="{00000000-0005-0000-0000-000020560000}"/>
    <cellStyle name="Normal 2 2 4 16 5 8" xfId="22056" xr:uid="{00000000-0005-0000-0000-000021560000}"/>
    <cellStyle name="Normal 2 2 4 16 5 9" xfId="22057" xr:uid="{00000000-0005-0000-0000-000022560000}"/>
    <cellStyle name="Normal 2 2 4 16 6" xfId="22058" xr:uid="{00000000-0005-0000-0000-000023560000}"/>
    <cellStyle name="Normal 2 2 4 16 7" xfId="22059" xr:uid="{00000000-0005-0000-0000-000024560000}"/>
    <cellStyle name="Normal 2 2 4 16 8" xfId="22060" xr:uid="{00000000-0005-0000-0000-000025560000}"/>
    <cellStyle name="Normal 2 2 4 16 9" xfId="22061" xr:uid="{00000000-0005-0000-0000-000026560000}"/>
    <cellStyle name="Normal 2 2 4 17" xfId="22062" xr:uid="{00000000-0005-0000-0000-000027560000}"/>
    <cellStyle name="Normal 2 2 4 17 10" xfId="22063" xr:uid="{00000000-0005-0000-0000-000028560000}"/>
    <cellStyle name="Normal 2 2 4 17 11" xfId="22064" xr:uid="{00000000-0005-0000-0000-000029560000}"/>
    <cellStyle name="Normal 2 2 4 17 12" xfId="22065" xr:uid="{00000000-0005-0000-0000-00002A560000}"/>
    <cellStyle name="Normal 2 2 4 17 13" xfId="22066" xr:uid="{00000000-0005-0000-0000-00002B560000}"/>
    <cellStyle name="Normal 2 2 4 17 14" xfId="22067" xr:uid="{00000000-0005-0000-0000-00002C560000}"/>
    <cellStyle name="Normal 2 2 4 17 2" xfId="22068" xr:uid="{00000000-0005-0000-0000-00002D560000}"/>
    <cellStyle name="Normal 2 2 4 17 2 10" xfId="22069" xr:uid="{00000000-0005-0000-0000-00002E560000}"/>
    <cellStyle name="Normal 2 2 4 17 2 2" xfId="22070" xr:uid="{00000000-0005-0000-0000-00002F560000}"/>
    <cellStyle name="Normal 2 2 4 17 2 3" xfId="22071" xr:uid="{00000000-0005-0000-0000-000030560000}"/>
    <cellStyle name="Normal 2 2 4 17 2 4" xfId="22072" xr:uid="{00000000-0005-0000-0000-000031560000}"/>
    <cellStyle name="Normal 2 2 4 17 2 5" xfId="22073" xr:uid="{00000000-0005-0000-0000-000032560000}"/>
    <cellStyle name="Normal 2 2 4 17 2 6" xfId="22074" xr:uid="{00000000-0005-0000-0000-000033560000}"/>
    <cellStyle name="Normal 2 2 4 17 2 7" xfId="22075" xr:uid="{00000000-0005-0000-0000-000034560000}"/>
    <cellStyle name="Normal 2 2 4 17 2 8" xfId="22076" xr:uid="{00000000-0005-0000-0000-000035560000}"/>
    <cellStyle name="Normal 2 2 4 17 2 9" xfId="22077" xr:uid="{00000000-0005-0000-0000-000036560000}"/>
    <cellStyle name="Normal 2 2 4 17 3" xfId="22078" xr:uid="{00000000-0005-0000-0000-000037560000}"/>
    <cellStyle name="Normal 2 2 4 17 3 10" xfId="22079" xr:uid="{00000000-0005-0000-0000-000038560000}"/>
    <cellStyle name="Normal 2 2 4 17 3 2" xfId="22080" xr:uid="{00000000-0005-0000-0000-000039560000}"/>
    <cellStyle name="Normal 2 2 4 17 3 3" xfId="22081" xr:uid="{00000000-0005-0000-0000-00003A560000}"/>
    <cellStyle name="Normal 2 2 4 17 3 4" xfId="22082" xr:uid="{00000000-0005-0000-0000-00003B560000}"/>
    <cellStyle name="Normal 2 2 4 17 3 5" xfId="22083" xr:uid="{00000000-0005-0000-0000-00003C560000}"/>
    <cellStyle name="Normal 2 2 4 17 3 6" xfId="22084" xr:uid="{00000000-0005-0000-0000-00003D560000}"/>
    <cellStyle name="Normal 2 2 4 17 3 7" xfId="22085" xr:uid="{00000000-0005-0000-0000-00003E560000}"/>
    <cellStyle name="Normal 2 2 4 17 3 8" xfId="22086" xr:uid="{00000000-0005-0000-0000-00003F560000}"/>
    <cellStyle name="Normal 2 2 4 17 3 9" xfId="22087" xr:uid="{00000000-0005-0000-0000-000040560000}"/>
    <cellStyle name="Normal 2 2 4 17 4" xfId="22088" xr:uid="{00000000-0005-0000-0000-000041560000}"/>
    <cellStyle name="Normal 2 2 4 17 4 10" xfId="22089" xr:uid="{00000000-0005-0000-0000-000042560000}"/>
    <cellStyle name="Normal 2 2 4 17 4 2" xfId="22090" xr:uid="{00000000-0005-0000-0000-000043560000}"/>
    <cellStyle name="Normal 2 2 4 17 4 3" xfId="22091" xr:uid="{00000000-0005-0000-0000-000044560000}"/>
    <cellStyle name="Normal 2 2 4 17 4 4" xfId="22092" xr:uid="{00000000-0005-0000-0000-000045560000}"/>
    <cellStyle name="Normal 2 2 4 17 4 5" xfId="22093" xr:uid="{00000000-0005-0000-0000-000046560000}"/>
    <cellStyle name="Normal 2 2 4 17 4 6" xfId="22094" xr:uid="{00000000-0005-0000-0000-000047560000}"/>
    <cellStyle name="Normal 2 2 4 17 4 7" xfId="22095" xr:uid="{00000000-0005-0000-0000-000048560000}"/>
    <cellStyle name="Normal 2 2 4 17 4 8" xfId="22096" xr:uid="{00000000-0005-0000-0000-000049560000}"/>
    <cellStyle name="Normal 2 2 4 17 4 9" xfId="22097" xr:uid="{00000000-0005-0000-0000-00004A560000}"/>
    <cellStyle name="Normal 2 2 4 17 5" xfId="22098" xr:uid="{00000000-0005-0000-0000-00004B560000}"/>
    <cellStyle name="Normal 2 2 4 17 5 10" xfId="22099" xr:uid="{00000000-0005-0000-0000-00004C560000}"/>
    <cellStyle name="Normal 2 2 4 17 5 2" xfId="22100" xr:uid="{00000000-0005-0000-0000-00004D560000}"/>
    <cellStyle name="Normal 2 2 4 17 5 3" xfId="22101" xr:uid="{00000000-0005-0000-0000-00004E560000}"/>
    <cellStyle name="Normal 2 2 4 17 5 4" xfId="22102" xr:uid="{00000000-0005-0000-0000-00004F560000}"/>
    <cellStyle name="Normal 2 2 4 17 5 5" xfId="22103" xr:uid="{00000000-0005-0000-0000-000050560000}"/>
    <cellStyle name="Normal 2 2 4 17 5 6" xfId="22104" xr:uid="{00000000-0005-0000-0000-000051560000}"/>
    <cellStyle name="Normal 2 2 4 17 5 7" xfId="22105" xr:uid="{00000000-0005-0000-0000-000052560000}"/>
    <cellStyle name="Normal 2 2 4 17 5 8" xfId="22106" xr:uid="{00000000-0005-0000-0000-000053560000}"/>
    <cellStyle name="Normal 2 2 4 17 5 9" xfId="22107" xr:uid="{00000000-0005-0000-0000-000054560000}"/>
    <cellStyle name="Normal 2 2 4 17 6" xfId="22108" xr:uid="{00000000-0005-0000-0000-000055560000}"/>
    <cellStyle name="Normal 2 2 4 17 7" xfId="22109" xr:uid="{00000000-0005-0000-0000-000056560000}"/>
    <cellStyle name="Normal 2 2 4 17 8" xfId="22110" xr:uid="{00000000-0005-0000-0000-000057560000}"/>
    <cellStyle name="Normal 2 2 4 17 9" xfId="22111" xr:uid="{00000000-0005-0000-0000-000058560000}"/>
    <cellStyle name="Normal 2 2 4 18" xfId="22112" xr:uid="{00000000-0005-0000-0000-000059560000}"/>
    <cellStyle name="Normal 2 2 4 18 10" xfId="22113" xr:uid="{00000000-0005-0000-0000-00005A560000}"/>
    <cellStyle name="Normal 2 2 4 18 11" xfId="22114" xr:uid="{00000000-0005-0000-0000-00005B560000}"/>
    <cellStyle name="Normal 2 2 4 18 12" xfId="22115" xr:uid="{00000000-0005-0000-0000-00005C560000}"/>
    <cellStyle name="Normal 2 2 4 18 13" xfId="22116" xr:uid="{00000000-0005-0000-0000-00005D560000}"/>
    <cellStyle name="Normal 2 2 4 18 14" xfId="22117" xr:uid="{00000000-0005-0000-0000-00005E560000}"/>
    <cellStyle name="Normal 2 2 4 18 2" xfId="22118" xr:uid="{00000000-0005-0000-0000-00005F560000}"/>
    <cellStyle name="Normal 2 2 4 18 2 10" xfId="22119" xr:uid="{00000000-0005-0000-0000-000060560000}"/>
    <cellStyle name="Normal 2 2 4 18 2 2" xfId="22120" xr:uid="{00000000-0005-0000-0000-000061560000}"/>
    <cellStyle name="Normal 2 2 4 18 2 3" xfId="22121" xr:uid="{00000000-0005-0000-0000-000062560000}"/>
    <cellStyle name="Normal 2 2 4 18 2 4" xfId="22122" xr:uid="{00000000-0005-0000-0000-000063560000}"/>
    <cellStyle name="Normal 2 2 4 18 2 5" xfId="22123" xr:uid="{00000000-0005-0000-0000-000064560000}"/>
    <cellStyle name="Normal 2 2 4 18 2 6" xfId="22124" xr:uid="{00000000-0005-0000-0000-000065560000}"/>
    <cellStyle name="Normal 2 2 4 18 2 7" xfId="22125" xr:uid="{00000000-0005-0000-0000-000066560000}"/>
    <cellStyle name="Normal 2 2 4 18 2 8" xfId="22126" xr:uid="{00000000-0005-0000-0000-000067560000}"/>
    <cellStyle name="Normal 2 2 4 18 2 9" xfId="22127" xr:uid="{00000000-0005-0000-0000-000068560000}"/>
    <cellStyle name="Normal 2 2 4 18 3" xfId="22128" xr:uid="{00000000-0005-0000-0000-000069560000}"/>
    <cellStyle name="Normal 2 2 4 18 3 10" xfId="22129" xr:uid="{00000000-0005-0000-0000-00006A560000}"/>
    <cellStyle name="Normal 2 2 4 18 3 2" xfId="22130" xr:uid="{00000000-0005-0000-0000-00006B560000}"/>
    <cellStyle name="Normal 2 2 4 18 3 3" xfId="22131" xr:uid="{00000000-0005-0000-0000-00006C560000}"/>
    <cellStyle name="Normal 2 2 4 18 3 4" xfId="22132" xr:uid="{00000000-0005-0000-0000-00006D560000}"/>
    <cellStyle name="Normal 2 2 4 18 3 5" xfId="22133" xr:uid="{00000000-0005-0000-0000-00006E560000}"/>
    <cellStyle name="Normal 2 2 4 18 3 6" xfId="22134" xr:uid="{00000000-0005-0000-0000-00006F560000}"/>
    <cellStyle name="Normal 2 2 4 18 3 7" xfId="22135" xr:uid="{00000000-0005-0000-0000-000070560000}"/>
    <cellStyle name="Normal 2 2 4 18 3 8" xfId="22136" xr:uid="{00000000-0005-0000-0000-000071560000}"/>
    <cellStyle name="Normal 2 2 4 18 3 9" xfId="22137" xr:uid="{00000000-0005-0000-0000-000072560000}"/>
    <cellStyle name="Normal 2 2 4 18 4" xfId="22138" xr:uid="{00000000-0005-0000-0000-000073560000}"/>
    <cellStyle name="Normal 2 2 4 18 4 10" xfId="22139" xr:uid="{00000000-0005-0000-0000-000074560000}"/>
    <cellStyle name="Normal 2 2 4 18 4 2" xfId="22140" xr:uid="{00000000-0005-0000-0000-000075560000}"/>
    <cellStyle name="Normal 2 2 4 18 4 3" xfId="22141" xr:uid="{00000000-0005-0000-0000-000076560000}"/>
    <cellStyle name="Normal 2 2 4 18 4 4" xfId="22142" xr:uid="{00000000-0005-0000-0000-000077560000}"/>
    <cellStyle name="Normal 2 2 4 18 4 5" xfId="22143" xr:uid="{00000000-0005-0000-0000-000078560000}"/>
    <cellStyle name="Normal 2 2 4 18 4 6" xfId="22144" xr:uid="{00000000-0005-0000-0000-000079560000}"/>
    <cellStyle name="Normal 2 2 4 18 4 7" xfId="22145" xr:uid="{00000000-0005-0000-0000-00007A560000}"/>
    <cellStyle name="Normal 2 2 4 18 4 8" xfId="22146" xr:uid="{00000000-0005-0000-0000-00007B560000}"/>
    <cellStyle name="Normal 2 2 4 18 4 9" xfId="22147" xr:uid="{00000000-0005-0000-0000-00007C560000}"/>
    <cellStyle name="Normal 2 2 4 18 5" xfId="22148" xr:uid="{00000000-0005-0000-0000-00007D560000}"/>
    <cellStyle name="Normal 2 2 4 18 5 10" xfId="22149" xr:uid="{00000000-0005-0000-0000-00007E560000}"/>
    <cellStyle name="Normal 2 2 4 18 5 2" xfId="22150" xr:uid="{00000000-0005-0000-0000-00007F560000}"/>
    <cellStyle name="Normal 2 2 4 18 5 3" xfId="22151" xr:uid="{00000000-0005-0000-0000-000080560000}"/>
    <cellStyle name="Normal 2 2 4 18 5 4" xfId="22152" xr:uid="{00000000-0005-0000-0000-000081560000}"/>
    <cellStyle name="Normal 2 2 4 18 5 5" xfId="22153" xr:uid="{00000000-0005-0000-0000-000082560000}"/>
    <cellStyle name="Normal 2 2 4 18 5 6" xfId="22154" xr:uid="{00000000-0005-0000-0000-000083560000}"/>
    <cellStyle name="Normal 2 2 4 18 5 7" xfId="22155" xr:uid="{00000000-0005-0000-0000-000084560000}"/>
    <cellStyle name="Normal 2 2 4 18 5 8" xfId="22156" xr:uid="{00000000-0005-0000-0000-000085560000}"/>
    <cellStyle name="Normal 2 2 4 18 5 9" xfId="22157" xr:uid="{00000000-0005-0000-0000-000086560000}"/>
    <cellStyle name="Normal 2 2 4 18 6" xfId="22158" xr:uid="{00000000-0005-0000-0000-000087560000}"/>
    <cellStyle name="Normal 2 2 4 18 7" xfId="22159" xr:uid="{00000000-0005-0000-0000-000088560000}"/>
    <cellStyle name="Normal 2 2 4 18 8" xfId="22160" xr:uid="{00000000-0005-0000-0000-000089560000}"/>
    <cellStyle name="Normal 2 2 4 18 9" xfId="22161" xr:uid="{00000000-0005-0000-0000-00008A560000}"/>
    <cellStyle name="Normal 2 2 4 19" xfId="22162" xr:uid="{00000000-0005-0000-0000-00008B560000}"/>
    <cellStyle name="Normal 2 2 4 19 10" xfId="22163" xr:uid="{00000000-0005-0000-0000-00008C560000}"/>
    <cellStyle name="Normal 2 2 4 19 11" xfId="22164" xr:uid="{00000000-0005-0000-0000-00008D560000}"/>
    <cellStyle name="Normal 2 2 4 19 12" xfId="22165" xr:uid="{00000000-0005-0000-0000-00008E560000}"/>
    <cellStyle name="Normal 2 2 4 19 13" xfId="22166" xr:uid="{00000000-0005-0000-0000-00008F560000}"/>
    <cellStyle name="Normal 2 2 4 19 14" xfId="22167" xr:uid="{00000000-0005-0000-0000-000090560000}"/>
    <cellStyle name="Normal 2 2 4 19 2" xfId="22168" xr:uid="{00000000-0005-0000-0000-000091560000}"/>
    <cellStyle name="Normal 2 2 4 19 2 10" xfId="22169" xr:uid="{00000000-0005-0000-0000-000092560000}"/>
    <cellStyle name="Normal 2 2 4 19 2 2" xfId="22170" xr:uid="{00000000-0005-0000-0000-000093560000}"/>
    <cellStyle name="Normal 2 2 4 19 2 3" xfId="22171" xr:uid="{00000000-0005-0000-0000-000094560000}"/>
    <cellStyle name="Normal 2 2 4 19 2 4" xfId="22172" xr:uid="{00000000-0005-0000-0000-000095560000}"/>
    <cellStyle name="Normal 2 2 4 19 2 5" xfId="22173" xr:uid="{00000000-0005-0000-0000-000096560000}"/>
    <cellStyle name="Normal 2 2 4 19 2 6" xfId="22174" xr:uid="{00000000-0005-0000-0000-000097560000}"/>
    <cellStyle name="Normal 2 2 4 19 2 7" xfId="22175" xr:uid="{00000000-0005-0000-0000-000098560000}"/>
    <cellStyle name="Normal 2 2 4 19 2 8" xfId="22176" xr:uid="{00000000-0005-0000-0000-000099560000}"/>
    <cellStyle name="Normal 2 2 4 19 2 9" xfId="22177" xr:uid="{00000000-0005-0000-0000-00009A560000}"/>
    <cellStyle name="Normal 2 2 4 19 3" xfId="22178" xr:uid="{00000000-0005-0000-0000-00009B560000}"/>
    <cellStyle name="Normal 2 2 4 19 3 10" xfId="22179" xr:uid="{00000000-0005-0000-0000-00009C560000}"/>
    <cellStyle name="Normal 2 2 4 19 3 2" xfId="22180" xr:uid="{00000000-0005-0000-0000-00009D560000}"/>
    <cellStyle name="Normal 2 2 4 19 3 3" xfId="22181" xr:uid="{00000000-0005-0000-0000-00009E560000}"/>
    <cellStyle name="Normal 2 2 4 19 3 4" xfId="22182" xr:uid="{00000000-0005-0000-0000-00009F560000}"/>
    <cellStyle name="Normal 2 2 4 19 3 5" xfId="22183" xr:uid="{00000000-0005-0000-0000-0000A0560000}"/>
    <cellStyle name="Normal 2 2 4 19 3 6" xfId="22184" xr:uid="{00000000-0005-0000-0000-0000A1560000}"/>
    <cellStyle name="Normal 2 2 4 19 3 7" xfId="22185" xr:uid="{00000000-0005-0000-0000-0000A2560000}"/>
    <cellStyle name="Normal 2 2 4 19 3 8" xfId="22186" xr:uid="{00000000-0005-0000-0000-0000A3560000}"/>
    <cellStyle name="Normal 2 2 4 19 3 9" xfId="22187" xr:uid="{00000000-0005-0000-0000-0000A4560000}"/>
    <cellStyle name="Normal 2 2 4 19 4" xfId="22188" xr:uid="{00000000-0005-0000-0000-0000A5560000}"/>
    <cellStyle name="Normal 2 2 4 19 4 10" xfId="22189" xr:uid="{00000000-0005-0000-0000-0000A6560000}"/>
    <cellStyle name="Normal 2 2 4 19 4 2" xfId="22190" xr:uid="{00000000-0005-0000-0000-0000A7560000}"/>
    <cellStyle name="Normal 2 2 4 19 4 3" xfId="22191" xr:uid="{00000000-0005-0000-0000-0000A8560000}"/>
    <cellStyle name="Normal 2 2 4 19 4 4" xfId="22192" xr:uid="{00000000-0005-0000-0000-0000A9560000}"/>
    <cellStyle name="Normal 2 2 4 19 4 5" xfId="22193" xr:uid="{00000000-0005-0000-0000-0000AA560000}"/>
    <cellStyle name="Normal 2 2 4 19 4 6" xfId="22194" xr:uid="{00000000-0005-0000-0000-0000AB560000}"/>
    <cellStyle name="Normal 2 2 4 19 4 7" xfId="22195" xr:uid="{00000000-0005-0000-0000-0000AC560000}"/>
    <cellStyle name="Normal 2 2 4 19 4 8" xfId="22196" xr:uid="{00000000-0005-0000-0000-0000AD560000}"/>
    <cellStyle name="Normal 2 2 4 19 4 9" xfId="22197" xr:uid="{00000000-0005-0000-0000-0000AE560000}"/>
    <cellStyle name="Normal 2 2 4 19 5" xfId="22198" xr:uid="{00000000-0005-0000-0000-0000AF560000}"/>
    <cellStyle name="Normal 2 2 4 19 5 10" xfId="22199" xr:uid="{00000000-0005-0000-0000-0000B0560000}"/>
    <cellStyle name="Normal 2 2 4 19 5 2" xfId="22200" xr:uid="{00000000-0005-0000-0000-0000B1560000}"/>
    <cellStyle name="Normal 2 2 4 19 5 3" xfId="22201" xr:uid="{00000000-0005-0000-0000-0000B2560000}"/>
    <cellStyle name="Normal 2 2 4 19 5 4" xfId="22202" xr:uid="{00000000-0005-0000-0000-0000B3560000}"/>
    <cellStyle name="Normal 2 2 4 19 5 5" xfId="22203" xr:uid="{00000000-0005-0000-0000-0000B4560000}"/>
    <cellStyle name="Normal 2 2 4 19 5 6" xfId="22204" xr:uid="{00000000-0005-0000-0000-0000B5560000}"/>
    <cellStyle name="Normal 2 2 4 19 5 7" xfId="22205" xr:uid="{00000000-0005-0000-0000-0000B6560000}"/>
    <cellStyle name="Normal 2 2 4 19 5 8" xfId="22206" xr:uid="{00000000-0005-0000-0000-0000B7560000}"/>
    <cellStyle name="Normal 2 2 4 19 5 9" xfId="22207" xr:uid="{00000000-0005-0000-0000-0000B8560000}"/>
    <cellStyle name="Normal 2 2 4 19 6" xfId="22208" xr:uid="{00000000-0005-0000-0000-0000B9560000}"/>
    <cellStyle name="Normal 2 2 4 19 7" xfId="22209" xr:uid="{00000000-0005-0000-0000-0000BA560000}"/>
    <cellStyle name="Normal 2 2 4 19 8" xfId="22210" xr:uid="{00000000-0005-0000-0000-0000BB560000}"/>
    <cellStyle name="Normal 2 2 4 19 9" xfId="22211" xr:uid="{00000000-0005-0000-0000-0000BC560000}"/>
    <cellStyle name="Normal 2 2 4 2" xfId="22212" xr:uid="{00000000-0005-0000-0000-0000BD560000}"/>
    <cellStyle name="Normal 2 2 4 2 10" xfId="22213" xr:uid="{00000000-0005-0000-0000-0000BE560000}"/>
    <cellStyle name="Normal 2 2 4 2 11" xfId="22214" xr:uid="{00000000-0005-0000-0000-0000BF560000}"/>
    <cellStyle name="Normal 2 2 4 2 12" xfId="22215" xr:uid="{00000000-0005-0000-0000-0000C0560000}"/>
    <cellStyle name="Normal 2 2 4 2 13" xfId="22216" xr:uid="{00000000-0005-0000-0000-0000C1560000}"/>
    <cellStyle name="Normal 2 2 4 2 14" xfId="22217" xr:uid="{00000000-0005-0000-0000-0000C2560000}"/>
    <cellStyle name="Normal 2 2 4 2 15" xfId="22218" xr:uid="{00000000-0005-0000-0000-0000C3560000}"/>
    <cellStyle name="Normal 2 2 4 2 16" xfId="22219" xr:uid="{00000000-0005-0000-0000-0000C4560000}"/>
    <cellStyle name="Normal 2 2 4 2 17" xfId="22220" xr:uid="{00000000-0005-0000-0000-0000C5560000}"/>
    <cellStyle name="Normal 2 2 4 2 18" xfId="22221" xr:uid="{00000000-0005-0000-0000-0000C6560000}"/>
    <cellStyle name="Normal 2 2 4 2 19" xfId="22222" xr:uid="{00000000-0005-0000-0000-0000C7560000}"/>
    <cellStyle name="Normal 2 2 4 2 2" xfId="22223" xr:uid="{00000000-0005-0000-0000-0000C8560000}"/>
    <cellStyle name="Normal 2 2 4 2 2 10" xfId="22224" xr:uid="{00000000-0005-0000-0000-0000C9560000}"/>
    <cellStyle name="Normal 2 2 4 2 2 10 10" xfId="22225" xr:uid="{00000000-0005-0000-0000-0000CA560000}"/>
    <cellStyle name="Normal 2 2 4 2 2 10 11" xfId="22226" xr:uid="{00000000-0005-0000-0000-0000CB560000}"/>
    <cellStyle name="Normal 2 2 4 2 2 10 12" xfId="22227" xr:uid="{00000000-0005-0000-0000-0000CC560000}"/>
    <cellStyle name="Normal 2 2 4 2 2 10 13" xfId="22228" xr:uid="{00000000-0005-0000-0000-0000CD560000}"/>
    <cellStyle name="Normal 2 2 4 2 2 10 14" xfId="22229" xr:uid="{00000000-0005-0000-0000-0000CE560000}"/>
    <cellStyle name="Normal 2 2 4 2 2 10 2" xfId="22230" xr:uid="{00000000-0005-0000-0000-0000CF560000}"/>
    <cellStyle name="Normal 2 2 4 2 2 10 2 10" xfId="22231" xr:uid="{00000000-0005-0000-0000-0000D0560000}"/>
    <cellStyle name="Normal 2 2 4 2 2 10 2 2" xfId="22232" xr:uid="{00000000-0005-0000-0000-0000D1560000}"/>
    <cellStyle name="Normal 2 2 4 2 2 10 2 3" xfId="22233" xr:uid="{00000000-0005-0000-0000-0000D2560000}"/>
    <cellStyle name="Normal 2 2 4 2 2 10 2 4" xfId="22234" xr:uid="{00000000-0005-0000-0000-0000D3560000}"/>
    <cellStyle name="Normal 2 2 4 2 2 10 2 5" xfId="22235" xr:uid="{00000000-0005-0000-0000-0000D4560000}"/>
    <cellStyle name="Normal 2 2 4 2 2 10 2 6" xfId="22236" xr:uid="{00000000-0005-0000-0000-0000D5560000}"/>
    <cellStyle name="Normal 2 2 4 2 2 10 2 7" xfId="22237" xr:uid="{00000000-0005-0000-0000-0000D6560000}"/>
    <cellStyle name="Normal 2 2 4 2 2 10 2 8" xfId="22238" xr:uid="{00000000-0005-0000-0000-0000D7560000}"/>
    <cellStyle name="Normal 2 2 4 2 2 10 2 9" xfId="22239" xr:uid="{00000000-0005-0000-0000-0000D8560000}"/>
    <cellStyle name="Normal 2 2 4 2 2 10 3" xfId="22240" xr:uid="{00000000-0005-0000-0000-0000D9560000}"/>
    <cellStyle name="Normal 2 2 4 2 2 10 3 10" xfId="22241" xr:uid="{00000000-0005-0000-0000-0000DA560000}"/>
    <cellStyle name="Normal 2 2 4 2 2 10 3 2" xfId="22242" xr:uid="{00000000-0005-0000-0000-0000DB560000}"/>
    <cellStyle name="Normal 2 2 4 2 2 10 3 3" xfId="22243" xr:uid="{00000000-0005-0000-0000-0000DC560000}"/>
    <cellStyle name="Normal 2 2 4 2 2 10 3 4" xfId="22244" xr:uid="{00000000-0005-0000-0000-0000DD560000}"/>
    <cellStyle name="Normal 2 2 4 2 2 10 3 5" xfId="22245" xr:uid="{00000000-0005-0000-0000-0000DE560000}"/>
    <cellStyle name="Normal 2 2 4 2 2 10 3 6" xfId="22246" xr:uid="{00000000-0005-0000-0000-0000DF560000}"/>
    <cellStyle name="Normal 2 2 4 2 2 10 3 7" xfId="22247" xr:uid="{00000000-0005-0000-0000-0000E0560000}"/>
    <cellStyle name="Normal 2 2 4 2 2 10 3 8" xfId="22248" xr:uid="{00000000-0005-0000-0000-0000E1560000}"/>
    <cellStyle name="Normal 2 2 4 2 2 10 3 9" xfId="22249" xr:uid="{00000000-0005-0000-0000-0000E2560000}"/>
    <cellStyle name="Normal 2 2 4 2 2 10 4" xfId="22250" xr:uid="{00000000-0005-0000-0000-0000E3560000}"/>
    <cellStyle name="Normal 2 2 4 2 2 10 4 10" xfId="22251" xr:uid="{00000000-0005-0000-0000-0000E4560000}"/>
    <cellStyle name="Normal 2 2 4 2 2 10 4 2" xfId="22252" xr:uid="{00000000-0005-0000-0000-0000E5560000}"/>
    <cellStyle name="Normal 2 2 4 2 2 10 4 3" xfId="22253" xr:uid="{00000000-0005-0000-0000-0000E6560000}"/>
    <cellStyle name="Normal 2 2 4 2 2 10 4 4" xfId="22254" xr:uid="{00000000-0005-0000-0000-0000E7560000}"/>
    <cellStyle name="Normal 2 2 4 2 2 10 4 5" xfId="22255" xr:uid="{00000000-0005-0000-0000-0000E8560000}"/>
    <cellStyle name="Normal 2 2 4 2 2 10 4 6" xfId="22256" xr:uid="{00000000-0005-0000-0000-0000E9560000}"/>
    <cellStyle name="Normal 2 2 4 2 2 10 4 7" xfId="22257" xr:uid="{00000000-0005-0000-0000-0000EA560000}"/>
    <cellStyle name="Normal 2 2 4 2 2 10 4 8" xfId="22258" xr:uid="{00000000-0005-0000-0000-0000EB560000}"/>
    <cellStyle name="Normal 2 2 4 2 2 10 4 9" xfId="22259" xr:uid="{00000000-0005-0000-0000-0000EC560000}"/>
    <cellStyle name="Normal 2 2 4 2 2 10 5" xfId="22260" xr:uid="{00000000-0005-0000-0000-0000ED560000}"/>
    <cellStyle name="Normal 2 2 4 2 2 10 5 10" xfId="22261" xr:uid="{00000000-0005-0000-0000-0000EE560000}"/>
    <cellStyle name="Normal 2 2 4 2 2 10 5 2" xfId="22262" xr:uid="{00000000-0005-0000-0000-0000EF560000}"/>
    <cellStyle name="Normal 2 2 4 2 2 10 5 3" xfId="22263" xr:uid="{00000000-0005-0000-0000-0000F0560000}"/>
    <cellStyle name="Normal 2 2 4 2 2 10 5 4" xfId="22264" xr:uid="{00000000-0005-0000-0000-0000F1560000}"/>
    <cellStyle name="Normal 2 2 4 2 2 10 5 5" xfId="22265" xr:uid="{00000000-0005-0000-0000-0000F2560000}"/>
    <cellStyle name="Normal 2 2 4 2 2 10 5 6" xfId="22266" xr:uid="{00000000-0005-0000-0000-0000F3560000}"/>
    <cellStyle name="Normal 2 2 4 2 2 10 5 7" xfId="22267" xr:uid="{00000000-0005-0000-0000-0000F4560000}"/>
    <cellStyle name="Normal 2 2 4 2 2 10 5 8" xfId="22268" xr:uid="{00000000-0005-0000-0000-0000F5560000}"/>
    <cellStyle name="Normal 2 2 4 2 2 10 5 9" xfId="22269" xr:uid="{00000000-0005-0000-0000-0000F6560000}"/>
    <cellStyle name="Normal 2 2 4 2 2 10 6" xfId="22270" xr:uid="{00000000-0005-0000-0000-0000F7560000}"/>
    <cellStyle name="Normal 2 2 4 2 2 10 7" xfId="22271" xr:uid="{00000000-0005-0000-0000-0000F8560000}"/>
    <cellStyle name="Normal 2 2 4 2 2 10 8" xfId="22272" xr:uid="{00000000-0005-0000-0000-0000F9560000}"/>
    <cellStyle name="Normal 2 2 4 2 2 10 9" xfId="22273" xr:uid="{00000000-0005-0000-0000-0000FA560000}"/>
    <cellStyle name="Normal 2 2 4 2 2 11" xfId="22274" xr:uid="{00000000-0005-0000-0000-0000FB560000}"/>
    <cellStyle name="Normal 2 2 4 2 2 11 10" xfId="22275" xr:uid="{00000000-0005-0000-0000-0000FC560000}"/>
    <cellStyle name="Normal 2 2 4 2 2 11 11" xfId="22276" xr:uid="{00000000-0005-0000-0000-0000FD560000}"/>
    <cellStyle name="Normal 2 2 4 2 2 11 12" xfId="22277" xr:uid="{00000000-0005-0000-0000-0000FE560000}"/>
    <cellStyle name="Normal 2 2 4 2 2 11 13" xfId="22278" xr:uid="{00000000-0005-0000-0000-0000FF560000}"/>
    <cellStyle name="Normal 2 2 4 2 2 11 14" xfId="22279" xr:uid="{00000000-0005-0000-0000-000000570000}"/>
    <cellStyle name="Normal 2 2 4 2 2 11 2" xfId="22280" xr:uid="{00000000-0005-0000-0000-000001570000}"/>
    <cellStyle name="Normal 2 2 4 2 2 11 2 10" xfId="22281" xr:uid="{00000000-0005-0000-0000-000002570000}"/>
    <cellStyle name="Normal 2 2 4 2 2 11 2 2" xfId="22282" xr:uid="{00000000-0005-0000-0000-000003570000}"/>
    <cellStyle name="Normal 2 2 4 2 2 11 2 3" xfId="22283" xr:uid="{00000000-0005-0000-0000-000004570000}"/>
    <cellStyle name="Normal 2 2 4 2 2 11 2 4" xfId="22284" xr:uid="{00000000-0005-0000-0000-000005570000}"/>
    <cellStyle name="Normal 2 2 4 2 2 11 2 5" xfId="22285" xr:uid="{00000000-0005-0000-0000-000006570000}"/>
    <cellStyle name="Normal 2 2 4 2 2 11 2 6" xfId="22286" xr:uid="{00000000-0005-0000-0000-000007570000}"/>
    <cellStyle name="Normal 2 2 4 2 2 11 2 7" xfId="22287" xr:uid="{00000000-0005-0000-0000-000008570000}"/>
    <cellStyle name="Normal 2 2 4 2 2 11 2 8" xfId="22288" xr:uid="{00000000-0005-0000-0000-000009570000}"/>
    <cellStyle name="Normal 2 2 4 2 2 11 2 9" xfId="22289" xr:uid="{00000000-0005-0000-0000-00000A570000}"/>
    <cellStyle name="Normal 2 2 4 2 2 11 3" xfId="22290" xr:uid="{00000000-0005-0000-0000-00000B570000}"/>
    <cellStyle name="Normal 2 2 4 2 2 11 3 10" xfId="22291" xr:uid="{00000000-0005-0000-0000-00000C570000}"/>
    <cellStyle name="Normal 2 2 4 2 2 11 3 2" xfId="22292" xr:uid="{00000000-0005-0000-0000-00000D570000}"/>
    <cellStyle name="Normal 2 2 4 2 2 11 3 3" xfId="22293" xr:uid="{00000000-0005-0000-0000-00000E570000}"/>
    <cellStyle name="Normal 2 2 4 2 2 11 3 4" xfId="22294" xr:uid="{00000000-0005-0000-0000-00000F570000}"/>
    <cellStyle name="Normal 2 2 4 2 2 11 3 5" xfId="22295" xr:uid="{00000000-0005-0000-0000-000010570000}"/>
    <cellStyle name="Normal 2 2 4 2 2 11 3 6" xfId="22296" xr:uid="{00000000-0005-0000-0000-000011570000}"/>
    <cellStyle name="Normal 2 2 4 2 2 11 3 7" xfId="22297" xr:uid="{00000000-0005-0000-0000-000012570000}"/>
    <cellStyle name="Normal 2 2 4 2 2 11 3 8" xfId="22298" xr:uid="{00000000-0005-0000-0000-000013570000}"/>
    <cellStyle name="Normal 2 2 4 2 2 11 3 9" xfId="22299" xr:uid="{00000000-0005-0000-0000-000014570000}"/>
    <cellStyle name="Normal 2 2 4 2 2 11 4" xfId="22300" xr:uid="{00000000-0005-0000-0000-000015570000}"/>
    <cellStyle name="Normal 2 2 4 2 2 11 4 10" xfId="22301" xr:uid="{00000000-0005-0000-0000-000016570000}"/>
    <cellStyle name="Normal 2 2 4 2 2 11 4 2" xfId="22302" xr:uid="{00000000-0005-0000-0000-000017570000}"/>
    <cellStyle name="Normal 2 2 4 2 2 11 4 3" xfId="22303" xr:uid="{00000000-0005-0000-0000-000018570000}"/>
    <cellStyle name="Normal 2 2 4 2 2 11 4 4" xfId="22304" xr:uid="{00000000-0005-0000-0000-000019570000}"/>
    <cellStyle name="Normal 2 2 4 2 2 11 4 5" xfId="22305" xr:uid="{00000000-0005-0000-0000-00001A570000}"/>
    <cellStyle name="Normal 2 2 4 2 2 11 4 6" xfId="22306" xr:uid="{00000000-0005-0000-0000-00001B570000}"/>
    <cellStyle name="Normal 2 2 4 2 2 11 4 7" xfId="22307" xr:uid="{00000000-0005-0000-0000-00001C570000}"/>
    <cellStyle name="Normal 2 2 4 2 2 11 4 8" xfId="22308" xr:uid="{00000000-0005-0000-0000-00001D570000}"/>
    <cellStyle name="Normal 2 2 4 2 2 11 4 9" xfId="22309" xr:uid="{00000000-0005-0000-0000-00001E570000}"/>
    <cellStyle name="Normal 2 2 4 2 2 11 5" xfId="22310" xr:uid="{00000000-0005-0000-0000-00001F570000}"/>
    <cellStyle name="Normal 2 2 4 2 2 11 5 10" xfId="22311" xr:uid="{00000000-0005-0000-0000-000020570000}"/>
    <cellStyle name="Normal 2 2 4 2 2 11 5 2" xfId="22312" xr:uid="{00000000-0005-0000-0000-000021570000}"/>
    <cellStyle name="Normal 2 2 4 2 2 11 5 3" xfId="22313" xr:uid="{00000000-0005-0000-0000-000022570000}"/>
    <cellStyle name="Normal 2 2 4 2 2 11 5 4" xfId="22314" xr:uid="{00000000-0005-0000-0000-000023570000}"/>
    <cellStyle name="Normal 2 2 4 2 2 11 5 5" xfId="22315" xr:uid="{00000000-0005-0000-0000-000024570000}"/>
    <cellStyle name="Normal 2 2 4 2 2 11 5 6" xfId="22316" xr:uid="{00000000-0005-0000-0000-000025570000}"/>
    <cellStyle name="Normal 2 2 4 2 2 11 5 7" xfId="22317" xr:uid="{00000000-0005-0000-0000-000026570000}"/>
    <cellStyle name="Normal 2 2 4 2 2 11 5 8" xfId="22318" xr:uid="{00000000-0005-0000-0000-000027570000}"/>
    <cellStyle name="Normal 2 2 4 2 2 11 5 9" xfId="22319" xr:uid="{00000000-0005-0000-0000-000028570000}"/>
    <cellStyle name="Normal 2 2 4 2 2 11 6" xfId="22320" xr:uid="{00000000-0005-0000-0000-000029570000}"/>
    <cellStyle name="Normal 2 2 4 2 2 11 7" xfId="22321" xr:uid="{00000000-0005-0000-0000-00002A570000}"/>
    <cellStyle name="Normal 2 2 4 2 2 11 8" xfId="22322" xr:uid="{00000000-0005-0000-0000-00002B570000}"/>
    <cellStyle name="Normal 2 2 4 2 2 11 9" xfId="22323" xr:uid="{00000000-0005-0000-0000-00002C570000}"/>
    <cellStyle name="Normal 2 2 4 2 2 12" xfId="22324" xr:uid="{00000000-0005-0000-0000-00002D570000}"/>
    <cellStyle name="Normal 2 2 4 2 2 12 10" xfId="22325" xr:uid="{00000000-0005-0000-0000-00002E570000}"/>
    <cellStyle name="Normal 2 2 4 2 2 12 11" xfId="22326" xr:uid="{00000000-0005-0000-0000-00002F570000}"/>
    <cellStyle name="Normal 2 2 4 2 2 12 12" xfId="22327" xr:uid="{00000000-0005-0000-0000-000030570000}"/>
    <cellStyle name="Normal 2 2 4 2 2 12 13" xfId="22328" xr:uid="{00000000-0005-0000-0000-000031570000}"/>
    <cellStyle name="Normal 2 2 4 2 2 12 14" xfId="22329" xr:uid="{00000000-0005-0000-0000-000032570000}"/>
    <cellStyle name="Normal 2 2 4 2 2 12 2" xfId="22330" xr:uid="{00000000-0005-0000-0000-000033570000}"/>
    <cellStyle name="Normal 2 2 4 2 2 12 2 10" xfId="22331" xr:uid="{00000000-0005-0000-0000-000034570000}"/>
    <cellStyle name="Normal 2 2 4 2 2 12 2 2" xfId="22332" xr:uid="{00000000-0005-0000-0000-000035570000}"/>
    <cellStyle name="Normal 2 2 4 2 2 12 2 3" xfId="22333" xr:uid="{00000000-0005-0000-0000-000036570000}"/>
    <cellStyle name="Normal 2 2 4 2 2 12 2 4" xfId="22334" xr:uid="{00000000-0005-0000-0000-000037570000}"/>
    <cellStyle name="Normal 2 2 4 2 2 12 2 5" xfId="22335" xr:uid="{00000000-0005-0000-0000-000038570000}"/>
    <cellStyle name="Normal 2 2 4 2 2 12 2 6" xfId="22336" xr:uid="{00000000-0005-0000-0000-000039570000}"/>
    <cellStyle name="Normal 2 2 4 2 2 12 2 7" xfId="22337" xr:uid="{00000000-0005-0000-0000-00003A570000}"/>
    <cellStyle name="Normal 2 2 4 2 2 12 2 8" xfId="22338" xr:uid="{00000000-0005-0000-0000-00003B570000}"/>
    <cellStyle name="Normal 2 2 4 2 2 12 2 9" xfId="22339" xr:uid="{00000000-0005-0000-0000-00003C570000}"/>
    <cellStyle name="Normal 2 2 4 2 2 12 3" xfId="22340" xr:uid="{00000000-0005-0000-0000-00003D570000}"/>
    <cellStyle name="Normal 2 2 4 2 2 12 3 10" xfId="22341" xr:uid="{00000000-0005-0000-0000-00003E570000}"/>
    <cellStyle name="Normal 2 2 4 2 2 12 3 2" xfId="22342" xr:uid="{00000000-0005-0000-0000-00003F570000}"/>
    <cellStyle name="Normal 2 2 4 2 2 12 3 3" xfId="22343" xr:uid="{00000000-0005-0000-0000-000040570000}"/>
    <cellStyle name="Normal 2 2 4 2 2 12 3 4" xfId="22344" xr:uid="{00000000-0005-0000-0000-000041570000}"/>
    <cellStyle name="Normal 2 2 4 2 2 12 3 5" xfId="22345" xr:uid="{00000000-0005-0000-0000-000042570000}"/>
    <cellStyle name="Normal 2 2 4 2 2 12 3 6" xfId="22346" xr:uid="{00000000-0005-0000-0000-000043570000}"/>
    <cellStyle name="Normal 2 2 4 2 2 12 3 7" xfId="22347" xr:uid="{00000000-0005-0000-0000-000044570000}"/>
    <cellStyle name="Normal 2 2 4 2 2 12 3 8" xfId="22348" xr:uid="{00000000-0005-0000-0000-000045570000}"/>
    <cellStyle name="Normal 2 2 4 2 2 12 3 9" xfId="22349" xr:uid="{00000000-0005-0000-0000-000046570000}"/>
    <cellStyle name="Normal 2 2 4 2 2 12 4" xfId="22350" xr:uid="{00000000-0005-0000-0000-000047570000}"/>
    <cellStyle name="Normal 2 2 4 2 2 12 4 10" xfId="22351" xr:uid="{00000000-0005-0000-0000-000048570000}"/>
    <cellStyle name="Normal 2 2 4 2 2 12 4 2" xfId="22352" xr:uid="{00000000-0005-0000-0000-000049570000}"/>
    <cellStyle name="Normal 2 2 4 2 2 12 4 3" xfId="22353" xr:uid="{00000000-0005-0000-0000-00004A570000}"/>
    <cellStyle name="Normal 2 2 4 2 2 12 4 4" xfId="22354" xr:uid="{00000000-0005-0000-0000-00004B570000}"/>
    <cellStyle name="Normal 2 2 4 2 2 12 4 5" xfId="22355" xr:uid="{00000000-0005-0000-0000-00004C570000}"/>
    <cellStyle name="Normal 2 2 4 2 2 12 4 6" xfId="22356" xr:uid="{00000000-0005-0000-0000-00004D570000}"/>
    <cellStyle name="Normal 2 2 4 2 2 12 4 7" xfId="22357" xr:uid="{00000000-0005-0000-0000-00004E570000}"/>
    <cellStyle name="Normal 2 2 4 2 2 12 4 8" xfId="22358" xr:uid="{00000000-0005-0000-0000-00004F570000}"/>
    <cellStyle name="Normal 2 2 4 2 2 12 4 9" xfId="22359" xr:uid="{00000000-0005-0000-0000-000050570000}"/>
    <cellStyle name="Normal 2 2 4 2 2 12 5" xfId="22360" xr:uid="{00000000-0005-0000-0000-000051570000}"/>
    <cellStyle name="Normal 2 2 4 2 2 12 5 10" xfId="22361" xr:uid="{00000000-0005-0000-0000-000052570000}"/>
    <cellStyle name="Normal 2 2 4 2 2 12 5 2" xfId="22362" xr:uid="{00000000-0005-0000-0000-000053570000}"/>
    <cellStyle name="Normal 2 2 4 2 2 12 5 3" xfId="22363" xr:uid="{00000000-0005-0000-0000-000054570000}"/>
    <cellStyle name="Normal 2 2 4 2 2 12 5 4" xfId="22364" xr:uid="{00000000-0005-0000-0000-000055570000}"/>
    <cellStyle name="Normal 2 2 4 2 2 12 5 5" xfId="22365" xr:uid="{00000000-0005-0000-0000-000056570000}"/>
    <cellStyle name="Normal 2 2 4 2 2 12 5 6" xfId="22366" xr:uid="{00000000-0005-0000-0000-000057570000}"/>
    <cellStyle name="Normal 2 2 4 2 2 12 5 7" xfId="22367" xr:uid="{00000000-0005-0000-0000-000058570000}"/>
    <cellStyle name="Normal 2 2 4 2 2 12 5 8" xfId="22368" xr:uid="{00000000-0005-0000-0000-000059570000}"/>
    <cellStyle name="Normal 2 2 4 2 2 12 5 9" xfId="22369" xr:uid="{00000000-0005-0000-0000-00005A570000}"/>
    <cellStyle name="Normal 2 2 4 2 2 12 6" xfId="22370" xr:uid="{00000000-0005-0000-0000-00005B570000}"/>
    <cellStyle name="Normal 2 2 4 2 2 12 7" xfId="22371" xr:uid="{00000000-0005-0000-0000-00005C570000}"/>
    <cellStyle name="Normal 2 2 4 2 2 12 8" xfId="22372" xr:uid="{00000000-0005-0000-0000-00005D570000}"/>
    <cellStyle name="Normal 2 2 4 2 2 12 9" xfId="22373" xr:uid="{00000000-0005-0000-0000-00005E570000}"/>
    <cellStyle name="Normal 2 2 4 2 2 13" xfId="22374" xr:uid="{00000000-0005-0000-0000-00005F570000}"/>
    <cellStyle name="Normal 2 2 4 2 2 13 10" xfId="22375" xr:uid="{00000000-0005-0000-0000-000060570000}"/>
    <cellStyle name="Normal 2 2 4 2 2 13 11" xfId="22376" xr:uid="{00000000-0005-0000-0000-000061570000}"/>
    <cellStyle name="Normal 2 2 4 2 2 13 12" xfId="22377" xr:uid="{00000000-0005-0000-0000-000062570000}"/>
    <cellStyle name="Normal 2 2 4 2 2 13 13" xfId="22378" xr:uid="{00000000-0005-0000-0000-000063570000}"/>
    <cellStyle name="Normal 2 2 4 2 2 13 14" xfId="22379" xr:uid="{00000000-0005-0000-0000-000064570000}"/>
    <cellStyle name="Normal 2 2 4 2 2 13 2" xfId="22380" xr:uid="{00000000-0005-0000-0000-000065570000}"/>
    <cellStyle name="Normal 2 2 4 2 2 13 2 10" xfId="22381" xr:uid="{00000000-0005-0000-0000-000066570000}"/>
    <cellStyle name="Normal 2 2 4 2 2 13 2 2" xfId="22382" xr:uid="{00000000-0005-0000-0000-000067570000}"/>
    <cellStyle name="Normal 2 2 4 2 2 13 2 3" xfId="22383" xr:uid="{00000000-0005-0000-0000-000068570000}"/>
    <cellStyle name="Normal 2 2 4 2 2 13 2 4" xfId="22384" xr:uid="{00000000-0005-0000-0000-000069570000}"/>
    <cellStyle name="Normal 2 2 4 2 2 13 2 5" xfId="22385" xr:uid="{00000000-0005-0000-0000-00006A570000}"/>
    <cellStyle name="Normal 2 2 4 2 2 13 2 6" xfId="22386" xr:uid="{00000000-0005-0000-0000-00006B570000}"/>
    <cellStyle name="Normal 2 2 4 2 2 13 2 7" xfId="22387" xr:uid="{00000000-0005-0000-0000-00006C570000}"/>
    <cellStyle name="Normal 2 2 4 2 2 13 2 8" xfId="22388" xr:uid="{00000000-0005-0000-0000-00006D570000}"/>
    <cellStyle name="Normal 2 2 4 2 2 13 2 9" xfId="22389" xr:uid="{00000000-0005-0000-0000-00006E570000}"/>
    <cellStyle name="Normal 2 2 4 2 2 13 3" xfId="22390" xr:uid="{00000000-0005-0000-0000-00006F570000}"/>
    <cellStyle name="Normal 2 2 4 2 2 13 3 10" xfId="22391" xr:uid="{00000000-0005-0000-0000-000070570000}"/>
    <cellStyle name="Normal 2 2 4 2 2 13 3 2" xfId="22392" xr:uid="{00000000-0005-0000-0000-000071570000}"/>
    <cellStyle name="Normal 2 2 4 2 2 13 3 3" xfId="22393" xr:uid="{00000000-0005-0000-0000-000072570000}"/>
    <cellStyle name="Normal 2 2 4 2 2 13 3 4" xfId="22394" xr:uid="{00000000-0005-0000-0000-000073570000}"/>
    <cellStyle name="Normal 2 2 4 2 2 13 3 5" xfId="22395" xr:uid="{00000000-0005-0000-0000-000074570000}"/>
    <cellStyle name="Normal 2 2 4 2 2 13 3 6" xfId="22396" xr:uid="{00000000-0005-0000-0000-000075570000}"/>
    <cellStyle name="Normal 2 2 4 2 2 13 3 7" xfId="22397" xr:uid="{00000000-0005-0000-0000-000076570000}"/>
    <cellStyle name="Normal 2 2 4 2 2 13 3 8" xfId="22398" xr:uid="{00000000-0005-0000-0000-000077570000}"/>
    <cellStyle name="Normal 2 2 4 2 2 13 3 9" xfId="22399" xr:uid="{00000000-0005-0000-0000-000078570000}"/>
    <cellStyle name="Normal 2 2 4 2 2 13 4" xfId="22400" xr:uid="{00000000-0005-0000-0000-000079570000}"/>
    <cellStyle name="Normal 2 2 4 2 2 13 4 10" xfId="22401" xr:uid="{00000000-0005-0000-0000-00007A570000}"/>
    <cellStyle name="Normal 2 2 4 2 2 13 4 2" xfId="22402" xr:uid="{00000000-0005-0000-0000-00007B570000}"/>
    <cellStyle name="Normal 2 2 4 2 2 13 4 3" xfId="22403" xr:uid="{00000000-0005-0000-0000-00007C570000}"/>
    <cellStyle name="Normal 2 2 4 2 2 13 4 4" xfId="22404" xr:uid="{00000000-0005-0000-0000-00007D570000}"/>
    <cellStyle name="Normal 2 2 4 2 2 13 4 5" xfId="22405" xr:uid="{00000000-0005-0000-0000-00007E570000}"/>
    <cellStyle name="Normal 2 2 4 2 2 13 4 6" xfId="22406" xr:uid="{00000000-0005-0000-0000-00007F570000}"/>
    <cellStyle name="Normal 2 2 4 2 2 13 4 7" xfId="22407" xr:uid="{00000000-0005-0000-0000-000080570000}"/>
    <cellStyle name="Normal 2 2 4 2 2 13 4 8" xfId="22408" xr:uid="{00000000-0005-0000-0000-000081570000}"/>
    <cellStyle name="Normal 2 2 4 2 2 13 4 9" xfId="22409" xr:uid="{00000000-0005-0000-0000-000082570000}"/>
    <cellStyle name="Normal 2 2 4 2 2 13 5" xfId="22410" xr:uid="{00000000-0005-0000-0000-000083570000}"/>
    <cellStyle name="Normal 2 2 4 2 2 13 5 10" xfId="22411" xr:uid="{00000000-0005-0000-0000-000084570000}"/>
    <cellStyle name="Normal 2 2 4 2 2 13 5 2" xfId="22412" xr:uid="{00000000-0005-0000-0000-000085570000}"/>
    <cellStyle name="Normal 2 2 4 2 2 13 5 3" xfId="22413" xr:uid="{00000000-0005-0000-0000-000086570000}"/>
    <cellStyle name="Normal 2 2 4 2 2 13 5 4" xfId="22414" xr:uid="{00000000-0005-0000-0000-000087570000}"/>
    <cellStyle name="Normal 2 2 4 2 2 13 5 5" xfId="22415" xr:uid="{00000000-0005-0000-0000-000088570000}"/>
    <cellStyle name="Normal 2 2 4 2 2 13 5 6" xfId="22416" xr:uid="{00000000-0005-0000-0000-000089570000}"/>
    <cellStyle name="Normal 2 2 4 2 2 13 5 7" xfId="22417" xr:uid="{00000000-0005-0000-0000-00008A570000}"/>
    <cellStyle name="Normal 2 2 4 2 2 13 5 8" xfId="22418" xr:uid="{00000000-0005-0000-0000-00008B570000}"/>
    <cellStyle name="Normal 2 2 4 2 2 13 5 9" xfId="22419" xr:uid="{00000000-0005-0000-0000-00008C570000}"/>
    <cellStyle name="Normal 2 2 4 2 2 13 6" xfId="22420" xr:uid="{00000000-0005-0000-0000-00008D570000}"/>
    <cellStyle name="Normal 2 2 4 2 2 13 7" xfId="22421" xr:uid="{00000000-0005-0000-0000-00008E570000}"/>
    <cellStyle name="Normal 2 2 4 2 2 13 8" xfId="22422" xr:uid="{00000000-0005-0000-0000-00008F570000}"/>
    <cellStyle name="Normal 2 2 4 2 2 13 9" xfId="22423" xr:uid="{00000000-0005-0000-0000-000090570000}"/>
    <cellStyle name="Normal 2 2 4 2 2 14" xfId="22424" xr:uid="{00000000-0005-0000-0000-000091570000}"/>
    <cellStyle name="Normal 2 2 4 2 2 14 10" xfId="22425" xr:uid="{00000000-0005-0000-0000-000092570000}"/>
    <cellStyle name="Normal 2 2 4 2 2 14 11" xfId="22426" xr:uid="{00000000-0005-0000-0000-000093570000}"/>
    <cellStyle name="Normal 2 2 4 2 2 14 12" xfId="22427" xr:uid="{00000000-0005-0000-0000-000094570000}"/>
    <cellStyle name="Normal 2 2 4 2 2 14 13" xfId="22428" xr:uid="{00000000-0005-0000-0000-000095570000}"/>
    <cellStyle name="Normal 2 2 4 2 2 14 14" xfId="22429" xr:uid="{00000000-0005-0000-0000-000096570000}"/>
    <cellStyle name="Normal 2 2 4 2 2 14 2" xfId="22430" xr:uid="{00000000-0005-0000-0000-000097570000}"/>
    <cellStyle name="Normal 2 2 4 2 2 14 2 10" xfId="22431" xr:uid="{00000000-0005-0000-0000-000098570000}"/>
    <cellStyle name="Normal 2 2 4 2 2 14 2 2" xfId="22432" xr:uid="{00000000-0005-0000-0000-000099570000}"/>
    <cellStyle name="Normal 2 2 4 2 2 14 2 3" xfId="22433" xr:uid="{00000000-0005-0000-0000-00009A570000}"/>
    <cellStyle name="Normal 2 2 4 2 2 14 2 4" xfId="22434" xr:uid="{00000000-0005-0000-0000-00009B570000}"/>
    <cellStyle name="Normal 2 2 4 2 2 14 2 5" xfId="22435" xr:uid="{00000000-0005-0000-0000-00009C570000}"/>
    <cellStyle name="Normal 2 2 4 2 2 14 2 6" xfId="22436" xr:uid="{00000000-0005-0000-0000-00009D570000}"/>
    <cellStyle name="Normal 2 2 4 2 2 14 2 7" xfId="22437" xr:uid="{00000000-0005-0000-0000-00009E570000}"/>
    <cellStyle name="Normal 2 2 4 2 2 14 2 8" xfId="22438" xr:uid="{00000000-0005-0000-0000-00009F570000}"/>
    <cellStyle name="Normal 2 2 4 2 2 14 2 9" xfId="22439" xr:uid="{00000000-0005-0000-0000-0000A0570000}"/>
    <cellStyle name="Normal 2 2 4 2 2 14 3" xfId="22440" xr:uid="{00000000-0005-0000-0000-0000A1570000}"/>
    <cellStyle name="Normal 2 2 4 2 2 14 3 10" xfId="22441" xr:uid="{00000000-0005-0000-0000-0000A2570000}"/>
    <cellStyle name="Normal 2 2 4 2 2 14 3 2" xfId="22442" xr:uid="{00000000-0005-0000-0000-0000A3570000}"/>
    <cellStyle name="Normal 2 2 4 2 2 14 3 3" xfId="22443" xr:uid="{00000000-0005-0000-0000-0000A4570000}"/>
    <cellStyle name="Normal 2 2 4 2 2 14 3 4" xfId="22444" xr:uid="{00000000-0005-0000-0000-0000A5570000}"/>
    <cellStyle name="Normal 2 2 4 2 2 14 3 5" xfId="22445" xr:uid="{00000000-0005-0000-0000-0000A6570000}"/>
    <cellStyle name="Normal 2 2 4 2 2 14 3 6" xfId="22446" xr:uid="{00000000-0005-0000-0000-0000A7570000}"/>
    <cellStyle name="Normal 2 2 4 2 2 14 3 7" xfId="22447" xr:uid="{00000000-0005-0000-0000-0000A8570000}"/>
    <cellStyle name="Normal 2 2 4 2 2 14 3 8" xfId="22448" xr:uid="{00000000-0005-0000-0000-0000A9570000}"/>
    <cellStyle name="Normal 2 2 4 2 2 14 3 9" xfId="22449" xr:uid="{00000000-0005-0000-0000-0000AA570000}"/>
    <cellStyle name="Normal 2 2 4 2 2 14 4" xfId="22450" xr:uid="{00000000-0005-0000-0000-0000AB570000}"/>
    <cellStyle name="Normal 2 2 4 2 2 14 4 10" xfId="22451" xr:uid="{00000000-0005-0000-0000-0000AC570000}"/>
    <cellStyle name="Normal 2 2 4 2 2 14 4 2" xfId="22452" xr:uid="{00000000-0005-0000-0000-0000AD570000}"/>
    <cellStyle name="Normal 2 2 4 2 2 14 4 3" xfId="22453" xr:uid="{00000000-0005-0000-0000-0000AE570000}"/>
    <cellStyle name="Normal 2 2 4 2 2 14 4 4" xfId="22454" xr:uid="{00000000-0005-0000-0000-0000AF570000}"/>
    <cellStyle name="Normal 2 2 4 2 2 14 4 5" xfId="22455" xr:uid="{00000000-0005-0000-0000-0000B0570000}"/>
    <cellStyle name="Normal 2 2 4 2 2 14 4 6" xfId="22456" xr:uid="{00000000-0005-0000-0000-0000B1570000}"/>
    <cellStyle name="Normal 2 2 4 2 2 14 4 7" xfId="22457" xr:uid="{00000000-0005-0000-0000-0000B2570000}"/>
    <cellStyle name="Normal 2 2 4 2 2 14 4 8" xfId="22458" xr:uid="{00000000-0005-0000-0000-0000B3570000}"/>
    <cellStyle name="Normal 2 2 4 2 2 14 4 9" xfId="22459" xr:uid="{00000000-0005-0000-0000-0000B4570000}"/>
    <cellStyle name="Normal 2 2 4 2 2 14 5" xfId="22460" xr:uid="{00000000-0005-0000-0000-0000B5570000}"/>
    <cellStyle name="Normal 2 2 4 2 2 14 5 10" xfId="22461" xr:uid="{00000000-0005-0000-0000-0000B6570000}"/>
    <cellStyle name="Normal 2 2 4 2 2 14 5 2" xfId="22462" xr:uid="{00000000-0005-0000-0000-0000B7570000}"/>
    <cellStyle name="Normal 2 2 4 2 2 14 5 3" xfId="22463" xr:uid="{00000000-0005-0000-0000-0000B8570000}"/>
    <cellStyle name="Normal 2 2 4 2 2 14 5 4" xfId="22464" xr:uid="{00000000-0005-0000-0000-0000B9570000}"/>
    <cellStyle name="Normal 2 2 4 2 2 14 5 5" xfId="22465" xr:uid="{00000000-0005-0000-0000-0000BA570000}"/>
    <cellStyle name="Normal 2 2 4 2 2 14 5 6" xfId="22466" xr:uid="{00000000-0005-0000-0000-0000BB570000}"/>
    <cellStyle name="Normal 2 2 4 2 2 14 5 7" xfId="22467" xr:uid="{00000000-0005-0000-0000-0000BC570000}"/>
    <cellStyle name="Normal 2 2 4 2 2 14 5 8" xfId="22468" xr:uid="{00000000-0005-0000-0000-0000BD570000}"/>
    <cellStyle name="Normal 2 2 4 2 2 14 5 9" xfId="22469" xr:uid="{00000000-0005-0000-0000-0000BE570000}"/>
    <cellStyle name="Normal 2 2 4 2 2 14 6" xfId="22470" xr:uid="{00000000-0005-0000-0000-0000BF570000}"/>
    <cellStyle name="Normal 2 2 4 2 2 14 7" xfId="22471" xr:uid="{00000000-0005-0000-0000-0000C0570000}"/>
    <cellStyle name="Normal 2 2 4 2 2 14 8" xfId="22472" xr:uid="{00000000-0005-0000-0000-0000C1570000}"/>
    <cellStyle name="Normal 2 2 4 2 2 14 9" xfId="22473" xr:uid="{00000000-0005-0000-0000-0000C2570000}"/>
    <cellStyle name="Normal 2 2 4 2 2 15" xfId="22474" xr:uid="{00000000-0005-0000-0000-0000C3570000}"/>
    <cellStyle name="Normal 2 2 4 2 2 15 10" xfId="22475" xr:uid="{00000000-0005-0000-0000-0000C4570000}"/>
    <cellStyle name="Normal 2 2 4 2 2 15 11" xfId="22476" xr:uid="{00000000-0005-0000-0000-0000C5570000}"/>
    <cellStyle name="Normal 2 2 4 2 2 15 12" xfId="22477" xr:uid="{00000000-0005-0000-0000-0000C6570000}"/>
    <cellStyle name="Normal 2 2 4 2 2 15 13" xfId="22478" xr:uid="{00000000-0005-0000-0000-0000C7570000}"/>
    <cellStyle name="Normal 2 2 4 2 2 15 14" xfId="22479" xr:uid="{00000000-0005-0000-0000-0000C8570000}"/>
    <cellStyle name="Normal 2 2 4 2 2 15 2" xfId="22480" xr:uid="{00000000-0005-0000-0000-0000C9570000}"/>
    <cellStyle name="Normal 2 2 4 2 2 15 2 10" xfId="22481" xr:uid="{00000000-0005-0000-0000-0000CA570000}"/>
    <cellStyle name="Normal 2 2 4 2 2 15 2 2" xfId="22482" xr:uid="{00000000-0005-0000-0000-0000CB570000}"/>
    <cellStyle name="Normal 2 2 4 2 2 15 2 3" xfId="22483" xr:uid="{00000000-0005-0000-0000-0000CC570000}"/>
    <cellStyle name="Normal 2 2 4 2 2 15 2 4" xfId="22484" xr:uid="{00000000-0005-0000-0000-0000CD570000}"/>
    <cellStyle name="Normal 2 2 4 2 2 15 2 5" xfId="22485" xr:uid="{00000000-0005-0000-0000-0000CE570000}"/>
    <cellStyle name="Normal 2 2 4 2 2 15 2 6" xfId="22486" xr:uid="{00000000-0005-0000-0000-0000CF570000}"/>
    <cellStyle name="Normal 2 2 4 2 2 15 2 7" xfId="22487" xr:uid="{00000000-0005-0000-0000-0000D0570000}"/>
    <cellStyle name="Normal 2 2 4 2 2 15 2 8" xfId="22488" xr:uid="{00000000-0005-0000-0000-0000D1570000}"/>
    <cellStyle name="Normal 2 2 4 2 2 15 2 9" xfId="22489" xr:uid="{00000000-0005-0000-0000-0000D2570000}"/>
    <cellStyle name="Normal 2 2 4 2 2 15 3" xfId="22490" xr:uid="{00000000-0005-0000-0000-0000D3570000}"/>
    <cellStyle name="Normal 2 2 4 2 2 15 3 10" xfId="22491" xr:uid="{00000000-0005-0000-0000-0000D4570000}"/>
    <cellStyle name="Normal 2 2 4 2 2 15 3 2" xfId="22492" xr:uid="{00000000-0005-0000-0000-0000D5570000}"/>
    <cellStyle name="Normal 2 2 4 2 2 15 3 3" xfId="22493" xr:uid="{00000000-0005-0000-0000-0000D6570000}"/>
    <cellStyle name="Normal 2 2 4 2 2 15 3 4" xfId="22494" xr:uid="{00000000-0005-0000-0000-0000D7570000}"/>
    <cellStyle name="Normal 2 2 4 2 2 15 3 5" xfId="22495" xr:uid="{00000000-0005-0000-0000-0000D8570000}"/>
    <cellStyle name="Normal 2 2 4 2 2 15 3 6" xfId="22496" xr:uid="{00000000-0005-0000-0000-0000D9570000}"/>
    <cellStyle name="Normal 2 2 4 2 2 15 3 7" xfId="22497" xr:uid="{00000000-0005-0000-0000-0000DA570000}"/>
    <cellStyle name="Normal 2 2 4 2 2 15 3 8" xfId="22498" xr:uid="{00000000-0005-0000-0000-0000DB570000}"/>
    <cellStyle name="Normal 2 2 4 2 2 15 3 9" xfId="22499" xr:uid="{00000000-0005-0000-0000-0000DC570000}"/>
    <cellStyle name="Normal 2 2 4 2 2 15 4" xfId="22500" xr:uid="{00000000-0005-0000-0000-0000DD570000}"/>
    <cellStyle name="Normal 2 2 4 2 2 15 4 10" xfId="22501" xr:uid="{00000000-0005-0000-0000-0000DE570000}"/>
    <cellStyle name="Normal 2 2 4 2 2 15 4 2" xfId="22502" xr:uid="{00000000-0005-0000-0000-0000DF570000}"/>
    <cellStyle name="Normal 2 2 4 2 2 15 4 3" xfId="22503" xr:uid="{00000000-0005-0000-0000-0000E0570000}"/>
    <cellStyle name="Normal 2 2 4 2 2 15 4 4" xfId="22504" xr:uid="{00000000-0005-0000-0000-0000E1570000}"/>
    <cellStyle name="Normal 2 2 4 2 2 15 4 5" xfId="22505" xr:uid="{00000000-0005-0000-0000-0000E2570000}"/>
    <cellStyle name="Normal 2 2 4 2 2 15 4 6" xfId="22506" xr:uid="{00000000-0005-0000-0000-0000E3570000}"/>
    <cellStyle name="Normal 2 2 4 2 2 15 4 7" xfId="22507" xr:uid="{00000000-0005-0000-0000-0000E4570000}"/>
    <cellStyle name="Normal 2 2 4 2 2 15 4 8" xfId="22508" xr:uid="{00000000-0005-0000-0000-0000E5570000}"/>
    <cellStyle name="Normal 2 2 4 2 2 15 4 9" xfId="22509" xr:uid="{00000000-0005-0000-0000-0000E6570000}"/>
    <cellStyle name="Normal 2 2 4 2 2 15 5" xfId="22510" xr:uid="{00000000-0005-0000-0000-0000E7570000}"/>
    <cellStyle name="Normal 2 2 4 2 2 15 5 10" xfId="22511" xr:uid="{00000000-0005-0000-0000-0000E8570000}"/>
    <cellStyle name="Normal 2 2 4 2 2 15 5 2" xfId="22512" xr:uid="{00000000-0005-0000-0000-0000E9570000}"/>
    <cellStyle name="Normal 2 2 4 2 2 15 5 3" xfId="22513" xr:uid="{00000000-0005-0000-0000-0000EA570000}"/>
    <cellStyle name="Normal 2 2 4 2 2 15 5 4" xfId="22514" xr:uid="{00000000-0005-0000-0000-0000EB570000}"/>
    <cellStyle name="Normal 2 2 4 2 2 15 5 5" xfId="22515" xr:uid="{00000000-0005-0000-0000-0000EC570000}"/>
    <cellStyle name="Normal 2 2 4 2 2 15 5 6" xfId="22516" xr:uid="{00000000-0005-0000-0000-0000ED570000}"/>
    <cellStyle name="Normal 2 2 4 2 2 15 5 7" xfId="22517" xr:uid="{00000000-0005-0000-0000-0000EE570000}"/>
    <cellStyle name="Normal 2 2 4 2 2 15 5 8" xfId="22518" xr:uid="{00000000-0005-0000-0000-0000EF570000}"/>
    <cellStyle name="Normal 2 2 4 2 2 15 5 9" xfId="22519" xr:uid="{00000000-0005-0000-0000-0000F0570000}"/>
    <cellStyle name="Normal 2 2 4 2 2 15 6" xfId="22520" xr:uid="{00000000-0005-0000-0000-0000F1570000}"/>
    <cellStyle name="Normal 2 2 4 2 2 15 7" xfId="22521" xr:uid="{00000000-0005-0000-0000-0000F2570000}"/>
    <cellStyle name="Normal 2 2 4 2 2 15 8" xfId="22522" xr:uid="{00000000-0005-0000-0000-0000F3570000}"/>
    <cellStyle name="Normal 2 2 4 2 2 15 9" xfId="22523" xr:uid="{00000000-0005-0000-0000-0000F4570000}"/>
    <cellStyle name="Normal 2 2 4 2 2 16" xfId="22524" xr:uid="{00000000-0005-0000-0000-0000F5570000}"/>
    <cellStyle name="Normal 2 2 4 2 2 16 10" xfId="22525" xr:uid="{00000000-0005-0000-0000-0000F6570000}"/>
    <cellStyle name="Normal 2 2 4 2 2 16 11" xfId="22526" xr:uid="{00000000-0005-0000-0000-0000F7570000}"/>
    <cellStyle name="Normal 2 2 4 2 2 16 12" xfId="22527" xr:uid="{00000000-0005-0000-0000-0000F8570000}"/>
    <cellStyle name="Normal 2 2 4 2 2 16 13" xfId="22528" xr:uid="{00000000-0005-0000-0000-0000F9570000}"/>
    <cellStyle name="Normal 2 2 4 2 2 16 14" xfId="22529" xr:uid="{00000000-0005-0000-0000-0000FA570000}"/>
    <cellStyle name="Normal 2 2 4 2 2 16 2" xfId="22530" xr:uid="{00000000-0005-0000-0000-0000FB570000}"/>
    <cellStyle name="Normal 2 2 4 2 2 16 2 10" xfId="22531" xr:uid="{00000000-0005-0000-0000-0000FC570000}"/>
    <cellStyle name="Normal 2 2 4 2 2 16 2 2" xfId="22532" xr:uid="{00000000-0005-0000-0000-0000FD570000}"/>
    <cellStyle name="Normal 2 2 4 2 2 16 2 3" xfId="22533" xr:uid="{00000000-0005-0000-0000-0000FE570000}"/>
    <cellStyle name="Normal 2 2 4 2 2 16 2 4" xfId="22534" xr:uid="{00000000-0005-0000-0000-0000FF570000}"/>
    <cellStyle name="Normal 2 2 4 2 2 16 2 5" xfId="22535" xr:uid="{00000000-0005-0000-0000-000000580000}"/>
    <cellStyle name="Normal 2 2 4 2 2 16 2 6" xfId="22536" xr:uid="{00000000-0005-0000-0000-000001580000}"/>
    <cellStyle name="Normal 2 2 4 2 2 16 2 7" xfId="22537" xr:uid="{00000000-0005-0000-0000-000002580000}"/>
    <cellStyle name="Normal 2 2 4 2 2 16 2 8" xfId="22538" xr:uid="{00000000-0005-0000-0000-000003580000}"/>
    <cellStyle name="Normal 2 2 4 2 2 16 2 9" xfId="22539" xr:uid="{00000000-0005-0000-0000-000004580000}"/>
    <cellStyle name="Normal 2 2 4 2 2 16 3" xfId="22540" xr:uid="{00000000-0005-0000-0000-000005580000}"/>
    <cellStyle name="Normal 2 2 4 2 2 16 3 10" xfId="22541" xr:uid="{00000000-0005-0000-0000-000006580000}"/>
    <cellStyle name="Normal 2 2 4 2 2 16 3 2" xfId="22542" xr:uid="{00000000-0005-0000-0000-000007580000}"/>
    <cellStyle name="Normal 2 2 4 2 2 16 3 3" xfId="22543" xr:uid="{00000000-0005-0000-0000-000008580000}"/>
    <cellStyle name="Normal 2 2 4 2 2 16 3 4" xfId="22544" xr:uid="{00000000-0005-0000-0000-000009580000}"/>
    <cellStyle name="Normal 2 2 4 2 2 16 3 5" xfId="22545" xr:uid="{00000000-0005-0000-0000-00000A580000}"/>
    <cellStyle name="Normal 2 2 4 2 2 16 3 6" xfId="22546" xr:uid="{00000000-0005-0000-0000-00000B580000}"/>
    <cellStyle name="Normal 2 2 4 2 2 16 3 7" xfId="22547" xr:uid="{00000000-0005-0000-0000-00000C580000}"/>
    <cellStyle name="Normal 2 2 4 2 2 16 3 8" xfId="22548" xr:uid="{00000000-0005-0000-0000-00000D580000}"/>
    <cellStyle name="Normal 2 2 4 2 2 16 3 9" xfId="22549" xr:uid="{00000000-0005-0000-0000-00000E580000}"/>
    <cellStyle name="Normal 2 2 4 2 2 16 4" xfId="22550" xr:uid="{00000000-0005-0000-0000-00000F580000}"/>
    <cellStyle name="Normal 2 2 4 2 2 16 4 10" xfId="22551" xr:uid="{00000000-0005-0000-0000-000010580000}"/>
    <cellStyle name="Normal 2 2 4 2 2 16 4 2" xfId="22552" xr:uid="{00000000-0005-0000-0000-000011580000}"/>
    <cellStyle name="Normal 2 2 4 2 2 16 4 3" xfId="22553" xr:uid="{00000000-0005-0000-0000-000012580000}"/>
    <cellStyle name="Normal 2 2 4 2 2 16 4 4" xfId="22554" xr:uid="{00000000-0005-0000-0000-000013580000}"/>
    <cellStyle name="Normal 2 2 4 2 2 16 4 5" xfId="22555" xr:uid="{00000000-0005-0000-0000-000014580000}"/>
    <cellStyle name="Normal 2 2 4 2 2 16 4 6" xfId="22556" xr:uid="{00000000-0005-0000-0000-000015580000}"/>
    <cellStyle name="Normal 2 2 4 2 2 16 4 7" xfId="22557" xr:uid="{00000000-0005-0000-0000-000016580000}"/>
    <cellStyle name="Normal 2 2 4 2 2 16 4 8" xfId="22558" xr:uid="{00000000-0005-0000-0000-000017580000}"/>
    <cellStyle name="Normal 2 2 4 2 2 16 4 9" xfId="22559" xr:uid="{00000000-0005-0000-0000-000018580000}"/>
    <cellStyle name="Normal 2 2 4 2 2 16 5" xfId="22560" xr:uid="{00000000-0005-0000-0000-000019580000}"/>
    <cellStyle name="Normal 2 2 4 2 2 16 5 10" xfId="22561" xr:uid="{00000000-0005-0000-0000-00001A580000}"/>
    <cellStyle name="Normal 2 2 4 2 2 16 5 2" xfId="22562" xr:uid="{00000000-0005-0000-0000-00001B580000}"/>
    <cellStyle name="Normal 2 2 4 2 2 16 5 3" xfId="22563" xr:uid="{00000000-0005-0000-0000-00001C580000}"/>
    <cellStyle name="Normal 2 2 4 2 2 16 5 4" xfId="22564" xr:uid="{00000000-0005-0000-0000-00001D580000}"/>
    <cellStyle name="Normal 2 2 4 2 2 16 5 5" xfId="22565" xr:uid="{00000000-0005-0000-0000-00001E580000}"/>
    <cellStyle name="Normal 2 2 4 2 2 16 5 6" xfId="22566" xr:uid="{00000000-0005-0000-0000-00001F580000}"/>
    <cellStyle name="Normal 2 2 4 2 2 16 5 7" xfId="22567" xr:uid="{00000000-0005-0000-0000-000020580000}"/>
    <cellStyle name="Normal 2 2 4 2 2 16 5 8" xfId="22568" xr:uid="{00000000-0005-0000-0000-000021580000}"/>
    <cellStyle name="Normal 2 2 4 2 2 16 5 9" xfId="22569" xr:uid="{00000000-0005-0000-0000-000022580000}"/>
    <cellStyle name="Normal 2 2 4 2 2 16 6" xfId="22570" xr:uid="{00000000-0005-0000-0000-000023580000}"/>
    <cellStyle name="Normal 2 2 4 2 2 16 7" xfId="22571" xr:uid="{00000000-0005-0000-0000-000024580000}"/>
    <cellStyle name="Normal 2 2 4 2 2 16 8" xfId="22572" xr:uid="{00000000-0005-0000-0000-000025580000}"/>
    <cellStyle name="Normal 2 2 4 2 2 16 9" xfId="22573" xr:uid="{00000000-0005-0000-0000-000026580000}"/>
    <cellStyle name="Normal 2 2 4 2 2 17" xfId="22574" xr:uid="{00000000-0005-0000-0000-000027580000}"/>
    <cellStyle name="Normal 2 2 4 2 2 17 10" xfId="22575" xr:uid="{00000000-0005-0000-0000-000028580000}"/>
    <cellStyle name="Normal 2 2 4 2 2 17 11" xfId="22576" xr:uid="{00000000-0005-0000-0000-000029580000}"/>
    <cellStyle name="Normal 2 2 4 2 2 17 12" xfId="22577" xr:uid="{00000000-0005-0000-0000-00002A580000}"/>
    <cellStyle name="Normal 2 2 4 2 2 17 13" xfId="22578" xr:uid="{00000000-0005-0000-0000-00002B580000}"/>
    <cellStyle name="Normal 2 2 4 2 2 17 14" xfId="22579" xr:uid="{00000000-0005-0000-0000-00002C580000}"/>
    <cellStyle name="Normal 2 2 4 2 2 17 2" xfId="22580" xr:uid="{00000000-0005-0000-0000-00002D580000}"/>
    <cellStyle name="Normal 2 2 4 2 2 17 2 10" xfId="22581" xr:uid="{00000000-0005-0000-0000-00002E580000}"/>
    <cellStyle name="Normal 2 2 4 2 2 17 2 2" xfId="22582" xr:uid="{00000000-0005-0000-0000-00002F580000}"/>
    <cellStyle name="Normal 2 2 4 2 2 17 2 3" xfId="22583" xr:uid="{00000000-0005-0000-0000-000030580000}"/>
    <cellStyle name="Normal 2 2 4 2 2 17 2 4" xfId="22584" xr:uid="{00000000-0005-0000-0000-000031580000}"/>
    <cellStyle name="Normal 2 2 4 2 2 17 2 5" xfId="22585" xr:uid="{00000000-0005-0000-0000-000032580000}"/>
    <cellStyle name="Normal 2 2 4 2 2 17 2 6" xfId="22586" xr:uid="{00000000-0005-0000-0000-000033580000}"/>
    <cellStyle name="Normal 2 2 4 2 2 17 2 7" xfId="22587" xr:uid="{00000000-0005-0000-0000-000034580000}"/>
    <cellStyle name="Normal 2 2 4 2 2 17 2 8" xfId="22588" xr:uid="{00000000-0005-0000-0000-000035580000}"/>
    <cellStyle name="Normal 2 2 4 2 2 17 2 9" xfId="22589" xr:uid="{00000000-0005-0000-0000-000036580000}"/>
    <cellStyle name="Normal 2 2 4 2 2 17 3" xfId="22590" xr:uid="{00000000-0005-0000-0000-000037580000}"/>
    <cellStyle name="Normal 2 2 4 2 2 17 3 10" xfId="22591" xr:uid="{00000000-0005-0000-0000-000038580000}"/>
    <cellStyle name="Normal 2 2 4 2 2 17 3 2" xfId="22592" xr:uid="{00000000-0005-0000-0000-000039580000}"/>
    <cellStyle name="Normal 2 2 4 2 2 17 3 3" xfId="22593" xr:uid="{00000000-0005-0000-0000-00003A580000}"/>
    <cellStyle name="Normal 2 2 4 2 2 17 3 4" xfId="22594" xr:uid="{00000000-0005-0000-0000-00003B580000}"/>
    <cellStyle name="Normal 2 2 4 2 2 17 3 5" xfId="22595" xr:uid="{00000000-0005-0000-0000-00003C580000}"/>
    <cellStyle name="Normal 2 2 4 2 2 17 3 6" xfId="22596" xr:uid="{00000000-0005-0000-0000-00003D580000}"/>
    <cellStyle name="Normal 2 2 4 2 2 17 3 7" xfId="22597" xr:uid="{00000000-0005-0000-0000-00003E580000}"/>
    <cellStyle name="Normal 2 2 4 2 2 17 3 8" xfId="22598" xr:uid="{00000000-0005-0000-0000-00003F580000}"/>
    <cellStyle name="Normal 2 2 4 2 2 17 3 9" xfId="22599" xr:uid="{00000000-0005-0000-0000-000040580000}"/>
    <cellStyle name="Normal 2 2 4 2 2 17 4" xfId="22600" xr:uid="{00000000-0005-0000-0000-000041580000}"/>
    <cellStyle name="Normal 2 2 4 2 2 17 4 10" xfId="22601" xr:uid="{00000000-0005-0000-0000-000042580000}"/>
    <cellStyle name="Normal 2 2 4 2 2 17 4 2" xfId="22602" xr:uid="{00000000-0005-0000-0000-000043580000}"/>
    <cellStyle name="Normal 2 2 4 2 2 17 4 3" xfId="22603" xr:uid="{00000000-0005-0000-0000-000044580000}"/>
    <cellStyle name="Normal 2 2 4 2 2 17 4 4" xfId="22604" xr:uid="{00000000-0005-0000-0000-000045580000}"/>
    <cellStyle name="Normal 2 2 4 2 2 17 4 5" xfId="22605" xr:uid="{00000000-0005-0000-0000-000046580000}"/>
    <cellStyle name="Normal 2 2 4 2 2 17 4 6" xfId="22606" xr:uid="{00000000-0005-0000-0000-000047580000}"/>
    <cellStyle name="Normal 2 2 4 2 2 17 4 7" xfId="22607" xr:uid="{00000000-0005-0000-0000-000048580000}"/>
    <cellStyle name="Normal 2 2 4 2 2 17 4 8" xfId="22608" xr:uid="{00000000-0005-0000-0000-000049580000}"/>
    <cellStyle name="Normal 2 2 4 2 2 17 4 9" xfId="22609" xr:uid="{00000000-0005-0000-0000-00004A580000}"/>
    <cellStyle name="Normal 2 2 4 2 2 17 5" xfId="22610" xr:uid="{00000000-0005-0000-0000-00004B580000}"/>
    <cellStyle name="Normal 2 2 4 2 2 17 5 10" xfId="22611" xr:uid="{00000000-0005-0000-0000-00004C580000}"/>
    <cellStyle name="Normal 2 2 4 2 2 17 5 2" xfId="22612" xr:uid="{00000000-0005-0000-0000-00004D580000}"/>
    <cellStyle name="Normal 2 2 4 2 2 17 5 3" xfId="22613" xr:uid="{00000000-0005-0000-0000-00004E580000}"/>
    <cellStyle name="Normal 2 2 4 2 2 17 5 4" xfId="22614" xr:uid="{00000000-0005-0000-0000-00004F580000}"/>
    <cellStyle name="Normal 2 2 4 2 2 17 5 5" xfId="22615" xr:uid="{00000000-0005-0000-0000-000050580000}"/>
    <cellStyle name="Normal 2 2 4 2 2 17 5 6" xfId="22616" xr:uid="{00000000-0005-0000-0000-000051580000}"/>
    <cellStyle name="Normal 2 2 4 2 2 17 5 7" xfId="22617" xr:uid="{00000000-0005-0000-0000-000052580000}"/>
    <cellStyle name="Normal 2 2 4 2 2 17 5 8" xfId="22618" xr:uid="{00000000-0005-0000-0000-000053580000}"/>
    <cellStyle name="Normal 2 2 4 2 2 17 5 9" xfId="22619" xr:uid="{00000000-0005-0000-0000-000054580000}"/>
    <cellStyle name="Normal 2 2 4 2 2 17 6" xfId="22620" xr:uid="{00000000-0005-0000-0000-000055580000}"/>
    <cellStyle name="Normal 2 2 4 2 2 17 7" xfId="22621" xr:uid="{00000000-0005-0000-0000-000056580000}"/>
    <cellStyle name="Normal 2 2 4 2 2 17 8" xfId="22622" xr:uid="{00000000-0005-0000-0000-000057580000}"/>
    <cellStyle name="Normal 2 2 4 2 2 17 9" xfId="22623" xr:uid="{00000000-0005-0000-0000-000058580000}"/>
    <cellStyle name="Normal 2 2 4 2 2 18" xfId="22624" xr:uid="{00000000-0005-0000-0000-000059580000}"/>
    <cellStyle name="Normal 2 2 4 2 2 18 10" xfId="22625" xr:uid="{00000000-0005-0000-0000-00005A580000}"/>
    <cellStyle name="Normal 2 2 4 2 2 18 11" xfId="22626" xr:uid="{00000000-0005-0000-0000-00005B580000}"/>
    <cellStyle name="Normal 2 2 4 2 2 18 12" xfId="22627" xr:uid="{00000000-0005-0000-0000-00005C580000}"/>
    <cellStyle name="Normal 2 2 4 2 2 18 13" xfId="22628" xr:uid="{00000000-0005-0000-0000-00005D580000}"/>
    <cellStyle name="Normal 2 2 4 2 2 18 14" xfId="22629" xr:uid="{00000000-0005-0000-0000-00005E580000}"/>
    <cellStyle name="Normal 2 2 4 2 2 18 2" xfId="22630" xr:uid="{00000000-0005-0000-0000-00005F580000}"/>
    <cellStyle name="Normal 2 2 4 2 2 18 2 10" xfId="22631" xr:uid="{00000000-0005-0000-0000-000060580000}"/>
    <cellStyle name="Normal 2 2 4 2 2 18 2 2" xfId="22632" xr:uid="{00000000-0005-0000-0000-000061580000}"/>
    <cellStyle name="Normal 2 2 4 2 2 18 2 3" xfId="22633" xr:uid="{00000000-0005-0000-0000-000062580000}"/>
    <cellStyle name="Normal 2 2 4 2 2 18 2 4" xfId="22634" xr:uid="{00000000-0005-0000-0000-000063580000}"/>
    <cellStyle name="Normal 2 2 4 2 2 18 2 5" xfId="22635" xr:uid="{00000000-0005-0000-0000-000064580000}"/>
    <cellStyle name="Normal 2 2 4 2 2 18 2 6" xfId="22636" xr:uid="{00000000-0005-0000-0000-000065580000}"/>
    <cellStyle name="Normal 2 2 4 2 2 18 2 7" xfId="22637" xr:uid="{00000000-0005-0000-0000-000066580000}"/>
    <cellStyle name="Normal 2 2 4 2 2 18 2 8" xfId="22638" xr:uid="{00000000-0005-0000-0000-000067580000}"/>
    <cellStyle name="Normal 2 2 4 2 2 18 2 9" xfId="22639" xr:uid="{00000000-0005-0000-0000-000068580000}"/>
    <cellStyle name="Normal 2 2 4 2 2 18 3" xfId="22640" xr:uid="{00000000-0005-0000-0000-000069580000}"/>
    <cellStyle name="Normal 2 2 4 2 2 18 3 10" xfId="22641" xr:uid="{00000000-0005-0000-0000-00006A580000}"/>
    <cellStyle name="Normal 2 2 4 2 2 18 3 2" xfId="22642" xr:uid="{00000000-0005-0000-0000-00006B580000}"/>
    <cellStyle name="Normal 2 2 4 2 2 18 3 3" xfId="22643" xr:uid="{00000000-0005-0000-0000-00006C580000}"/>
    <cellStyle name="Normal 2 2 4 2 2 18 3 4" xfId="22644" xr:uid="{00000000-0005-0000-0000-00006D580000}"/>
    <cellStyle name="Normal 2 2 4 2 2 18 3 5" xfId="22645" xr:uid="{00000000-0005-0000-0000-00006E580000}"/>
    <cellStyle name="Normal 2 2 4 2 2 18 3 6" xfId="22646" xr:uid="{00000000-0005-0000-0000-00006F580000}"/>
    <cellStyle name="Normal 2 2 4 2 2 18 3 7" xfId="22647" xr:uid="{00000000-0005-0000-0000-000070580000}"/>
    <cellStyle name="Normal 2 2 4 2 2 18 3 8" xfId="22648" xr:uid="{00000000-0005-0000-0000-000071580000}"/>
    <cellStyle name="Normal 2 2 4 2 2 18 3 9" xfId="22649" xr:uid="{00000000-0005-0000-0000-000072580000}"/>
    <cellStyle name="Normal 2 2 4 2 2 18 4" xfId="22650" xr:uid="{00000000-0005-0000-0000-000073580000}"/>
    <cellStyle name="Normal 2 2 4 2 2 18 4 10" xfId="22651" xr:uid="{00000000-0005-0000-0000-000074580000}"/>
    <cellStyle name="Normal 2 2 4 2 2 18 4 2" xfId="22652" xr:uid="{00000000-0005-0000-0000-000075580000}"/>
    <cellStyle name="Normal 2 2 4 2 2 18 4 3" xfId="22653" xr:uid="{00000000-0005-0000-0000-000076580000}"/>
    <cellStyle name="Normal 2 2 4 2 2 18 4 4" xfId="22654" xr:uid="{00000000-0005-0000-0000-000077580000}"/>
    <cellStyle name="Normal 2 2 4 2 2 18 4 5" xfId="22655" xr:uid="{00000000-0005-0000-0000-000078580000}"/>
    <cellStyle name="Normal 2 2 4 2 2 18 4 6" xfId="22656" xr:uid="{00000000-0005-0000-0000-000079580000}"/>
    <cellStyle name="Normal 2 2 4 2 2 18 4 7" xfId="22657" xr:uid="{00000000-0005-0000-0000-00007A580000}"/>
    <cellStyle name="Normal 2 2 4 2 2 18 4 8" xfId="22658" xr:uid="{00000000-0005-0000-0000-00007B580000}"/>
    <cellStyle name="Normal 2 2 4 2 2 18 4 9" xfId="22659" xr:uid="{00000000-0005-0000-0000-00007C580000}"/>
    <cellStyle name="Normal 2 2 4 2 2 18 5" xfId="22660" xr:uid="{00000000-0005-0000-0000-00007D580000}"/>
    <cellStyle name="Normal 2 2 4 2 2 18 5 10" xfId="22661" xr:uid="{00000000-0005-0000-0000-00007E580000}"/>
    <cellStyle name="Normal 2 2 4 2 2 18 5 2" xfId="22662" xr:uid="{00000000-0005-0000-0000-00007F580000}"/>
    <cellStyle name="Normal 2 2 4 2 2 18 5 3" xfId="22663" xr:uid="{00000000-0005-0000-0000-000080580000}"/>
    <cellStyle name="Normal 2 2 4 2 2 18 5 4" xfId="22664" xr:uid="{00000000-0005-0000-0000-000081580000}"/>
    <cellStyle name="Normal 2 2 4 2 2 18 5 5" xfId="22665" xr:uid="{00000000-0005-0000-0000-000082580000}"/>
    <cellStyle name="Normal 2 2 4 2 2 18 5 6" xfId="22666" xr:uid="{00000000-0005-0000-0000-000083580000}"/>
    <cellStyle name="Normal 2 2 4 2 2 18 5 7" xfId="22667" xr:uid="{00000000-0005-0000-0000-000084580000}"/>
    <cellStyle name="Normal 2 2 4 2 2 18 5 8" xfId="22668" xr:uid="{00000000-0005-0000-0000-000085580000}"/>
    <cellStyle name="Normal 2 2 4 2 2 18 5 9" xfId="22669" xr:uid="{00000000-0005-0000-0000-000086580000}"/>
    <cellStyle name="Normal 2 2 4 2 2 18 6" xfId="22670" xr:uid="{00000000-0005-0000-0000-000087580000}"/>
    <cellStyle name="Normal 2 2 4 2 2 18 7" xfId="22671" xr:uid="{00000000-0005-0000-0000-000088580000}"/>
    <cellStyle name="Normal 2 2 4 2 2 18 8" xfId="22672" xr:uid="{00000000-0005-0000-0000-000089580000}"/>
    <cellStyle name="Normal 2 2 4 2 2 18 9" xfId="22673" xr:uid="{00000000-0005-0000-0000-00008A580000}"/>
    <cellStyle name="Normal 2 2 4 2 2 19" xfId="22674" xr:uid="{00000000-0005-0000-0000-00008B580000}"/>
    <cellStyle name="Normal 2 2 4 2 2 19 10" xfId="22675" xr:uid="{00000000-0005-0000-0000-00008C580000}"/>
    <cellStyle name="Normal 2 2 4 2 2 19 11" xfId="22676" xr:uid="{00000000-0005-0000-0000-00008D580000}"/>
    <cellStyle name="Normal 2 2 4 2 2 19 12" xfId="22677" xr:uid="{00000000-0005-0000-0000-00008E580000}"/>
    <cellStyle name="Normal 2 2 4 2 2 19 13" xfId="22678" xr:uid="{00000000-0005-0000-0000-00008F580000}"/>
    <cellStyle name="Normal 2 2 4 2 2 19 14" xfId="22679" xr:uid="{00000000-0005-0000-0000-000090580000}"/>
    <cellStyle name="Normal 2 2 4 2 2 19 2" xfId="22680" xr:uid="{00000000-0005-0000-0000-000091580000}"/>
    <cellStyle name="Normal 2 2 4 2 2 19 2 10" xfId="22681" xr:uid="{00000000-0005-0000-0000-000092580000}"/>
    <cellStyle name="Normal 2 2 4 2 2 19 2 2" xfId="22682" xr:uid="{00000000-0005-0000-0000-000093580000}"/>
    <cellStyle name="Normal 2 2 4 2 2 19 2 3" xfId="22683" xr:uid="{00000000-0005-0000-0000-000094580000}"/>
    <cellStyle name="Normal 2 2 4 2 2 19 2 4" xfId="22684" xr:uid="{00000000-0005-0000-0000-000095580000}"/>
    <cellStyle name="Normal 2 2 4 2 2 19 2 5" xfId="22685" xr:uid="{00000000-0005-0000-0000-000096580000}"/>
    <cellStyle name="Normal 2 2 4 2 2 19 2 6" xfId="22686" xr:uid="{00000000-0005-0000-0000-000097580000}"/>
    <cellStyle name="Normal 2 2 4 2 2 19 2 7" xfId="22687" xr:uid="{00000000-0005-0000-0000-000098580000}"/>
    <cellStyle name="Normal 2 2 4 2 2 19 2 8" xfId="22688" xr:uid="{00000000-0005-0000-0000-000099580000}"/>
    <cellStyle name="Normal 2 2 4 2 2 19 2 9" xfId="22689" xr:uid="{00000000-0005-0000-0000-00009A580000}"/>
    <cellStyle name="Normal 2 2 4 2 2 19 3" xfId="22690" xr:uid="{00000000-0005-0000-0000-00009B580000}"/>
    <cellStyle name="Normal 2 2 4 2 2 19 3 10" xfId="22691" xr:uid="{00000000-0005-0000-0000-00009C580000}"/>
    <cellStyle name="Normal 2 2 4 2 2 19 3 2" xfId="22692" xr:uid="{00000000-0005-0000-0000-00009D580000}"/>
    <cellStyle name="Normal 2 2 4 2 2 19 3 3" xfId="22693" xr:uid="{00000000-0005-0000-0000-00009E580000}"/>
    <cellStyle name="Normal 2 2 4 2 2 19 3 4" xfId="22694" xr:uid="{00000000-0005-0000-0000-00009F580000}"/>
    <cellStyle name="Normal 2 2 4 2 2 19 3 5" xfId="22695" xr:uid="{00000000-0005-0000-0000-0000A0580000}"/>
    <cellStyle name="Normal 2 2 4 2 2 19 3 6" xfId="22696" xr:uid="{00000000-0005-0000-0000-0000A1580000}"/>
    <cellStyle name="Normal 2 2 4 2 2 19 3 7" xfId="22697" xr:uid="{00000000-0005-0000-0000-0000A2580000}"/>
    <cellStyle name="Normal 2 2 4 2 2 19 3 8" xfId="22698" xr:uid="{00000000-0005-0000-0000-0000A3580000}"/>
    <cellStyle name="Normal 2 2 4 2 2 19 3 9" xfId="22699" xr:uid="{00000000-0005-0000-0000-0000A4580000}"/>
    <cellStyle name="Normal 2 2 4 2 2 19 4" xfId="22700" xr:uid="{00000000-0005-0000-0000-0000A5580000}"/>
    <cellStyle name="Normal 2 2 4 2 2 19 4 10" xfId="22701" xr:uid="{00000000-0005-0000-0000-0000A6580000}"/>
    <cellStyle name="Normal 2 2 4 2 2 19 4 2" xfId="22702" xr:uid="{00000000-0005-0000-0000-0000A7580000}"/>
    <cellStyle name="Normal 2 2 4 2 2 19 4 3" xfId="22703" xr:uid="{00000000-0005-0000-0000-0000A8580000}"/>
    <cellStyle name="Normal 2 2 4 2 2 19 4 4" xfId="22704" xr:uid="{00000000-0005-0000-0000-0000A9580000}"/>
    <cellStyle name="Normal 2 2 4 2 2 19 4 5" xfId="22705" xr:uid="{00000000-0005-0000-0000-0000AA580000}"/>
    <cellStyle name="Normal 2 2 4 2 2 19 4 6" xfId="22706" xr:uid="{00000000-0005-0000-0000-0000AB580000}"/>
    <cellStyle name="Normal 2 2 4 2 2 19 4 7" xfId="22707" xr:uid="{00000000-0005-0000-0000-0000AC580000}"/>
    <cellStyle name="Normal 2 2 4 2 2 19 4 8" xfId="22708" xr:uid="{00000000-0005-0000-0000-0000AD580000}"/>
    <cellStyle name="Normal 2 2 4 2 2 19 4 9" xfId="22709" xr:uid="{00000000-0005-0000-0000-0000AE580000}"/>
    <cellStyle name="Normal 2 2 4 2 2 19 5" xfId="22710" xr:uid="{00000000-0005-0000-0000-0000AF580000}"/>
    <cellStyle name="Normal 2 2 4 2 2 19 5 10" xfId="22711" xr:uid="{00000000-0005-0000-0000-0000B0580000}"/>
    <cellStyle name="Normal 2 2 4 2 2 19 5 2" xfId="22712" xr:uid="{00000000-0005-0000-0000-0000B1580000}"/>
    <cellStyle name="Normal 2 2 4 2 2 19 5 3" xfId="22713" xr:uid="{00000000-0005-0000-0000-0000B2580000}"/>
    <cellStyle name="Normal 2 2 4 2 2 19 5 4" xfId="22714" xr:uid="{00000000-0005-0000-0000-0000B3580000}"/>
    <cellStyle name="Normal 2 2 4 2 2 19 5 5" xfId="22715" xr:uid="{00000000-0005-0000-0000-0000B4580000}"/>
    <cellStyle name="Normal 2 2 4 2 2 19 5 6" xfId="22716" xr:uid="{00000000-0005-0000-0000-0000B5580000}"/>
    <cellStyle name="Normal 2 2 4 2 2 19 5 7" xfId="22717" xr:uid="{00000000-0005-0000-0000-0000B6580000}"/>
    <cellStyle name="Normal 2 2 4 2 2 19 5 8" xfId="22718" xr:uid="{00000000-0005-0000-0000-0000B7580000}"/>
    <cellStyle name="Normal 2 2 4 2 2 19 5 9" xfId="22719" xr:uid="{00000000-0005-0000-0000-0000B8580000}"/>
    <cellStyle name="Normal 2 2 4 2 2 19 6" xfId="22720" xr:uid="{00000000-0005-0000-0000-0000B9580000}"/>
    <cellStyle name="Normal 2 2 4 2 2 19 7" xfId="22721" xr:uid="{00000000-0005-0000-0000-0000BA580000}"/>
    <cellStyle name="Normal 2 2 4 2 2 19 8" xfId="22722" xr:uid="{00000000-0005-0000-0000-0000BB580000}"/>
    <cellStyle name="Normal 2 2 4 2 2 19 9" xfId="22723" xr:uid="{00000000-0005-0000-0000-0000BC580000}"/>
    <cellStyle name="Normal 2 2 4 2 2 2" xfId="22724" xr:uid="{00000000-0005-0000-0000-0000BD580000}"/>
    <cellStyle name="Normal 2 2 4 2 2 2 10" xfId="22725" xr:uid="{00000000-0005-0000-0000-0000BE580000}"/>
    <cellStyle name="Normal 2 2 4 2 2 2 11" xfId="22726" xr:uid="{00000000-0005-0000-0000-0000BF580000}"/>
    <cellStyle name="Normal 2 2 4 2 2 2 12" xfId="22727" xr:uid="{00000000-0005-0000-0000-0000C0580000}"/>
    <cellStyle name="Normal 2 2 4 2 2 2 13" xfId="22728" xr:uid="{00000000-0005-0000-0000-0000C1580000}"/>
    <cellStyle name="Normal 2 2 4 2 2 2 14" xfId="22729" xr:uid="{00000000-0005-0000-0000-0000C2580000}"/>
    <cellStyle name="Normal 2 2 4 2 2 2 2" xfId="22730" xr:uid="{00000000-0005-0000-0000-0000C3580000}"/>
    <cellStyle name="Normal 2 2 4 2 2 2 2 10" xfId="22731" xr:uid="{00000000-0005-0000-0000-0000C4580000}"/>
    <cellStyle name="Normal 2 2 4 2 2 2 2 2" xfId="22732" xr:uid="{00000000-0005-0000-0000-0000C5580000}"/>
    <cellStyle name="Normal 2 2 4 2 2 2 2 3" xfId="22733" xr:uid="{00000000-0005-0000-0000-0000C6580000}"/>
    <cellStyle name="Normal 2 2 4 2 2 2 2 4" xfId="22734" xr:uid="{00000000-0005-0000-0000-0000C7580000}"/>
    <cellStyle name="Normal 2 2 4 2 2 2 2 5" xfId="22735" xr:uid="{00000000-0005-0000-0000-0000C8580000}"/>
    <cellStyle name="Normal 2 2 4 2 2 2 2 6" xfId="22736" xr:uid="{00000000-0005-0000-0000-0000C9580000}"/>
    <cellStyle name="Normal 2 2 4 2 2 2 2 7" xfId="22737" xr:uid="{00000000-0005-0000-0000-0000CA580000}"/>
    <cellStyle name="Normal 2 2 4 2 2 2 2 8" xfId="22738" xr:uid="{00000000-0005-0000-0000-0000CB580000}"/>
    <cellStyle name="Normal 2 2 4 2 2 2 2 9" xfId="22739" xr:uid="{00000000-0005-0000-0000-0000CC580000}"/>
    <cellStyle name="Normal 2 2 4 2 2 2 3" xfId="22740" xr:uid="{00000000-0005-0000-0000-0000CD580000}"/>
    <cellStyle name="Normal 2 2 4 2 2 2 3 10" xfId="22741" xr:uid="{00000000-0005-0000-0000-0000CE580000}"/>
    <cellStyle name="Normal 2 2 4 2 2 2 3 2" xfId="22742" xr:uid="{00000000-0005-0000-0000-0000CF580000}"/>
    <cellStyle name="Normal 2 2 4 2 2 2 3 3" xfId="22743" xr:uid="{00000000-0005-0000-0000-0000D0580000}"/>
    <cellStyle name="Normal 2 2 4 2 2 2 3 4" xfId="22744" xr:uid="{00000000-0005-0000-0000-0000D1580000}"/>
    <cellStyle name="Normal 2 2 4 2 2 2 3 5" xfId="22745" xr:uid="{00000000-0005-0000-0000-0000D2580000}"/>
    <cellStyle name="Normal 2 2 4 2 2 2 3 6" xfId="22746" xr:uid="{00000000-0005-0000-0000-0000D3580000}"/>
    <cellStyle name="Normal 2 2 4 2 2 2 3 7" xfId="22747" xr:uid="{00000000-0005-0000-0000-0000D4580000}"/>
    <cellStyle name="Normal 2 2 4 2 2 2 3 8" xfId="22748" xr:uid="{00000000-0005-0000-0000-0000D5580000}"/>
    <cellStyle name="Normal 2 2 4 2 2 2 3 9" xfId="22749" xr:uid="{00000000-0005-0000-0000-0000D6580000}"/>
    <cellStyle name="Normal 2 2 4 2 2 2 4" xfId="22750" xr:uid="{00000000-0005-0000-0000-0000D7580000}"/>
    <cellStyle name="Normal 2 2 4 2 2 2 4 10" xfId="22751" xr:uid="{00000000-0005-0000-0000-0000D8580000}"/>
    <cellStyle name="Normal 2 2 4 2 2 2 4 2" xfId="22752" xr:uid="{00000000-0005-0000-0000-0000D9580000}"/>
    <cellStyle name="Normal 2 2 4 2 2 2 4 3" xfId="22753" xr:uid="{00000000-0005-0000-0000-0000DA580000}"/>
    <cellStyle name="Normal 2 2 4 2 2 2 4 4" xfId="22754" xr:uid="{00000000-0005-0000-0000-0000DB580000}"/>
    <cellStyle name="Normal 2 2 4 2 2 2 4 5" xfId="22755" xr:uid="{00000000-0005-0000-0000-0000DC580000}"/>
    <cellStyle name="Normal 2 2 4 2 2 2 4 6" xfId="22756" xr:uid="{00000000-0005-0000-0000-0000DD580000}"/>
    <cellStyle name="Normal 2 2 4 2 2 2 4 7" xfId="22757" xr:uid="{00000000-0005-0000-0000-0000DE580000}"/>
    <cellStyle name="Normal 2 2 4 2 2 2 4 8" xfId="22758" xr:uid="{00000000-0005-0000-0000-0000DF580000}"/>
    <cellStyle name="Normal 2 2 4 2 2 2 4 9" xfId="22759" xr:uid="{00000000-0005-0000-0000-0000E0580000}"/>
    <cellStyle name="Normal 2 2 4 2 2 2 5" xfId="22760" xr:uid="{00000000-0005-0000-0000-0000E1580000}"/>
    <cellStyle name="Normal 2 2 4 2 2 2 5 10" xfId="22761" xr:uid="{00000000-0005-0000-0000-0000E2580000}"/>
    <cellStyle name="Normal 2 2 4 2 2 2 5 2" xfId="22762" xr:uid="{00000000-0005-0000-0000-0000E3580000}"/>
    <cellStyle name="Normal 2 2 4 2 2 2 5 3" xfId="22763" xr:uid="{00000000-0005-0000-0000-0000E4580000}"/>
    <cellStyle name="Normal 2 2 4 2 2 2 5 4" xfId="22764" xr:uid="{00000000-0005-0000-0000-0000E5580000}"/>
    <cellStyle name="Normal 2 2 4 2 2 2 5 5" xfId="22765" xr:uid="{00000000-0005-0000-0000-0000E6580000}"/>
    <cellStyle name="Normal 2 2 4 2 2 2 5 6" xfId="22766" xr:uid="{00000000-0005-0000-0000-0000E7580000}"/>
    <cellStyle name="Normal 2 2 4 2 2 2 5 7" xfId="22767" xr:uid="{00000000-0005-0000-0000-0000E8580000}"/>
    <cellStyle name="Normal 2 2 4 2 2 2 5 8" xfId="22768" xr:uid="{00000000-0005-0000-0000-0000E9580000}"/>
    <cellStyle name="Normal 2 2 4 2 2 2 5 9" xfId="22769" xr:uid="{00000000-0005-0000-0000-0000EA580000}"/>
    <cellStyle name="Normal 2 2 4 2 2 2 6" xfId="22770" xr:uid="{00000000-0005-0000-0000-0000EB580000}"/>
    <cellStyle name="Normal 2 2 4 2 2 2 7" xfId="22771" xr:uid="{00000000-0005-0000-0000-0000EC580000}"/>
    <cellStyle name="Normal 2 2 4 2 2 2 8" xfId="22772" xr:uid="{00000000-0005-0000-0000-0000ED580000}"/>
    <cellStyle name="Normal 2 2 4 2 2 2 9" xfId="22773" xr:uid="{00000000-0005-0000-0000-0000EE580000}"/>
    <cellStyle name="Normal 2 2 4 2 2 20" xfId="22774" xr:uid="{00000000-0005-0000-0000-0000EF580000}"/>
    <cellStyle name="Normal 2 2 4 2 2 20 10" xfId="22775" xr:uid="{00000000-0005-0000-0000-0000F0580000}"/>
    <cellStyle name="Normal 2 2 4 2 2 20 11" xfId="22776" xr:uid="{00000000-0005-0000-0000-0000F1580000}"/>
    <cellStyle name="Normal 2 2 4 2 2 20 12" xfId="22777" xr:uid="{00000000-0005-0000-0000-0000F2580000}"/>
    <cellStyle name="Normal 2 2 4 2 2 20 13" xfId="22778" xr:uid="{00000000-0005-0000-0000-0000F3580000}"/>
    <cellStyle name="Normal 2 2 4 2 2 20 14" xfId="22779" xr:uid="{00000000-0005-0000-0000-0000F4580000}"/>
    <cellStyle name="Normal 2 2 4 2 2 20 2" xfId="22780" xr:uid="{00000000-0005-0000-0000-0000F5580000}"/>
    <cellStyle name="Normal 2 2 4 2 2 20 2 10" xfId="22781" xr:uid="{00000000-0005-0000-0000-0000F6580000}"/>
    <cellStyle name="Normal 2 2 4 2 2 20 2 2" xfId="22782" xr:uid="{00000000-0005-0000-0000-0000F7580000}"/>
    <cellStyle name="Normal 2 2 4 2 2 20 2 3" xfId="22783" xr:uid="{00000000-0005-0000-0000-0000F8580000}"/>
    <cellStyle name="Normal 2 2 4 2 2 20 2 4" xfId="22784" xr:uid="{00000000-0005-0000-0000-0000F9580000}"/>
    <cellStyle name="Normal 2 2 4 2 2 20 2 5" xfId="22785" xr:uid="{00000000-0005-0000-0000-0000FA580000}"/>
    <cellStyle name="Normal 2 2 4 2 2 20 2 6" xfId="22786" xr:uid="{00000000-0005-0000-0000-0000FB580000}"/>
    <cellStyle name="Normal 2 2 4 2 2 20 2 7" xfId="22787" xr:uid="{00000000-0005-0000-0000-0000FC580000}"/>
    <cellStyle name="Normal 2 2 4 2 2 20 2 8" xfId="22788" xr:uid="{00000000-0005-0000-0000-0000FD580000}"/>
    <cellStyle name="Normal 2 2 4 2 2 20 2 9" xfId="22789" xr:uid="{00000000-0005-0000-0000-0000FE580000}"/>
    <cellStyle name="Normal 2 2 4 2 2 20 3" xfId="22790" xr:uid="{00000000-0005-0000-0000-0000FF580000}"/>
    <cellStyle name="Normal 2 2 4 2 2 20 3 10" xfId="22791" xr:uid="{00000000-0005-0000-0000-000000590000}"/>
    <cellStyle name="Normal 2 2 4 2 2 20 3 2" xfId="22792" xr:uid="{00000000-0005-0000-0000-000001590000}"/>
    <cellStyle name="Normal 2 2 4 2 2 20 3 3" xfId="22793" xr:uid="{00000000-0005-0000-0000-000002590000}"/>
    <cellStyle name="Normal 2 2 4 2 2 20 3 4" xfId="22794" xr:uid="{00000000-0005-0000-0000-000003590000}"/>
    <cellStyle name="Normal 2 2 4 2 2 20 3 5" xfId="22795" xr:uid="{00000000-0005-0000-0000-000004590000}"/>
    <cellStyle name="Normal 2 2 4 2 2 20 3 6" xfId="22796" xr:uid="{00000000-0005-0000-0000-000005590000}"/>
    <cellStyle name="Normal 2 2 4 2 2 20 3 7" xfId="22797" xr:uid="{00000000-0005-0000-0000-000006590000}"/>
    <cellStyle name="Normal 2 2 4 2 2 20 3 8" xfId="22798" xr:uid="{00000000-0005-0000-0000-000007590000}"/>
    <cellStyle name="Normal 2 2 4 2 2 20 3 9" xfId="22799" xr:uid="{00000000-0005-0000-0000-000008590000}"/>
    <cellStyle name="Normal 2 2 4 2 2 20 4" xfId="22800" xr:uid="{00000000-0005-0000-0000-000009590000}"/>
    <cellStyle name="Normal 2 2 4 2 2 20 4 10" xfId="22801" xr:uid="{00000000-0005-0000-0000-00000A590000}"/>
    <cellStyle name="Normal 2 2 4 2 2 20 4 2" xfId="22802" xr:uid="{00000000-0005-0000-0000-00000B590000}"/>
    <cellStyle name="Normal 2 2 4 2 2 20 4 3" xfId="22803" xr:uid="{00000000-0005-0000-0000-00000C590000}"/>
    <cellStyle name="Normal 2 2 4 2 2 20 4 4" xfId="22804" xr:uid="{00000000-0005-0000-0000-00000D590000}"/>
    <cellStyle name="Normal 2 2 4 2 2 20 4 5" xfId="22805" xr:uid="{00000000-0005-0000-0000-00000E590000}"/>
    <cellStyle name="Normal 2 2 4 2 2 20 4 6" xfId="22806" xr:uid="{00000000-0005-0000-0000-00000F590000}"/>
    <cellStyle name="Normal 2 2 4 2 2 20 4 7" xfId="22807" xr:uid="{00000000-0005-0000-0000-000010590000}"/>
    <cellStyle name="Normal 2 2 4 2 2 20 4 8" xfId="22808" xr:uid="{00000000-0005-0000-0000-000011590000}"/>
    <cellStyle name="Normal 2 2 4 2 2 20 4 9" xfId="22809" xr:uid="{00000000-0005-0000-0000-000012590000}"/>
    <cellStyle name="Normal 2 2 4 2 2 20 5" xfId="22810" xr:uid="{00000000-0005-0000-0000-000013590000}"/>
    <cellStyle name="Normal 2 2 4 2 2 20 5 10" xfId="22811" xr:uid="{00000000-0005-0000-0000-000014590000}"/>
    <cellStyle name="Normal 2 2 4 2 2 20 5 2" xfId="22812" xr:uid="{00000000-0005-0000-0000-000015590000}"/>
    <cellStyle name="Normal 2 2 4 2 2 20 5 3" xfId="22813" xr:uid="{00000000-0005-0000-0000-000016590000}"/>
    <cellStyle name="Normal 2 2 4 2 2 20 5 4" xfId="22814" xr:uid="{00000000-0005-0000-0000-000017590000}"/>
    <cellStyle name="Normal 2 2 4 2 2 20 5 5" xfId="22815" xr:uid="{00000000-0005-0000-0000-000018590000}"/>
    <cellStyle name="Normal 2 2 4 2 2 20 5 6" xfId="22816" xr:uid="{00000000-0005-0000-0000-000019590000}"/>
    <cellStyle name="Normal 2 2 4 2 2 20 5 7" xfId="22817" xr:uid="{00000000-0005-0000-0000-00001A590000}"/>
    <cellStyle name="Normal 2 2 4 2 2 20 5 8" xfId="22818" xr:uid="{00000000-0005-0000-0000-00001B590000}"/>
    <cellStyle name="Normal 2 2 4 2 2 20 5 9" xfId="22819" xr:uid="{00000000-0005-0000-0000-00001C590000}"/>
    <cellStyle name="Normal 2 2 4 2 2 20 6" xfId="22820" xr:uid="{00000000-0005-0000-0000-00001D590000}"/>
    <cellStyle name="Normal 2 2 4 2 2 20 7" xfId="22821" xr:uid="{00000000-0005-0000-0000-00001E590000}"/>
    <cellStyle name="Normal 2 2 4 2 2 20 8" xfId="22822" xr:uid="{00000000-0005-0000-0000-00001F590000}"/>
    <cellStyle name="Normal 2 2 4 2 2 20 9" xfId="22823" xr:uid="{00000000-0005-0000-0000-000020590000}"/>
    <cellStyle name="Normal 2 2 4 2 2 3" xfId="22824" xr:uid="{00000000-0005-0000-0000-000021590000}"/>
    <cellStyle name="Normal 2 2 4 2 2 3 10" xfId="22825" xr:uid="{00000000-0005-0000-0000-000022590000}"/>
    <cellStyle name="Normal 2 2 4 2 2 3 11" xfId="22826" xr:uid="{00000000-0005-0000-0000-000023590000}"/>
    <cellStyle name="Normal 2 2 4 2 2 3 12" xfId="22827" xr:uid="{00000000-0005-0000-0000-000024590000}"/>
    <cellStyle name="Normal 2 2 4 2 2 3 13" xfId="22828" xr:uid="{00000000-0005-0000-0000-000025590000}"/>
    <cellStyle name="Normal 2 2 4 2 2 3 14" xfId="22829" xr:uid="{00000000-0005-0000-0000-000026590000}"/>
    <cellStyle name="Normal 2 2 4 2 2 3 2" xfId="22830" xr:uid="{00000000-0005-0000-0000-000027590000}"/>
    <cellStyle name="Normal 2 2 4 2 2 3 2 10" xfId="22831" xr:uid="{00000000-0005-0000-0000-000028590000}"/>
    <cellStyle name="Normal 2 2 4 2 2 3 2 2" xfId="22832" xr:uid="{00000000-0005-0000-0000-000029590000}"/>
    <cellStyle name="Normal 2 2 4 2 2 3 2 3" xfId="22833" xr:uid="{00000000-0005-0000-0000-00002A590000}"/>
    <cellStyle name="Normal 2 2 4 2 2 3 2 4" xfId="22834" xr:uid="{00000000-0005-0000-0000-00002B590000}"/>
    <cellStyle name="Normal 2 2 4 2 2 3 2 5" xfId="22835" xr:uid="{00000000-0005-0000-0000-00002C590000}"/>
    <cellStyle name="Normal 2 2 4 2 2 3 2 6" xfId="22836" xr:uid="{00000000-0005-0000-0000-00002D590000}"/>
    <cellStyle name="Normal 2 2 4 2 2 3 2 7" xfId="22837" xr:uid="{00000000-0005-0000-0000-00002E590000}"/>
    <cellStyle name="Normal 2 2 4 2 2 3 2 8" xfId="22838" xr:uid="{00000000-0005-0000-0000-00002F590000}"/>
    <cellStyle name="Normal 2 2 4 2 2 3 2 9" xfId="22839" xr:uid="{00000000-0005-0000-0000-000030590000}"/>
    <cellStyle name="Normal 2 2 4 2 2 3 3" xfId="22840" xr:uid="{00000000-0005-0000-0000-000031590000}"/>
    <cellStyle name="Normal 2 2 4 2 2 3 3 10" xfId="22841" xr:uid="{00000000-0005-0000-0000-000032590000}"/>
    <cellStyle name="Normal 2 2 4 2 2 3 3 2" xfId="22842" xr:uid="{00000000-0005-0000-0000-000033590000}"/>
    <cellStyle name="Normal 2 2 4 2 2 3 3 3" xfId="22843" xr:uid="{00000000-0005-0000-0000-000034590000}"/>
    <cellStyle name="Normal 2 2 4 2 2 3 3 4" xfId="22844" xr:uid="{00000000-0005-0000-0000-000035590000}"/>
    <cellStyle name="Normal 2 2 4 2 2 3 3 5" xfId="22845" xr:uid="{00000000-0005-0000-0000-000036590000}"/>
    <cellStyle name="Normal 2 2 4 2 2 3 3 6" xfId="22846" xr:uid="{00000000-0005-0000-0000-000037590000}"/>
    <cellStyle name="Normal 2 2 4 2 2 3 3 7" xfId="22847" xr:uid="{00000000-0005-0000-0000-000038590000}"/>
    <cellStyle name="Normal 2 2 4 2 2 3 3 8" xfId="22848" xr:uid="{00000000-0005-0000-0000-000039590000}"/>
    <cellStyle name="Normal 2 2 4 2 2 3 3 9" xfId="22849" xr:uid="{00000000-0005-0000-0000-00003A590000}"/>
    <cellStyle name="Normal 2 2 4 2 2 3 4" xfId="22850" xr:uid="{00000000-0005-0000-0000-00003B590000}"/>
    <cellStyle name="Normal 2 2 4 2 2 3 4 10" xfId="22851" xr:uid="{00000000-0005-0000-0000-00003C590000}"/>
    <cellStyle name="Normal 2 2 4 2 2 3 4 2" xfId="22852" xr:uid="{00000000-0005-0000-0000-00003D590000}"/>
    <cellStyle name="Normal 2 2 4 2 2 3 4 3" xfId="22853" xr:uid="{00000000-0005-0000-0000-00003E590000}"/>
    <cellStyle name="Normal 2 2 4 2 2 3 4 4" xfId="22854" xr:uid="{00000000-0005-0000-0000-00003F590000}"/>
    <cellStyle name="Normal 2 2 4 2 2 3 4 5" xfId="22855" xr:uid="{00000000-0005-0000-0000-000040590000}"/>
    <cellStyle name="Normal 2 2 4 2 2 3 4 6" xfId="22856" xr:uid="{00000000-0005-0000-0000-000041590000}"/>
    <cellStyle name="Normal 2 2 4 2 2 3 4 7" xfId="22857" xr:uid="{00000000-0005-0000-0000-000042590000}"/>
    <cellStyle name="Normal 2 2 4 2 2 3 4 8" xfId="22858" xr:uid="{00000000-0005-0000-0000-000043590000}"/>
    <cellStyle name="Normal 2 2 4 2 2 3 4 9" xfId="22859" xr:uid="{00000000-0005-0000-0000-000044590000}"/>
    <cellStyle name="Normal 2 2 4 2 2 3 5" xfId="22860" xr:uid="{00000000-0005-0000-0000-000045590000}"/>
    <cellStyle name="Normal 2 2 4 2 2 3 5 10" xfId="22861" xr:uid="{00000000-0005-0000-0000-000046590000}"/>
    <cellStyle name="Normal 2 2 4 2 2 3 5 2" xfId="22862" xr:uid="{00000000-0005-0000-0000-000047590000}"/>
    <cellStyle name="Normal 2 2 4 2 2 3 5 3" xfId="22863" xr:uid="{00000000-0005-0000-0000-000048590000}"/>
    <cellStyle name="Normal 2 2 4 2 2 3 5 4" xfId="22864" xr:uid="{00000000-0005-0000-0000-000049590000}"/>
    <cellStyle name="Normal 2 2 4 2 2 3 5 5" xfId="22865" xr:uid="{00000000-0005-0000-0000-00004A590000}"/>
    <cellStyle name="Normal 2 2 4 2 2 3 5 6" xfId="22866" xr:uid="{00000000-0005-0000-0000-00004B590000}"/>
    <cellStyle name="Normal 2 2 4 2 2 3 5 7" xfId="22867" xr:uid="{00000000-0005-0000-0000-00004C590000}"/>
    <cellStyle name="Normal 2 2 4 2 2 3 5 8" xfId="22868" xr:uid="{00000000-0005-0000-0000-00004D590000}"/>
    <cellStyle name="Normal 2 2 4 2 2 3 5 9" xfId="22869" xr:uid="{00000000-0005-0000-0000-00004E590000}"/>
    <cellStyle name="Normal 2 2 4 2 2 3 6" xfId="22870" xr:uid="{00000000-0005-0000-0000-00004F590000}"/>
    <cellStyle name="Normal 2 2 4 2 2 3 7" xfId="22871" xr:uid="{00000000-0005-0000-0000-000050590000}"/>
    <cellStyle name="Normal 2 2 4 2 2 3 8" xfId="22872" xr:uid="{00000000-0005-0000-0000-000051590000}"/>
    <cellStyle name="Normal 2 2 4 2 2 3 9" xfId="22873" xr:uid="{00000000-0005-0000-0000-000052590000}"/>
    <cellStyle name="Normal 2 2 4 2 2 4" xfId="22874" xr:uid="{00000000-0005-0000-0000-000053590000}"/>
    <cellStyle name="Normal 2 2 4 2 2 4 10" xfId="22875" xr:uid="{00000000-0005-0000-0000-000054590000}"/>
    <cellStyle name="Normal 2 2 4 2 2 4 11" xfId="22876" xr:uid="{00000000-0005-0000-0000-000055590000}"/>
    <cellStyle name="Normal 2 2 4 2 2 4 12" xfId="22877" xr:uid="{00000000-0005-0000-0000-000056590000}"/>
    <cellStyle name="Normal 2 2 4 2 2 4 13" xfId="22878" xr:uid="{00000000-0005-0000-0000-000057590000}"/>
    <cellStyle name="Normal 2 2 4 2 2 4 14" xfId="22879" xr:uid="{00000000-0005-0000-0000-000058590000}"/>
    <cellStyle name="Normal 2 2 4 2 2 4 2" xfId="22880" xr:uid="{00000000-0005-0000-0000-000059590000}"/>
    <cellStyle name="Normal 2 2 4 2 2 4 2 10" xfId="22881" xr:uid="{00000000-0005-0000-0000-00005A590000}"/>
    <cellStyle name="Normal 2 2 4 2 2 4 2 2" xfId="22882" xr:uid="{00000000-0005-0000-0000-00005B590000}"/>
    <cellStyle name="Normal 2 2 4 2 2 4 2 3" xfId="22883" xr:uid="{00000000-0005-0000-0000-00005C590000}"/>
    <cellStyle name="Normal 2 2 4 2 2 4 2 4" xfId="22884" xr:uid="{00000000-0005-0000-0000-00005D590000}"/>
    <cellStyle name="Normal 2 2 4 2 2 4 2 5" xfId="22885" xr:uid="{00000000-0005-0000-0000-00005E590000}"/>
    <cellStyle name="Normal 2 2 4 2 2 4 2 6" xfId="22886" xr:uid="{00000000-0005-0000-0000-00005F590000}"/>
    <cellStyle name="Normal 2 2 4 2 2 4 2 7" xfId="22887" xr:uid="{00000000-0005-0000-0000-000060590000}"/>
    <cellStyle name="Normal 2 2 4 2 2 4 2 8" xfId="22888" xr:uid="{00000000-0005-0000-0000-000061590000}"/>
    <cellStyle name="Normal 2 2 4 2 2 4 2 9" xfId="22889" xr:uid="{00000000-0005-0000-0000-000062590000}"/>
    <cellStyle name="Normal 2 2 4 2 2 4 3" xfId="22890" xr:uid="{00000000-0005-0000-0000-000063590000}"/>
    <cellStyle name="Normal 2 2 4 2 2 4 3 10" xfId="22891" xr:uid="{00000000-0005-0000-0000-000064590000}"/>
    <cellStyle name="Normal 2 2 4 2 2 4 3 2" xfId="22892" xr:uid="{00000000-0005-0000-0000-000065590000}"/>
    <cellStyle name="Normal 2 2 4 2 2 4 3 3" xfId="22893" xr:uid="{00000000-0005-0000-0000-000066590000}"/>
    <cellStyle name="Normal 2 2 4 2 2 4 3 4" xfId="22894" xr:uid="{00000000-0005-0000-0000-000067590000}"/>
    <cellStyle name="Normal 2 2 4 2 2 4 3 5" xfId="22895" xr:uid="{00000000-0005-0000-0000-000068590000}"/>
    <cellStyle name="Normal 2 2 4 2 2 4 3 6" xfId="22896" xr:uid="{00000000-0005-0000-0000-000069590000}"/>
    <cellStyle name="Normal 2 2 4 2 2 4 3 7" xfId="22897" xr:uid="{00000000-0005-0000-0000-00006A590000}"/>
    <cellStyle name="Normal 2 2 4 2 2 4 3 8" xfId="22898" xr:uid="{00000000-0005-0000-0000-00006B590000}"/>
    <cellStyle name="Normal 2 2 4 2 2 4 3 9" xfId="22899" xr:uid="{00000000-0005-0000-0000-00006C590000}"/>
    <cellStyle name="Normal 2 2 4 2 2 4 4" xfId="22900" xr:uid="{00000000-0005-0000-0000-00006D590000}"/>
    <cellStyle name="Normal 2 2 4 2 2 4 4 10" xfId="22901" xr:uid="{00000000-0005-0000-0000-00006E590000}"/>
    <cellStyle name="Normal 2 2 4 2 2 4 4 2" xfId="22902" xr:uid="{00000000-0005-0000-0000-00006F590000}"/>
    <cellStyle name="Normal 2 2 4 2 2 4 4 3" xfId="22903" xr:uid="{00000000-0005-0000-0000-000070590000}"/>
    <cellStyle name="Normal 2 2 4 2 2 4 4 4" xfId="22904" xr:uid="{00000000-0005-0000-0000-000071590000}"/>
    <cellStyle name="Normal 2 2 4 2 2 4 4 5" xfId="22905" xr:uid="{00000000-0005-0000-0000-000072590000}"/>
    <cellStyle name="Normal 2 2 4 2 2 4 4 6" xfId="22906" xr:uid="{00000000-0005-0000-0000-000073590000}"/>
    <cellStyle name="Normal 2 2 4 2 2 4 4 7" xfId="22907" xr:uid="{00000000-0005-0000-0000-000074590000}"/>
    <cellStyle name="Normal 2 2 4 2 2 4 4 8" xfId="22908" xr:uid="{00000000-0005-0000-0000-000075590000}"/>
    <cellStyle name="Normal 2 2 4 2 2 4 4 9" xfId="22909" xr:uid="{00000000-0005-0000-0000-000076590000}"/>
    <cellStyle name="Normal 2 2 4 2 2 4 5" xfId="22910" xr:uid="{00000000-0005-0000-0000-000077590000}"/>
    <cellStyle name="Normal 2 2 4 2 2 4 5 10" xfId="22911" xr:uid="{00000000-0005-0000-0000-000078590000}"/>
    <cellStyle name="Normal 2 2 4 2 2 4 5 2" xfId="22912" xr:uid="{00000000-0005-0000-0000-000079590000}"/>
    <cellStyle name="Normal 2 2 4 2 2 4 5 3" xfId="22913" xr:uid="{00000000-0005-0000-0000-00007A590000}"/>
    <cellStyle name="Normal 2 2 4 2 2 4 5 4" xfId="22914" xr:uid="{00000000-0005-0000-0000-00007B590000}"/>
    <cellStyle name="Normal 2 2 4 2 2 4 5 5" xfId="22915" xr:uid="{00000000-0005-0000-0000-00007C590000}"/>
    <cellStyle name="Normal 2 2 4 2 2 4 5 6" xfId="22916" xr:uid="{00000000-0005-0000-0000-00007D590000}"/>
    <cellStyle name="Normal 2 2 4 2 2 4 5 7" xfId="22917" xr:uid="{00000000-0005-0000-0000-00007E590000}"/>
    <cellStyle name="Normal 2 2 4 2 2 4 5 8" xfId="22918" xr:uid="{00000000-0005-0000-0000-00007F590000}"/>
    <cellStyle name="Normal 2 2 4 2 2 4 5 9" xfId="22919" xr:uid="{00000000-0005-0000-0000-000080590000}"/>
    <cellStyle name="Normal 2 2 4 2 2 4 6" xfId="22920" xr:uid="{00000000-0005-0000-0000-000081590000}"/>
    <cellStyle name="Normal 2 2 4 2 2 4 7" xfId="22921" xr:uid="{00000000-0005-0000-0000-000082590000}"/>
    <cellStyle name="Normal 2 2 4 2 2 4 8" xfId="22922" xr:uid="{00000000-0005-0000-0000-000083590000}"/>
    <cellStyle name="Normal 2 2 4 2 2 4 9" xfId="22923" xr:uid="{00000000-0005-0000-0000-000084590000}"/>
    <cellStyle name="Normal 2 2 4 2 2 5" xfId="22924" xr:uid="{00000000-0005-0000-0000-000085590000}"/>
    <cellStyle name="Normal 2 2 4 2 2 5 10" xfId="22925" xr:uid="{00000000-0005-0000-0000-000086590000}"/>
    <cellStyle name="Normal 2 2 4 2 2 5 11" xfId="22926" xr:uid="{00000000-0005-0000-0000-000087590000}"/>
    <cellStyle name="Normal 2 2 4 2 2 5 12" xfId="22927" xr:uid="{00000000-0005-0000-0000-000088590000}"/>
    <cellStyle name="Normal 2 2 4 2 2 5 13" xfId="22928" xr:uid="{00000000-0005-0000-0000-000089590000}"/>
    <cellStyle name="Normal 2 2 4 2 2 5 14" xfId="22929" xr:uid="{00000000-0005-0000-0000-00008A590000}"/>
    <cellStyle name="Normal 2 2 4 2 2 5 2" xfId="22930" xr:uid="{00000000-0005-0000-0000-00008B590000}"/>
    <cellStyle name="Normal 2 2 4 2 2 5 2 10" xfId="22931" xr:uid="{00000000-0005-0000-0000-00008C590000}"/>
    <cellStyle name="Normal 2 2 4 2 2 5 2 2" xfId="22932" xr:uid="{00000000-0005-0000-0000-00008D590000}"/>
    <cellStyle name="Normal 2 2 4 2 2 5 2 3" xfId="22933" xr:uid="{00000000-0005-0000-0000-00008E590000}"/>
    <cellStyle name="Normal 2 2 4 2 2 5 2 4" xfId="22934" xr:uid="{00000000-0005-0000-0000-00008F590000}"/>
    <cellStyle name="Normal 2 2 4 2 2 5 2 5" xfId="22935" xr:uid="{00000000-0005-0000-0000-000090590000}"/>
    <cellStyle name="Normal 2 2 4 2 2 5 2 6" xfId="22936" xr:uid="{00000000-0005-0000-0000-000091590000}"/>
    <cellStyle name="Normal 2 2 4 2 2 5 2 7" xfId="22937" xr:uid="{00000000-0005-0000-0000-000092590000}"/>
    <cellStyle name="Normal 2 2 4 2 2 5 2 8" xfId="22938" xr:uid="{00000000-0005-0000-0000-000093590000}"/>
    <cellStyle name="Normal 2 2 4 2 2 5 2 9" xfId="22939" xr:uid="{00000000-0005-0000-0000-000094590000}"/>
    <cellStyle name="Normal 2 2 4 2 2 5 3" xfId="22940" xr:uid="{00000000-0005-0000-0000-000095590000}"/>
    <cellStyle name="Normal 2 2 4 2 2 5 3 10" xfId="22941" xr:uid="{00000000-0005-0000-0000-000096590000}"/>
    <cellStyle name="Normal 2 2 4 2 2 5 3 2" xfId="22942" xr:uid="{00000000-0005-0000-0000-000097590000}"/>
    <cellStyle name="Normal 2 2 4 2 2 5 3 3" xfId="22943" xr:uid="{00000000-0005-0000-0000-000098590000}"/>
    <cellStyle name="Normal 2 2 4 2 2 5 3 4" xfId="22944" xr:uid="{00000000-0005-0000-0000-000099590000}"/>
    <cellStyle name="Normal 2 2 4 2 2 5 3 5" xfId="22945" xr:uid="{00000000-0005-0000-0000-00009A590000}"/>
    <cellStyle name="Normal 2 2 4 2 2 5 3 6" xfId="22946" xr:uid="{00000000-0005-0000-0000-00009B590000}"/>
    <cellStyle name="Normal 2 2 4 2 2 5 3 7" xfId="22947" xr:uid="{00000000-0005-0000-0000-00009C590000}"/>
    <cellStyle name="Normal 2 2 4 2 2 5 3 8" xfId="22948" xr:uid="{00000000-0005-0000-0000-00009D590000}"/>
    <cellStyle name="Normal 2 2 4 2 2 5 3 9" xfId="22949" xr:uid="{00000000-0005-0000-0000-00009E590000}"/>
    <cellStyle name="Normal 2 2 4 2 2 5 4" xfId="22950" xr:uid="{00000000-0005-0000-0000-00009F590000}"/>
    <cellStyle name="Normal 2 2 4 2 2 5 4 10" xfId="22951" xr:uid="{00000000-0005-0000-0000-0000A0590000}"/>
    <cellStyle name="Normal 2 2 4 2 2 5 4 2" xfId="22952" xr:uid="{00000000-0005-0000-0000-0000A1590000}"/>
    <cellStyle name="Normal 2 2 4 2 2 5 4 3" xfId="22953" xr:uid="{00000000-0005-0000-0000-0000A2590000}"/>
    <cellStyle name="Normal 2 2 4 2 2 5 4 4" xfId="22954" xr:uid="{00000000-0005-0000-0000-0000A3590000}"/>
    <cellStyle name="Normal 2 2 4 2 2 5 4 5" xfId="22955" xr:uid="{00000000-0005-0000-0000-0000A4590000}"/>
    <cellStyle name="Normal 2 2 4 2 2 5 4 6" xfId="22956" xr:uid="{00000000-0005-0000-0000-0000A5590000}"/>
    <cellStyle name="Normal 2 2 4 2 2 5 4 7" xfId="22957" xr:uid="{00000000-0005-0000-0000-0000A6590000}"/>
    <cellStyle name="Normal 2 2 4 2 2 5 4 8" xfId="22958" xr:uid="{00000000-0005-0000-0000-0000A7590000}"/>
    <cellStyle name="Normal 2 2 4 2 2 5 4 9" xfId="22959" xr:uid="{00000000-0005-0000-0000-0000A8590000}"/>
    <cellStyle name="Normal 2 2 4 2 2 5 5" xfId="22960" xr:uid="{00000000-0005-0000-0000-0000A9590000}"/>
    <cellStyle name="Normal 2 2 4 2 2 5 5 10" xfId="22961" xr:uid="{00000000-0005-0000-0000-0000AA590000}"/>
    <cellStyle name="Normal 2 2 4 2 2 5 5 2" xfId="22962" xr:uid="{00000000-0005-0000-0000-0000AB590000}"/>
    <cellStyle name="Normal 2 2 4 2 2 5 5 3" xfId="22963" xr:uid="{00000000-0005-0000-0000-0000AC590000}"/>
    <cellStyle name="Normal 2 2 4 2 2 5 5 4" xfId="22964" xr:uid="{00000000-0005-0000-0000-0000AD590000}"/>
    <cellStyle name="Normal 2 2 4 2 2 5 5 5" xfId="22965" xr:uid="{00000000-0005-0000-0000-0000AE590000}"/>
    <cellStyle name="Normal 2 2 4 2 2 5 5 6" xfId="22966" xr:uid="{00000000-0005-0000-0000-0000AF590000}"/>
    <cellStyle name="Normal 2 2 4 2 2 5 5 7" xfId="22967" xr:uid="{00000000-0005-0000-0000-0000B0590000}"/>
    <cellStyle name="Normal 2 2 4 2 2 5 5 8" xfId="22968" xr:uid="{00000000-0005-0000-0000-0000B1590000}"/>
    <cellStyle name="Normal 2 2 4 2 2 5 5 9" xfId="22969" xr:uid="{00000000-0005-0000-0000-0000B2590000}"/>
    <cellStyle name="Normal 2 2 4 2 2 5 6" xfId="22970" xr:uid="{00000000-0005-0000-0000-0000B3590000}"/>
    <cellStyle name="Normal 2 2 4 2 2 5 7" xfId="22971" xr:uid="{00000000-0005-0000-0000-0000B4590000}"/>
    <cellStyle name="Normal 2 2 4 2 2 5 8" xfId="22972" xr:uid="{00000000-0005-0000-0000-0000B5590000}"/>
    <cellStyle name="Normal 2 2 4 2 2 5 9" xfId="22973" xr:uid="{00000000-0005-0000-0000-0000B6590000}"/>
    <cellStyle name="Normal 2 2 4 2 2 6" xfId="22974" xr:uid="{00000000-0005-0000-0000-0000B7590000}"/>
    <cellStyle name="Normal 2 2 4 2 2 6 10" xfId="22975" xr:uid="{00000000-0005-0000-0000-0000B8590000}"/>
    <cellStyle name="Normal 2 2 4 2 2 6 11" xfId="22976" xr:uid="{00000000-0005-0000-0000-0000B9590000}"/>
    <cellStyle name="Normal 2 2 4 2 2 6 12" xfId="22977" xr:uid="{00000000-0005-0000-0000-0000BA590000}"/>
    <cellStyle name="Normal 2 2 4 2 2 6 13" xfId="22978" xr:uid="{00000000-0005-0000-0000-0000BB590000}"/>
    <cellStyle name="Normal 2 2 4 2 2 6 14" xfId="22979" xr:uid="{00000000-0005-0000-0000-0000BC590000}"/>
    <cellStyle name="Normal 2 2 4 2 2 6 2" xfId="22980" xr:uid="{00000000-0005-0000-0000-0000BD590000}"/>
    <cellStyle name="Normal 2 2 4 2 2 6 2 10" xfId="22981" xr:uid="{00000000-0005-0000-0000-0000BE590000}"/>
    <cellStyle name="Normal 2 2 4 2 2 6 2 2" xfId="22982" xr:uid="{00000000-0005-0000-0000-0000BF590000}"/>
    <cellStyle name="Normal 2 2 4 2 2 6 2 3" xfId="22983" xr:uid="{00000000-0005-0000-0000-0000C0590000}"/>
    <cellStyle name="Normal 2 2 4 2 2 6 2 4" xfId="22984" xr:uid="{00000000-0005-0000-0000-0000C1590000}"/>
    <cellStyle name="Normal 2 2 4 2 2 6 2 5" xfId="22985" xr:uid="{00000000-0005-0000-0000-0000C2590000}"/>
    <cellStyle name="Normal 2 2 4 2 2 6 2 6" xfId="22986" xr:uid="{00000000-0005-0000-0000-0000C3590000}"/>
    <cellStyle name="Normal 2 2 4 2 2 6 2 7" xfId="22987" xr:uid="{00000000-0005-0000-0000-0000C4590000}"/>
    <cellStyle name="Normal 2 2 4 2 2 6 2 8" xfId="22988" xr:uid="{00000000-0005-0000-0000-0000C5590000}"/>
    <cellStyle name="Normal 2 2 4 2 2 6 2 9" xfId="22989" xr:uid="{00000000-0005-0000-0000-0000C6590000}"/>
    <cellStyle name="Normal 2 2 4 2 2 6 3" xfId="22990" xr:uid="{00000000-0005-0000-0000-0000C7590000}"/>
    <cellStyle name="Normal 2 2 4 2 2 6 3 10" xfId="22991" xr:uid="{00000000-0005-0000-0000-0000C8590000}"/>
    <cellStyle name="Normal 2 2 4 2 2 6 3 2" xfId="22992" xr:uid="{00000000-0005-0000-0000-0000C9590000}"/>
    <cellStyle name="Normal 2 2 4 2 2 6 3 3" xfId="22993" xr:uid="{00000000-0005-0000-0000-0000CA590000}"/>
    <cellStyle name="Normal 2 2 4 2 2 6 3 4" xfId="22994" xr:uid="{00000000-0005-0000-0000-0000CB590000}"/>
    <cellStyle name="Normal 2 2 4 2 2 6 3 5" xfId="22995" xr:uid="{00000000-0005-0000-0000-0000CC590000}"/>
    <cellStyle name="Normal 2 2 4 2 2 6 3 6" xfId="22996" xr:uid="{00000000-0005-0000-0000-0000CD590000}"/>
    <cellStyle name="Normal 2 2 4 2 2 6 3 7" xfId="22997" xr:uid="{00000000-0005-0000-0000-0000CE590000}"/>
    <cellStyle name="Normal 2 2 4 2 2 6 3 8" xfId="22998" xr:uid="{00000000-0005-0000-0000-0000CF590000}"/>
    <cellStyle name="Normal 2 2 4 2 2 6 3 9" xfId="22999" xr:uid="{00000000-0005-0000-0000-0000D0590000}"/>
    <cellStyle name="Normal 2 2 4 2 2 6 4" xfId="23000" xr:uid="{00000000-0005-0000-0000-0000D1590000}"/>
    <cellStyle name="Normal 2 2 4 2 2 6 4 10" xfId="23001" xr:uid="{00000000-0005-0000-0000-0000D2590000}"/>
    <cellStyle name="Normal 2 2 4 2 2 6 4 2" xfId="23002" xr:uid="{00000000-0005-0000-0000-0000D3590000}"/>
    <cellStyle name="Normal 2 2 4 2 2 6 4 3" xfId="23003" xr:uid="{00000000-0005-0000-0000-0000D4590000}"/>
    <cellStyle name="Normal 2 2 4 2 2 6 4 4" xfId="23004" xr:uid="{00000000-0005-0000-0000-0000D5590000}"/>
    <cellStyle name="Normal 2 2 4 2 2 6 4 5" xfId="23005" xr:uid="{00000000-0005-0000-0000-0000D6590000}"/>
    <cellStyle name="Normal 2 2 4 2 2 6 4 6" xfId="23006" xr:uid="{00000000-0005-0000-0000-0000D7590000}"/>
    <cellStyle name="Normal 2 2 4 2 2 6 4 7" xfId="23007" xr:uid="{00000000-0005-0000-0000-0000D8590000}"/>
    <cellStyle name="Normal 2 2 4 2 2 6 4 8" xfId="23008" xr:uid="{00000000-0005-0000-0000-0000D9590000}"/>
    <cellStyle name="Normal 2 2 4 2 2 6 4 9" xfId="23009" xr:uid="{00000000-0005-0000-0000-0000DA590000}"/>
    <cellStyle name="Normal 2 2 4 2 2 6 5" xfId="23010" xr:uid="{00000000-0005-0000-0000-0000DB590000}"/>
    <cellStyle name="Normal 2 2 4 2 2 6 5 10" xfId="23011" xr:uid="{00000000-0005-0000-0000-0000DC590000}"/>
    <cellStyle name="Normal 2 2 4 2 2 6 5 2" xfId="23012" xr:uid="{00000000-0005-0000-0000-0000DD590000}"/>
    <cellStyle name="Normal 2 2 4 2 2 6 5 3" xfId="23013" xr:uid="{00000000-0005-0000-0000-0000DE590000}"/>
    <cellStyle name="Normal 2 2 4 2 2 6 5 4" xfId="23014" xr:uid="{00000000-0005-0000-0000-0000DF590000}"/>
    <cellStyle name="Normal 2 2 4 2 2 6 5 5" xfId="23015" xr:uid="{00000000-0005-0000-0000-0000E0590000}"/>
    <cellStyle name="Normal 2 2 4 2 2 6 5 6" xfId="23016" xr:uid="{00000000-0005-0000-0000-0000E1590000}"/>
    <cellStyle name="Normal 2 2 4 2 2 6 5 7" xfId="23017" xr:uid="{00000000-0005-0000-0000-0000E2590000}"/>
    <cellStyle name="Normal 2 2 4 2 2 6 5 8" xfId="23018" xr:uid="{00000000-0005-0000-0000-0000E3590000}"/>
    <cellStyle name="Normal 2 2 4 2 2 6 5 9" xfId="23019" xr:uid="{00000000-0005-0000-0000-0000E4590000}"/>
    <cellStyle name="Normal 2 2 4 2 2 6 6" xfId="23020" xr:uid="{00000000-0005-0000-0000-0000E5590000}"/>
    <cellStyle name="Normal 2 2 4 2 2 6 7" xfId="23021" xr:uid="{00000000-0005-0000-0000-0000E6590000}"/>
    <cellStyle name="Normal 2 2 4 2 2 6 8" xfId="23022" xr:uid="{00000000-0005-0000-0000-0000E7590000}"/>
    <cellStyle name="Normal 2 2 4 2 2 6 9" xfId="23023" xr:uid="{00000000-0005-0000-0000-0000E8590000}"/>
    <cellStyle name="Normal 2 2 4 2 2 7" xfId="23024" xr:uid="{00000000-0005-0000-0000-0000E9590000}"/>
    <cellStyle name="Normal 2 2 4 2 2 7 10" xfId="23025" xr:uid="{00000000-0005-0000-0000-0000EA590000}"/>
    <cellStyle name="Normal 2 2 4 2 2 7 11" xfId="23026" xr:uid="{00000000-0005-0000-0000-0000EB590000}"/>
    <cellStyle name="Normal 2 2 4 2 2 7 12" xfId="23027" xr:uid="{00000000-0005-0000-0000-0000EC590000}"/>
    <cellStyle name="Normal 2 2 4 2 2 7 13" xfId="23028" xr:uid="{00000000-0005-0000-0000-0000ED590000}"/>
    <cellStyle name="Normal 2 2 4 2 2 7 14" xfId="23029" xr:uid="{00000000-0005-0000-0000-0000EE590000}"/>
    <cellStyle name="Normal 2 2 4 2 2 7 2" xfId="23030" xr:uid="{00000000-0005-0000-0000-0000EF590000}"/>
    <cellStyle name="Normal 2 2 4 2 2 7 2 10" xfId="23031" xr:uid="{00000000-0005-0000-0000-0000F0590000}"/>
    <cellStyle name="Normal 2 2 4 2 2 7 2 2" xfId="23032" xr:uid="{00000000-0005-0000-0000-0000F1590000}"/>
    <cellStyle name="Normal 2 2 4 2 2 7 2 3" xfId="23033" xr:uid="{00000000-0005-0000-0000-0000F2590000}"/>
    <cellStyle name="Normal 2 2 4 2 2 7 2 4" xfId="23034" xr:uid="{00000000-0005-0000-0000-0000F3590000}"/>
    <cellStyle name="Normal 2 2 4 2 2 7 2 5" xfId="23035" xr:uid="{00000000-0005-0000-0000-0000F4590000}"/>
    <cellStyle name="Normal 2 2 4 2 2 7 2 6" xfId="23036" xr:uid="{00000000-0005-0000-0000-0000F5590000}"/>
    <cellStyle name="Normal 2 2 4 2 2 7 2 7" xfId="23037" xr:uid="{00000000-0005-0000-0000-0000F6590000}"/>
    <cellStyle name="Normal 2 2 4 2 2 7 2 8" xfId="23038" xr:uid="{00000000-0005-0000-0000-0000F7590000}"/>
    <cellStyle name="Normal 2 2 4 2 2 7 2 9" xfId="23039" xr:uid="{00000000-0005-0000-0000-0000F8590000}"/>
    <cellStyle name="Normal 2 2 4 2 2 7 3" xfId="23040" xr:uid="{00000000-0005-0000-0000-0000F9590000}"/>
    <cellStyle name="Normal 2 2 4 2 2 7 3 10" xfId="23041" xr:uid="{00000000-0005-0000-0000-0000FA590000}"/>
    <cellStyle name="Normal 2 2 4 2 2 7 3 2" xfId="23042" xr:uid="{00000000-0005-0000-0000-0000FB590000}"/>
    <cellStyle name="Normal 2 2 4 2 2 7 3 3" xfId="23043" xr:uid="{00000000-0005-0000-0000-0000FC590000}"/>
    <cellStyle name="Normal 2 2 4 2 2 7 3 4" xfId="23044" xr:uid="{00000000-0005-0000-0000-0000FD590000}"/>
    <cellStyle name="Normal 2 2 4 2 2 7 3 5" xfId="23045" xr:uid="{00000000-0005-0000-0000-0000FE590000}"/>
    <cellStyle name="Normal 2 2 4 2 2 7 3 6" xfId="23046" xr:uid="{00000000-0005-0000-0000-0000FF590000}"/>
    <cellStyle name="Normal 2 2 4 2 2 7 3 7" xfId="23047" xr:uid="{00000000-0005-0000-0000-0000005A0000}"/>
    <cellStyle name="Normal 2 2 4 2 2 7 3 8" xfId="23048" xr:uid="{00000000-0005-0000-0000-0000015A0000}"/>
    <cellStyle name="Normal 2 2 4 2 2 7 3 9" xfId="23049" xr:uid="{00000000-0005-0000-0000-0000025A0000}"/>
    <cellStyle name="Normal 2 2 4 2 2 7 4" xfId="23050" xr:uid="{00000000-0005-0000-0000-0000035A0000}"/>
    <cellStyle name="Normal 2 2 4 2 2 7 4 10" xfId="23051" xr:uid="{00000000-0005-0000-0000-0000045A0000}"/>
    <cellStyle name="Normal 2 2 4 2 2 7 4 2" xfId="23052" xr:uid="{00000000-0005-0000-0000-0000055A0000}"/>
    <cellStyle name="Normal 2 2 4 2 2 7 4 3" xfId="23053" xr:uid="{00000000-0005-0000-0000-0000065A0000}"/>
    <cellStyle name="Normal 2 2 4 2 2 7 4 4" xfId="23054" xr:uid="{00000000-0005-0000-0000-0000075A0000}"/>
    <cellStyle name="Normal 2 2 4 2 2 7 4 5" xfId="23055" xr:uid="{00000000-0005-0000-0000-0000085A0000}"/>
    <cellStyle name="Normal 2 2 4 2 2 7 4 6" xfId="23056" xr:uid="{00000000-0005-0000-0000-0000095A0000}"/>
    <cellStyle name="Normal 2 2 4 2 2 7 4 7" xfId="23057" xr:uid="{00000000-0005-0000-0000-00000A5A0000}"/>
    <cellStyle name="Normal 2 2 4 2 2 7 4 8" xfId="23058" xr:uid="{00000000-0005-0000-0000-00000B5A0000}"/>
    <cellStyle name="Normal 2 2 4 2 2 7 4 9" xfId="23059" xr:uid="{00000000-0005-0000-0000-00000C5A0000}"/>
    <cellStyle name="Normal 2 2 4 2 2 7 5" xfId="23060" xr:uid="{00000000-0005-0000-0000-00000D5A0000}"/>
    <cellStyle name="Normal 2 2 4 2 2 7 5 10" xfId="23061" xr:uid="{00000000-0005-0000-0000-00000E5A0000}"/>
    <cellStyle name="Normal 2 2 4 2 2 7 5 2" xfId="23062" xr:uid="{00000000-0005-0000-0000-00000F5A0000}"/>
    <cellStyle name="Normal 2 2 4 2 2 7 5 3" xfId="23063" xr:uid="{00000000-0005-0000-0000-0000105A0000}"/>
    <cellStyle name="Normal 2 2 4 2 2 7 5 4" xfId="23064" xr:uid="{00000000-0005-0000-0000-0000115A0000}"/>
    <cellStyle name="Normal 2 2 4 2 2 7 5 5" xfId="23065" xr:uid="{00000000-0005-0000-0000-0000125A0000}"/>
    <cellStyle name="Normal 2 2 4 2 2 7 5 6" xfId="23066" xr:uid="{00000000-0005-0000-0000-0000135A0000}"/>
    <cellStyle name="Normal 2 2 4 2 2 7 5 7" xfId="23067" xr:uid="{00000000-0005-0000-0000-0000145A0000}"/>
    <cellStyle name="Normal 2 2 4 2 2 7 5 8" xfId="23068" xr:uid="{00000000-0005-0000-0000-0000155A0000}"/>
    <cellStyle name="Normal 2 2 4 2 2 7 5 9" xfId="23069" xr:uid="{00000000-0005-0000-0000-0000165A0000}"/>
    <cellStyle name="Normal 2 2 4 2 2 7 6" xfId="23070" xr:uid="{00000000-0005-0000-0000-0000175A0000}"/>
    <cellStyle name="Normal 2 2 4 2 2 7 7" xfId="23071" xr:uid="{00000000-0005-0000-0000-0000185A0000}"/>
    <cellStyle name="Normal 2 2 4 2 2 7 8" xfId="23072" xr:uid="{00000000-0005-0000-0000-0000195A0000}"/>
    <cellStyle name="Normal 2 2 4 2 2 7 9" xfId="23073" xr:uid="{00000000-0005-0000-0000-00001A5A0000}"/>
    <cellStyle name="Normal 2 2 4 2 2 8" xfId="23074" xr:uid="{00000000-0005-0000-0000-00001B5A0000}"/>
    <cellStyle name="Normal 2 2 4 2 2 8 10" xfId="23075" xr:uid="{00000000-0005-0000-0000-00001C5A0000}"/>
    <cellStyle name="Normal 2 2 4 2 2 8 11" xfId="23076" xr:uid="{00000000-0005-0000-0000-00001D5A0000}"/>
    <cellStyle name="Normal 2 2 4 2 2 8 12" xfId="23077" xr:uid="{00000000-0005-0000-0000-00001E5A0000}"/>
    <cellStyle name="Normal 2 2 4 2 2 8 13" xfId="23078" xr:uid="{00000000-0005-0000-0000-00001F5A0000}"/>
    <cellStyle name="Normal 2 2 4 2 2 8 14" xfId="23079" xr:uid="{00000000-0005-0000-0000-0000205A0000}"/>
    <cellStyle name="Normal 2 2 4 2 2 8 2" xfId="23080" xr:uid="{00000000-0005-0000-0000-0000215A0000}"/>
    <cellStyle name="Normal 2 2 4 2 2 8 2 10" xfId="23081" xr:uid="{00000000-0005-0000-0000-0000225A0000}"/>
    <cellStyle name="Normal 2 2 4 2 2 8 2 2" xfId="23082" xr:uid="{00000000-0005-0000-0000-0000235A0000}"/>
    <cellStyle name="Normal 2 2 4 2 2 8 2 3" xfId="23083" xr:uid="{00000000-0005-0000-0000-0000245A0000}"/>
    <cellStyle name="Normal 2 2 4 2 2 8 2 4" xfId="23084" xr:uid="{00000000-0005-0000-0000-0000255A0000}"/>
    <cellStyle name="Normal 2 2 4 2 2 8 2 5" xfId="23085" xr:uid="{00000000-0005-0000-0000-0000265A0000}"/>
    <cellStyle name="Normal 2 2 4 2 2 8 2 6" xfId="23086" xr:uid="{00000000-0005-0000-0000-0000275A0000}"/>
    <cellStyle name="Normal 2 2 4 2 2 8 2 7" xfId="23087" xr:uid="{00000000-0005-0000-0000-0000285A0000}"/>
    <cellStyle name="Normal 2 2 4 2 2 8 2 8" xfId="23088" xr:uid="{00000000-0005-0000-0000-0000295A0000}"/>
    <cellStyle name="Normal 2 2 4 2 2 8 2 9" xfId="23089" xr:uid="{00000000-0005-0000-0000-00002A5A0000}"/>
    <cellStyle name="Normal 2 2 4 2 2 8 3" xfId="23090" xr:uid="{00000000-0005-0000-0000-00002B5A0000}"/>
    <cellStyle name="Normal 2 2 4 2 2 8 3 10" xfId="23091" xr:uid="{00000000-0005-0000-0000-00002C5A0000}"/>
    <cellStyle name="Normal 2 2 4 2 2 8 3 2" xfId="23092" xr:uid="{00000000-0005-0000-0000-00002D5A0000}"/>
    <cellStyle name="Normal 2 2 4 2 2 8 3 3" xfId="23093" xr:uid="{00000000-0005-0000-0000-00002E5A0000}"/>
    <cellStyle name="Normal 2 2 4 2 2 8 3 4" xfId="23094" xr:uid="{00000000-0005-0000-0000-00002F5A0000}"/>
    <cellStyle name="Normal 2 2 4 2 2 8 3 5" xfId="23095" xr:uid="{00000000-0005-0000-0000-0000305A0000}"/>
    <cellStyle name="Normal 2 2 4 2 2 8 3 6" xfId="23096" xr:uid="{00000000-0005-0000-0000-0000315A0000}"/>
    <cellStyle name="Normal 2 2 4 2 2 8 3 7" xfId="23097" xr:uid="{00000000-0005-0000-0000-0000325A0000}"/>
    <cellStyle name="Normal 2 2 4 2 2 8 3 8" xfId="23098" xr:uid="{00000000-0005-0000-0000-0000335A0000}"/>
    <cellStyle name="Normal 2 2 4 2 2 8 3 9" xfId="23099" xr:uid="{00000000-0005-0000-0000-0000345A0000}"/>
    <cellStyle name="Normal 2 2 4 2 2 8 4" xfId="23100" xr:uid="{00000000-0005-0000-0000-0000355A0000}"/>
    <cellStyle name="Normal 2 2 4 2 2 8 4 10" xfId="23101" xr:uid="{00000000-0005-0000-0000-0000365A0000}"/>
    <cellStyle name="Normal 2 2 4 2 2 8 4 2" xfId="23102" xr:uid="{00000000-0005-0000-0000-0000375A0000}"/>
    <cellStyle name="Normal 2 2 4 2 2 8 4 3" xfId="23103" xr:uid="{00000000-0005-0000-0000-0000385A0000}"/>
    <cellStyle name="Normal 2 2 4 2 2 8 4 4" xfId="23104" xr:uid="{00000000-0005-0000-0000-0000395A0000}"/>
    <cellStyle name="Normal 2 2 4 2 2 8 4 5" xfId="23105" xr:uid="{00000000-0005-0000-0000-00003A5A0000}"/>
    <cellStyle name="Normal 2 2 4 2 2 8 4 6" xfId="23106" xr:uid="{00000000-0005-0000-0000-00003B5A0000}"/>
    <cellStyle name="Normal 2 2 4 2 2 8 4 7" xfId="23107" xr:uid="{00000000-0005-0000-0000-00003C5A0000}"/>
    <cellStyle name="Normal 2 2 4 2 2 8 4 8" xfId="23108" xr:uid="{00000000-0005-0000-0000-00003D5A0000}"/>
    <cellStyle name="Normal 2 2 4 2 2 8 4 9" xfId="23109" xr:uid="{00000000-0005-0000-0000-00003E5A0000}"/>
    <cellStyle name="Normal 2 2 4 2 2 8 5" xfId="23110" xr:uid="{00000000-0005-0000-0000-00003F5A0000}"/>
    <cellStyle name="Normal 2 2 4 2 2 8 5 10" xfId="23111" xr:uid="{00000000-0005-0000-0000-0000405A0000}"/>
    <cellStyle name="Normal 2 2 4 2 2 8 5 2" xfId="23112" xr:uid="{00000000-0005-0000-0000-0000415A0000}"/>
    <cellStyle name="Normal 2 2 4 2 2 8 5 3" xfId="23113" xr:uid="{00000000-0005-0000-0000-0000425A0000}"/>
    <cellStyle name="Normal 2 2 4 2 2 8 5 4" xfId="23114" xr:uid="{00000000-0005-0000-0000-0000435A0000}"/>
    <cellStyle name="Normal 2 2 4 2 2 8 5 5" xfId="23115" xr:uid="{00000000-0005-0000-0000-0000445A0000}"/>
    <cellStyle name="Normal 2 2 4 2 2 8 5 6" xfId="23116" xr:uid="{00000000-0005-0000-0000-0000455A0000}"/>
    <cellStyle name="Normal 2 2 4 2 2 8 5 7" xfId="23117" xr:uid="{00000000-0005-0000-0000-0000465A0000}"/>
    <cellStyle name="Normal 2 2 4 2 2 8 5 8" xfId="23118" xr:uid="{00000000-0005-0000-0000-0000475A0000}"/>
    <cellStyle name="Normal 2 2 4 2 2 8 5 9" xfId="23119" xr:uid="{00000000-0005-0000-0000-0000485A0000}"/>
    <cellStyle name="Normal 2 2 4 2 2 8 6" xfId="23120" xr:uid="{00000000-0005-0000-0000-0000495A0000}"/>
    <cellStyle name="Normal 2 2 4 2 2 8 7" xfId="23121" xr:uid="{00000000-0005-0000-0000-00004A5A0000}"/>
    <cellStyle name="Normal 2 2 4 2 2 8 8" xfId="23122" xr:uid="{00000000-0005-0000-0000-00004B5A0000}"/>
    <cellStyle name="Normal 2 2 4 2 2 8 9" xfId="23123" xr:uid="{00000000-0005-0000-0000-00004C5A0000}"/>
    <cellStyle name="Normal 2 2 4 2 2 9" xfId="23124" xr:uid="{00000000-0005-0000-0000-00004D5A0000}"/>
    <cellStyle name="Normal 2 2 4 2 2 9 10" xfId="23125" xr:uid="{00000000-0005-0000-0000-00004E5A0000}"/>
    <cellStyle name="Normal 2 2 4 2 2 9 11" xfId="23126" xr:uid="{00000000-0005-0000-0000-00004F5A0000}"/>
    <cellStyle name="Normal 2 2 4 2 2 9 12" xfId="23127" xr:uid="{00000000-0005-0000-0000-0000505A0000}"/>
    <cellStyle name="Normal 2 2 4 2 2 9 13" xfId="23128" xr:uid="{00000000-0005-0000-0000-0000515A0000}"/>
    <cellStyle name="Normal 2 2 4 2 2 9 14" xfId="23129" xr:uid="{00000000-0005-0000-0000-0000525A0000}"/>
    <cellStyle name="Normal 2 2 4 2 2 9 2" xfId="23130" xr:uid="{00000000-0005-0000-0000-0000535A0000}"/>
    <cellStyle name="Normal 2 2 4 2 2 9 2 10" xfId="23131" xr:uid="{00000000-0005-0000-0000-0000545A0000}"/>
    <cellStyle name="Normal 2 2 4 2 2 9 2 2" xfId="23132" xr:uid="{00000000-0005-0000-0000-0000555A0000}"/>
    <cellStyle name="Normal 2 2 4 2 2 9 2 3" xfId="23133" xr:uid="{00000000-0005-0000-0000-0000565A0000}"/>
    <cellStyle name="Normal 2 2 4 2 2 9 2 4" xfId="23134" xr:uid="{00000000-0005-0000-0000-0000575A0000}"/>
    <cellStyle name="Normal 2 2 4 2 2 9 2 5" xfId="23135" xr:uid="{00000000-0005-0000-0000-0000585A0000}"/>
    <cellStyle name="Normal 2 2 4 2 2 9 2 6" xfId="23136" xr:uid="{00000000-0005-0000-0000-0000595A0000}"/>
    <cellStyle name="Normal 2 2 4 2 2 9 2 7" xfId="23137" xr:uid="{00000000-0005-0000-0000-00005A5A0000}"/>
    <cellStyle name="Normal 2 2 4 2 2 9 2 8" xfId="23138" xr:uid="{00000000-0005-0000-0000-00005B5A0000}"/>
    <cellStyle name="Normal 2 2 4 2 2 9 2 9" xfId="23139" xr:uid="{00000000-0005-0000-0000-00005C5A0000}"/>
    <cellStyle name="Normal 2 2 4 2 2 9 3" xfId="23140" xr:uid="{00000000-0005-0000-0000-00005D5A0000}"/>
    <cellStyle name="Normal 2 2 4 2 2 9 3 10" xfId="23141" xr:uid="{00000000-0005-0000-0000-00005E5A0000}"/>
    <cellStyle name="Normal 2 2 4 2 2 9 3 2" xfId="23142" xr:uid="{00000000-0005-0000-0000-00005F5A0000}"/>
    <cellStyle name="Normal 2 2 4 2 2 9 3 3" xfId="23143" xr:uid="{00000000-0005-0000-0000-0000605A0000}"/>
    <cellStyle name="Normal 2 2 4 2 2 9 3 4" xfId="23144" xr:uid="{00000000-0005-0000-0000-0000615A0000}"/>
    <cellStyle name="Normal 2 2 4 2 2 9 3 5" xfId="23145" xr:uid="{00000000-0005-0000-0000-0000625A0000}"/>
    <cellStyle name="Normal 2 2 4 2 2 9 3 6" xfId="23146" xr:uid="{00000000-0005-0000-0000-0000635A0000}"/>
    <cellStyle name="Normal 2 2 4 2 2 9 3 7" xfId="23147" xr:uid="{00000000-0005-0000-0000-0000645A0000}"/>
    <cellStyle name="Normal 2 2 4 2 2 9 3 8" xfId="23148" xr:uid="{00000000-0005-0000-0000-0000655A0000}"/>
    <cellStyle name="Normal 2 2 4 2 2 9 3 9" xfId="23149" xr:uid="{00000000-0005-0000-0000-0000665A0000}"/>
    <cellStyle name="Normal 2 2 4 2 2 9 4" xfId="23150" xr:uid="{00000000-0005-0000-0000-0000675A0000}"/>
    <cellStyle name="Normal 2 2 4 2 2 9 4 10" xfId="23151" xr:uid="{00000000-0005-0000-0000-0000685A0000}"/>
    <cellStyle name="Normal 2 2 4 2 2 9 4 2" xfId="23152" xr:uid="{00000000-0005-0000-0000-0000695A0000}"/>
    <cellStyle name="Normal 2 2 4 2 2 9 4 3" xfId="23153" xr:uid="{00000000-0005-0000-0000-00006A5A0000}"/>
    <cellStyle name="Normal 2 2 4 2 2 9 4 4" xfId="23154" xr:uid="{00000000-0005-0000-0000-00006B5A0000}"/>
    <cellStyle name="Normal 2 2 4 2 2 9 4 5" xfId="23155" xr:uid="{00000000-0005-0000-0000-00006C5A0000}"/>
    <cellStyle name="Normal 2 2 4 2 2 9 4 6" xfId="23156" xr:uid="{00000000-0005-0000-0000-00006D5A0000}"/>
    <cellStyle name="Normal 2 2 4 2 2 9 4 7" xfId="23157" xr:uid="{00000000-0005-0000-0000-00006E5A0000}"/>
    <cellStyle name="Normal 2 2 4 2 2 9 4 8" xfId="23158" xr:uid="{00000000-0005-0000-0000-00006F5A0000}"/>
    <cellStyle name="Normal 2 2 4 2 2 9 4 9" xfId="23159" xr:uid="{00000000-0005-0000-0000-0000705A0000}"/>
    <cellStyle name="Normal 2 2 4 2 2 9 5" xfId="23160" xr:uid="{00000000-0005-0000-0000-0000715A0000}"/>
    <cellStyle name="Normal 2 2 4 2 2 9 5 10" xfId="23161" xr:uid="{00000000-0005-0000-0000-0000725A0000}"/>
    <cellStyle name="Normal 2 2 4 2 2 9 5 2" xfId="23162" xr:uid="{00000000-0005-0000-0000-0000735A0000}"/>
    <cellStyle name="Normal 2 2 4 2 2 9 5 3" xfId="23163" xr:uid="{00000000-0005-0000-0000-0000745A0000}"/>
    <cellStyle name="Normal 2 2 4 2 2 9 5 4" xfId="23164" xr:uid="{00000000-0005-0000-0000-0000755A0000}"/>
    <cellStyle name="Normal 2 2 4 2 2 9 5 5" xfId="23165" xr:uid="{00000000-0005-0000-0000-0000765A0000}"/>
    <cellStyle name="Normal 2 2 4 2 2 9 5 6" xfId="23166" xr:uid="{00000000-0005-0000-0000-0000775A0000}"/>
    <cellStyle name="Normal 2 2 4 2 2 9 5 7" xfId="23167" xr:uid="{00000000-0005-0000-0000-0000785A0000}"/>
    <cellStyle name="Normal 2 2 4 2 2 9 5 8" xfId="23168" xr:uid="{00000000-0005-0000-0000-0000795A0000}"/>
    <cellStyle name="Normal 2 2 4 2 2 9 5 9" xfId="23169" xr:uid="{00000000-0005-0000-0000-00007A5A0000}"/>
    <cellStyle name="Normal 2 2 4 2 2 9 6" xfId="23170" xr:uid="{00000000-0005-0000-0000-00007B5A0000}"/>
    <cellStyle name="Normal 2 2 4 2 2 9 7" xfId="23171" xr:uid="{00000000-0005-0000-0000-00007C5A0000}"/>
    <cellStyle name="Normal 2 2 4 2 2 9 8" xfId="23172" xr:uid="{00000000-0005-0000-0000-00007D5A0000}"/>
    <cellStyle name="Normal 2 2 4 2 2 9 9" xfId="23173" xr:uid="{00000000-0005-0000-0000-00007E5A0000}"/>
    <cellStyle name="Normal 2 2 4 2 20" xfId="23174" xr:uid="{00000000-0005-0000-0000-00007F5A0000}"/>
    <cellStyle name="Normal 2 2 4 2 21" xfId="23175" xr:uid="{00000000-0005-0000-0000-0000805A0000}"/>
    <cellStyle name="Normal 2 2 4 2 21 10" xfId="23176" xr:uid="{00000000-0005-0000-0000-0000815A0000}"/>
    <cellStyle name="Normal 2 2 4 2 21 2" xfId="23177" xr:uid="{00000000-0005-0000-0000-0000825A0000}"/>
    <cellStyle name="Normal 2 2 4 2 21 3" xfId="23178" xr:uid="{00000000-0005-0000-0000-0000835A0000}"/>
    <cellStyle name="Normal 2 2 4 2 21 4" xfId="23179" xr:uid="{00000000-0005-0000-0000-0000845A0000}"/>
    <cellStyle name="Normal 2 2 4 2 21 5" xfId="23180" xr:uid="{00000000-0005-0000-0000-0000855A0000}"/>
    <cellStyle name="Normal 2 2 4 2 21 6" xfId="23181" xr:uid="{00000000-0005-0000-0000-0000865A0000}"/>
    <cellStyle name="Normal 2 2 4 2 21 7" xfId="23182" xr:uid="{00000000-0005-0000-0000-0000875A0000}"/>
    <cellStyle name="Normal 2 2 4 2 21 8" xfId="23183" xr:uid="{00000000-0005-0000-0000-0000885A0000}"/>
    <cellStyle name="Normal 2 2 4 2 21 9" xfId="23184" xr:uid="{00000000-0005-0000-0000-0000895A0000}"/>
    <cellStyle name="Normal 2 2 4 2 22" xfId="23185" xr:uid="{00000000-0005-0000-0000-00008A5A0000}"/>
    <cellStyle name="Normal 2 2 4 2 22 10" xfId="23186" xr:uid="{00000000-0005-0000-0000-00008B5A0000}"/>
    <cellStyle name="Normal 2 2 4 2 22 2" xfId="23187" xr:uid="{00000000-0005-0000-0000-00008C5A0000}"/>
    <cellStyle name="Normal 2 2 4 2 22 3" xfId="23188" xr:uid="{00000000-0005-0000-0000-00008D5A0000}"/>
    <cellStyle name="Normal 2 2 4 2 22 4" xfId="23189" xr:uid="{00000000-0005-0000-0000-00008E5A0000}"/>
    <cellStyle name="Normal 2 2 4 2 22 5" xfId="23190" xr:uid="{00000000-0005-0000-0000-00008F5A0000}"/>
    <cellStyle name="Normal 2 2 4 2 22 6" xfId="23191" xr:uid="{00000000-0005-0000-0000-0000905A0000}"/>
    <cellStyle name="Normal 2 2 4 2 22 7" xfId="23192" xr:uid="{00000000-0005-0000-0000-0000915A0000}"/>
    <cellStyle name="Normal 2 2 4 2 22 8" xfId="23193" xr:uid="{00000000-0005-0000-0000-0000925A0000}"/>
    <cellStyle name="Normal 2 2 4 2 22 9" xfId="23194" xr:uid="{00000000-0005-0000-0000-0000935A0000}"/>
    <cellStyle name="Normal 2 2 4 2 23" xfId="23195" xr:uid="{00000000-0005-0000-0000-0000945A0000}"/>
    <cellStyle name="Normal 2 2 4 2 23 10" xfId="23196" xr:uid="{00000000-0005-0000-0000-0000955A0000}"/>
    <cellStyle name="Normal 2 2 4 2 23 2" xfId="23197" xr:uid="{00000000-0005-0000-0000-0000965A0000}"/>
    <cellStyle name="Normal 2 2 4 2 23 3" xfId="23198" xr:uid="{00000000-0005-0000-0000-0000975A0000}"/>
    <cellStyle name="Normal 2 2 4 2 23 4" xfId="23199" xr:uid="{00000000-0005-0000-0000-0000985A0000}"/>
    <cellStyle name="Normal 2 2 4 2 23 5" xfId="23200" xr:uid="{00000000-0005-0000-0000-0000995A0000}"/>
    <cellStyle name="Normal 2 2 4 2 23 6" xfId="23201" xr:uid="{00000000-0005-0000-0000-00009A5A0000}"/>
    <cellStyle name="Normal 2 2 4 2 23 7" xfId="23202" xr:uid="{00000000-0005-0000-0000-00009B5A0000}"/>
    <cellStyle name="Normal 2 2 4 2 23 8" xfId="23203" xr:uid="{00000000-0005-0000-0000-00009C5A0000}"/>
    <cellStyle name="Normal 2 2 4 2 23 9" xfId="23204" xr:uid="{00000000-0005-0000-0000-00009D5A0000}"/>
    <cellStyle name="Normal 2 2 4 2 24" xfId="23205" xr:uid="{00000000-0005-0000-0000-00009E5A0000}"/>
    <cellStyle name="Normal 2 2 4 2 24 10" xfId="23206" xr:uid="{00000000-0005-0000-0000-00009F5A0000}"/>
    <cellStyle name="Normal 2 2 4 2 24 2" xfId="23207" xr:uid="{00000000-0005-0000-0000-0000A05A0000}"/>
    <cellStyle name="Normal 2 2 4 2 24 3" xfId="23208" xr:uid="{00000000-0005-0000-0000-0000A15A0000}"/>
    <cellStyle name="Normal 2 2 4 2 24 4" xfId="23209" xr:uid="{00000000-0005-0000-0000-0000A25A0000}"/>
    <cellStyle name="Normal 2 2 4 2 24 5" xfId="23210" xr:uid="{00000000-0005-0000-0000-0000A35A0000}"/>
    <cellStyle name="Normal 2 2 4 2 24 6" xfId="23211" xr:uid="{00000000-0005-0000-0000-0000A45A0000}"/>
    <cellStyle name="Normal 2 2 4 2 24 7" xfId="23212" xr:uid="{00000000-0005-0000-0000-0000A55A0000}"/>
    <cellStyle name="Normal 2 2 4 2 24 8" xfId="23213" xr:uid="{00000000-0005-0000-0000-0000A65A0000}"/>
    <cellStyle name="Normal 2 2 4 2 24 9" xfId="23214" xr:uid="{00000000-0005-0000-0000-0000A75A0000}"/>
    <cellStyle name="Normal 2 2 4 2 25" xfId="23215" xr:uid="{00000000-0005-0000-0000-0000A85A0000}"/>
    <cellStyle name="Normal 2 2 4 2 26" xfId="23216" xr:uid="{00000000-0005-0000-0000-0000A95A0000}"/>
    <cellStyle name="Normal 2 2 4 2 27" xfId="23217" xr:uid="{00000000-0005-0000-0000-0000AA5A0000}"/>
    <cellStyle name="Normal 2 2 4 2 28" xfId="23218" xr:uid="{00000000-0005-0000-0000-0000AB5A0000}"/>
    <cellStyle name="Normal 2 2 4 2 29" xfId="23219" xr:uid="{00000000-0005-0000-0000-0000AC5A0000}"/>
    <cellStyle name="Normal 2 2 4 2 3" xfId="23220" xr:uid="{00000000-0005-0000-0000-0000AD5A0000}"/>
    <cellStyle name="Normal 2 2 4 2 30" xfId="23221" xr:uid="{00000000-0005-0000-0000-0000AE5A0000}"/>
    <cellStyle name="Normal 2 2 4 2 31" xfId="23222" xr:uid="{00000000-0005-0000-0000-0000AF5A0000}"/>
    <cellStyle name="Normal 2 2 4 2 32" xfId="23223" xr:uid="{00000000-0005-0000-0000-0000B05A0000}"/>
    <cellStyle name="Normal 2 2 4 2 33" xfId="23224" xr:uid="{00000000-0005-0000-0000-0000B15A0000}"/>
    <cellStyle name="Normal 2 2 4 2 4" xfId="23225" xr:uid="{00000000-0005-0000-0000-0000B25A0000}"/>
    <cellStyle name="Normal 2 2 4 2 5" xfId="23226" xr:uid="{00000000-0005-0000-0000-0000B35A0000}"/>
    <cellStyle name="Normal 2 2 4 2 6" xfId="23227" xr:uid="{00000000-0005-0000-0000-0000B45A0000}"/>
    <cellStyle name="Normal 2 2 4 2 7" xfId="23228" xr:uid="{00000000-0005-0000-0000-0000B55A0000}"/>
    <cellStyle name="Normal 2 2 4 2 8" xfId="23229" xr:uid="{00000000-0005-0000-0000-0000B65A0000}"/>
    <cellStyle name="Normal 2 2 4 2 9" xfId="23230" xr:uid="{00000000-0005-0000-0000-0000B75A0000}"/>
    <cellStyle name="Normal 2 2 4 20" xfId="23231" xr:uid="{00000000-0005-0000-0000-0000B85A0000}"/>
    <cellStyle name="Normal 2 2 4 20 10" xfId="23232" xr:uid="{00000000-0005-0000-0000-0000B95A0000}"/>
    <cellStyle name="Normal 2 2 4 20 11" xfId="23233" xr:uid="{00000000-0005-0000-0000-0000BA5A0000}"/>
    <cellStyle name="Normal 2 2 4 20 12" xfId="23234" xr:uid="{00000000-0005-0000-0000-0000BB5A0000}"/>
    <cellStyle name="Normal 2 2 4 20 13" xfId="23235" xr:uid="{00000000-0005-0000-0000-0000BC5A0000}"/>
    <cellStyle name="Normal 2 2 4 20 14" xfId="23236" xr:uid="{00000000-0005-0000-0000-0000BD5A0000}"/>
    <cellStyle name="Normal 2 2 4 20 2" xfId="23237" xr:uid="{00000000-0005-0000-0000-0000BE5A0000}"/>
    <cellStyle name="Normal 2 2 4 20 2 10" xfId="23238" xr:uid="{00000000-0005-0000-0000-0000BF5A0000}"/>
    <cellStyle name="Normal 2 2 4 20 2 2" xfId="23239" xr:uid="{00000000-0005-0000-0000-0000C05A0000}"/>
    <cellStyle name="Normal 2 2 4 20 2 3" xfId="23240" xr:uid="{00000000-0005-0000-0000-0000C15A0000}"/>
    <cellStyle name="Normal 2 2 4 20 2 4" xfId="23241" xr:uid="{00000000-0005-0000-0000-0000C25A0000}"/>
    <cellStyle name="Normal 2 2 4 20 2 5" xfId="23242" xr:uid="{00000000-0005-0000-0000-0000C35A0000}"/>
    <cellStyle name="Normal 2 2 4 20 2 6" xfId="23243" xr:uid="{00000000-0005-0000-0000-0000C45A0000}"/>
    <cellStyle name="Normal 2 2 4 20 2 7" xfId="23244" xr:uid="{00000000-0005-0000-0000-0000C55A0000}"/>
    <cellStyle name="Normal 2 2 4 20 2 8" xfId="23245" xr:uid="{00000000-0005-0000-0000-0000C65A0000}"/>
    <cellStyle name="Normal 2 2 4 20 2 9" xfId="23246" xr:uid="{00000000-0005-0000-0000-0000C75A0000}"/>
    <cellStyle name="Normal 2 2 4 20 3" xfId="23247" xr:uid="{00000000-0005-0000-0000-0000C85A0000}"/>
    <cellStyle name="Normal 2 2 4 20 3 10" xfId="23248" xr:uid="{00000000-0005-0000-0000-0000C95A0000}"/>
    <cellStyle name="Normal 2 2 4 20 3 2" xfId="23249" xr:uid="{00000000-0005-0000-0000-0000CA5A0000}"/>
    <cellStyle name="Normal 2 2 4 20 3 3" xfId="23250" xr:uid="{00000000-0005-0000-0000-0000CB5A0000}"/>
    <cellStyle name="Normal 2 2 4 20 3 4" xfId="23251" xr:uid="{00000000-0005-0000-0000-0000CC5A0000}"/>
    <cellStyle name="Normal 2 2 4 20 3 5" xfId="23252" xr:uid="{00000000-0005-0000-0000-0000CD5A0000}"/>
    <cellStyle name="Normal 2 2 4 20 3 6" xfId="23253" xr:uid="{00000000-0005-0000-0000-0000CE5A0000}"/>
    <cellStyle name="Normal 2 2 4 20 3 7" xfId="23254" xr:uid="{00000000-0005-0000-0000-0000CF5A0000}"/>
    <cellStyle name="Normal 2 2 4 20 3 8" xfId="23255" xr:uid="{00000000-0005-0000-0000-0000D05A0000}"/>
    <cellStyle name="Normal 2 2 4 20 3 9" xfId="23256" xr:uid="{00000000-0005-0000-0000-0000D15A0000}"/>
    <cellStyle name="Normal 2 2 4 20 4" xfId="23257" xr:uid="{00000000-0005-0000-0000-0000D25A0000}"/>
    <cellStyle name="Normal 2 2 4 20 4 10" xfId="23258" xr:uid="{00000000-0005-0000-0000-0000D35A0000}"/>
    <cellStyle name="Normal 2 2 4 20 4 2" xfId="23259" xr:uid="{00000000-0005-0000-0000-0000D45A0000}"/>
    <cellStyle name="Normal 2 2 4 20 4 3" xfId="23260" xr:uid="{00000000-0005-0000-0000-0000D55A0000}"/>
    <cellStyle name="Normal 2 2 4 20 4 4" xfId="23261" xr:uid="{00000000-0005-0000-0000-0000D65A0000}"/>
    <cellStyle name="Normal 2 2 4 20 4 5" xfId="23262" xr:uid="{00000000-0005-0000-0000-0000D75A0000}"/>
    <cellStyle name="Normal 2 2 4 20 4 6" xfId="23263" xr:uid="{00000000-0005-0000-0000-0000D85A0000}"/>
    <cellStyle name="Normal 2 2 4 20 4 7" xfId="23264" xr:uid="{00000000-0005-0000-0000-0000D95A0000}"/>
    <cellStyle name="Normal 2 2 4 20 4 8" xfId="23265" xr:uid="{00000000-0005-0000-0000-0000DA5A0000}"/>
    <cellStyle name="Normal 2 2 4 20 4 9" xfId="23266" xr:uid="{00000000-0005-0000-0000-0000DB5A0000}"/>
    <cellStyle name="Normal 2 2 4 20 5" xfId="23267" xr:uid="{00000000-0005-0000-0000-0000DC5A0000}"/>
    <cellStyle name="Normal 2 2 4 20 5 10" xfId="23268" xr:uid="{00000000-0005-0000-0000-0000DD5A0000}"/>
    <cellStyle name="Normal 2 2 4 20 5 2" xfId="23269" xr:uid="{00000000-0005-0000-0000-0000DE5A0000}"/>
    <cellStyle name="Normal 2 2 4 20 5 3" xfId="23270" xr:uid="{00000000-0005-0000-0000-0000DF5A0000}"/>
    <cellStyle name="Normal 2 2 4 20 5 4" xfId="23271" xr:uid="{00000000-0005-0000-0000-0000E05A0000}"/>
    <cellStyle name="Normal 2 2 4 20 5 5" xfId="23272" xr:uid="{00000000-0005-0000-0000-0000E15A0000}"/>
    <cellStyle name="Normal 2 2 4 20 5 6" xfId="23273" xr:uid="{00000000-0005-0000-0000-0000E25A0000}"/>
    <cellStyle name="Normal 2 2 4 20 5 7" xfId="23274" xr:uid="{00000000-0005-0000-0000-0000E35A0000}"/>
    <cellStyle name="Normal 2 2 4 20 5 8" xfId="23275" xr:uid="{00000000-0005-0000-0000-0000E45A0000}"/>
    <cellStyle name="Normal 2 2 4 20 5 9" xfId="23276" xr:uid="{00000000-0005-0000-0000-0000E55A0000}"/>
    <cellStyle name="Normal 2 2 4 20 6" xfId="23277" xr:uid="{00000000-0005-0000-0000-0000E65A0000}"/>
    <cellStyle name="Normal 2 2 4 20 7" xfId="23278" xr:uid="{00000000-0005-0000-0000-0000E75A0000}"/>
    <cellStyle name="Normal 2 2 4 20 8" xfId="23279" xr:uid="{00000000-0005-0000-0000-0000E85A0000}"/>
    <cellStyle name="Normal 2 2 4 20 9" xfId="23280" xr:uid="{00000000-0005-0000-0000-0000E95A0000}"/>
    <cellStyle name="Normal 2 2 4 21" xfId="23281" xr:uid="{00000000-0005-0000-0000-0000EA5A0000}"/>
    <cellStyle name="Normal 2 2 4 21 10" xfId="23282" xr:uid="{00000000-0005-0000-0000-0000EB5A0000}"/>
    <cellStyle name="Normal 2 2 4 21 11" xfId="23283" xr:uid="{00000000-0005-0000-0000-0000EC5A0000}"/>
    <cellStyle name="Normal 2 2 4 21 12" xfId="23284" xr:uid="{00000000-0005-0000-0000-0000ED5A0000}"/>
    <cellStyle name="Normal 2 2 4 21 13" xfId="23285" xr:uid="{00000000-0005-0000-0000-0000EE5A0000}"/>
    <cellStyle name="Normal 2 2 4 21 14" xfId="23286" xr:uid="{00000000-0005-0000-0000-0000EF5A0000}"/>
    <cellStyle name="Normal 2 2 4 21 2" xfId="23287" xr:uid="{00000000-0005-0000-0000-0000F05A0000}"/>
    <cellStyle name="Normal 2 2 4 21 2 10" xfId="23288" xr:uid="{00000000-0005-0000-0000-0000F15A0000}"/>
    <cellStyle name="Normal 2 2 4 21 2 2" xfId="23289" xr:uid="{00000000-0005-0000-0000-0000F25A0000}"/>
    <cellStyle name="Normal 2 2 4 21 2 3" xfId="23290" xr:uid="{00000000-0005-0000-0000-0000F35A0000}"/>
    <cellStyle name="Normal 2 2 4 21 2 4" xfId="23291" xr:uid="{00000000-0005-0000-0000-0000F45A0000}"/>
    <cellStyle name="Normal 2 2 4 21 2 5" xfId="23292" xr:uid="{00000000-0005-0000-0000-0000F55A0000}"/>
    <cellStyle name="Normal 2 2 4 21 2 6" xfId="23293" xr:uid="{00000000-0005-0000-0000-0000F65A0000}"/>
    <cellStyle name="Normal 2 2 4 21 2 7" xfId="23294" xr:uid="{00000000-0005-0000-0000-0000F75A0000}"/>
    <cellStyle name="Normal 2 2 4 21 2 8" xfId="23295" xr:uid="{00000000-0005-0000-0000-0000F85A0000}"/>
    <cellStyle name="Normal 2 2 4 21 2 9" xfId="23296" xr:uid="{00000000-0005-0000-0000-0000F95A0000}"/>
    <cellStyle name="Normal 2 2 4 21 3" xfId="23297" xr:uid="{00000000-0005-0000-0000-0000FA5A0000}"/>
    <cellStyle name="Normal 2 2 4 21 3 10" xfId="23298" xr:uid="{00000000-0005-0000-0000-0000FB5A0000}"/>
    <cellStyle name="Normal 2 2 4 21 3 2" xfId="23299" xr:uid="{00000000-0005-0000-0000-0000FC5A0000}"/>
    <cellStyle name="Normal 2 2 4 21 3 3" xfId="23300" xr:uid="{00000000-0005-0000-0000-0000FD5A0000}"/>
    <cellStyle name="Normal 2 2 4 21 3 4" xfId="23301" xr:uid="{00000000-0005-0000-0000-0000FE5A0000}"/>
    <cellStyle name="Normal 2 2 4 21 3 5" xfId="23302" xr:uid="{00000000-0005-0000-0000-0000FF5A0000}"/>
    <cellStyle name="Normal 2 2 4 21 3 6" xfId="23303" xr:uid="{00000000-0005-0000-0000-0000005B0000}"/>
    <cellStyle name="Normal 2 2 4 21 3 7" xfId="23304" xr:uid="{00000000-0005-0000-0000-0000015B0000}"/>
    <cellStyle name="Normal 2 2 4 21 3 8" xfId="23305" xr:uid="{00000000-0005-0000-0000-0000025B0000}"/>
    <cellStyle name="Normal 2 2 4 21 3 9" xfId="23306" xr:uid="{00000000-0005-0000-0000-0000035B0000}"/>
    <cellStyle name="Normal 2 2 4 21 4" xfId="23307" xr:uid="{00000000-0005-0000-0000-0000045B0000}"/>
    <cellStyle name="Normal 2 2 4 21 4 10" xfId="23308" xr:uid="{00000000-0005-0000-0000-0000055B0000}"/>
    <cellStyle name="Normal 2 2 4 21 4 2" xfId="23309" xr:uid="{00000000-0005-0000-0000-0000065B0000}"/>
    <cellStyle name="Normal 2 2 4 21 4 3" xfId="23310" xr:uid="{00000000-0005-0000-0000-0000075B0000}"/>
    <cellStyle name="Normal 2 2 4 21 4 4" xfId="23311" xr:uid="{00000000-0005-0000-0000-0000085B0000}"/>
    <cellStyle name="Normal 2 2 4 21 4 5" xfId="23312" xr:uid="{00000000-0005-0000-0000-0000095B0000}"/>
    <cellStyle name="Normal 2 2 4 21 4 6" xfId="23313" xr:uid="{00000000-0005-0000-0000-00000A5B0000}"/>
    <cellStyle name="Normal 2 2 4 21 4 7" xfId="23314" xr:uid="{00000000-0005-0000-0000-00000B5B0000}"/>
    <cellStyle name="Normal 2 2 4 21 4 8" xfId="23315" xr:uid="{00000000-0005-0000-0000-00000C5B0000}"/>
    <cellStyle name="Normal 2 2 4 21 4 9" xfId="23316" xr:uid="{00000000-0005-0000-0000-00000D5B0000}"/>
    <cellStyle name="Normal 2 2 4 21 5" xfId="23317" xr:uid="{00000000-0005-0000-0000-00000E5B0000}"/>
    <cellStyle name="Normal 2 2 4 21 5 10" xfId="23318" xr:uid="{00000000-0005-0000-0000-00000F5B0000}"/>
    <cellStyle name="Normal 2 2 4 21 5 2" xfId="23319" xr:uid="{00000000-0005-0000-0000-0000105B0000}"/>
    <cellStyle name="Normal 2 2 4 21 5 3" xfId="23320" xr:uid="{00000000-0005-0000-0000-0000115B0000}"/>
    <cellStyle name="Normal 2 2 4 21 5 4" xfId="23321" xr:uid="{00000000-0005-0000-0000-0000125B0000}"/>
    <cellStyle name="Normal 2 2 4 21 5 5" xfId="23322" xr:uid="{00000000-0005-0000-0000-0000135B0000}"/>
    <cellStyle name="Normal 2 2 4 21 5 6" xfId="23323" xr:uid="{00000000-0005-0000-0000-0000145B0000}"/>
    <cellStyle name="Normal 2 2 4 21 5 7" xfId="23324" xr:uid="{00000000-0005-0000-0000-0000155B0000}"/>
    <cellStyle name="Normal 2 2 4 21 5 8" xfId="23325" xr:uid="{00000000-0005-0000-0000-0000165B0000}"/>
    <cellStyle name="Normal 2 2 4 21 5 9" xfId="23326" xr:uid="{00000000-0005-0000-0000-0000175B0000}"/>
    <cellStyle name="Normal 2 2 4 21 6" xfId="23327" xr:uid="{00000000-0005-0000-0000-0000185B0000}"/>
    <cellStyle name="Normal 2 2 4 21 7" xfId="23328" xr:uid="{00000000-0005-0000-0000-0000195B0000}"/>
    <cellStyle name="Normal 2 2 4 21 8" xfId="23329" xr:uid="{00000000-0005-0000-0000-00001A5B0000}"/>
    <cellStyle name="Normal 2 2 4 21 9" xfId="23330" xr:uid="{00000000-0005-0000-0000-00001B5B0000}"/>
    <cellStyle name="Normal 2 2 4 22" xfId="23331" xr:uid="{00000000-0005-0000-0000-00001C5B0000}"/>
    <cellStyle name="Normal 2 2 4 22 10" xfId="23332" xr:uid="{00000000-0005-0000-0000-00001D5B0000}"/>
    <cellStyle name="Normal 2 2 4 22 11" xfId="23333" xr:uid="{00000000-0005-0000-0000-00001E5B0000}"/>
    <cellStyle name="Normal 2 2 4 22 12" xfId="23334" xr:uid="{00000000-0005-0000-0000-00001F5B0000}"/>
    <cellStyle name="Normal 2 2 4 22 13" xfId="23335" xr:uid="{00000000-0005-0000-0000-0000205B0000}"/>
    <cellStyle name="Normal 2 2 4 22 14" xfId="23336" xr:uid="{00000000-0005-0000-0000-0000215B0000}"/>
    <cellStyle name="Normal 2 2 4 22 2" xfId="23337" xr:uid="{00000000-0005-0000-0000-0000225B0000}"/>
    <cellStyle name="Normal 2 2 4 22 2 10" xfId="23338" xr:uid="{00000000-0005-0000-0000-0000235B0000}"/>
    <cellStyle name="Normal 2 2 4 22 2 2" xfId="23339" xr:uid="{00000000-0005-0000-0000-0000245B0000}"/>
    <cellStyle name="Normal 2 2 4 22 2 3" xfId="23340" xr:uid="{00000000-0005-0000-0000-0000255B0000}"/>
    <cellStyle name="Normal 2 2 4 22 2 4" xfId="23341" xr:uid="{00000000-0005-0000-0000-0000265B0000}"/>
    <cellStyle name="Normal 2 2 4 22 2 5" xfId="23342" xr:uid="{00000000-0005-0000-0000-0000275B0000}"/>
    <cellStyle name="Normal 2 2 4 22 2 6" xfId="23343" xr:uid="{00000000-0005-0000-0000-0000285B0000}"/>
    <cellStyle name="Normal 2 2 4 22 2 7" xfId="23344" xr:uid="{00000000-0005-0000-0000-0000295B0000}"/>
    <cellStyle name="Normal 2 2 4 22 2 8" xfId="23345" xr:uid="{00000000-0005-0000-0000-00002A5B0000}"/>
    <cellStyle name="Normal 2 2 4 22 2 9" xfId="23346" xr:uid="{00000000-0005-0000-0000-00002B5B0000}"/>
    <cellStyle name="Normal 2 2 4 22 3" xfId="23347" xr:uid="{00000000-0005-0000-0000-00002C5B0000}"/>
    <cellStyle name="Normal 2 2 4 22 3 10" xfId="23348" xr:uid="{00000000-0005-0000-0000-00002D5B0000}"/>
    <cellStyle name="Normal 2 2 4 22 3 2" xfId="23349" xr:uid="{00000000-0005-0000-0000-00002E5B0000}"/>
    <cellStyle name="Normal 2 2 4 22 3 3" xfId="23350" xr:uid="{00000000-0005-0000-0000-00002F5B0000}"/>
    <cellStyle name="Normal 2 2 4 22 3 4" xfId="23351" xr:uid="{00000000-0005-0000-0000-0000305B0000}"/>
    <cellStyle name="Normal 2 2 4 22 3 5" xfId="23352" xr:uid="{00000000-0005-0000-0000-0000315B0000}"/>
    <cellStyle name="Normal 2 2 4 22 3 6" xfId="23353" xr:uid="{00000000-0005-0000-0000-0000325B0000}"/>
    <cellStyle name="Normal 2 2 4 22 3 7" xfId="23354" xr:uid="{00000000-0005-0000-0000-0000335B0000}"/>
    <cellStyle name="Normal 2 2 4 22 3 8" xfId="23355" xr:uid="{00000000-0005-0000-0000-0000345B0000}"/>
    <cellStyle name="Normal 2 2 4 22 3 9" xfId="23356" xr:uid="{00000000-0005-0000-0000-0000355B0000}"/>
    <cellStyle name="Normal 2 2 4 22 4" xfId="23357" xr:uid="{00000000-0005-0000-0000-0000365B0000}"/>
    <cellStyle name="Normal 2 2 4 22 4 10" xfId="23358" xr:uid="{00000000-0005-0000-0000-0000375B0000}"/>
    <cellStyle name="Normal 2 2 4 22 4 2" xfId="23359" xr:uid="{00000000-0005-0000-0000-0000385B0000}"/>
    <cellStyle name="Normal 2 2 4 22 4 3" xfId="23360" xr:uid="{00000000-0005-0000-0000-0000395B0000}"/>
    <cellStyle name="Normal 2 2 4 22 4 4" xfId="23361" xr:uid="{00000000-0005-0000-0000-00003A5B0000}"/>
    <cellStyle name="Normal 2 2 4 22 4 5" xfId="23362" xr:uid="{00000000-0005-0000-0000-00003B5B0000}"/>
    <cellStyle name="Normal 2 2 4 22 4 6" xfId="23363" xr:uid="{00000000-0005-0000-0000-00003C5B0000}"/>
    <cellStyle name="Normal 2 2 4 22 4 7" xfId="23364" xr:uid="{00000000-0005-0000-0000-00003D5B0000}"/>
    <cellStyle name="Normal 2 2 4 22 4 8" xfId="23365" xr:uid="{00000000-0005-0000-0000-00003E5B0000}"/>
    <cellStyle name="Normal 2 2 4 22 4 9" xfId="23366" xr:uid="{00000000-0005-0000-0000-00003F5B0000}"/>
    <cellStyle name="Normal 2 2 4 22 5" xfId="23367" xr:uid="{00000000-0005-0000-0000-0000405B0000}"/>
    <cellStyle name="Normal 2 2 4 22 5 10" xfId="23368" xr:uid="{00000000-0005-0000-0000-0000415B0000}"/>
    <cellStyle name="Normal 2 2 4 22 5 2" xfId="23369" xr:uid="{00000000-0005-0000-0000-0000425B0000}"/>
    <cellStyle name="Normal 2 2 4 22 5 3" xfId="23370" xr:uid="{00000000-0005-0000-0000-0000435B0000}"/>
    <cellStyle name="Normal 2 2 4 22 5 4" xfId="23371" xr:uid="{00000000-0005-0000-0000-0000445B0000}"/>
    <cellStyle name="Normal 2 2 4 22 5 5" xfId="23372" xr:uid="{00000000-0005-0000-0000-0000455B0000}"/>
    <cellStyle name="Normal 2 2 4 22 5 6" xfId="23373" xr:uid="{00000000-0005-0000-0000-0000465B0000}"/>
    <cellStyle name="Normal 2 2 4 22 5 7" xfId="23374" xr:uid="{00000000-0005-0000-0000-0000475B0000}"/>
    <cellStyle name="Normal 2 2 4 22 5 8" xfId="23375" xr:uid="{00000000-0005-0000-0000-0000485B0000}"/>
    <cellStyle name="Normal 2 2 4 22 5 9" xfId="23376" xr:uid="{00000000-0005-0000-0000-0000495B0000}"/>
    <cellStyle name="Normal 2 2 4 22 6" xfId="23377" xr:uid="{00000000-0005-0000-0000-00004A5B0000}"/>
    <cellStyle name="Normal 2 2 4 22 7" xfId="23378" xr:uid="{00000000-0005-0000-0000-00004B5B0000}"/>
    <cellStyle name="Normal 2 2 4 22 8" xfId="23379" xr:uid="{00000000-0005-0000-0000-00004C5B0000}"/>
    <cellStyle name="Normal 2 2 4 22 9" xfId="23380" xr:uid="{00000000-0005-0000-0000-00004D5B0000}"/>
    <cellStyle name="Normal 2 2 4 23" xfId="23381" xr:uid="{00000000-0005-0000-0000-00004E5B0000}"/>
    <cellStyle name="Normal 2 2 4 23 10" xfId="23382" xr:uid="{00000000-0005-0000-0000-00004F5B0000}"/>
    <cellStyle name="Normal 2 2 4 23 11" xfId="23383" xr:uid="{00000000-0005-0000-0000-0000505B0000}"/>
    <cellStyle name="Normal 2 2 4 23 12" xfId="23384" xr:uid="{00000000-0005-0000-0000-0000515B0000}"/>
    <cellStyle name="Normal 2 2 4 23 13" xfId="23385" xr:uid="{00000000-0005-0000-0000-0000525B0000}"/>
    <cellStyle name="Normal 2 2 4 23 14" xfId="23386" xr:uid="{00000000-0005-0000-0000-0000535B0000}"/>
    <cellStyle name="Normal 2 2 4 23 2" xfId="23387" xr:uid="{00000000-0005-0000-0000-0000545B0000}"/>
    <cellStyle name="Normal 2 2 4 23 2 10" xfId="23388" xr:uid="{00000000-0005-0000-0000-0000555B0000}"/>
    <cellStyle name="Normal 2 2 4 23 2 2" xfId="23389" xr:uid="{00000000-0005-0000-0000-0000565B0000}"/>
    <cellStyle name="Normal 2 2 4 23 2 3" xfId="23390" xr:uid="{00000000-0005-0000-0000-0000575B0000}"/>
    <cellStyle name="Normal 2 2 4 23 2 4" xfId="23391" xr:uid="{00000000-0005-0000-0000-0000585B0000}"/>
    <cellStyle name="Normal 2 2 4 23 2 5" xfId="23392" xr:uid="{00000000-0005-0000-0000-0000595B0000}"/>
    <cellStyle name="Normal 2 2 4 23 2 6" xfId="23393" xr:uid="{00000000-0005-0000-0000-00005A5B0000}"/>
    <cellStyle name="Normal 2 2 4 23 2 7" xfId="23394" xr:uid="{00000000-0005-0000-0000-00005B5B0000}"/>
    <cellStyle name="Normal 2 2 4 23 2 8" xfId="23395" xr:uid="{00000000-0005-0000-0000-00005C5B0000}"/>
    <cellStyle name="Normal 2 2 4 23 2 9" xfId="23396" xr:uid="{00000000-0005-0000-0000-00005D5B0000}"/>
    <cellStyle name="Normal 2 2 4 23 3" xfId="23397" xr:uid="{00000000-0005-0000-0000-00005E5B0000}"/>
    <cellStyle name="Normal 2 2 4 23 3 10" xfId="23398" xr:uid="{00000000-0005-0000-0000-00005F5B0000}"/>
    <cellStyle name="Normal 2 2 4 23 3 2" xfId="23399" xr:uid="{00000000-0005-0000-0000-0000605B0000}"/>
    <cellStyle name="Normal 2 2 4 23 3 3" xfId="23400" xr:uid="{00000000-0005-0000-0000-0000615B0000}"/>
    <cellStyle name="Normal 2 2 4 23 3 4" xfId="23401" xr:uid="{00000000-0005-0000-0000-0000625B0000}"/>
    <cellStyle name="Normal 2 2 4 23 3 5" xfId="23402" xr:uid="{00000000-0005-0000-0000-0000635B0000}"/>
    <cellStyle name="Normal 2 2 4 23 3 6" xfId="23403" xr:uid="{00000000-0005-0000-0000-0000645B0000}"/>
    <cellStyle name="Normal 2 2 4 23 3 7" xfId="23404" xr:uid="{00000000-0005-0000-0000-0000655B0000}"/>
    <cellStyle name="Normal 2 2 4 23 3 8" xfId="23405" xr:uid="{00000000-0005-0000-0000-0000665B0000}"/>
    <cellStyle name="Normal 2 2 4 23 3 9" xfId="23406" xr:uid="{00000000-0005-0000-0000-0000675B0000}"/>
    <cellStyle name="Normal 2 2 4 23 4" xfId="23407" xr:uid="{00000000-0005-0000-0000-0000685B0000}"/>
    <cellStyle name="Normal 2 2 4 23 4 10" xfId="23408" xr:uid="{00000000-0005-0000-0000-0000695B0000}"/>
    <cellStyle name="Normal 2 2 4 23 4 2" xfId="23409" xr:uid="{00000000-0005-0000-0000-00006A5B0000}"/>
    <cellStyle name="Normal 2 2 4 23 4 3" xfId="23410" xr:uid="{00000000-0005-0000-0000-00006B5B0000}"/>
    <cellStyle name="Normal 2 2 4 23 4 4" xfId="23411" xr:uid="{00000000-0005-0000-0000-00006C5B0000}"/>
    <cellStyle name="Normal 2 2 4 23 4 5" xfId="23412" xr:uid="{00000000-0005-0000-0000-00006D5B0000}"/>
    <cellStyle name="Normal 2 2 4 23 4 6" xfId="23413" xr:uid="{00000000-0005-0000-0000-00006E5B0000}"/>
    <cellStyle name="Normal 2 2 4 23 4 7" xfId="23414" xr:uid="{00000000-0005-0000-0000-00006F5B0000}"/>
    <cellStyle name="Normal 2 2 4 23 4 8" xfId="23415" xr:uid="{00000000-0005-0000-0000-0000705B0000}"/>
    <cellStyle name="Normal 2 2 4 23 4 9" xfId="23416" xr:uid="{00000000-0005-0000-0000-0000715B0000}"/>
    <cellStyle name="Normal 2 2 4 23 5" xfId="23417" xr:uid="{00000000-0005-0000-0000-0000725B0000}"/>
    <cellStyle name="Normal 2 2 4 23 5 10" xfId="23418" xr:uid="{00000000-0005-0000-0000-0000735B0000}"/>
    <cellStyle name="Normal 2 2 4 23 5 2" xfId="23419" xr:uid="{00000000-0005-0000-0000-0000745B0000}"/>
    <cellStyle name="Normal 2 2 4 23 5 3" xfId="23420" xr:uid="{00000000-0005-0000-0000-0000755B0000}"/>
    <cellStyle name="Normal 2 2 4 23 5 4" xfId="23421" xr:uid="{00000000-0005-0000-0000-0000765B0000}"/>
    <cellStyle name="Normal 2 2 4 23 5 5" xfId="23422" xr:uid="{00000000-0005-0000-0000-0000775B0000}"/>
    <cellStyle name="Normal 2 2 4 23 5 6" xfId="23423" xr:uid="{00000000-0005-0000-0000-0000785B0000}"/>
    <cellStyle name="Normal 2 2 4 23 5 7" xfId="23424" xr:uid="{00000000-0005-0000-0000-0000795B0000}"/>
    <cellStyle name="Normal 2 2 4 23 5 8" xfId="23425" xr:uid="{00000000-0005-0000-0000-00007A5B0000}"/>
    <cellStyle name="Normal 2 2 4 23 5 9" xfId="23426" xr:uid="{00000000-0005-0000-0000-00007B5B0000}"/>
    <cellStyle name="Normal 2 2 4 23 6" xfId="23427" xr:uid="{00000000-0005-0000-0000-00007C5B0000}"/>
    <cellStyle name="Normal 2 2 4 23 7" xfId="23428" xr:uid="{00000000-0005-0000-0000-00007D5B0000}"/>
    <cellStyle name="Normal 2 2 4 23 8" xfId="23429" xr:uid="{00000000-0005-0000-0000-00007E5B0000}"/>
    <cellStyle name="Normal 2 2 4 23 9" xfId="23430" xr:uid="{00000000-0005-0000-0000-00007F5B0000}"/>
    <cellStyle name="Normal 2 2 4 24" xfId="23431" xr:uid="{00000000-0005-0000-0000-0000805B0000}"/>
    <cellStyle name="Normal 2 2 4 24 10" xfId="23432" xr:uid="{00000000-0005-0000-0000-0000815B0000}"/>
    <cellStyle name="Normal 2 2 4 24 11" xfId="23433" xr:uid="{00000000-0005-0000-0000-0000825B0000}"/>
    <cellStyle name="Normal 2 2 4 24 12" xfId="23434" xr:uid="{00000000-0005-0000-0000-0000835B0000}"/>
    <cellStyle name="Normal 2 2 4 24 13" xfId="23435" xr:uid="{00000000-0005-0000-0000-0000845B0000}"/>
    <cellStyle name="Normal 2 2 4 24 14" xfId="23436" xr:uid="{00000000-0005-0000-0000-0000855B0000}"/>
    <cellStyle name="Normal 2 2 4 24 2" xfId="23437" xr:uid="{00000000-0005-0000-0000-0000865B0000}"/>
    <cellStyle name="Normal 2 2 4 24 2 10" xfId="23438" xr:uid="{00000000-0005-0000-0000-0000875B0000}"/>
    <cellStyle name="Normal 2 2 4 24 2 2" xfId="23439" xr:uid="{00000000-0005-0000-0000-0000885B0000}"/>
    <cellStyle name="Normal 2 2 4 24 2 3" xfId="23440" xr:uid="{00000000-0005-0000-0000-0000895B0000}"/>
    <cellStyle name="Normal 2 2 4 24 2 4" xfId="23441" xr:uid="{00000000-0005-0000-0000-00008A5B0000}"/>
    <cellStyle name="Normal 2 2 4 24 2 5" xfId="23442" xr:uid="{00000000-0005-0000-0000-00008B5B0000}"/>
    <cellStyle name="Normal 2 2 4 24 2 6" xfId="23443" xr:uid="{00000000-0005-0000-0000-00008C5B0000}"/>
    <cellStyle name="Normal 2 2 4 24 2 7" xfId="23444" xr:uid="{00000000-0005-0000-0000-00008D5B0000}"/>
    <cellStyle name="Normal 2 2 4 24 2 8" xfId="23445" xr:uid="{00000000-0005-0000-0000-00008E5B0000}"/>
    <cellStyle name="Normal 2 2 4 24 2 9" xfId="23446" xr:uid="{00000000-0005-0000-0000-00008F5B0000}"/>
    <cellStyle name="Normal 2 2 4 24 3" xfId="23447" xr:uid="{00000000-0005-0000-0000-0000905B0000}"/>
    <cellStyle name="Normal 2 2 4 24 3 10" xfId="23448" xr:uid="{00000000-0005-0000-0000-0000915B0000}"/>
    <cellStyle name="Normal 2 2 4 24 3 2" xfId="23449" xr:uid="{00000000-0005-0000-0000-0000925B0000}"/>
    <cellStyle name="Normal 2 2 4 24 3 3" xfId="23450" xr:uid="{00000000-0005-0000-0000-0000935B0000}"/>
    <cellStyle name="Normal 2 2 4 24 3 4" xfId="23451" xr:uid="{00000000-0005-0000-0000-0000945B0000}"/>
    <cellStyle name="Normal 2 2 4 24 3 5" xfId="23452" xr:uid="{00000000-0005-0000-0000-0000955B0000}"/>
    <cellStyle name="Normal 2 2 4 24 3 6" xfId="23453" xr:uid="{00000000-0005-0000-0000-0000965B0000}"/>
    <cellStyle name="Normal 2 2 4 24 3 7" xfId="23454" xr:uid="{00000000-0005-0000-0000-0000975B0000}"/>
    <cellStyle name="Normal 2 2 4 24 3 8" xfId="23455" xr:uid="{00000000-0005-0000-0000-0000985B0000}"/>
    <cellStyle name="Normal 2 2 4 24 3 9" xfId="23456" xr:uid="{00000000-0005-0000-0000-0000995B0000}"/>
    <cellStyle name="Normal 2 2 4 24 4" xfId="23457" xr:uid="{00000000-0005-0000-0000-00009A5B0000}"/>
    <cellStyle name="Normal 2 2 4 24 4 10" xfId="23458" xr:uid="{00000000-0005-0000-0000-00009B5B0000}"/>
    <cellStyle name="Normal 2 2 4 24 4 2" xfId="23459" xr:uid="{00000000-0005-0000-0000-00009C5B0000}"/>
    <cellStyle name="Normal 2 2 4 24 4 3" xfId="23460" xr:uid="{00000000-0005-0000-0000-00009D5B0000}"/>
    <cellStyle name="Normal 2 2 4 24 4 4" xfId="23461" xr:uid="{00000000-0005-0000-0000-00009E5B0000}"/>
    <cellStyle name="Normal 2 2 4 24 4 5" xfId="23462" xr:uid="{00000000-0005-0000-0000-00009F5B0000}"/>
    <cellStyle name="Normal 2 2 4 24 4 6" xfId="23463" xr:uid="{00000000-0005-0000-0000-0000A05B0000}"/>
    <cellStyle name="Normal 2 2 4 24 4 7" xfId="23464" xr:uid="{00000000-0005-0000-0000-0000A15B0000}"/>
    <cellStyle name="Normal 2 2 4 24 4 8" xfId="23465" xr:uid="{00000000-0005-0000-0000-0000A25B0000}"/>
    <cellStyle name="Normal 2 2 4 24 4 9" xfId="23466" xr:uid="{00000000-0005-0000-0000-0000A35B0000}"/>
    <cellStyle name="Normal 2 2 4 24 5" xfId="23467" xr:uid="{00000000-0005-0000-0000-0000A45B0000}"/>
    <cellStyle name="Normal 2 2 4 24 5 10" xfId="23468" xr:uid="{00000000-0005-0000-0000-0000A55B0000}"/>
    <cellStyle name="Normal 2 2 4 24 5 2" xfId="23469" xr:uid="{00000000-0005-0000-0000-0000A65B0000}"/>
    <cellStyle name="Normal 2 2 4 24 5 3" xfId="23470" xr:uid="{00000000-0005-0000-0000-0000A75B0000}"/>
    <cellStyle name="Normal 2 2 4 24 5 4" xfId="23471" xr:uid="{00000000-0005-0000-0000-0000A85B0000}"/>
    <cellStyle name="Normal 2 2 4 24 5 5" xfId="23472" xr:uid="{00000000-0005-0000-0000-0000A95B0000}"/>
    <cellStyle name="Normal 2 2 4 24 5 6" xfId="23473" xr:uid="{00000000-0005-0000-0000-0000AA5B0000}"/>
    <cellStyle name="Normal 2 2 4 24 5 7" xfId="23474" xr:uid="{00000000-0005-0000-0000-0000AB5B0000}"/>
    <cellStyle name="Normal 2 2 4 24 5 8" xfId="23475" xr:uid="{00000000-0005-0000-0000-0000AC5B0000}"/>
    <cellStyle name="Normal 2 2 4 24 5 9" xfId="23476" xr:uid="{00000000-0005-0000-0000-0000AD5B0000}"/>
    <cellStyle name="Normal 2 2 4 24 6" xfId="23477" xr:uid="{00000000-0005-0000-0000-0000AE5B0000}"/>
    <cellStyle name="Normal 2 2 4 24 7" xfId="23478" xr:uid="{00000000-0005-0000-0000-0000AF5B0000}"/>
    <cellStyle name="Normal 2 2 4 24 8" xfId="23479" xr:uid="{00000000-0005-0000-0000-0000B05B0000}"/>
    <cellStyle name="Normal 2 2 4 24 9" xfId="23480" xr:uid="{00000000-0005-0000-0000-0000B15B0000}"/>
    <cellStyle name="Normal 2 2 4 25" xfId="23481" xr:uid="{00000000-0005-0000-0000-0000B25B0000}"/>
    <cellStyle name="Normal 2 2 4 25 10" xfId="23482" xr:uid="{00000000-0005-0000-0000-0000B35B0000}"/>
    <cellStyle name="Normal 2 2 4 25 11" xfId="23483" xr:uid="{00000000-0005-0000-0000-0000B45B0000}"/>
    <cellStyle name="Normal 2 2 4 25 12" xfId="23484" xr:uid="{00000000-0005-0000-0000-0000B55B0000}"/>
    <cellStyle name="Normal 2 2 4 25 13" xfId="23485" xr:uid="{00000000-0005-0000-0000-0000B65B0000}"/>
    <cellStyle name="Normal 2 2 4 25 14" xfId="23486" xr:uid="{00000000-0005-0000-0000-0000B75B0000}"/>
    <cellStyle name="Normal 2 2 4 25 2" xfId="23487" xr:uid="{00000000-0005-0000-0000-0000B85B0000}"/>
    <cellStyle name="Normal 2 2 4 25 2 10" xfId="23488" xr:uid="{00000000-0005-0000-0000-0000B95B0000}"/>
    <cellStyle name="Normal 2 2 4 25 2 2" xfId="23489" xr:uid="{00000000-0005-0000-0000-0000BA5B0000}"/>
    <cellStyle name="Normal 2 2 4 25 2 3" xfId="23490" xr:uid="{00000000-0005-0000-0000-0000BB5B0000}"/>
    <cellStyle name="Normal 2 2 4 25 2 4" xfId="23491" xr:uid="{00000000-0005-0000-0000-0000BC5B0000}"/>
    <cellStyle name="Normal 2 2 4 25 2 5" xfId="23492" xr:uid="{00000000-0005-0000-0000-0000BD5B0000}"/>
    <cellStyle name="Normal 2 2 4 25 2 6" xfId="23493" xr:uid="{00000000-0005-0000-0000-0000BE5B0000}"/>
    <cellStyle name="Normal 2 2 4 25 2 7" xfId="23494" xr:uid="{00000000-0005-0000-0000-0000BF5B0000}"/>
    <cellStyle name="Normal 2 2 4 25 2 8" xfId="23495" xr:uid="{00000000-0005-0000-0000-0000C05B0000}"/>
    <cellStyle name="Normal 2 2 4 25 2 9" xfId="23496" xr:uid="{00000000-0005-0000-0000-0000C15B0000}"/>
    <cellStyle name="Normal 2 2 4 25 3" xfId="23497" xr:uid="{00000000-0005-0000-0000-0000C25B0000}"/>
    <cellStyle name="Normal 2 2 4 25 3 10" xfId="23498" xr:uid="{00000000-0005-0000-0000-0000C35B0000}"/>
    <cellStyle name="Normal 2 2 4 25 3 2" xfId="23499" xr:uid="{00000000-0005-0000-0000-0000C45B0000}"/>
    <cellStyle name="Normal 2 2 4 25 3 3" xfId="23500" xr:uid="{00000000-0005-0000-0000-0000C55B0000}"/>
    <cellStyle name="Normal 2 2 4 25 3 4" xfId="23501" xr:uid="{00000000-0005-0000-0000-0000C65B0000}"/>
    <cellStyle name="Normal 2 2 4 25 3 5" xfId="23502" xr:uid="{00000000-0005-0000-0000-0000C75B0000}"/>
    <cellStyle name="Normal 2 2 4 25 3 6" xfId="23503" xr:uid="{00000000-0005-0000-0000-0000C85B0000}"/>
    <cellStyle name="Normal 2 2 4 25 3 7" xfId="23504" xr:uid="{00000000-0005-0000-0000-0000C95B0000}"/>
    <cellStyle name="Normal 2 2 4 25 3 8" xfId="23505" xr:uid="{00000000-0005-0000-0000-0000CA5B0000}"/>
    <cellStyle name="Normal 2 2 4 25 3 9" xfId="23506" xr:uid="{00000000-0005-0000-0000-0000CB5B0000}"/>
    <cellStyle name="Normal 2 2 4 25 4" xfId="23507" xr:uid="{00000000-0005-0000-0000-0000CC5B0000}"/>
    <cellStyle name="Normal 2 2 4 25 4 10" xfId="23508" xr:uid="{00000000-0005-0000-0000-0000CD5B0000}"/>
    <cellStyle name="Normal 2 2 4 25 4 2" xfId="23509" xr:uid="{00000000-0005-0000-0000-0000CE5B0000}"/>
    <cellStyle name="Normal 2 2 4 25 4 3" xfId="23510" xr:uid="{00000000-0005-0000-0000-0000CF5B0000}"/>
    <cellStyle name="Normal 2 2 4 25 4 4" xfId="23511" xr:uid="{00000000-0005-0000-0000-0000D05B0000}"/>
    <cellStyle name="Normal 2 2 4 25 4 5" xfId="23512" xr:uid="{00000000-0005-0000-0000-0000D15B0000}"/>
    <cellStyle name="Normal 2 2 4 25 4 6" xfId="23513" xr:uid="{00000000-0005-0000-0000-0000D25B0000}"/>
    <cellStyle name="Normal 2 2 4 25 4 7" xfId="23514" xr:uid="{00000000-0005-0000-0000-0000D35B0000}"/>
    <cellStyle name="Normal 2 2 4 25 4 8" xfId="23515" xr:uid="{00000000-0005-0000-0000-0000D45B0000}"/>
    <cellStyle name="Normal 2 2 4 25 4 9" xfId="23516" xr:uid="{00000000-0005-0000-0000-0000D55B0000}"/>
    <cellStyle name="Normal 2 2 4 25 5" xfId="23517" xr:uid="{00000000-0005-0000-0000-0000D65B0000}"/>
    <cellStyle name="Normal 2 2 4 25 5 10" xfId="23518" xr:uid="{00000000-0005-0000-0000-0000D75B0000}"/>
    <cellStyle name="Normal 2 2 4 25 5 2" xfId="23519" xr:uid="{00000000-0005-0000-0000-0000D85B0000}"/>
    <cellStyle name="Normal 2 2 4 25 5 3" xfId="23520" xr:uid="{00000000-0005-0000-0000-0000D95B0000}"/>
    <cellStyle name="Normal 2 2 4 25 5 4" xfId="23521" xr:uid="{00000000-0005-0000-0000-0000DA5B0000}"/>
    <cellStyle name="Normal 2 2 4 25 5 5" xfId="23522" xr:uid="{00000000-0005-0000-0000-0000DB5B0000}"/>
    <cellStyle name="Normal 2 2 4 25 5 6" xfId="23523" xr:uid="{00000000-0005-0000-0000-0000DC5B0000}"/>
    <cellStyle name="Normal 2 2 4 25 5 7" xfId="23524" xr:uid="{00000000-0005-0000-0000-0000DD5B0000}"/>
    <cellStyle name="Normal 2 2 4 25 5 8" xfId="23525" xr:uid="{00000000-0005-0000-0000-0000DE5B0000}"/>
    <cellStyle name="Normal 2 2 4 25 5 9" xfId="23526" xr:uid="{00000000-0005-0000-0000-0000DF5B0000}"/>
    <cellStyle name="Normal 2 2 4 25 6" xfId="23527" xr:uid="{00000000-0005-0000-0000-0000E05B0000}"/>
    <cellStyle name="Normal 2 2 4 25 7" xfId="23528" xr:uid="{00000000-0005-0000-0000-0000E15B0000}"/>
    <cellStyle name="Normal 2 2 4 25 8" xfId="23529" xr:uid="{00000000-0005-0000-0000-0000E25B0000}"/>
    <cellStyle name="Normal 2 2 4 25 9" xfId="23530" xr:uid="{00000000-0005-0000-0000-0000E35B0000}"/>
    <cellStyle name="Normal 2 2 4 26" xfId="23531" xr:uid="{00000000-0005-0000-0000-0000E45B0000}"/>
    <cellStyle name="Normal 2 2 4 26 10" xfId="23532" xr:uid="{00000000-0005-0000-0000-0000E55B0000}"/>
    <cellStyle name="Normal 2 2 4 26 11" xfId="23533" xr:uid="{00000000-0005-0000-0000-0000E65B0000}"/>
    <cellStyle name="Normal 2 2 4 26 12" xfId="23534" xr:uid="{00000000-0005-0000-0000-0000E75B0000}"/>
    <cellStyle name="Normal 2 2 4 26 13" xfId="23535" xr:uid="{00000000-0005-0000-0000-0000E85B0000}"/>
    <cellStyle name="Normal 2 2 4 26 14" xfId="23536" xr:uid="{00000000-0005-0000-0000-0000E95B0000}"/>
    <cellStyle name="Normal 2 2 4 26 2" xfId="23537" xr:uid="{00000000-0005-0000-0000-0000EA5B0000}"/>
    <cellStyle name="Normal 2 2 4 26 2 10" xfId="23538" xr:uid="{00000000-0005-0000-0000-0000EB5B0000}"/>
    <cellStyle name="Normal 2 2 4 26 2 2" xfId="23539" xr:uid="{00000000-0005-0000-0000-0000EC5B0000}"/>
    <cellStyle name="Normal 2 2 4 26 2 3" xfId="23540" xr:uid="{00000000-0005-0000-0000-0000ED5B0000}"/>
    <cellStyle name="Normal 2 2 4 26 2 4" xfId="23541" xr:uid="{00000000-0005-0000-0000-0000EE5B0000}"/>
    <cellStyle name="Normal 2 2 4 26 2 5" xfId="23542" xr:uid="{00000000-0005-0000-0000-0000EF5B0000}"/>
    <cellStyle name="Normal 2 2 4 26 2 6" xfId="23543" xr:uid="{00000000-0005-0000-0000-0000F05B0000}"/>
    <cellStyle name="Normal 2 2 4 26 2 7" xfId="23544" xr:uid="{00000000-0005-0000-0000-0000F15B0000}"/>
    <cellStyle name="Normal 2 2 4 26 2 8" xfId="23545" xr:uid="{00000000-0005-0000-0000-0000F25B0000}"/>
    <cellStyle name="Normal 2 2 4 26 2 9" xfId="23546" xr:uid="{00000000-0005-0000-0000-0000F35B0000}"/>
    <cellStyle name="Normal 2 2 4 26 3" xfId="23547" xr:uid="{00000000-0005-0000-0000-0000F45B0000}"/>
    <cellStyle name="Normal 2 2 4 26 3 10" xfId="23548" xr:uid="{00000000-0005-0000-0000-0000F55B0000}"/>
    <cellStyle name="Normal 2 2 4 26 3 2" xfId="23549" xr:uid="{00000000-0005-0000-0000-0000F65B0000}"/>
    <cellStyle name="Normal 2 2 4 26 3 3" xfId="23550" xr:uid="{00000000-0005-0000-0000-0000F75B0000}"/>
    <cellStyle name="Normal 2 2 4 26 3 4" xfId="23551" xr:uid="{00000000-0005-0000-0000-0000F85B0000}"/>
    <cellStyle name="Normal 2 2 4 26 3 5" xfId="23552" xr:uid="{00000000-0005-0000-0000-0000F95B0000}"/>
    <cellStyle name="Normal 2 2 4 26 3 6" xfId="23553" xr:uid="{00000000-0005-0000-0000-0000FA5B0000}"/>
    <cellStyle name="Normal 2 2 4 26 3 7" xfId="23554" xr:uid="{00000000-0005-0000-0000-0000FB5B0000}"/>
    <cellStyle name="Normal 2 2 4 26 3 8" xfId="23555" xr:uid="{00000000-0005-0000-0000-0000FC5B0000}"/>
    <cellStyle name="Normal 2 2 4 26 3 9" xfId="23556" xr:uid="{00000000-0005-0000-0000-0000FD5B0000}"/>
    <cellStyle name="Normal 2 2 4 26 4" xfId="23557" xr:uid="{00000000-0005-0000-0000-0000FE5B0000}"/>
    <cellStyle name="Normal 2 2 4 26 4 10" xfId="23558" xr:uid="{00000000-0005-0000-0000-0000FF5B0000}"/>
    <cellStyle name="Normal 2 2 4 26 4 2" xfId="23559" xr:uid="{00000000-0005-0000-0000-0000005C0000}"/>
    <cellStyle name="Normal 2 2 4 26 4 3" xfId="23560" xr:uid="{00000000-0005-0000-0000-0000015C0000}"/>
    <cellStyle name="Normal 2 2 4 26 4 4" xfId="23561" xr:uid="{00000000-0005-0000-0000-0000025C0000}"/>
    <cellStyle name="Normal 2 2 4 26 4 5" xfId="23562" xr:uid="{00000000-0005-0000-0000-0000035C0000}"/>
    <cellStyle name="Normal 2 2 4 26 4 6" xfId="23563" xr:uid="{00000000-0005-0000-0000-0000045C0000}"/>
    <cellStyle name="Normal 2 2 4 26 4 7" xfId="23564" xr:uid="{00000000-0005-0000-0000-0000055C0000}"/>
    <cellStyle name="Normal 2 2 4 26 4 8" xfId="23565" xr:uid="{00000000-0005-0000-0000-0000065C0000}"/>
    <cellStyle name="Normal 2 2 4 26 4 9" xfId="23566" xr:uid="{00000000-0005-0000-0000-0000075C0000}"/>
    <cellStyle name="Normal 2 2 4 26 5" xfId="23567" xr:uid="{00000000-0005-0000-0000-0000085C0000}"/>
    <cellStyle name="Normal 2 2 4 26 5 10" xfId="23568" xr:uid="{00000000-0005-0000-0000-0000095C0000}"/>
    <cellStyle name="Normal 2 2 4 26 5 2" xfId="23569" xr:uid="{00000000-0005-0000-0000-00000A5C0000}"/>
    <cellStyle name="Normal 2 2 4 26 5 3" xfId="23570" xr:uid="{00000000-0005-0000-0000-00000B5C0000}"/>
    <cellStyle name="Normal 2 2 4 26 5 4" xfId="23571" xr:uid="{00000000-0005-0000-0000-00000C5C0000}"/>
    <cellStyle name="Normal 2 2 4 26 5 5" xfId="23572" xr:uid="{00000000-0005-0000-0000-00000D5C0000}"/>
    <cellStyle name="Normal 2 2 4 26 5 6" xfId="23573" xr:uid="{00000000-0005-0000-0000-00000E5C0000}"/>
    <cellStyle name="Normal 2 2 4 26 5 7" xfId="23574" xr:uid="{00000000-0005-0000-0000-00000F5C0000}"/>
    <cellStyle name="Normal 2 2 4 26 5 8" xfId="23575" xr:uid="{00000000-0005-0000-0000-0000105C0000}"/>
    <cellStyle name="Normal 2 2 4 26 5 9" xfId="23576" xr:uid="{00000000-0005-0000-0000-0000115C0000}"/>
    <cellStyle name="Normal 2 2 4 26 6" xfId="23577" xr:uid="{00000000-0005-0000-0000-0000125C0000}"/>
    <cellStyle name="Normal 2 2 4 26 7" xfId="23578" xr:uid="{00000000-0005-0000-0000-0000135C0000}"/>
    <cellStyle name="Normal 2 2 4 26 8" xfId="23579" xr:uid="{00000000-0005-0000-0000-0000145C0000}"/>
    <cellStyle name="Normal 2 2 4 26 9" xfId="23580" xr:uid="{00000000-0005-0000-0000-0000155C0000}"/>
    <cellStyle name="Normal 2 2 4 27" xfId="23581" xr:uid="{00000000-0005-0000-0000-0000165C0000}"/>
    <cellStyle name="Normal 2 2 4 27 10" xfId="23582" xr:uid="{00000000-0005-0000-0000-0000175C0000}"/>
    <cellStyle name="Normal 2 2 4 27 11" xfId="23583" xr:uid="{00000000-0005-0000-0000-0000185C0000}"/>
    <cellStyle name="Normal 2 2 4 27 12" xfId="23584" xr:uid="{00000000-0005-0000-0000-0000195C0000}"/>
    <cellStyle name="Normal 2 2 4 27 13" xfId="23585" xr:uid="{00000000-0005-0000-0000-00001A5C0000}"/>
    <cellStyle name="Normal 2 2 4 27 14" xfId="23586" xr:uid="{00000000-0005-0000-0000-00001B5C0000}"/>
    <cellStyle name="Normal 2 2 4 27 2" xfId="23587" xr:uid="{00000000-0005-0000-0000-00001C5C0000}"/>
    <cellStyle name="Normal 2 2 4 27 2 10" xfId="23588" xr:uid="{00000000-0005-0000-0000-00001D5C0000}"/>
    <cellStyle name="Normal 2 2 4 27 2 2" xfId="23589" xr:uid="{00000000-0005-0000-0000-00001E5C0000}"/>
    <cellStyle name="Normal 2 2 4 27 2 3" xfId="23590" xr:uid="{00000000-0005-0000-0000-00001F5C0000}"/>
    <cellStyle name="Normal 2 2 4 27 2 4" xfId="23591" xr:uid="{00000000-0005-0000-0000-0000205C0000}"/>
    <cellStyle name="Normal 2 2 4 27 2 5" xfId="23592" xr:uid="{00000000-0005-0000-0000-0000215C0000}"/>
    <cellStyle name="Normal 2 2 4 27 2 6" xfId="23593" xr:uid="{00000000-0005-0000-0000-0000225C0000}"/>
    <cellStyle name="Normal 2 2 4 27 2 7" xfId="23594" xr:uid="{00000000-0005-0000-0000-0000235C0000}"/>
    <cellStyle name="Normal 2 2 4 27 2 8" xfId="23595" xr:uid="{00000000-0005-0000-0000-0000245C0000}"/>
    <cellStyle name="Normal 2 2 4 27 2 9" xfId="23596" xr:uid="{00000000-0005-0000-0000-0000255C0000}"/>
    <cellStyle name="Normal 2 2 4 27 3" xfId="23597" xr:uid="{00000000-0005-0000-0000-0000265C0000}"/>
    <cellStyle name="Normal 2 2 4 27 3 10" xfId="23598" xr:uid="{00000000-0005-0000-0000-0000275C0000}"/>
    <cellStyle name="Normal 2 2 4 27 3 2" xfId="23599" xr:uid="{00000000-0005-0000-0000-0000285C0000}"/>
    <cellStyle name="Normal 2 2 4 27 3 3" xfId="23600" xr:uid="{00000000-0005-0000-0000-0000295C0000}"/>
    <cellStyle name="Normal 2 2 4 27 3 4" xfId="23601" xr:uid="{00000000-0005-0000-0000-00002A5C0000}"/>
    <cellStyle name="Normal 2 2 4 27 3 5" xfId="23602" xr:uid="{00000000-0005-0000-0000-00002B5C0000}"/>
    <cellStyle name="Normal 2 2 4 27 3 6" xfId="23603" xr:uid="{00000000-0005-0000-0000-00002C5C0000}"/>
    <cellStyle name="Normal 2 2 4 27 3 7" xfId="23604" xr:uid="{00000000-0005-0000-0000-00002D5C0000}"/>
    <cellStyle name="Normal 2 2 4 27 3 8" xfId="23605" xr:uid="{00000000-0005-0000-0000-00002E5C0000}"/>
    <cellStyle name="Normal 2 2 4 27 3 9" xfId="23606" xr:uid="{00000000-0005-0000-0000-00002F5C0000}"/>
    <cellStyle name="Normal 2 2 4 27 4" xfId="23607" xr:uid="{00000000-0005-0000-0000-0000305C0000}"/>
    <cellStyle name="Normal 2 2 4 27 4 10" xfId="23608" xr:uid="{00000000-0005-0000-0000-0000315C0000}"/>
    <cellStyle name="Normal 2 2 4 27 4 2" xfId="23609" xr:uid="{00000000-0005-0000-0000-0000325C0000}"/>
    <cellStyle name="Normal 2 2 4 27 4 3" xfId="23610" xr:uid="{00000000-0005-0000-0000-0000335C0000}"/>
    <cellStyle name="Normal 2 2 4 27 4 4" xfId="23611" xr:uid="{00000000-0005-0000-0000-0000345C0000}"/>
    <cellStyle name="Normal 2 2 4 27 4 5" xfId="23612" xr:uid="{00000000-0005-0000-0000-0000355C0000}"/>
    <cellStyle name="Normal 2 2 4 27 4 6" xfId="23613" xr:uid="{00000000-0005-0000-0000-0000365C0000}"/>
    <cellStyle name="Normal 2 2 4 27 4 7" xfId="23614" xr:uid="{00000000-0005-0000-0000-0000375C0000}"/>
    <cellStyle name="Normal 2 2 4 27 4 8" xfId="23615" xr:uid="{00000000-0005-0000-0000-0000385C0000}"/>
    <cellStyle name="Normal 2 2 4 27 4 9" xfId="23616" xr:uid="{00000000-0005-0000-0000-0000395C0000}"/>
    <cellStyle name="Normal 2 2 4 27 5" xfId="23617" xr:uid="{00000000-0005-0000-0000-00003A5C0000}"/>
    <cellStyle name="Normal 2 2 4 27 5 10" xfId="23618" xr:uid="{00000000-0005-0000-0000-00003B5C0000}"/>
    <cellStyle name="Normal 2 2 4 27 5 2" xfId="23619" xr:uid="{00000000-0005-0000-0000-00003C5C0000}"/>
    <cellStyle name="Normal 2 2 4 27 5 3" xfId="23620" xr:uid="{00000000-0005-0000-0000-00003D5C0000}"/>
    <cellStyle name="Normal 2 2 4 27 5 4" xfId="23621" xr:uid="{00000000-0005-0000-0000-00003E5C0000}"/>
    <cellStyle name="Normal 2 2 4 27 5 5" xfId="23622" xr:uid="{00000000-0005-0000-0000-00003F5C0000}"/>
    <cellStyle name="Normal 2 2 4 27 5 6" xfId="23623" xr:uid="{00000000-0005-0000-0000-0000405C0000}"/>
    <cellStyle name="Normal 2 2 4 27 5 7" xfId="23624" xr:uid="{00000000-0005-0000-0000-0000415C0000}"/>
    <cellStyle name="Normal 2 2 4 27 5 8" xfId="23625" xr:uid="{00000000-0005-0000-0000-0000425C0000}"/>
    <cellStyle name="Normal 2 2 4 27 5 9" xfId="23626" xr:uid="{00000000-0005-0000-0000-0000435C0000}"/>
    <cellStyle name="Normal 2 2 4 27 6" xfId="23627" xr:uid="{00000000-0005-0000-0000-0000445C0000}"/>
    <cellStyle name="Normal 2 2 4 27 7" xfId="23628" xr:uid="{00000000-0005-0000-0000-0000455C0000}"/>
    <cellStyle name="Normal 2 2 4 27 8" xfId="23629" xr:uid="{00000000-0005-0000-0000-0000465C0000}"/>
    <cellStyle name="Normal 2 2 4 27 9" xfId="23630" xr:uid="{00000000-0005-0000-0000-0000475C0000}"/>
    <cellStyle name="Normal 2 2 4 28" xfId="23631" xr:uid="{00000000-0005-0000-0000-0000485C0000}"/>
    <cellStyle name="Normal 2 2 4 28 10" xfId="23632" xr:uid="{00000000-0005-0000-0000-0000495C0000}"/>
    <cellStyle name="Normal 2 2 4 28 11" xfId="23633" xr:uid="{00000000-0005-0000-0000-00004A5C0000}"/>
    <cellStyle name="Normal 2 2 4 28 12" xfId="23634" xr:uid="{00000000-0005-0000-0000-00004B5C0000}"/>
    <cellStyle name="Normal 2 2 4 28 13" xfId="23635" xr:uid="{00000000-0005-0000-0000-00004C5C0000}"/>
    <cellStyle name="Normal 2 2 4 28 14" xfId="23636" xr:uid="{00000000-0005-0000-0000-00004D5C0000}"/>
    <cellStyle name="Normal 2 2 4 28 2" xfId="23637" xr:uid="{00000000-0005-0000-0000-00004E5C0000}"/>
    <cellStyle name="Normal 2 2 4 28 2 10" xfId="23638" xr:uid="{00000000-0005-0000-0000-00004F5C0000}"/>
    <cellStyle name="Normal 2 2 4 28 2 2" xfId="23639" xr:uid="{00000000-0005-0000-0000-0000505C0000}"/>
    <cellStyle name="Normal 2 2 4 28 2 3" xfId="23640" xr:uid="{00000000-0005-0000-0000-0000515C0000}"/>
    <cellStyle name="Normal 2 2 4 28 2 4" xfId="23641" xr:uid="{00000000-0005-0000-0000-0000525C0000}"/>
    <cellStyle name="Normal 2 2 4 28 2 5" xfId="23642" xr:uid="{00000000-0005-0000-0000-0000535C0000}"/>
    <cellStyle name="Normal 2 2 4 28 2 6" xfId="23643" xr:uid="{00000000-0005-0000-0000-0000545C0000}"/>
    <cellStyle name="Normal 2 2 4 28 2 7" xfId="23644" xr:uid="{00000000-0005-0000-0000-0000555C0000}"/>
    <cellStyle name="Normal 2 2 4 28 2 8" xfId="23645" xr:uid="{00000000-0005-0000-0000-0000565C0000}"/>
    <cellStyle name="Normal 2 2 4 28 2 9" xfId="23646" xr:uid="{00000000-0005-0000-0000-0000575C0000}"/>
    <cellStyle name="Normal 2 2 4 28 3" xfId="23647" xr:uid="{00000000-0005-0000-0000-0000585C0000}"/>
    <cellStyle name="Normal 2 2 4 28 3 10" xfId="23648" xr:uid="{00000000-0005-0000-0000-0000595C0000}"/>
    <cellStyle name="Normal 2 2 4 28 3 2" xfId="23649" xr:uid="{00000000-0005-0000-0000-00005A5C0000}"/>
    <cellStyle name="Normal 2 2 4 28 3 3" xfId="23650" xr:uid="{00000000-0005-0000-0000-00005B5C0000}"/>
    <cellStyle name="Normal 2 2 4 28 3 4" xfId="23651" xr:uid="{00000000-0005-0000-0000-00005C5C0000}"/>
    <cellStyle name="Normal 2 2 4 28 3 5" xfId="23652" xr:uid="{00000000-0005-0000-0000-00005D5C0000}"/>
    <cellStyle name="Normal 2 2 4 28 3 6" xfId="23653" xr:uid="{00000000-0005-0000-0000-00005E5C0000}"/>
    <cellStyle name="Normal 2 2 4 28 3 7" xfId="23654" xr:uid="{00000000-0005-0000-0000-00005F5C0000}"/>
    <cellStyle name="Normal 2 2 4 28 3 8" xfId="23655" xr:uid="{00000000-0005-0000-0000-0000605C0000}"/>
    <cellStyle name="Normal 2 2 4 28 3 9" xfId="23656" xr:uid="{00000000-0005-0000-0000-0000615C0000}"/>
    <cellStyle name="Normal 2 2 4 28 4" xfId="23657" xr:uid="{00000000-0005-0000-0000-0000625C0000}"/>
    <cellStyle name="Normal 2 2 4 28 4 10" xfId="23658" xr:uid="{00000000-0005-0000-0000-0000635C0000}"/>
    <cellStyle name="Normal 2 2 4 28 4 2" xfId="23659" xr:uid="{00000000-0005-0000-0000-0000645C0000}"/>
    <cellStyle name="Normal 2 2 4 28 4 3" xfId="23660" xr:uid="{00000000-0005-0000-0000-0000655C0000}"/>
    <cellStyle name="Normal 2 2 4 28 4 4" xfId="23661" xr:uid="{00000000-0005-0000-0000-0000665C0000}"/>
    <cellStyle name="Normal 2 2 4 28 4 5" xfId="23662" xr:uid="{00000000-0005-0000-0000-0000675C0000}"/>
    <cellStyle name="Normal 2 2 4 28 4 6" xfId="23663" xr:uid="{00000000-0005-0000-0000-0000685C0000}"/>
    <cellStyle name="Normal 2 2 4 28 4 7" xfId="23664" xr:uid="{00000000-0005-0000-0000-0000695C0000}"/>
    <cellStyle name="Normal 2 2 4 28 4 8" xfId="23665" xr:uid="{00000000-0005-0000-0000-00006A5C0000}"/>
    <cellStyle name="Normal 2 2 4 28 4 9" xfId="23666" xr:uid="{00000000-0005-0000-0000-00006B5C0000}"/>
    <cellStyle name="Normal 2 2 4 28 5" xfId="23667" xr:uid="{00000000-0005-0000-0000-00006C5C0000}"/>
    <cellStyle name="Normal 2 2 4 28 5 10" xfId="23668" xr:uid="{00000000-0005-0000-0000-00006D5C0000}"/>
    <cellStyle name="Normal 2 2 4 28 5 2" xfId="23669" xr:uid="{00000000-0005-0000-0000-00006E5C0000}"/>
    <cellStyle name="Normal 2 2 4 28 5 3" xfId="23670" xr:uid="{00000000-0005-0000-0000-00006F5C0000}"/>
    <cellStyle name="Normal 2 2 4 28 5 4" xfId="23671" xr:uid="{00000000-0005-0000-0000-0000705C0000}"/>
    <cellStyle name="Normal 2 2 4 28 5 5" xfId="23672" xr:uid="{00000000-0005-0000-0000-0000715C0000}"/>
    <cellStyle name="Normal 2 2 4 28 5 6" xfId="23673" xr:uid="{00000000-0005-0000-0000-0000725C0000}"/>
    <cellStyle name="Normal 2 2 4 28 5 7" xfId="23674" xr:uid="{00000000-0005-0000-0000-0000735C0000}"/>
    <cellStyle name="Normal 2 2 4 28 5 8" xfId="23675" xr:uid="{00000000-0005-0000-0000-0000745C0000}"/>
    <cellStyle name="Normal 2 2 4 28 5 9" xfId="23676" xr:uid="{00000000-0005-0000-0000-0000755C0000}"/>
    <cellStyle name="Normal 2 2 4 28 6" xfId="23677" xr:uid="{00000000-0005-0000-0000-0000765C0000}"/>
    <cellStyle name="Normal 2 2 4 28 7" xfId="23678" xr:uid="{00000000-0005-0000-0000-0000775C0000}"/>
    <cellStyle name="Normal 2 2 4 28 8" xfId="23679" xr:uid="{00000000-0005-0000-0000-0000785C0000}"/>
    <cellStyle name="Normal 2 2 4 28 9" xfId="23680" xr:uid="{00000000-0005-0000-0000-0000795C0000}"/>
    <cellStyle name="Normal 2 2 4 29" xfId="23681" xr:uid="{00000000-0005-0000-0000-00007A5C0000}"/>
    <cellStyle name="Normal 2 2 4 29 10" xfId="23682" xr:uid="{00000000-0005-0000-0000-00007B5C0000}"/>
    <cellStyle name="Normal 2 2 4 29 11" xfId="23683" xr:uid="{00000000-0005-0000-0000-00007C5C0000}"/>
    <cellStyle name="Normal 2 2 4 29 12" xfId="23684" xr:uid="{00000000-0005-0000-0000-00007D5C0000}"/>
    <cellStyle name="Normal 2 2 4 29 13" xfId="23685" xr:uid="{00000000-0005-0000-0000-00007E5C0000}"/>
    <cellStyle name="Normal 2 2 4 29 14" xfId="23686" xr:uid="{00000000-0005-0000-0000-00007F5C0000}"/>
    <cellStyle name="Normal 2 2 4 29 2" xfId="23687" xr:uid="{00000000-0005-0000-0000-0000805C0000}"/>
    <cellStyle name="Normal 2 2 4 29 2 10" xfId="23688" xr:uid="{00000000-0005-0000-0000-0000815C0000}"/>
    <cellStyle name="Normal 2 2 4 29 2 2" xfId="23689" xr:uid="{00000000-0005-0000-0000-0000825C0000}"/>
    <cellStyle name="Normal 2 2 4 29 2 3" xfId="23690" xr:uid="{00000000-0005-0000-0000-0000835C0000}"/>
    <cellStyle name="Normal 2 2 4 29 2 4" xfId="23691" xr:uid="{00000000-0005-0000-0000-0000845C0000}"/>
    <cellStyle name="Normal 2 2 4 29 2 5" xfId="23692" xr:uid="{00000000-0005-0000-0000-0000855C0000}"/>
    <cellStyle name="Normal 2 2 4 29 2 6" xfId="23693" xr:uid="{00000000-0005-0000-0000-0000865C0000}"/>
    <cellStyle name="Normal 2 2 4 29 2 7" xfId="23694" xr:uid="{00000000-0005-0000-0000-0000875C0000}"/>
    <cellStyle name="Normal 2 2 4 29 2 8" xfId="23695" xr:uid="{00000000-0005-0000-0000-0000885C0000}"/>
    <cellStyle name="Normal 2 2 4 29 2 9" xfId="23696" xr:uid="{00000000-0005-0000-0000-0000895C0000}"/>
    <cellStyle name="Normal 2 2 4 29 3" xfId="23697" xr:uid="{00000000-0005-0000-0000-00008A5C0000}"/>
    <cellStyle name="Normal 2 2 4 29 3 10" xfId="23698" xr:uid="{00000000-0005-0000-0000-00008B5C0000}"/>
    <cellStyle name="Normal 2 2 4 29 3 2" xfId="23699" xr:uid="{00000000-0005-0000-0000-00008C5C0000}"/>
    <cellStyle name="Normal 2 2 4 29 3 3" xfId="23700" xr:uid="{00000000-0005-0000-0000-00008D5C0000}"/>
    <cellStyle name="Normal 2 2 4 29 3 4" xfId="23701" xr:uid="{00000000-0005-0000-0000-00008E5C0000}"/>
    <cellStyle name="Normal 2 2 4 29 3 5" xfId="23702" xr:uid="{00000000-0005-0000-0000-00008F5C0000}"/>
    <cellStyle name="Normal 2 2 4 29 3 6" xfId="23703" xr:uid="{00000000-0005-0000-0000-0000905C0000}"/>
    <cellStyle name="Normal 2 2 4 29 3 7" xfId="23704" xr:uid="{00000000-0005-0000-0000-0000915C0000}"/>
    <cellStyle name="Normal 2 2 4 29 3 8" xfId="23705" xr:uid="{00000000-0005-0000-0000-0000925C0000}"/>
    <cellStyle name="Normal 2 2 4 29 3 9" xfId="23706" xr:uid="{00000000-0005-0000-0000-0000935C0000}"/>
    <cellStyle name="Normal 2 2 4 29 4" xfId="23707" xr:uid="{00000000-0005-0000-0000-0000945C0000}"/>
    <cellStyle name="Normal 2 2 4 29 4 10" xfId="23708" xr:uid="{00000000-0005-0000-0000-0000955C0000}"/>
    <cellStyle name="Normal 2 2 4 29 4 2" xfId="23709" xr:uid="{00000000-0005-0000-0000-0000965C0000}"/>
    <cellStyle name="Normal 2 2 4 29 4 3" xfId="23710" xr:uid="{00000000-0005-0000-0000-0000975C0000}"/>
    <cellStyle name="Normal 2 2 4 29 4 4" xfId="23711" xr:uid="{00000000-0005-0000-0000-0000985C0000}"/>
    <cellStyle name="Normal 2 2 4 29 4 5" xfId="23712" xr:uid="{00000000-0005-0000-0000-0000995C0000}"/>
    <cellStyle name="Normal 2 2 4 29 4 6" xfId="23713" xr:uid="{00000000-0005-0000-0000-00009A5C0000}"/>
    <cellStyle name="Normal 2 2 4 29 4 7" xfId="23714" xr:uid="{00000000-0005-0000-0000-00009B5C0000}"/>
    <cellStyle name="Normal 2 2 4 29 4 8" xfId="23715" xr:uid="{00000000-0005-0000-0000-00009C5C0000}"/>
    <cellStyle name="Normal 2 2 4 29 4 9" xfId="23716" xr:uid="{00000000-0005-0000-0000-00009D5C0000}"/>
    <cellStyle name="Normal 2 2 4 29 5" xfId="23717" xr:uid="{00000000-0005-0000-0000-00009E5C0000}"/>
    <cellStyle name="Normal 2 2 4 29 5 10" xfId="23718" xr:uid="{00000000-0005-0000-0000-00009F5C0000}"/>
    <cellStyle name="Normal 2 2 4 29 5 2" xfId="23719" xr:uid="{00000000-0005-0000-0000-0000A05C0000}"/>
    <cellStyle name="Normal 2 2 4 29 5 3" xfId="23720" xr:uid="{00000000-0005-0000-0000-0000A15C0000}"/>
    <cellStyle name="Normal 2 2 4 29 5 4" xfId="23721" xr:uid="{00000000-0005-0000-0000-0000A25C0000}"/>
    <cellStyle name="Normal 2 2 4 29 5 5" xfId="23722" xr:uid="{00000000-0005-0000-0000-0000A35C0000}"/>
    <cellStyle name="Normal 2 2 4 29 5 6" xfId="23723" xr:uid="{00000000-0005-0000-0000-0000A45C0000}"/>
    <cellStyle name="Normal 2 2 4 29 5 7" xfId="23724" xr:uid="{00000000-0005-0000-0000-0000A55C0000}"/>
    <cellStyle name="Normal 2 2 4 29 5 8" xfId="23725" xr:uid="{00000000-0005-0000-0000-0000A65C0000}"/>
    <cellStyle name="Normal 2 2 4 29 5 9" xfId="23726" xr:uid="{00000000-0005-0000-0000-0000A75C0000}"/>
    <cellStyle name="Normal 2 2 4 29 6" xfId="23727" xr:uid="{00000000-0005-0000-0000-0000A85C0000}"/>
    <cellStyle name="Normal 2 2 4 29 7" xfId="23728" xr:uid="{00000000-0005-0000-0000-0000A95C0000}"/>
    <cellStyle name="Normal 2 2 4 29 8" xfId="23729" xr:uid="{00000000-0005-0000-0000-0000AA5C0000}"/>
    <cellStyle name="Normal 2 2 4 29 9" xfId="23730" xr:uid="{00000000-0005-0000-0000-0000AB5C0000}"/>
    <cellStyle name="Normal 2 2 4 3" xfId="23731" xr:uid="{00000000-0005-0000-0000-0000AC5C0000}"/>
    <cellStyle name="Normal 2 2 4 3 10" xfId="23732" xr:uid="{00000000-0005-0000-0000-0000AD5C0000}"/>
    <cellStyle name="Normal 2 2 4 3 11" xfId="23733" xr:uid="{00000000-0005-0000-0000-0000AE5C0000}"/>
    <cellStyle name="Normal 2 2 4 3 12" xfId="23734" xr:uid="{00000000-0005-0000-0000-0000AF5C0000}"/>
    <cellStyle name="Normal 2 2 4 3 13" xfId="23735" xr:uid="{00000000-0005-0000-0000-0000B05C0000}"/>
    <cellStyle name="Normal 2 2 4 3 14" xfId="23736" xr:uid="{00000000-0005-0000-0000-0000B15C0000}"/>
    <cellStyle name="Normal 2 2 4 3 2" xfId="23737" xr:uid="{00000000-0005-0000-0000-0000B25C0000}"/>
    <cellStyle name="Normal 2 2 4 3 2 10" xfId="23738" xr:uid="{00000000-0005-0000-0000-0000B35C0000}"/>
    <cellStyle name="Normal 2 2 4 3 2 2" xfId="23739" xr:uid="{00000000-0005-0000-0000-0000B45C0000}"/>
    <cellStyle name="Normal 2 2 4 3 2 3" xfId="23740" xr:uid="{00000000-0005-0000-0000-0000B55C0000}"/>
    <cellStyle name="Normal 2 2 4 3 2 4" xfId="23741" xr:uid="{00000000-0005-0000-0000-0000B65C0000}"/>
    <cellStyle name="Normal 2 2 4 3 2 5" xfId="23742" xr:uid="{00000000-0005-0000-0000-0000B75C0000}"/>
    <cellStyle name="Normal 2 2 4 3 2 6" xfId="23743" xr:uid="{00000000-0005-0000-0000-0000B85C0000}"/>
    <cellStyle name="Normal 2 2 4 3 2 7" xfId="23744" xr:uid="{00000000-0005-0000-0000-0000B95C0000}"/>
    <cellStyle name="Normal 2 2 4 3 2 8" xfId="23745" xr:uid="{00000000-0005-0000-0000-0000BA5C0000}"/>
    <cellStyle name="Normal 2 2 4 3 2 9" xfId="23746" xr:uid="{00000000-0005-0000-0000-0000BB5C0000}"/>
    <cellStyle name="Normal 2 2 4 3 3" xfId="23747" xr:uid="{00000000-0005-0000-0000-0000BC5C0000}"/>
    <cellStyle name="Normal 2 2 4 3 3 10" xfId="23748" xr:uid="{00000000-0005-0000-0000-0000BD5C0000}"/>
    <cellStyle name="Normal 2 2 4 3 3 2" xfId="23749" xr:uid="{00000000-0005-0000-0000-0000BE5C0000}"/>
    <cellStyle name="Normal 2 2 4 3 3 3" xfId="23750" xr:uid="{00000000-0005-0000-0000-0000BF5C0000}"/>
    <cellStyle name="Normal 2 2 4 3 3 4" xfId="23751" xr:uid="{00000000-0005-0000-0000-0000C05C0000}"/>
    <cellStyle name="Normal 2 2 4 3 3 5" xfId="23752" xr:uid="{00000000-0005-0000-0000-0000C15C0000}"/>
    <cellStyle name="Normal 2 2 4 3 3 6" xfId="23753" xr:uid="{00000000-0005-0000-0000-0000C25C0000}"/>
    <cellStyle name="Normal 2 2 4 3 3 7" xfId="23754" xr:uid="{00000000-0005-0000-0000-0000C35C0000}"/>
    <cellStyle name="Normal 2 2 4 3 3 8" xfId="23755" xr:uid="{00000000-0005-0000-0000-0000C45C0000}"/>
    <cellStyle name="Normal 2 2 4 3 3 9" xfId="23756" xr:uid="{00000000-0005-0000-0000-0000C55C0000}"/>
    <cellStyle name="Normal 2 2 4 3 4" xfId="23757" xr:uid="{00000000-0005-0000-0000-0000C65C0000}"/>
    <cellStyle name="Normal 2 2 4 3 4 10" xfId="23758" xr:uid="{00000000-0005-0000-0000-0000C75C0000}"/>
    <cellStyle name="Normal 2 2 4 3 4 2" xfId="23759" xr:uid="{00000000-0005-0000-0000-0000C85C0000}"/>
    <cellStyle name="Normal 2 2 4 3 4 3" xfId="23760" xr:uid="{00000000-0005-0000-0000-0000C95C0000}"/>
    <cellStyle name="Normal 2 2 4 3 4 4" xfId="23761" xr:uid="{00000000-0005-0000-0000-0000CA5C0000}"/>
    <cellStyle name="Normal 2 2 4 3 4 5" xfId="23762" xr:uid="{00000000-0005-0000-0000-0000CB5C0000}"/>
    <cellStyle name="Normal 2 2 4 3 4 6" xfId="23763" xr:uid="{00000000-0005-0000-0000-0000CC5C0000}"/>
    <cellStyle name="Normal 2 2 4 3 4 7" xfId="23764" xr:uid="{00000000-0005-0000-0000-0000CD5C0000}"/>
    <cellStyle name="Normal 2 2 4 3 4 8" xfId="23765" xr:uid="{00000000-0005-0000-0000-0000CE5C0000}"/>
    <cellStyle name="Normal 2 2 4 3 4 9" xfId="23766" xr:uid="{00000000-0005-0000-0000-0000CF5C0000}"/>
    <cellStyle name="Normal 2 2 4 3 5" xfId="23767" xr:uid="{00000000-0005-0000-0000-0000D05C0000}"/>
    <cellStyle name="Normal 2 2 4 3 5 10" xfId="23768" xr:uid="{00000000-0005-0000-0000-0000D15C0000}"/>
    <cellStyle name="Normal 2 2 4 3 5 2" xfId="23769" xr:uid="{00000000-0005-0000-0000-0000D25C0000}"/>
    <cellStyle name="Normal 2 2 4 3 5 3" xfId="23770" xr:uid="{00000000-0005-0000-0000-0000D35C0000}"/>
    <cellStyle name="Normal 2 2 4 3 5 4" xfId="23771" xr:uid="{00000000-0005-0000-0000-0000D45C0000}"/>
    <cellStyle name="Normal 2 2 4 3 5 5" xfId="23772" xr:uid="{00000000-0005-0000-0000-0000D55C0000}"/>
    <cellStyle name="Normal 2 2 4 3 5 6" xfId="23773" xr:uid="{00000000-0005-0000-0000-0000D65C0000}"/>
    <cellStyle name="Normal 2 2 4 3 5 7" xfId="23774" xr:uid="{00000000-0005-0000-0000-0000D75C0000}"/>
    <cellStyle name="Normal 2 2 4 3 5 8" xfId="23775" xr:uid="{00000000-0005-0000-0000-0000D85C0000}"/>
    <cellStyle name="Normal 2 2 4 3 5 9" xfId="23776" xr:uid="{00000000-0005-0000-0000-0000D95C0000}"/>
    <cellStyle name="Normal 2 2 4 3 6" xfId="23777" xr:uid="{00000000-0005-0000-0000-0000DA5C0000}"/>
    <cellStyle name="Normal 2 2 4 3 7" xfId="23778" xr:uid="{00000000-0005-0000-0000-0000DB5C0000}"/>
    <cellStyle name="Normal 2 2 4 3 8" xfId="23779" xr:uid="{00000000-0005-0000-0000-0000DC5C0000}"/>
    <cellStyle name="Normal 2 2 4 3 9" xfId="23780" xr:uid="{00000000-0005-0000-0000-0000DD5C0000}"/>
    <cellStyle name="Normal 2 2 4 30" xfId="23781" xr:uid="{00000000-0005-0000-0000-0000DE5C0000}"/>
    <cellStyle name="Normal 2 2 4 30 10" xfId="23782" xr:uid="{00000000-0005-0000-0000-0000DF5C0000}"/>
    <cellStyle name="Normal 2 2 4 30 11" xfId="23783" xr:uid="{00000000-0005-0000-0000-0000E05C0000}"/>
    <cellStyle name="Normal 2 2 4 30 12" xfId="23784" xr:uid="{00000000-0005-0000-0000-0000E15C0000}"/>
    <cellStyle name="Normal 2 2 4 30 13" xfId="23785" xr:uid="{00000000-0005-0000-0000-0000E25C0000}"/>
    <cellStyle name="Normal 2 2 4 30 14" xfId="23786" xr:uid="{00000000-0005-0000-0000-0000E35C0000}"/>
    <cellStyle name="Normal 2 2 4 30 2" xfId="23787" xr:uid="{00000000-0005-0000-0000-0000E45C0000}"/>
    <cellStyle name="Normal 2 2 4 30 2 10" xfId="23788" xr:uid="{00000000-0005-0000-0000-0000E55C0000}"/>
    <cellStyle name="Normal 2 2 4 30 2 2" xfId="23789" xr:uid="{00000000-0005-0000-0000-0000E65C0000}"/>
    <cellStyle name="Normal 2 2 4 30 2 3" xfId="23790" xr:uid="{00000000-0005-0000-0000-0000E75C0000}"/>
    <cellStyle name="Normal 2 2 4 30 2 4" xfId="23791" xr:uid="{00000000-0005-0000-0000-0000E85C0000}"/>
    <cellStyle name="Normal 2 2 4 30 2 5" xfId="23792" xr:uid="{00000000-0005-0000-0000-0000E95C0000}"/>
    <cellStyle name="Normal 2 2 4 30 2 6" xfId="23793" xr:uid="{00000000-0005-0000-0000-0000EA5C0000}"/>
    <cellStyle name="Normal 2 2 4 30 2 7" xfId="23794" xr:uid="{00000000-0005-0000-0000-0000EB5C0000}"/>
    <cellStyle name="Normal 2 2 4 30 2 8" xfId="23795" xr:uid="{00000000-0005-0000-0000-0000EC5C0000}"/>
    <cellStyle name="Normal 2 2 4 30 2 9" xfId="23796" xr:uid="{00000000-0005-0000-0000-0000ED5C0000}"/>
    <cellStyle name="Normal 2 2 4 30 3" xfId="23797" xr:uid="{00000000-0005-0000-0000-0000EE5C0000}"/>
    <cellStyle name="Normal 2 2 4 30 3 10" xfId="23798" xr:uid="{00000000-0005-0000-0000-0000EF5C0000}"/>
    <cellStyle name="Normal 2 2 4 30 3 2" xfId="23799" xr:uid="{00000000-0005-0000-0000-0000F05C0000}"/>
    <cellStyle name="Normal 2 2 4 30 3 3" xfId="23800" xr:uid="{00000000-0005-0000-0000-0000F15C0000}"/>
    <cellStyle name="Normal 2 2 4 30 3 4" xfId="23801" xr:uid="{00000000-0005-0000-0000-0000F25C0000}"/>
    <cellStyle name="Normal 2 2 4 30 3 5" xfId="23802" xr:uid="{00000000-0005-0000-0000-0000F35C0000}"/>
    <cellStyle name="Normal 2 2 4 30 3 6" xfId="23803" xr:uid="{00000000-0005-0000-0000-0000F45C0000}"/>
    <cellStyle name="Normal 2 2 4 30 3 7" xfId="23804" xr:uid="{00000000-0005-0000-0000-0000F55C0000}"/>
    <cellStyle name="Normal 2 2 4 30 3 8" xfId="23805" xr:uid="{00000000-0005-0000-0000-0000F65C0000}"/>
    <cellStyle name="Normal 2 2 4 30 3 9" xfId="23806" xr:uid="{00000000-0005-0000-0000-0000F75C0000}"/>
    <cellStyle name="Normal 2 2 4 30 4" xfId="23807" xr:uid="{00000000-0005-0000-0000-0000F85C0000}"/>
    <cellStyle name="Normal 2 2 4 30 4 10" xfId="23808" xr:uid="{00000000-0005-0000-0000-0000F95C0000}"/>
    <cellStyle name="Normal 2 2 4 30 4 2" xfId="23809" xr:uid="{00000000-0005-0000-0000-0000FA5C0000}"/>
    <cellStyle name="Normal 2 2 4 30 4 3" xfId="23810" xr:uid="{00000000-0005-0000-0000-0000FB5C0000}"/>
    <cellStyle name="Normal 2 2 4 30 4 4" xfId="23811" xr:uid="{00000000-0005-0000-0000-0000FC5C0000}"/>
    <cellStyle name="Normal 2 2 4 30 4 5" xfId="23812" xr:uid="{00000000-0005-0000-0000-0000FD5C0000}"/>
    <cellStyle name="Normal 2 2 4 30 4 6" xfId="23813" xr:uid="{00000000-0005-0000-0000-0000FE5C0000}"/>
    <cellStyle name="Normal 2 2 4 30 4 7" xfId="23814" xr:uid="{00000000-0005-0000-0000-0000FF5C0000}"/>
    <cellStyle name="Normal 2 2 4 30 4 8" xfId="23815" xr:uid="{00000000-0005-0000-0000-0000005D0000}"/>
    <cellStyle name="Normal 2 2 4 30 4 9" xfId="23816" xr:uid="{00000000-0005-0000-0000-0000015D0000}"/>
    <cellStyle name="Normal 2 2 4 30 5" xfId="23817" xr:uid="{00000000-0005-0000-0000-0000025D0000}"/>
    <cellStyle name="Normal 2 2 4 30 5 10" xfId="23818" xr:uid="{00000000-0005-0000-0000-0000035D0000}"/>
    <cellStyle name="Normal 2 2 4 30 5 2" xfId="23819" xr:uid="{00000000-0005-0000-0000-0000045D0000}"/>
    <cellStyle name="Normal 2 2 4 30 5 3" xfId="23820" xr:uid="{00000000-0005-0000-0000-0000055D0000}"/>
    <cellStyle name="Normal 2 2 4 30 5 4" xfId="23821" xr:uid="{00000000-0005-0000-0000-0000065D0000}"/>
    <cellStyle name="Normal 2 2 4 30 5 5" xfId="23822" xr:uid="{00000000-0005-0000-0000-0000075D0000}"/>
    <cellStyle name="Normal 2 2 4 30 5 6" xfId="23823" xr:uid="{00000000-0005-0000-0000-0000085D0000}"/>
    <cellStyle name="Normal 2 2 4 30 5 7" xfId="23824" xr:uid="{00000000-0005-0000-0000-0000095D0000}"/>
    <cellStyle name="Normal 2 2 4 30 5 8" xfId="23825" xr:uid="{00000000-0005-0000-0000-00000A5D0000}"/>
    <cellStyle name="Normal 2 2 4 30 5 9" xfId="23826" xr:uid="{00000000-0005-0000-0000-00000B5D0000}"/>
    <cellStyle name="Normal 2 2 4 30 6" xfId="23827" xr:uid="{00000000-0005-0000-0000-00000C5D0000}"/>
    <cellStyle name="Normal 2 2 4 30 7" xfId="23828" xr:uid="{00000000-0005-0000-0000-00000D5D0000}"/>
    <cellStyle name="Normal 2 2 4 30 8" xfId="23829" xr:uid="{00000000-0005-0000-0000-00000E5D0000}"/>
    <cellStyle name="Normal 2 2 4 30 9" xfId="23830" xr:uid="{00000000-0005-0000-0000-00000F5D0000}"/>
    <cellStyle name="Normal 2 2 4 31" xfId="23831" xr:uid="{00000000-0005-0000-0000-0000105D0000}"/>
    <cellStyle name="Normal 2 2 4 31 10" xfId="23832" xr:uid="{00000000-0005-0000-0000-0000115D0000}"/>
    <cellStyle name="Normal 2 2 4 31 11" xfId="23833" xr:uid="{00000000-0005-0000-0000-0000125D0000}"/>
    <cellStyle name="Normal 2 2 4 31 12" xfId="23834" xr:uid="{00000000-0005-0000-0000-0000135D0000}"/>
    <cellStyle name="Normal 2 2 4 31 13" xfId="23835" xr:uid="{00000000-0005-0000-0000-0000145D0000}"/>
    <cellStyle name="Normal 2 2 4 31 14" xfId="23836" xr:uid="{00000000-0005-0000-0000-0000155D0000}"/>
    <cellStyle name="Normal 2 2 4 31 2" xfId="23837" xr:uid="{00000000-0005-0000-0000-0000165D0000}"/>
    <cellStyle name="Normal 2 2 4 31 2 10" xfId="23838" xr:uid="{00000000-0005-0000-0000-0000175D0000}"/>
    <cellStyle name="Normal 2 2 4 31 2 2" xfId="23839" xr:uid="{00000000-0005-0000-0000-0000185D0000}"/>
    <cellStyle name="Normal 2 2 4 31 2 3" xfId="23840" xr:uid="{00000000-0005-0000-0000-0000195D0000}"/>
    <cellStyle name="Normal 2 2 4 31 2 4" xfId="23841" xr:uid="{00000000-0005-0000-0000-00001A5D0000}"/>
    <cellStyle name="Normal 2 2 4 31 2 5" xfId="23842" xr:uid="{00000000-0005-0000-0000-00001B5D0000}"/>
    <cellStyle name="Normal 2 2 4 31 2 6" xfId="23843" xr:uid="{00000000-0005-0000-0000-00001C5D0000}"/>
    <cellStyle name="Normal 2 2 4 31 2 7" xfId="23844" xr:uid="{00000000-0005-0000-0000-00001D5D0000}"/>
    <cellStyle name="Normal 2 2 4 31 2 8" xfId="23845" xr:uid="{00000000-0005-0000-0000-00001E5D0000}"/>
    <cellStyle name="Normal 2 2 4 31 2 9" xfId="23846" xr:uid="{00000000-0005-0000-0000-00001F5D0000}"/>
    <cellStyle name="Normal 2 2 4 31 3" xfId="23847" xr:uid="{00000000-0005-0000-0000-0000205D0000}"/>
    <cellStyle name="Normal 2 2 4 31 3 10" xfId="23848" xr:uid="{00000000-0005-0000-0000-0000215D0000}"/>
    <cellStyle name="Normal 2 2 4 31 3 2" xfId="23849" xr:uid="{00000000-0005-0000-0000-0000225D0000}"/>
    <cellStyle name="Normal 2 2 4 31 3 3" xfId="23850" xr:uid="{00000000-0005-0000-0000-0000235D0000}"/>
    <cellStyle name="Normal 2 2 4 31 3 4" xfId="23851" xr:uid="{00000000-0005-0000-0000-0000245D0000}"/>
    <cellStyle name="Normal 2 2 4 31 3 5" xfId="23852" xr:uid="{00000000-0005-0000-0000-0000255D0000}"/>
    <cellStyle name="Normal 2 2 4 31 3 6" xfId="23853" xr:uid="{00000000-0005-0000-0000-0000265D0000}"/>
    <cellStyle name="Normal 2 2 4 31 3 7" xfId="23854" xr:uid="{00000000-0005-0000-0000-0000275D0000}"/>
    <cellStyle name="Normal 2 2 4 31 3 8" xfId="23855" xr:uid="{00000000-0005-0000-0000-0000285D0000}"/>
    <cellStyle name="Normal 2 2 4 31 3 9" xfId="23856" xr:uid="{00000000-0005-0000-0000-0000295D0000}"/>
    <cellStyle name="Normal 2 2 4 31 4" xfId="23857" xr:uid="{00000000-0005-0000-0000-00002A5D0000}"/>
    <cellStyle name="Normal 2 2 4 31 4 10" xfId="23858" xr:uid="{00000000-0005-0000-0000-00002B5D0000}"/>
    <cellStyle name="Normal 2 2 4 31 4 2" xfId="23859" xr:uid="{00000000-0005-0000-0000-00002C5D0000}"/>
    <cellStyle name="Normal 2 2 4 31 4 3" xfId="23860" xr:uid="{00000000-0005-0000-0000-00002D5D0000}"/>
    <cellStyle name="Normal 2 2 4 31 4 4" xfId="23861" xr:uid="{00000000-0005-0000-0000-00002E5D0000}"/>
    <cellStyle name="Normal 2 2 4 31 4 5" xfId="23862" xr:uid="{00000000-0005-0000-0000-00002F5D0000}"/>
    <cellStyle name="Normal 2 2 4 31 4 6" xfId="23863" xr:uid="{00000000-0005-0000-0000-0000305D0000}"/>
    <cellStyle name="Normal 2 2 4 31 4 7" xfId="23864" xr:uid="{00000000-0005-0000-0000-0000315D0000}"/>
    <cellStyle name="Normal 2 2 4 31 4 8" xfId="23865" xr:uid="{00000000-0005-0000-0000-0000325D0000}"/>
    <cellStyle name="Normal 2 2 4 31 4 9" xfId="23866" xr:uid="{00000000-0005-0000-0000-0000335D0000}"/>
    <cellStyle name="Normal 2 2 4 31 5" xfId="23867" xr:uid="{00000000-0005-0000-0000-0000345D0000}"/>
    <cellStyle name="Normal 2 2 4 31 5 10" xfId="23868" xr:uid="{00000000-0005-0000-0000-0000355D0000}"/>
    <cellStyle name="Normal 2 2 4 31 5 2" xfId="23869" xr:uid="{00000000-0005-0000-0000-0000365D0000}"/>
    <cellStyle name="Normal 2 2 4 31 5 3" xfId="23870" xr:uid="{00000000-0005-0000-0000-0000375D0000}"/>
    <cellStyle name="Normal 2 2 4 31 5 4" xfId="23871" xr:uid="{00000000-0005-0000-0000-0000385D0000}"/>
    <cellStyle name="Normal 2 2 4 31 5 5" xfId="23872" xr:uid="{00000000-0005-0000-0000-0000395D0000}"/>
    <cellStyle name="Normal 2 2 4 31 5 6" xfId="23873" xr:uid="{00000000-0005-0000-0000-00003A5D0000}"/>
    <cellStyle name="Normal 2 2 4 31 5 7" xfId="23874" xr:uid="{00000000-0005-0000-0000-00003B5D0000}"/>
    <cellStyle name="Normal 2 2 4 31 5 8" xfId="23875" xr:uid="{00000000-0005-0000-0000-00003C5D0000}"/>
    <cellStyle name="Normal 2 2 4 31 5 9" xfId="23876" xr:uid="{00000000-0005-0000-0000-00003D5D0000}"/>
    <cellStyle name="Normal 2 2 4 31 6" xfId="23877" xr:uid="{00000000-0005-0000-0000-00003E5D0000}"/>
    <cellStyle name="Normal 2 2 4 31 7" xfId="23878" xr:uid="{00000000-0005-0000-0000-00003F5D0000}"/>
    <cellStyle name="Normal 2 2 4 31 8" xfId="23879" xr:uid="{00000000-0005-0000-0000-0000405D0000}"/>
    <cellStyle name="Normal 2 2 4 31 9" xfId="23880" xr:uid="{00000000-0005-0000-0000-0000415D0000}"/>
    <cellStyle name="Normal 2 2 4 32" xfId="23881" xr:uid="{00000000-0005-0000-0000-0000425D0000}"/>
    <cellStyle name="Normal 2 2 4 32 10" xfId="23882" xr:uid="{00000000-0005-0000-0000-0000435D0000}"/>
    <cellStyle name="Normal 2 2 4 32 11" xfId="23883" xr:uid="{00000000-0005-0000-0000-0000445D0000}"/>
    <cellStyle name="Normal 2 2 4 32 12" xfId="23884" xr:uid="{00000000-0005-0000-0000-0000455D0000}"/>
    <cellStyle name="Normal 2 2 4 32 13" xfId="23885" xr:uid="{00000000-0005-0000-0000-0000465D0000}"/>
    <cellStyle name="Normal 2 2 4 32 14" xfId="23886" xr:uid="{00000000-0005-0000-0000-0000475D0000}"/>
    <cellStyle name="Normal 2 2 4 32 2" xfId="23887" xr:uid="{00000000-0005-0000-0000-0000485D0000}"/>
    <cellStyle name="Normal 2 2 4 32 2 10" xfId="23888" xr:uid="{00000000-0005-0000-0000-0000495D0000}"/>
    <cellStyle name="Normal 2 2 4 32 2 2" xfId="23889" xr:uid="{00000000-0005-0000-0000-00004A5D0000}"/>
    <cellStyle name="Normal 2 2 4 32 2 3" xfId="23890" xr:uid="{00000000-0005-0000-0000-00004B5D0000}"/>
    <cellStyle name="Normal 2 2 4 32 2 4" xfId="23891" xr:uid="{00000000-0005-0000-0000-00004C5D0000}"/>
    <cellStyle name="Normal 2 2 4 32 2 5" xfId="23892" xr:uid="{00000000-0005-0000-0000-00004D5D0000}"/>
    <cellStyle name="Normal 2 2 4 32 2 6" xfId="23893" xr:uid="{00000000-0005-0000-0000-00004E5D0000}"/>
    <cellStyle name="Normal 2 2 4 32 2 7" xfId="23894" xr:uid="{00000000-0005-0000-0000-00004F5D0000}"/>
    <cellStyle name="Normal 2 2 4 32 2 8" xfId="23895" xr:uid="{00000000-0005-0000-0000-0000505D0000}"/>
    <cellStyle name="Normal 2 2 4 32 2 9" xfId="23896" xr:uid="{00000000-0005-0000-0000-0000515D0000}"/>
    <cellStyle name="Normal 2 2 4 32 3" xfId="23897" xr:uid="{00000000-0005-0000-0000-0000525D0000}"/>
    <cellStyle name="Normal 2 2 4 32 3 10" xfId="23898" xr:uid="{00000000-0005-0000-0000-0000535D0000}"/>
    <cellStyle name="Normal 2 2 4 32 3 2" xfId="23899" xr:uid="{00000000-0005-0000-0000-0000545D0000}"/>
    <cellStyle name="Normal 2 2 4 32 3 3" xfId="23900" xr:uid="{00000000-0005-0000-0000-0000555D0000}"/>
    <cellStyle name="Normal 2 2 4 32 3 4" xfId="23901" xr:uid="{00000000-0005-0000-0000-0000565D0000}"/>
    <cellStyle name="Normal 2 2 4 32 3 5" xfId="23902" xr:uid="{00000000-0005-0000-0000-0000575D0000}"/>
    <cellStyle name="Normal 2 2 4 32 3 6" xfId="23903" xr:uid="{00000000-0005-0000-0000-0000585D0000}"/>
    <cellStyle name="Normal 2 2 4 32 3 7" xfId="23904" xr:uid="{00000000-0005-0000-0000-0000595D0000}"/>
    <cellStyle name="Normal 2 2 4 32 3 8" xfId="23905" xr:uid="{00000000-0005-0000-0000-00005A5D0000}"/>
    <cellStyle name="Normal 2 2 4 32 3 9" xfId="23906" xr:uid="{00000000-0005-0000-0000-00005B5D0000}"/>
    <cellStyle name="Normal 2 2 4 32 4" xfId="23907" xr:uid="{00000000-0005-0000-0000-00005C5D0000}"/>
    <cellStyle name="Normal 2 2 4 32 4 10" xfId="23908" xr:uid="{00000000-0005-0000-0000-00005D5D0000}"/>
    <cellStyle name="Normal 2 2 4 32 4 2" xfId="23909" xr:uid="{00000000-0005-0000-0000-00005E5D0000}"/>
    <cellStyle name="Normal 2 2 4 32 4 3" xfId="23910" xr:uid="{00000000-0005-0000-0000-00005F5D0000}"/>
    <cellStyle name="Normal 2 2 4 32 4 4" xfId="23911" xr:uid="{00000000-0005-0000-0000-0000605D0000}"/>
    <cellStyle name="Normal 2 2 4 32 4 5" xfId="23912" xr:uid="{00000000-0005-0000-0000-0000615D0000}"/>
    <cellStyle name="Normal 2 2 4 32 4 6" xfId="23913" xr:uid="{00000000-0005-0000-0000-0000625D0000}"/>
    <cellStyle name="Normal 2 2 4 32 4 7" xfId="23914" xr:uid="{00000000-0005-0000-0000-0000635D0000}"/>
    <cellStyle name="Normal 2 2 4 32 4 8" xfId="23915" xr:uid="{00000000-0005-0000-0000-0000645D0000}"/>
    <cellStyle name="Normal 2 2 4 32 4 9" xfId="23916" xr:uid="{00000000-0005-0000-0000-0000655D0000}"/>
    <cellStyle name="Normal 2 2 4 32 5" xfId="23917" xr:uid="{00000000-0005-0000-0000-0000665D0000}"/>
    <cellStyle name="Normal 2 2 4 32 5 10" xfId="23918" xr:uid="{00000000-0005-0000-0000-0000675D0000}"/>
    <cellStyle name="Normal 2 2 4 32 5 2" xfId="23919" xr:uid="{00000000-0005-0000-0000-0000685D0000}"/>
    <cellStyle name="Normal 2 2 4 32 5 3" xfId="23920" xr:uid="{00000000-0005-0000-0000-0000695D0000}"/>
    <cellStyle name="Normal 2 2 4 32 5 4" xfId="23921" xr:uid="{00000000-0005-0000-0000-00006A5D0000}"/>
    <cellStyle name="Normal 2 2 4 32 5 5" xfId="23922" xr:uid="{00000000-0005-0000-0000-00006B5D0000}"/>
    <cellStyle name="Normal 2 2 4 32 5 6" xfId="23923" xr:uid="{00000000-0005-0000-0000-00006C5D0000}"/>
    <cellStyle name="Normal 2 2 4 32 5 7" xfId="23924" xr:uid="{00000000-0005-0000-0000-00006D5D0000}"/>
    <cellStyle name="Normal 2 2 4 32 5 8" xfId="23925" xr:uid="{00000000-0005-0000-0000-00006E5D0000}"/>
    <cellStyle name="Normal 2 2 4 32 5 9" xfId="23926" xr:uid="{00000000-0005-0000-0000-00006F5D0000}"/>
    <cellStyle name="Normal 2 2 4 32 6" xfId="23927" xr:uid="{00000000-0005-0000-0000-0000705D0000}"/>
    <cellStyle name="Normal 2 2 4 32 7" xfId="23928" xr:uid="{00000000-0005-0000-0000-0000715D0000}"/>
    <cellStyle name="Normal 2 2 4 32 8" xfId="23929" xr:uid="{00000000-0005-0000-0000-0000725D0000}"/>
    <cellStyle name="Normal 2 2 4 32 9" xfId="23930" xr:uid="{00000000-0005-0000-0000-0000735D0000}"/>
    <cellStyle name="Normal 2 2 4 33" xfId="23931" xr:uid="{00000000-0005-0000-0000-0000745D0000}"/>
    <cellStyle name="Normal 2 2 4 33 10" xfId="23932" xr:uid="{00000000-0005-0000-0000-0000755D0000}"/>
    <cellStyle name="Normal 2 2 4 33 11" xfId="23933" xr:uid="{00000000-0005-0000-0000-0000765D0000}"/>
    <cellStyle name="Normal 2 2 4 33 12" xfId="23934" xr:uid="{00000000-0005-0000-0000-0000775D0000}"/>
    <cellStyle name="Normal 2 2 4 33 13" xfId="23935" xr:uid="{00000000-0005-0000-0000-0000785D0000}"/>
    <cellStyle name="Normal 2 2 4 33 14" xfId="23936" xr:uid="{00000000-0005-0000-0000-0000795D0000}"/>
    <cellStyle name="Normal 2 2 4 33 2" xfId="23937" xr:uid="{00000000-0005-0000-0000-00007A5D0000}"/>
    <cellStyle name="Normal 2 2 4 33 2 10" xfId="23938" xr:uid="{00000000-0005-0000-0000-00007B5D0000}"/>
    <cellStyle name="Normal 2 2 4 33 2 2" xfId="23939" xr:uid="{00000000-0005-0000-0000-00007C5D0000}"/>
    <cellStyle name="Normal 2 2 4 33 2 3" xfId="23940" xr:uid="{00000000-0005-0000-0000-00007D5D0000}"/>
    <cellStyle name="Normal 2 2 4 33 2 4" xfId="23941" xr:uid="{00000000-0005-0000-0000-00007E5D0000}"/>
    <cellStyle name="Normal 2 2 4 33 2 5" xfId="23942" xr:uid="{00000000-0005-0000-0000-00007F5D0000}"/>
    <cellStyle name="Normal 2 2 4 33 2 6" xfId="23943" xr:uid="{00000000-0005-0000-0000-0000805D0000}"/>
    <cellStyle name="Normal 2 2 4 33 2 7" xfId="23944" xr:uid="{00000000-0005-0000-0000-0000815D0000}"/>
    <cellStyle name="Normal 2 2 4 33 2 8" xfId="23945" xr:uid="{00000000-0005-0000-0000-0000825D0000}"/>
    <cellStyle name="Normal 2 2 4 33 2 9" xfId="23946" xr:uid="{00000000-0005-0000-0000-0000835D0000}"/>
    <cellStyle name="Normal 2 2 4 33 3" xfId="23947" xr:uid="{00000000-0005-0000-0000-0000845D0000}"/>
    <cellStyle name="Normal 2 2 4 33 3 10" xfId="23948" xr:uid="{00000000-0005-0000-0000-0000855D0000}"/>
    <cellStyle name="Normal 2 2 4 33 3 2" xfId="23949" xr:uid="{00000000-0005-0000-0000-0000865D0000}"/>
    <cellStyle name="Normal 2 2 4 33 3 3" xfId="23950" xr:uid="{00000000-0005-0000-0000-0000875D0000}"/>
    <cellStyle name="Normal 2 2 4 33 3 4" xfId="23951" xr:uid="{00000000-0005-0000-0000-0000885D0000}"/>
    <cellStyle name="Normal 2 2 4 33 3 5" xfId="23952" xr:uid="{00000000-0005-0000-0000-0000895D0000}"/>
    <cellStyle name="Normal 2 2 4 33 3 6" xfId="23953" xr:uid="{00000000-0005-0000-0000-00008A5D0000}"/>
    <cellStyle name="Normal 2 2 4 33 3 7" xfId="23954" xr:uid="{00000000-0005-0000-0000-00008B5D0000}"/>
    <cellStyle name="Normal 2 2 4 33 3 8" xfId="23955" xr:uid="{00000000-0005-0000-0000-00008C5D0000}"/>
    <cellStyle name="Normal 2 2 4 33 3 9" xfId="23956" xr:uid="{00000000-0005-0000-0000-00008D5D0000}"/>
    <cellStyle name="Normal 2 2 4 33 4" xfId="23957" xr:uid="{00000000-0005-0000-0000-00008E5D0000}"/>
    <cellStyle name="Normal 2 2 4 33 4 10" xfId="23958" xr:uid="{00000000-0005-0000-0000-00008F5D0000}"/>
    <cellStyle name="Normal 2 2 4 33 4 2" xfId="23959" xr:uid="{00000000-0005-0000-0000-0000905D0000}"/>
    <cellStyle name="Normal 2 2 4 33 4 3" xfId="23960" xr:uid="{00000000-0005-0000-0000-0000915D0000}"/>
    <cellStyle name="Normal 2 2 4 33 4 4" xfId="23961" xr:uid="{00000000-0005-0000-0000-0000925D0000}"/>
    <cellStyle name="Normal 2 2 4 33 4 5" xfId="23962" xr:uid="{00000000-0005-0000-0000-0000935D0000}"/>
    <cellStyle name="Normal 2 2 4 33 4 6" xfId="23963" xr:uid="{00000000-0005-0000-0000-0000945D0000}"/>
    <cellStyle name="Normal 2 2 4 33 4 7" xfId="23964" xr:uid="{00000000-0005-0000-0000-0000955D0000}"/>
    <cellStyle name="Normal 2 2 4 33 4 8" xfId="23965" xr:uid="{00000000-0005-0000-0000-0000965D0000}"/>
    <cellStyle name="Normal 2 2 4 33 4 9" xfId="23966" xr:uid="{00000000-0005-0000-0000-0000975D0000}"/>
    <cellStyle name="Normal 2 2 4 33 5" xfId="23967" xr:uid="{00000000-0005-0000-0000-0000985D0000}"/>
    <cellStyle name="Normal 2 2 4 33 5 10" xfId="23968" xr:uid="{00000000-0005-0000-0000-0000995D0000}"/>
    <cellStyle name="Normal 2 2 4 33 5 2" xfId="23969" xr:uid="{00000000-0005-0000-0000-00009A5D0000}"/>
    <cellStyle name="Normal 2 2 4 33 5 3" xfId="23970" xr:uid="{00000000-0005-0000-0000-00009B5D0000}"/>
    <cellStyle name="Normal 2 2 4 33 5 4" xfId="23971" xr:uid="{00000000-0005-0000-0000-00009C5D0000}"/>
    <cellStyle name="Normal 2 2 4 33 5 5" xfId="23972" xr:uid="{00000000-0005-0000-0000-00009D5D0000}"/>
    <cellStyle name="Normal 2 2 4 33 5 6" xfId="23973" xr:uid="{00000000-0005-0000-0000-00009E5D0000}"/>
    <cellStyle name="Normal 2 2 4 33 5 7" xfId="23974" xr:uid="{00000000-0005-0000-0000-00009F5D0000}"/>
    <cellStyle name="Normal 2 2 4 33 5 8" xfId="23975" xr:uid="{00000000-0005-0000-0000-0000A05D0000}"/>
    <cellStyle name="Normal 2 2 4 33 5 9" xfId="23976" xr:uid="{00000000-0005-0000-0000-0000A15D0000}"/>
    <cellStyle name="Normal 2 2 4 33 6" xfId="23977" xr:uid="{00000000-0005-0000-0000-0000A25D0000}"/>
    <cellStyle name="Normal 2 2 4 33 7" xfId="23978" xr:uid="{00000000-0005-0000-0000-0000A35D0000}"/>
    <cellStyle name="Normal 2 2 4 33 8" xfId="23979" xr:uid="{00000000-0005-0000-0000-0000A45D0000}"/>
    <cellStyle name="Normal 2 2 4 33 9" xfId="23980" xr:uid="{00000000-0005-0000-0000-0000A55D0000}"/>
    <cellStyle name="Normal 2 2 4 34" xfId="23981" xr:uid="{00000000-0005-0000-0000-0000A65D0000}"/>
    <cellStyle name="Normal 2 2 4 35" xfId="23982" xr:uid="{00000000-0005-0000-0000-0000A75D0000}"/>
    <cellStyle name="Normal 2 2 4 36" xfId="23983" xr:uid="{00000000-0005-0000-0000-0000A85D0000}"/>
    <cellStyle name="Normal 2 2 4 4" xfId="23984" xr:uid="{00000000-0005-0000-0000-0000A95D0000}"/>
    <cellStyle name="Normal 2 2 4 4 10" xfId="23985" xr:uid="{00000000-0005-0000-0000-0000AA5D0000}"/>
    <cellStyle name="Normal 2 2 4 4 11" xfId="23986" xr:uid="{00000000-0005-0000-0000-0000AB5D0000}"/>
    <cellStyle name="Normal 2 2 4 4 12" xfId="23987" xr:uid="{00000000-0005-0000-0000-0000AC5D0000}"/>
    <cellStyle name="Normal 2 2 4 4 13" xfId="23988" xr:uid="{00000000-0005-0000-0000-0000AD5D0000}"/>
    <cellStyle name="Normal 2 2 4 4 14" xfId="23989" xr:uid="{00000000-0005-0000-0000-0000AE5D0000}"/>
    <cellStyle name="Normal 2 2 4 4 2" xfId="23990" xr:uid="{00000000-0005-0000-0000-0000AF5D0000}"/>
    <cellStyle name="Normal 2 2 4 4 2 10" xfId="23991" xr:uid="{00000000-0005-0000-0000-0000B05D0000}"/>
    <cellStyle name="Normal 2 2 4 4 2 2" xfId="23992" xr:uid="{00000000-0005-0000-0000-0000B15D0000}"/>
    <cellStyle name="Normal 2 2 4 4 2 3" xfId="23993" xr:uid="{00000000-0005-0000-0000-0000B25D0000}"/>
    <cellStyle name="Normal 2 2 4 4 2 4" xfId="23994" xr:uid="{00000000-0005-0000-0000-0000B35D0000}"/>
    <cellStyle name="Normal 2 2 4 4 2 5" xfId="23995" xr:uid="{00000000-0005-0000-0000-0000B45D0000}"/>
    <cellStyle name="Normal 2 2 4 4 2 6" xfId="23996" xr:uid="{00000000-0005-0000-0000-0000B55D0000}"/>
    <cellStyle name="Normal 2 2 4 4 2 7" xfId="23997" xr:uid="{00000000-0005-0000-0000-0000B65D0000}"/>
    <cellStyle name="Normal 2 2 4 4 2 8" xfId="23998" xr:uid="{00000000-0005-0000-0000-0000B75D0000}"/>
    <cellStyle name="Normal 2 2 4 4 2 9" xfId="23999" xr:uid="{00000000-0005-0000-0000-0000B85D0000}"/>
    <cellStyle name="Normal 2 2 4 4 3" xfId="24000" xr:uid="{00000000-0005-0000-0000-0000B95D0000}"/>
    <cellStyle name="Normal 2 2 4 4 3 10" xfId="24001" xr:uid="{00000000-0005-0000-0000-0000BA5D0000}"/>
    <cellStyle name="Normal 2 2 4 4 3 2" xfId="24002" xr:uid="{00000000-0005-0000-0000-0000BB5D0000}"/>
    <cellStyle name="Normal 2 2 4 4 3 3" xfId="24003" xr:uid="{00000000-0005-0000-0000-0000BC5D0000}"/>
    <cellStyle name="Normal 2 2 4 4 3 4" xfId="24004" xr:uid="{00000000-0005-0000-0000-0000BD5D0000}"/>
    <cellStyle name="Normal 2 2 4 4 3 5" xfId="24005" xr:uid="{00000000-0005-0000-0000-0000BE5D0000}"/>
    <cellStyle name="Normal 2 2 4 4 3 6" xfId="24006" xr:uid="{00000000-0005-0000-0000-0000BF5D0000}"/>
    <cellStyle name="Normal 2 2 4 4 3 7" xfId="24007" xr:uid="{00000000-0005-0000-0000-0000C05D0000}"/>
    <cellStyle name="Normal 2 2 4 4 3 8" xfId="24008" xr:uid="{00000000-0005-0000-0000-0000C15D0000}"/>
    <cellStyle name="Normal 2 2 4 4 3 9" xfId="24009" xr:uid="{00000000-0005-0000-0000-0000C25D0000}"/>
    <cellStyle name="Normal 2 2 4 4 4" xfId="24010" xr:uid="{00000000-0005-0000-0000-0000C35D0000}"/>
    <cellStyle name="Normal 2 2 4 4 4 10" xfId="24011" xr:uid="{00000000-0005-0000-0000-0000C45D0000}"/>
    <cellStyle name="Normal 2 2 4 4 4 2" xfId="24012" xr:uid="{00000000-0005-0000-0000-0000C55D0000}"/>
    <cellStyle name="Normal 2 2 4 4 4 3" xfId="24013" xr:uid="{00000000-0005-0000-0000-0000C65D0000}"/>
    <cellStyle name="Normal 2 2 4 4 4 4" xfId="24014" xr:uid="{00000000-0005-0000-0000-0000C75D0000}"/>
    <cellStyle name="Normal 2 2 4 4 4 5" xfId="24015" xr:uid="{00000000-0005-0000-0000-0000C85D0000}"/>
    <cellStyle name="Normal 2 2 4 4 4 6" xfId="24016" xr:uid="{00000000-0005-0000-0000-0000C95D0000}"/>
    <cellStyle name="Normal 2 2 4 4 4 7" xfId="24017" xr:uid="{00000000-0005-0000-0000-0000CA5D0000}"/>
    <cellStyle name="Normal 2 2 4 4 4 8" xfId="24018" xr:uid="{00000000-0005-0000-0000-0000CB5D0000}"/>
    <cellStyle name="Normal 2 2 4 4 4 9" xfId="24019" xr:uid="{00000000-0005-0000-0000-0000CC5D0000}"/>
    <cellStyle name="Normal 2 2 4 4 5" xfId="24020" xr:uid="{00000000-0005-0000-0000-0000CD5D0000}"/>
    <cellStyle name="Normal 2 2 4 4 5 10" xfId="24021" xr:uid="{00000000-0005-0000-0000-0000CE5D0000}"/>
    <cellStyle name="Normal 2 2 4 4 5 2" xfId="24022" xr:uid="{00000000-0005-0000-0000-0000CF5D0000}"/>
    <cellStyle name="Normal 2 2 4 4 5 3" xfId="24023" xr:uid="{00000000-0005-0000-0000-0000D05D0000}"/>
    <cellStyle name="Normal 2 2 4 4 5 4" xfId="24024" xr:uid="{00000000-0005-0000-0000-0000D15D0000}"/>
    <cellStyle name="Normal 2 2 4 4 5 5" xfId="24025" xr:uid="{00000000-0005-0000-0000-0000D25D0000}"/>
    <cellStyle name="Normal 2 2 4 4 5 6" xfId="24026" xr:uid="{00000000-0005-0000-0000-0000D35D0000}"/>
    <cellStyle name="Normal 2 2 4 4 5 7" xfId="24027" xr:uid="{00000000-0005-0000-0000-0000D45D0000}"/>
    <cellStyle name="Normal 2 2 4 4 5 8" xfId="24028" xr:uid="{00000000-0005-0000-0000-0000D55D0000}"/>
    <cellStyle name="Normal 2 2 4 4 5 9" xfId="24029" xr:uid="{00000000-0005-0000-0000-0000D65D0000}"/>
    <cellStyle name="Normal 2 2 4 4 6" xfId="24030" xr:uid="{00000000-0005-0000-0000-0000D75D0000}"/>
    <cellStyle name="Normal 2 2 4 4 7" xfId="24031" xr:uid="{00000000-0005-0000-0000-0000D85D0000}"/>
    <cellStyle name="Normal 2 2 4 4 8" xfId="24032" xr:uid="{00000000-0005-0000-0000-0000D95D0000}"/>
    <cellStyle name="Normal 2 2 4 4 9" xfId="24033" xr:uid="{00000000-0005-0000-0000-0000DA5D0000}"/>
    <cellStyle name="Normal 2 2 4 5" xfId="24034" xr:uid="{00000000-0005-0000-0000-0000DB5D0000}"/>
    <cellStyle name="Normal 2 2 4 5 10" xfId="24035" xr:uid="{00000000-0005-0000-0000-0000DC5D0000}"/>
    <cellStyle name="Normal 2 2 4 5 11" xfId="24036" xr:uid="{00000000-0005-0000-0000-0000DD5D0000}"/>
    <cellStyle name="Normal 2 2 4 5 12" xfId="24037" xr:uid="{00000000-0005-0000-0000-0000DE5D0000}"/>
    <cellStyle name="Normal 2 2 4 5 13" xfId="24038" xr:uid="{00000000-0005-0000-0000-0000DF5D0000}"/>
    <cellStyle name="Normal 2 2 4 5 14" xfId="24039" xr:uid="{00000000-0005-0000-0000-0000E05D0000}"/>
    <cellStyle name="Normal 2 2 4 5 2" xfId="24040" xr:uid="{00000000-0005-0000-0000-0000E15D0000}"/>
    <cellStyle name="Normal 2 2 4 5 2 10" xfId="24041" xr:uid="{00000000-0005-0000-0000-0000E25D0000}"/>
    <cellStyle name="Normal 2 2 4 5 2 2" xfId="24042" xr:uid="{00000000-0005-0000-0000-0000E35D0000}"/>
    <cellStyle name="Normal 2 2 4 5 2 3" xfId="24043" xr:uid="{00000000-0005-0000-0000-0000E45D0000}"/>
    <cellStyle name="Normal 2 2 4 5 2 4" xfId="24044" xr:uid="{00000000-0005-0000-0000-0000E55D0000}"/>
    <cellStyle name="Normal 2 2 4 5 2 5" xfId="24045" xr:uid="{00000000-0005-0000-0000-0000E65D0000}"/>
    <cellStyle name="Normal 2 2 4 5 2 6" xfId="24046" xr:uid="{00000000-0005-0000-0000-0000E75D0000}"/>
    <cellStyle name="Normal 2 2 4 5 2 7" xfId="24047" xr:uid="{00000000-0005-0000-0000-0000E85D0000}"/>
    <cellStyle name="Normal 2 2 4 5 2 8" xfId="24048" xr:uid="{00000000-0005-0000-0000-0000E95D0000}"/>
    <cellStyle name="Normal 2 2 4 5 2 9" xfId="24049" xr:uid="{00000000-0005-0000-0000-0000EA5D0000}"/>
    <cellStyle name="Normal 2 2 4 5 3" xfId="24050" xr:uid="{00000000-0005-0000-0000-0000EB5D0000}"/>
    <cellStyle name="Normal 2 2 4 5 3 10" xfId="24051" xr:uid="{00000000-0005-0000-0000-0000EC5D0000}"/>
    <cellStyle name="Normal 2 2 4 5 3 2" xfId="24052" xr:uid="{00000000-0005-0000-0000-0000ED5D0000}"/>
    <cellStyle name="Normal 2 2 4 5 3 3" xfId="24053" xr:uid="{00000000-0005-0000-0000-0000EE5D0000}"/>
    <cellStyle name="Normal 2 2 4 5 3 4" xfId="24054" xr:uid="{00000000-0005-0000-0000-0000EF5D0000}"/>
    <cellStyle name="Normal 2 2 4 5 3 5" xfId="24055" xr:uid="{00000000-0005-0000-0000-0000F05D0000}"/>
    <cellStyle name="Normal 2 2 4 5 3 6" xfId="24056" xr:uid="{00000000-0005-0000-0000-0000F15D0000}"/>
    <cellStyle name="Normal 2 2 4 5 3 7" xfId="24057" xr:uid="{00000000-0005-0000-0000-0000F25D0000}"/>
    <cellStyle name="Normal 2 2 4 5 3 8" xfId="24058" xr:uid="{00000000-0005-0000-0000-0000F35D0000}"/>
    <cellStyle name="Normal 2 2 4 5 3 9" xfId="24059" xr:uid="{00000000-0005-0000-0000-0000F45D0000}"/>
    <cellStyle name="Normal 2 2 4 5 4" xfId="24060" xr:uid="{00000000-0005-0000-0000-0000F55D0000}"/>
    <cellStyle name="Normal 2 2 4 5 4 10" xfId="24061" xr:uid="{00000000-0005-0000-0000-0000F65D0000}"/>
    <cellStyle name="Normal 2 2 4 5 4 2" xfId="24062" xr:uid="{00000000-0005-0000-0000-0000F75D0000}"/>
    <cellStyle name="Normal 2 2 4 5 4 3" xfId="24063" xr:uid="{00000000-0005-0000-0000-0000F85D0000}"/>
    <cellStyle name="Normal 2 2 4 5 4 4" xfId="24064" xr:uid="{00000000-0005-0000-0000-0000F95D0000}"/>
    <cellStyle name="Normal 2 2 4 5 4 5" xfId="24065" xr:uid="{00000000-0005-0000-0000-0000FA5D0000}"/>
    <cellStyle name="Normal 2 2 4 5 4 6" xfId="24066" xr:uid="{00000000-0005-0000-0000-0000FB5D0000}"/>
    <cellStyle name="Normal 2 2 4 5 4 7" xfId="24067" xr:uid="{00000000-0005-0000-0000-0000FC5D0000}"/>
    <cellStyle name="Normal 2 2 4 5 4 8" xfId="24068" xr:uid="{00000000-0005-0000-0000-0000FD5D0000}"/>
    <cellStyle name="Normal 2 2 4 5 4 9" xfId="24069" xr:uid="{00000000-0005-0000-0000-0000FE5D0000}"/>
    <cellStyle name="Normal 2 2 4 5 5" xfId="24070" xr:uid="{00000000-0005-0000-0000-0000FF5D0000}"/>
    <cellStyle name="Normal 2 2 4 5 5 10" xfId="24071" xr:uid="{00000000-0005-0000-0000-0000005E0000}"/>
    <cellStyle name="Normal 2 2 4 5 5 2" xfId="24072" xr:uid="{00000000-0005-0000-0000-0000015E0000}"/>
    <cellStyle name="Normal 2 2 4 5 5 3" xfId="24073" xr:uid="{00000000-0005-0000-0000-0000025E0000}"/>
    <cellStyle name="Normal 2 2 4 5 5 4" xfId="24074" xr:uid="{00000000-0005-0000-0000-0000035E0000}"/>
    <cellStyle name="Normal 2 2 4 5 5 5" xfId="24075" xr:uid="{00000000-0005-0000-0000-0000045E0000}"/>
    <cellStyle name="Normal 2 2 4 5 5 6" xfId="24076" xr:uid="{00000000-0005-0000-0000-0000055E0000}"/>
    <cellStyle name="Normal 2 2 4 5 5 7" xfId="24077" xr:uid="{00000000-0005-0000-0000-0000065E0000}"/>
    <cellStyle name="Normal 2 2 4 5 5 8" xfId="24078" xr:uid="{00000000-0005-0000-0000-0000075E0000}"/>
    <cellStyle name="Normal 2 2 4 5 5 9" xfId="24079" xr:uid="{00000000-0005-0000-0000-0000085E0000}"/>
    <cellStyle name="Normal 2 2 4 5 6" xfId="24080" xr:uid="{00000000-0005-0000-0000-0000095E0000}"/>
    <cellStyle name="Normal 2 2 4 5 7" xfId="24081" xr:uid="{00000000-0005-0000-0000-00000A5E0000}"/>
    <cellStyle name="Normal 2 2 4 5 8" xfId="24082" xr:uid="{00000000-0005-0000-0000-00000B5E0000}"/>
    <cellStyle name="Normal 2 2 4 5 9" xfId="24083" xr:uid="{00000000-0005-0000-0000-00000C5E0000}"/>
    <cellStyle name="Normal 2 2 4 6" xfId="24084" xr:uid="{00000000-0005-0000-0000-00000D5E0000}"/>
    <cellStyle name="Normal 2 2 4 6 10" xfId="24085" xr:uid="{00000000-0005-0000-0000-00000E5E0000}"/>
    <cellStyle name="Normal 2 2 4 6 11" xfId="24086" xr:uid="{00000000-0005-0000-0000-00000F5E0000}"/>
    <cellStyle name="Normal 2 2 4 6 12" xfId="24087" xr:uid="{00000000-0005-0000-0000-0000105E0000}"/>
    <cellStyle name="Normal 2 2 4 6 13" xfId="24088" xr:uid="{00000000-0005-0000-0000-0000115E0000}"/>
    <cellStyle name="Normal 2 2 4 6 14" xfId="24089" xr:uid="{00000000-0005-0000-0000-0000125E0000}"/>
    <cellStyle name="Normal 2 2 4 6 2" xfId="24090" xr:uid="{00000000-0005-0000-0000-0000135E0000}"/>
    <cellStyle name="Normal 2 2 4 6 2 10" xfId="24091" xr:uid="{00000000-0005-0000-0000-0000145E0000}"/>
    <cellStyle name="Normal 2 2 4 6 2 2" xfId="24092" xr:uid="{00000000-0005-0000-0000-0000155E0000}"/>
    <cellStyle name="Normal 2 2 4 6 2 3" xfId="24093" xr:uid="{00000000-0005-0000-0000-0000165E0000}"/>
    <cellStyle name="Normal 2 2 4 6 2 4" xfId="24094" xr:uid="{00000000-0005-0000-0000-0000175E0000}"/>
    <cellStyle name="Normal 2 2 4 6 2 5" xfId="24095" xr:uid="{00000000-0005-0000-0000-0000185E0000}"/>
    <cellStyle name="Normal 2 2 4 6 2 6" xfId="24096" xr:uid="{00000000-0005-0000-0000-0000195E0000}"/>
    <cellStyle name="Normal 2 2 4 6 2 7" xfId="24097" xr:uid="{00000000-0005-0000-0000-00001A5E0000}"/>
    <cellStyle name="Normal 2 2 4 6 2 8" xfId="24098" xr:uid="{00000000-0005-0000-0000-00001B5E0000}"/>
    <cellStyle name="Normal 2 2 4 6 2 9" xfId="24099" xr:uid="{00000000-0005-0000-0000-00001C5E0000}"/>
    <cellStyle name="Normal 2 2 4 6 3" xfId="24100" xr:uid="{00000000-0005-0000-0000-00001D5E0000}"/>
    <cellStyle name="Normal 2 2 4 6 3 10" xfId="24101" xr:uid="{00000000-0005-0000-0000-00001E5E0000}"/>
    <cellStyle name="Normal 2 2 4 6 3 2" xfId="24102" xr:uid="{00000000-0005-0000-0000-00001F5E0000}"/>
    <cellStyle name="Normal 2 2 4 6 3 3" xfId="24103" xr:uid="{00000000-0005-0000-0000-0000205E0000}"/>
    <cellStyle name="Normal 2 2 4 6 3 4" xfId="24104" xr:uid="{00000000-0005-0000-0000-0000215E0000}"/>
    <cellStyle name="Normal 2 2 4 6 3 5" xfId="24105" xr:uid="{00000000-0005-0000-0000-0000225E0000}"/>
    <cellStyle name="Normal 2 2 4 6 3 6" xfId="24106" xr:uid="{00000000-0005-0000-0000-0000235E0000}"/>
    <cellStyle name="Normal 2 2 4 6 3 7" xfId="24107" xr:uid="{00000000-0005-0000-0000-0000245E0000}"/>
    <cellStyle name="Normal 2 2 4 6 3 8" xfId="24108" xr:uid="{00000000-0005-0000-0000-0000255E0000}"/>
    <cellStyle name="Normal 2 2 4 6 3 9" xfId="24109" xr:uid="{00000000-0005-0000-0000-0000265E0000}"/>
    <cellStyle name="Normal 2 2 4 6 4" xfId="24110" xr:uid="{00000000-0005-0000-0000-0000275E0000}"/>
    <cellStyle name="Normal 2 2 4 6 4 10" xfId="24111" xr:uid="{00000000-0005-0000-0000-0000285E0000}"/>
    <cellStyle name="Normal 2 2 4 6 4 2" xfId="24112" xr:uid="{00000000-0005-0000-0000-0000295E0000}"/>
    <cellStyle name="Normal 2 2 4 6 4 3" xfId="24113" xr:uid="{00000000-0005-0000-0000-00002A5E0000}"/>
    <cellStyle name="Normal 2 2 4 6 4 4" xfId="24114" xr:uid="{00000000-0005-0000-0000-00002B5E0000}"/>
    <cellStyle name="Normal 2 2 4 6 4 5" xfId="24115" xr:uid="{00000000-0005-0000-0000-00002C5E0000}"/>
    <cellStyle name="Normal 2 2 4 6 4 6" xfId="24116" xr:uid="{00000000-0005-0000-0000-00002D5E0000}"/>
    <cellStyle name="Normal 2 2 4 6 4 7" xfId="24117" xr:uid="{00000000-0005-0000-0000-00002E5E0000}"/>
    <cellStyle name="Normal 2 2 4 6 4 8" xfId="24118" xr:uid="{00000000-0005-0000-0000-00002F5E0000}"/>
    <cellStyle name="Normal 2 2 4 6 4 9" xfId="24119" xr:uid="{00000000-0005-0000-0000-0000305E0000}"/>
    <cellStyle name="Normal 2 2 4 6 5" xfId="24120" xr:uid="{00000000-0005-0000-0000-0000315E0000}"/>
    <cellStyle name="Normal 2 2 4 6 5 10" xfId="24121" xr:uid="{00000000-0005-0000-0000-0000325E0000}"/>
    <cellStyle name="Normal 2 2 4 6 5 2" xfId="24122" xr:uid="{00000000-0005-0000-0000-0000335E0000}"/>
    <cellStyle name="Normal 2 2 4 6 5 3" xfId="24123" xr:uid="{00000000-0005-0000-0000-0000345E0000}"/>
    <cellStyle name="Normal 2 2 4 6 5 4" xfId="24124" xr:uid="{00000000-0005-0000-0000-0000355E0000}"/>
    <cellStyle name="Normal 2 2 4 6 5 5" xfId="24125" xr:uid="{00000000-0005-0000-0000-0000365E0000}"/>
    <cellStyle name="Normal 2 2 4 6 5 6" xfId="24126" xr:uid="{00000000-0005-0000-0000-0000375E0000}"/>
    <cellStyle name="Normal 2 2 4 6 5 7" xfId="24127" xr:uid="{00000000-0005-0000-0000-0000385E0000}"/>
    <cellStyle name="Normal 2 2 4 6 5 8" xfId="24128" xr:uid="{00000000-0005-0000-0000-0000395E0000}"/>
    <cellStyle name="Normal 2 2 4 6 5 9" xfId="24129" xr:uid="{00000000-0005-0000-0000-00003A5E0000}"/>
    <cellStyle name="Normal 2 2 4 6 6" xfId="24130" xr:uid="{00000000-0005-0000-0000-00003B5E0000}"/>
    <cellStyle name="Normal 2 2 4 6 7" xfId="24131" xr:uid="{00000000-0005-0000-0000-00003C5E0000}"/>
    <cellStyle name="Normal 2 2 4 6 8" xfId="24132" xr:uid="{00000000-0005-0000-0000-00003D5E0000}"/>
    <cellStyle name="Normal 2 2 4 6 9" xfId="24133" xr:uid="{00000000-0005-0000-0000-00003E5E0000}"/>
    <cellStyle name="Normal 2 2 4 7" xfId="24134" xr:uid="{00000000-0005-0000-0000-00003F5E0000}"/>
    <cellStyle name="Normal 2 2 4 7 10" xfId="24135" xr:uid="{00000000-0005-0000-0000-0000405E0000}"/>
    <cellStyle name="Normal 2 2 4 7 11" xfId="24136" xr:uid="{00000000-0005-0000-0000-0000415E0000}"/>
    <cellStyle name="Normal 2 2 4 7 12" xfId="24137" xr:uid="{00000000-0005-0000-0000-0000425E0000}"/>
    <cellStyle name="Normal 2 2 4 7 13" xfId="24138" xr:uid="{00000000-0005-0000-0000-0000435E0000}"/>
    <cellStyle name="Normal 2 2 4 7 14" xfId="24139" xr:uid="{00000000-0005-0000-0000-0000445E0000}"/>
    <cellStyle name="Normal 2 2 4 7 2" xfId="24140" xr:uid="{00000000-0005-0000-0000-0000455E0000}"/>
    <cellStyle name="Normal 2 2 4 7 2 10" xfId="24141" xr:uid="{00000000-0005-0000-0000-0000465E0000}"/>
    <cellStyle name="Normal 2 2 4 7 2 2" xfId="24142" xr:uid="{00000000-0005-0000-0000-0000475E0000}"/>
    <cellStyle name="Normal 2 2 4 7 2 3" xfId="24143" xr:uid="{00000000-0005-0000-0000-0000485E0000}"/>
    <cellStyle name="Normal 2 2 4 7 2 4" xfId="24144" xr:uid="{00000000-0005-0000-0000-0000495E0000}"/>
    <cellStyle name="Normal 2 2 4 7 2 5" xfId="24145" xr:uid="{00000000-0005-0000-0000-00004A5E0000}"/>
    <cellStyle name="Normal 2 2 4 7 2 6" xfId="24146" xr:uid="{00000000-0005-0000-0000-00004B5E0000}"/>
    <cellStyle name="Normal 2 2 4 7 2 7" xfId="24147" xr:uid="{00000000-0005-0000-0000-00004C5E0000}"/>
    <cellStyle name="Normal 2 2 4 7 2 8" xfId="24148" xr:uid="{00000000-0005-0000-0000-00004D5E0000}"/>
    <cellStyle name="Normal 2 2 4 7 2 9" xfId="24149" xr:uid="{00000000-0005-0000-0000-00004E5E0000}"/>
    <cellStyle name="Normal 2 2 4 7 3" xfId="24150" xr:uid="{00000000-0005-0000-0000-00004F5E0000}"/>
    <cellStyle name="Normal 2 2 4 7 3 10" xfId="24151" xr:uid="{00000000-0005-0000-0000-0000505E0000}"/>
    <cellStyle name="Normal 2 2 4 7 3 2" xfId="24152" xr:uid="{00000000-0005-0000-0000-0000515E0000}"/>
    <cellStyle name="Normal 2 2 4 7 3 3" xfId="24153" xr:uid="{00000000-0005-0000-0000-0000525E0000}"/>
    <cellStyle name="Normal 2 2 4 7 3 4" xfId="24154" xr:uid="{00000000-0005-0000-0000-0000535E0000}"/>
    <cellStyle name="Normal 2 2 4 7 3 5" xfId="24155" xr:uid="{00000000-0005-0000-0000-0000545E0000}"/>
    <cellStyle name="Normal 2 2 4 7 3 6" xfId="24156" xr:uid="{00000000-0005-0000-0000-0000555E0000}"/>
    <cellStyle name="Normal 2 2 4 7 3 7" xfId="24157" xr:uid="{00000000-0005-0000-0000-0000565E0000}"/>
    <cellStyle name="Normal 2 2 4 7 3 8" xfId="24158" xr:uid="{00000000-0005-0000-0000-0000575E0000}"/>
    <cellStyle name="Normal 2 2 4 7 3 9" xfId="24159" xr:uid="{00000000-0005-0000-0000-0000585E0000}"/>
    <cellStyle name="Normal 2 2 4 7 4" xfId="24160" xr:uid="{00000000-0005-0000-0000-0000595E0000}"/>
    <cellStyle name="Normal 2 2 4 7 4 10" xfId="24161" xr:uid="{00000000-0005-0000-0000-00005A5E0000}"/>
    <cellStyle name="Normal 2 2 4 7 4 2" xfId="24162" xr:uid="{00000000-0005-0000-0000-00005B5E0000}"/>
    <cellStyle name="Normal 2 2 4 7 4 3" xfId="24163" xr:uid="{00000000-0005-0000-0000-00005C5E0000}"/>
    <cellStyle name="Normal 2 2 4 7 4 4" xfId="24164" xr:uid="{00000000-0005-0000-0000-00005D5E0000}"/>
    <cellStyle name="Normal 2 2 4 7 4 5" xfId="24165" xr:uid="{00000000-0005-0000-0000-00005E5E0000}"/>
    <cellStyle name="Normal 2 2 4 7 4 6" xfId="24166" xr:uid="{00000000-0005-0000-0000-00005F5E0000}"/>
    <cellStyle name="Normal 2 2 4 7 4 7" xfId="24167" xr:uid="{00000000-0005-0000-0000-0000605E0000}"/>
    <cellStyle name="Normal 2 2 4 7 4 8" xfId="24168" xr:uid="{00000000-0005-0000-0000-0000615E0000}"/>
    <cellStyle name="Normal 2 2 4 7 4 9" xfId="24169" xr:uid="{00000000-0005-0000-0000-0000625E0000}"/>
    <cellStyle name="Normal 2 2 4 7 5" xfId="24170" xr:uid="{00000000-0005-0000-0000-0000635E0000}"/>
    <cellStyle name="Normal 2 2 4 7 5 10" xfId="24171" xr:uid="{00000000-0005-0000-0000-0000645E0000}"/>
    <cellStyle name="Normal 2 2 4 7 5 2" xfId="24172" xr:uid="{00000000-0005-0000-0000-0000655E0000}"/>
    <cellStyle name="Normal 2 2 4 7 5 3" xfId="24173" xr:uid="{00000000-0005-0000-0000-0000665E0000}"/>
    <cellStyle name="Normal 2 2 4 7 5 4" xfId="24174" xr:uid="{00000000-0005-0000-0000-0000675E0000}"/>
    <cellStyle name="Normal 2 2 4 7 5 5" xfId="24175" xr:uid="{00000000-0005-0000-0000-0000685E0000}"/>
    <cellStyle name="Normal 2 2 4 7 5 6" xfId="24176" xr:uid="{00000000-0005-0000-0000-0000695E0000}"/>
    <cellStyle name="Normal 2 2 4 7 5 7" xfId="24177" xr:uid="{00000000-0005-0000-0000-00006A5E0000}"/>
    <cellStyle name="Normal 2 2 4 7 5 8" xfId="24178" xr:uid="{00000000-0005-0000-0000-00006B5E0000}"/>
    <cellStyle name="Normal 2 2 4 7 5 9" xfId="24179" xr:uid="{00000000-0005-0000-0000-00006C5E0000}"/>
    <cellStyle name="Normal 2 2 4 7 6" xfId="24180" xr:uid="{00000000-0005-0000-0000-00006D5E0000}"/>
    <cellStyle name="Normal 2 2 4 7 7" xfId="24181" xr:uid="{00000000-0005-0000-0000-00006E5E0000}"/>
    <cellStyle name="Normal 2 2 4 7 8" xfId="24182" xr:uid="{00000000-0005-0000-0000-00006F5E0000}"/>
    <cellStyle name="Normal 2 2 4 7 9" xfId="24183" xr:uid="{00000000-0005-0000-0000-0000705E0000}"/>
    <cellStyle name="Normal 2 2 4 8" xfId="24184" xr:uid="{00000000-0005-0000-0000-0000715E0000}"/>
    <cellStyle name="Normal 2 2 4 8 10" xfId="24185" xr:uid="{00000000-0005-0000-0000-0000725E0000}"/>
    <cellStyle name="Normal 2 2 4 8 11" xfId="24186" xr:uid="{00000000-0005-0000-0000-0000735E0000}"/>
    <cellStyle name="Normal 2 2 4 8 12" xfId="24187" xr:uid="{00000000-0005-0000-0000-0000745E0000}"/>
    <cellStyle name="Normal 2 2 4 8 13" xfId="24188" xr:uid="{00000000-0005-0000-0000-0000755E0000}"/>
    <cellStyle name="Normal 2 2 4 8 14" xfId="24189" xr:uid="{00000000-0005-0000-0000-0000765E0000}"/>
    <cellStyle name="Normal 2 2 4 8 2" xfId="24190" xr:uid="{00000000-0005-0000-0000-0000775E0000}"/>
    <cellStyle name="Normal 2 2 4 8 2 10" xfId="24191" xr:uid="{00000000-0005-0000-0000-0000785E0000}"/>
    <cellStyle name="Normal 2 2 4 8 2 2" xfId="24192" xr:uid="{00000000-0005-0000-0000-0000795E0000}"/>
    <cellStyle name="Normal 2 2 4 8 2 3" xfId="24193" xr:uid="{00000000-0005-0000-0000-00007A5E0000}"/>
    <cellStyle name="Normal 2 2 4 8 2 4" xfId="24194" xr:uid="{00000000-0005-0000-0000-00007B5E0000}"/>
    <cellStyle name="Normal 2 2 4 8 2 5" xfId="24195" xr:uid="{00000000-0005-0000-0000-00007C5E0000}"/>
    <cellStyle name="Normal 2 2 4 8 2 6" xfId="24196" xr:uid="{00000000-0005-0000-0000-00007D5E0000}"/>
    <cellStyle name="Normal 2 2 4 8 2 7" xfId="24197" xr:uid="{00000000-0005-0000-0000-00007E5E0000}"/>
    <cellStyle name="Normal 2 2 4 8 2 8" xfId="24198" xr:uid="{00000000-0005-0000-0000-00007F5E0000}"/>
    <cellStyle name="Normal 2 2 4 8 2 9" xfId="24199" xr:uid="{00000000-0005-0000-0000-0000805E0000}"/>
    <cellStyle name="Normal 2 2 4 8 3" xfId="24200" xr:uid="{00000000-0005-0000-0000-0000815E0000}"/>
    <cellStyle name="Normal 2 2 4 8 3 10" xfId="24201" xr:uid="{00000000-0005-0000-0000-0000825E0000}"/>
    <cellStyle name="Normal 2 2 4 8 3 2" xfId="24202" xr:uid="{00000000-0005-0000-0000-0000835E0000}"/>
    <cellStyle name="Normal 2 2 4 8 3 3" xfId="24203" xr:uid="{00000000-0005-0000-0000-0000845E0000}"/>
    <cellStyle name="Normal 2 2 4 8 3 4" xfId="24204" xr:uid="{00000000-0005-0000-0000-0000855E0000}"/>
    <cellStyle name="Normal 2 2 4 8 3 5" xfId="24205" xr:uid="{00000000-0005-0000-0000-0000865E0000}"/>
    <cellStyle name="Normal 2 2 4 8 3 6" xfId="24206" xr:uid="{00000000-0005-0000-0000-0000875E0000}"/>
    <cellStyle name="Normal 2 2 4 8 3 7" xfId="24207" xr:uid="{00000000-0005-0000-0000-0000885E0000}"/>
    <cellStyle name="Normal 2 2 4 8 3 8" xfId="24208" xr:uid="{00000000-0005-0000-0000-0000895E0000}"/>
    <cellStyle name="Normal 2 2 4 8 3 9" xfId="24209" xr:uid="{00000000-0005-0000-0000-00008A5E0000}"/>
    <cellStyle name="Normal 2 2 4 8 4" xfId="24210" xr:uid="{00000000-0005-0000-0000-00008B5E0000}"/>
    <cellStyle name="Normal 2 2 4 8 4 10" xfId="24211" xr:uid="{00000000-0005-0000-0000-00008C5E0000}"/>
    <cellStyle name="Normal 2 2 4 8 4 2" xfId="24212" xr:uid="{00000000-0005-0000-0000-00008D5E0000}"/>
    <cellStyle name="Normal 2 2 4 8 4 3" xfId="24213" xr:uid="{00000000-0005-0000-0000-00008E5E0000}"/>
    <cellStyle name="Normal 2 2 4 8 4 4" xfId="24214" xr:uid="{00000000-0005-0000-0000-00008F5E0000}"/>
    <cellStyle name="Normal 2 2 4 8 4 5" xfId="24215" xr:uid="{00000000-0005-0000-0000-0000905E0000}"/>
    <cellStyle name="Normal 2 2 4 8 4 6" xfId="24216" xr:uid="{00000000-0005-0000-0000-0000915E0000}"/>
    <cellStyle name="Normal 2 2 4 8 4 7" xfId="24217" xr:uid="{00000000-0005-0000-0000-0000925E0000}"/>
    <cellStyle name="Normal 2 2 4 8 4 8" xfId="24218" xr:uid="{00000000-0005-0000-0000-0000935E0000}"/>
    <cellStyle name="Normal 2 2 4 8 4 9" xfId="24219" xr:uid="{00000000-0005-0000-0000-0000945E0000}"/>
    <cellStyle name="Normal 2 2 4 8 5" xfId="24220" xr:uid="{00000000-0005-0000-0000-0000955E0000}"/>
    <cellStyle name="Normal 2 2 4 8 5 10" xfId="24221" xr:uid="{00000000-0005-0000-0000-0000965E0000}"/>
    <cellStyle name="Normal 2 2 4 8 5 2" xfId="24222" xr:uid="{00000000-0005-0000-0000-0000975E0000}"/>
    <cellStyle name="Normal 2 2 4 8 5 3" xfId="24223" xr:uid="{00000000-0005-0000-0000-0000985E0000}"/>
    <cellStyle name="Normal 2 2 4 8 5 4" xfId="24224" xr:uid="{00000000-0005-0000-0000-0000995E0000}"/>
    <cellStyle name="Normal 2 2 4 8 5 5" xfId="24225" xr:uid="{00000000-0005-0000-0000-00009A5E0000}"/>
    <cellStyle name="Normal 2 2 4 8 5 6" xfId="24226" xr:uid="{00000000-0005-0000-0000-00009B5E0000}"/>
    <cellStyle name="Normal 2 2 4 8 5 7" xfId="24227" xr:uid="{00000000-0005-0000-0000-00009C5E0000}"/>
    <cellStyle name="Normal 2 2 4 8 5 8" xfId="24228" xr:uid="{00000000-0005-0000-0000-00009D5E0000}"/>
    <cellStyle name="Normal 2 2 4 8 5 9" xfId="24229" xr:uid="{00000000-0005-0000-0000-00009E5E0000}"/>
    <cellStyle name="Normal 2 2 4 8 6" xfId="24230" xr:uid="{00000000-0005-0000-0000-00009F5E0000}"/>
    <cellStyle name="Normal 2 2 4 8 7" xfId="24231" xr:uid="{00000000-0005-0000-0000-0000A05E0000}"/>
    <cellStyle name="Normal 2 2 4 8 8" xfId="24232" xr:uid="{00000000-0005-0000-0000-0000A15E0000}"/>
    <cellStyle name="Normal 2 2 4 8 9" xfId="24233" xr:uid="{00000000-0005-0000-0000-0000A25E0000}"/>
    <cellStyle name="Normal 2 2 4 9" xfId="24234" xr:uid="{00000000-0005-0000-0000-0000A35E0000}"/>
    <cellStyle name="Normal 2 2 4 9 10" xfId="24235" xr:uid="{00000000-0005-0000-0000-0000A45E0000}"/>
    <cellStyle name="Normal 2 2 4 9 11" xfId="24236" xr:uid="{00000000-0005-0000-0000-0000A55E0000}"/>
    <cellStyle name="Normal 2 2 4 9 12" xfId="24237" xr:uid="{00000000-0005-0000-0000-0000A65E0000}"/>
    <cellStyle name="Normal 2 2 4 9 13" xfId="24238" xr:uid="{00000000-0005-0000-0000-0000A75E0000}"/>
    <cellStyle name="Normal 2 2 4 9 14" xfId="24239" xr:uid="{00000000-0005-0000-0000-0000A85E0000}"/>
    <cellStyle name="Normal 2 2 4 9 2" xfId="24240" xr:uid="{00000000-0005-0000-0000-0000A95E0000}"/>
    <cellStyle name="Normal 2 2 4 9 2 10" xfId="24241" xr:uid="{00000000-0005-0000-0000-0000AA5E0000}"/>
    <cellStyle name="Normal 2 2 4 9 2 2" xfId="24242" xr:uid="{00000000-0005-0000-0000-0000AB5E0000}"/>
    <cellStyle name="Normal 2 2 4 9 2 3" xfId="24243" xr:uid="{00000000-0005-0000-0000-0000AC5E0000}"/>
    <cellStyle name="Normal 2 2 4 9 2 4" xfId="24244" xr:uid="{00000000-0005-0000-0000-0000AD5E0000}"/>
    <cellStyle name="Normal 2 2 4 9 2 5" xfId="24245" xr:uid="{00000000-0005-0000-0000-0000AE5E0000}"/>
    <cellStyle name="Normal 2 2 4 9 2 6" xfId="24246" xr:uid="{00000000-0005-0000-0000-0000AF5E0000}"/>
    <cellStyle name="Normal 2 2 4 9 2 7" xfId="24247" xr:uid="{00000000-0005-0000-0000-0000B05E0000}"/>
    <cellStyle name="Normal 2 2 4 9 2 8" xfId="24248" xr:uid="{00000000-0005-0000-0000-0000B15E0000}"/>
    <cellStyle name="Normal 2 2 4 9 2 9" xfId="24249" xr:uid="{00000000-0005-0000-0000-0000B25E0000}"/>
    <cellStyle name="Normal 2 2 4 9 3" xfId="24250" xr:uid="{00000000-0005-0000-0000-0000B35E0000}"/>
    <cellStyle name="Normal 2 2 4 9 3 10" xfId="24251" xr:uid="{00000000-0005-0000-0000-0000B45E0000}"/>
    <cellStyle name="Normal 2 2 4 9 3 2" xfId="24252" xr:uid="{00000000-0005-0000-0000-0000B55E0000}"/>
    <cellStyle name="Normal 2 2 4 9 3 3" xfId="24253" xr:uid="{00000000-0005-0000-0000-0000B65E0000}"/>
    <cellStyle name="Normal 2 2 4 9 3 4" xfId="24254" xr:uid="{00000000-0005-0000-0000-0000B75E0000}"/>
    <cellStyle name="Normal 2 2 4 9 3 5" xfId="24255" xr:uid="{00000000-0005-0000-0000-0000B85E0000}"/>
    <cellStyle name="Normal 2 2 4 9 3 6" xfId="24256" xr:uid="{00000000-0005-0000-0000-0000B95E0000}"/>
    <cellStyle name="Normal 2 2 4 9 3 7" xfId="24257" xr:uid="{00000000-0005-0000-0000-0000BA5E0000}"/>
    <cellStyle name="Normal 2 2 4 9 3 8" xfId="24258" xr:uid="{00000000-0005-0000-0000-0000BB5E0000}"/>
    <cellStyle name="Normal 2 2 4 9 3 9" xfId="24259" xr:uid="{00000000-0005-0000-0000-0000BC5E0000}"/>
    <cellStyle name="Normal 2 2 4 9 4" xfId="24260" xr:uid="{00000000-0005-0000-0000-0000BD5E0000}"/>
    <cellStyle name="Normal 2 2 4 9 4 10" xfId="24261" xr:uid="{00000000-0005-0000-0000-0000BE5E0000}"/>
    <cellStyle name="Normal 2 2 4 9 4 2" xfId="24262" xr:uid="{00000000-0005-0000-0000-0000BF5E0000}"/>
    <cellStyle name="Normal 2 2 4 9 4 3" xfId="24263" xr:uid="{00000000-0005-0000-0000-0000C05E0000}"/>
    <cellStyle name="Normal 2 2 4 9 4 4" xfId="24264" xr:uid="{00000000-0005-0000-0000-0000C15E0000}"/>
    <cellStyle name="Normal 2 2 4 9 4 5" xfId="24265" xr:uid="{00000000-0005-0000-0000-0000C25E0000}"/>
    <cellStyle name="Normal 2 2 4 9 4 6" xfId="24266" xr:uid="{00000000-0005-0000-0000-0000C35E0000}"/>
    <cellStyle name="Normal 2 2 4 9 4 7" xfId="24267" xr:uid="{00000000-0005-0000-0000-0000C45E0000}"/>
    <cellStyle name="Normal 2 2 4 9 4 8" xfId="24268" xr:uid="{00000000-0005-0000-0000-0000C55E0000}"/>
    <cellStyle name="Normal 2 2 4 9 4 9" xfId="24269" xr:uid="{00000000-0005-0000-0000-0000C65E0000}"/>
    <cellStyle name="Normal 2 2 4 9 5" xfId="24270" xr:uid="{00000000-0005-0000-0000-0000C75E0000}"/>
    <cellStyle name="Normal 2 2 4 9 5 10" xfId="24271" xr:uid="{00000000-0005-0000-0000-0000C85E0000}"/>
    <cellStyle name="Normal 2 2 4 9 5 2" xfId="24272" xr:uid="{00000000-0005-0000-0000-0000C95E0000}"/>
    <cellStyle name="Normal 2 2 4 9 5 3" xfId="24273" xr:uid="{00000000-0005-0000-0000-0000CA5E0000}"/>
    <cellStyle name="Normal 2 2 4 9 5 4" xfId="24274" xr:uid="{00000000-0005-0000-0000-0000CB5E0000}"/>
    <cellStyle name="Normal 2 2 4 9 5 5" xfId="24275" xr:uid="{00000000-0005-0000-0000-0000CC5E0000}"/>
    <cellStyle name="Normal 2 2 4 9 5 6" xfId="24276" xr:uid="{00000000-0005-0000-0000-0000CD5E0000}"/>
    <cellStyle name="Normal 2 2 4 9 5 7" xfId="24277" xr:uid="{00000000-0005-0000-0000-0000CE5E0000}"/>
    <cellStyle name="Normal 2 2 4 9 5 8" xfId="24278" xr:uid="{00000000-0005-0000-0000-0000CF5E0000}"/>
    <cellStyle name="Normal 2 2 4 9 5 9" xfId="24279" xr:uid="{00000000-0005-0000-0000-0000D05E0000}"/>
    <cellStyle name="Normal 2 2 4 9 6" xfId="24280" xr:uid="{00000000-0005-0000-0000-0000D15E0000}"/>
    <cellStyle name="Normal 2 2 4 9 7" xfId="24281" xr:uid="{00000000-0005-0000-0000-0000D25E0000}"/>
    <cellStyle name="Normal 2 2 4 9 8" xfId="24282" xr:uid="{00000000-0005-0000-0000-0000D35E0000}"/>
    <cellStyle name="Normal 2 2 4 9 9" xfId="24283" xr:uid="{00000000-0005-0000-0000-0000D45E0000}"/>
    <cellStyle name="Normal 2 2 40" xfId="24284" xr:uid="{00000000-0005-0000-0000-0000D55E0000}"/>
    <cellStyle name="Normal 2 2 41" xfId="24285" xr:uid="{00000000-0005-0000-0000-0000D65E0000}"/>
    <cellStyle name="Normal 2 2 41 10" xfId="24286" xr:uid="{00000000-0005-0000-0000-0000D75E0000}"/>
    <cellStyle name="Normal 2 2 41 2" xfId="24287" xr:uid="{00000000-0005-0000-0000-0000D85E0000}"/>
    <cellStyle name="Normal 2 2 41 3" xfId="24288" xr:uid="{00000000-0005-0000-0000-0000D95E0000}"/>
    <cellStyle name="Normal 2 2 41 4" xfId="24289" xr:uid="{00000000-0005-0000-0000-0000DA5E0000}"/>
    <cellStyle name="Normal 2 2 41 5" xfId="24290" xr:uid="{00000000-0005-0000-0000-0000DB5E0000}"/>
    <cellStyle name="Normal 2 2 41 6" xfId="24291" xr:uid="{00000000-0005-0000-0000-0000DC5E0000}"/>
    <cellStyle name="Normal 2 2 41 7" xfId="24292" xr:uid="{00000000-0005-0000-0000-0000DD5E0000}"/>
    <cellStyle name="Normal 2 2 41 8" xfId="24293" xr:uid="{00000000-0005-0000-0000-0000DE5E0000}"/>
    <cellStyle name="Normal 2 2 41 9" xfId="24294" xr:uid="{00000000-0005-0000-0000-0000DF5E0000}"/>
    <cellStyle name="Normal 2 2 42" xfId="24295" xr:uid="{00000000-0005-0000-0000-0000E05E0000}"/>
    <cellStyle name="Normal 2 2 43" xfId="24296" xr:uid="{00000000-0005-0000-0000-0000E15E0000}"/>
    <cellStyle name="Normal 2 2 44" xfId="24297" xr:uid="{00000000-0005-0000-0000-0000E25E0000}"/>
    <cellStyle name="Normal 2 2 45" xfId="24298" xr:uid="{00000000-0005-0000-0000-0000E35E0000}"/>
    <cellStyle name="Normal 2 2 46" xfId="24299" xr:uid="{00000000-0005-0000-0000-0000E45E0000}"/>
    <cellStyle name="Normal 2 2 47" xfId="24300" xr:uid="{00000000-0005-0000-0000-0000E55E0000}"/>
    <cellStyle name="Normal 2 2 48" xfId="24301" xr:uid="{00000000-0005-0000-0000-0000E65E0000}"/>
    <cellStyle name="Normal 2 2 49" xfId="24302" xr:uid="{00000000-0005-0000-0000-0000E75E0000}"/>
    <cellStyle name="Normal 2 2 5" xfId="24303" xr:uid="{00000000-0005-0000-0000-0000E85E0000}"/>
    <cellStyle name="Normal 2 2 5 10" xfId="24304" xr:uid="{00000000-0005-0000-0000-0000E95E0000}"/>
    <cellStyle name="Normal 2 2 5 10 10" xfId="24305" xr:uid="{00000000-0005-0000-0000-0000EA5E0000}"/>
    <cellStyle name="Normal 2 2 5 10 11" xfId="24306" xr:uid="{00000000-0005-0000-0000-0000EB5E0000}"/>
    <cellStyle name="Normal 2 2 5 10 12" xfId="24307" xr:uid="{00000000-0005-0000-0000-0000EC5E0000}"/>
    <cellStyle name="Normal 2 2 5 10 13" xfId="24308" xr:uid="{00000000-0005-0000-0000-0000ED5E0000}"/>
    <cellStyle name="Normal 2 2 5 10 14" xfId="24309" xr:uid="{00000000-0005-0000-0000-0000EE5E0000}"/>
    <cellStyle name="Normal 2 2 5 10 2" xfId="24310" xr:uid="{00000000-0005-0000-0000-0000EF5E0000}"/>
    <cellStyle name="Normal 2 2 5 10 2 10" xfId="24311" xr:uid="{00000000-0005-0000-0000-0000F05E0000}"/>
    <cellStyle name="Normal 2 2 5 10 2 2" xfId="24312" xr:uid="{00000000-0005-0000-0000-0000F15E0000}"/>
    <cellStyle name="Normal 2 2 5 10 2 3" xfId="24313" xr:uid="{00000000-0005-0000-0000-0000F25E0000}"/>
    <cellStyle name="Normal 2 2 5 10 2 4" xfId="24314" xr:uid="{00000000-0005-0000-0000-0000F35E0000}"/>
    <cellStyle name="Normal 2 2 5 10 2 5" xfId="24315" xr:uid="{00000000-0005-0000-0000-0000F45E0000}"/>
    <cellStyle name="Normal 2 2 5 10 2 6" xfId="24316" xr:uid="{00000000-0005-0000-0000-0000F55E0000}"/>
    <cellStyle name="Normal 2 2 5 10 2 7" xfId="24317" xr:uid="{00000000-0005-0000-0000-0000F65E0000}"/>
    <cellStyle name="Normal 2 2 5 10 2 8" xfId="24318" xr:uid="{00000000-0005-0000-0000-0000F75E0000}"/>
    <cellStyle name="Normal 2 2 5 10 2 9" xfId="24319" xr:uid="{00000000-0005-0000-0000-0000F85E0000}"/>
    <cellStyle name="Normal 2 2 5 10 3" xfId="24320" xr:uid="{00000000-0005-0000-0000-0000F95E0000}"/>
    <cellStyle name="Normal 2 2 5 10 3 10" xfId="24321" xr:uid="{00000000-0005-0000-0000-0000FA5E0000}"/>
    <cellStyle name="Normal 2 2 5 10 3 2" xfId="24322" xr:uid="{00000000-0005-0000-0000-0000FB5E0000}"/>
    <cellStyle name="Normal 2 2 5 10 3 3" xfId="24323" xr:uid="{00000000-0005-0000-0000-0000FC5E0000}"/>
    <cellStyle name="Normal 2 2 5 10 3 4" xfId="24324" xr:uid="{00000000-0005-0000-0000-0000FD5E0000}"/>
    <cellStyle name="Normal 2 2 5 10 3 5" xfId="24325" xr:uid="{00000000-0005-0000-0000-0000FE5E0000}"/>
    <cellStyle name="Normal 2 2 5 10 3 6" xfId="24326" xr:uid="{00000000-0005-0000-0000-0000FF5E0000}"/>
    <cellStyle name="Normal 2 2 5 10 3 7" xfId="24327" xr:uid="{00000000-0005-0000-0000-0000005F0000}"/>
    <cellStyle name="Normal 2 2 5 10 3 8" xfId="24328" xr:uid="{00000000-0005-0000-0000-0000015F0000}"/>
    <cellStyle name="Normal 2 2 5 10 3 9" xfId="24329" xr:uid="{00000000-0005-0000-0000-0000025F0000}"/>
    <cellStyle name="Normal 2 2 5 10 4" xfId="24330" xr:uid="{00000000-0005-0000-0000-0000035F0000}"/>
    <cellStyle name="Normal 2 2 5 10 4 10" xfId="24331" xr:uid="{00000000-0005-0000-0000-0000045F0000}"/>
    <cellStyle name="Normal 2 2 5 10 4 2" xfId="24332" xr:uid="{00000000-0005-0000-0000-0000055F0000}"/>
    <cellStyle name="Normal 2 2 5 10 4 3" xfId="24333" xr:uid="{00000000-0005-0000-0000-0000065F0000}"/>
    <cellStyle name="Normal 2 2 5 10 4 4" xfId="24334" xr:uid="{00000000-0005-0000-0000-0000075F0000}"/>
    <cellStyle name="Normal 2 2 5 10 4 5" xfId="24335" xr:uid="{00000000-0005-0000-0000-0000085F0000}"/>
    <cellStyle name="Normal 2 2 5 10 4 6" xfId="24336" xr:uid="{00000000-0005-0000-0000-0000095F0000}"/>
    <cellStyle name="Normal 2 2 5 10 4 7" xfId="24337" xr:uid="{00000000-0005-0000-0000-00000A5F0000}"/>
    <cellStyle name="Normal 2 2 5 10 4 8" xfId="24338" xr:uid="{00000000-0005-0000-0000-00000B5F0000}"/>
    <cellStyle name="Normal 2 2 5 10 4 9" xfId="24339" xr:uid="{00000000-0005-0000-0000-00000C5F0000}"/>
    <cellStyle name="Normal 2 2 5 10 5" xfId="24340" xr:uid="{00000000-0005-0000-0000-00000D5F0000}"/>
    <cellStyle name="Normal 2 2 5 10 5 10" xfId="24341" xr:uid="{00000000-0005-0000-0000-00000E5F0000}"/>
    <cellStyle name="Normal 2 2 5 10 5 2" xfId="24342" xr:uid="{00000000-0005-0000-0000-00000F5F0000}"/>
    <cellStyle name="Normal 2 2 5 10 5 3" xfId="24343" xr:uid="{00000000-0005-0000-0000-0000105F0000}"/>
    <cellStyle name="Normal 2 2 5 10 5 4" xfId="24344" xr:uid="{00000000-0005-0000-0000-0000115F0000}"/>
    <cellStyle name="Normal 2 2 5 10 5 5" xfId="24345" xr:uid="{00000000-0005-0000-0000-0000125F0000}"/>
    <cellStyle name="Normal 2 2 5 10 5 6" xfId="24346" xr:uid="{00000000-0005-0000-0000-0000135F0000}"/>
    <cellStyle name="Normal 2 2 5 10 5 7" xfId="24347" xr:uid="{00000000-0005-0000-0000-0000145F0000}"/>
    <cellStyle name="Normal 2 2 5 10 5 8" xfId="24348" xr:uid="{00000000-0005-0000-0000-0000155F0000}"/>
    <cellStyle name="Normal 2 2 5 10 5 9" xfId="24349" xr:uid="{00000000-0005-0000-0000-0000165F0000}"/>
    <cellStyle name="Normal 2 2 5 10 6" xfId="24350" xr:uid="{00000000-0005-0000-0000-0000175F0000}"/>
    <cellStyle name="Normal 2 2 5 10 7" xfId="24351" xr:uid="{00000000-0005-0000-0000-0000185F0000}"/>
    <cellStyle name="Normal 2 2 5 10 8" xfId="24352" xr:uid="{00000000-0005-0000-0000-0000195F0000}"/>
    <cellStyle name="Normal 2 2 5 10 9" xfId="24353" xr:uid="{00000000-0005-0000-0000-00001A5F0000}"/>
    <cellStyle name="Normal 2 2 5 11" xfId="24354" xr:uid="{00000000-0005-0000-0000-00001B5F0000}"/>
    <cellStyle name="Normal 2 2 5 11 10" xfId="24355" xr:uid="{00000000-0005-0000-0000-00001C5F0000}"/>
    <cellStyle name="Normal 2 2 5 11 11" xfId="24356" xr:uid="{00000000-0005-0000-0000-00001D5F0000}"/>
    <cellStyle name="Normal 2 2 5 11 12" xfId="24357" xr:uid="{00000000-0005-0000-0000-00001E5F0000}"/>
    <cellStyle name="Normal 2 2 5 11 13" xfId="24358" xr:uid="{00000000-0005-0000-0000-00001F5F0000}"/>
    <cellStyle name="Normal 2 2 5 11 14" xfId="24359" xr:uid="{00000000-0005-0000-0000-0000205F0000}"/>
    <cellStyle name="Normal 2 2 5 11 2" xfId="24360" xr:uid="{00000000-0005-0000-0000-0000215F0000}"/>
    <cellStyle name="Normal 2 2 5 11 2 10" xfId="24361" xr:uid="{00000000-0005-0000-0000-0000225F0000}"/>
    <cellStyle name="Normal 2 2 5 11 2 2" xfId="24362" xr:uid="{00000000-0005-0000-0000-0000235F0000}"/>
    <cellStyle name="Normal 2 2 5 11 2 3" xfId="24363" xr:uid="{00000000-0005-0000-0000-0000245F0000}"/>
    <cellStyle name="Normal 2 2 5 11 2 4" xfId="24364" xr:uid="{00000000-0005-0000-0000-0000255F0000}"/>
    <cellStyle name="Normal 2 2 5 11 2 5" xfId="24365" xr:uid="{00000000-0005-0000-0000-0000265F0000}"/>
    <cellStyle name="Normal 2 2 5 11 2 6" xfId="24366" xr:uid="{00000000-0005-0000-0000-0000275F0000}"/>
    <cellStyle name="Normal 2 2 5 11 2 7" xfId="24367" xr:uid="{00000000-0005-0000-0000-0000285F0000}"/>
    <cellStyle name="Normal 2 2 5 11 2 8" xfId="24368" xr:uid="{00000000-0005-0000-0000-0000295F0000}"/>
    <cellStyle name="Normal 2 2 5 11 2 9" xfId="24369" xr:uid="{00000000-0005-0000-0000-00002A5F0000}"/>
    <cellStyle name="Normal 2 2 5 11 3" xfId="24370" xr:uid="{00000000-0005-0000-0000-00002B5F0000}"/>
    <cellStyle name="Normal 2 2 5 11 3 10" xfId="24371" xr:uid="{00000000-0005-0000-0000-00002C5F0000}"/>
    <cellStyle name="Normal 2 2 5 11 3 2" xfId="24372" xr:uid="{00000000-0005-0000-0000-00002D5F0000}"/>
    <cellStyle name="Normal 2 2 5 11 3 3" xfId="24373" xr:uid="{00000000-0005-0000-0000-00002E5F0000}"/>
    <cellStyle name="Normal 2 2 5 11 3 4" xfId="24374" xr:uid="{00000000-0005-0000-0000-00002F5F0000}"/>
    <cellStyle name="Normal 2 2 5 11 3 5" xfId="24375" xr:uid="{00000000-0005-0000-0000-0000305F0000}"/>
    <cellStyle name="Normal 2 2 5 11 3 6" xfId="24376" xr:uid="{00000000-0005-0000-0000-0000315F0000}"/>
    <cellStyle name="Normal 2 2 5 11 3 7" xfId="24377" xr:uid="{00000000-0005-0000-0000-0000325F0000}"/>
    <cellStyle name="Normal 2 2 5 11 3 8" xfId="24378" xr:uid="{00000000-0005-0000-0000-0000335F0000}"/>
    <cellStyle name="Normal 2 2 5 11 3 9" xfId="24379" xr:uid="{00000000-0005-0000-0000-0000345F0000}"/>
    <cellStyle name="Normal 2 2 5 11 4" xfId="24380" xr:uid="{00000000-0005-0000-0000-0000355F0000}"/>
    <cellStyle name="Normal 2 2 5 11 4 10" xfId="24381" xr:uid="{00000000-0005-0000-0000-0000365F0000}"/>
    <cellStyle name="Normal 2 2 5 11 4 2" xfId="24382" xr:uid="{00000000-0005-0000-0000-0000375F0000}"/>
    <cellStyle name="Normal 2 2 5 11 4 3" xfId="24383" xr:uid="{00000000-0005-0000-0000-0000385F0000}"/>
    <cellStyle name="Normal 2 2 5 11 4 4" xfId="24384" xr:uid="{00000000-0005-0000-0000-0000395F0000}"/>
    <cellStyle name="Normal 2 2 5 11 4 5" xfId="24385" xr:uid="{00000000-0005-0000-0000-00003A5F0000}"/>
    <cellStyle name="Normal 2 2 5 11 4 6" xfId="24386" xr:uid="{00000000-0005-0000-0000-00003B5F0000}"/>
    <cellStyle name="Normal 2 2 5 11 4 7" xfId="24387" xr:uid="{00000000-0005-0000-0000-00003C5F0000}"/>
    <cellStyle name="Normal 2 2 5 11 4 8" xfId="24388" xr:uid="{00000000-0005-0000-0000-00003D5F0000}"/>
    <cellStyle name="Normal 2 2 5 11 4 9" xfId="24389" xr:uid="{00000000-0005-0000-0000-00003E5F0000}"/>
    <cellStyle name="Normal 2 2 5 11 5" xfId="24390" xr:uid="{00000000-0005-0000-0000-00003F5F0000}"/>
    <cellStyle name="Normal 2 2 5 11 5 10" xfId="24391" xr:uid="{00000000-0005-0000-0000-0000405F0000}"/>
    <cellStyle name="Normal 2 2 5 11 5 2" xfId="24392" xr:uid="{00000000-0005-0000-0000-0000415F0000}"/>
    <cellStyle name="Normal 2 2 5 11 5 3" xfId="24393" xr:uid="{00000000-0005-0000-0000-0000425F0000}"/>
    <cellStyle name="Normal 2 2 5 11 5 4" xfId="24394" xr:uid="{00000000-0005-0000-0000-0000435F0000}"/>
    <cellStyle name="Normal 2 2 5 11 5 5" xfId="24395" xr:uid="{00000000-0005-0000-0000-0000445F0000}"/>
    <cellStyle name="Normal 2 2 5 11 5 6" xfId="24396" xr:uid="{00000000-0005-0000-0000-0000455F0000}"/>
    <cellStyle name="Normal 2 2 5 11 5 7" xfId="24397" xr:uid="{00000000-0005-0000-0000-0000465F0000}"/>
    <cellStyle name="Normal 2 2 5 11 5 8" xfId="24398" xr:uid="{00000000-0005-0000-0000-0000475F0000}"/>
    <cellStyle name="Normal 2 2 5 11 5 9" xfId="24399" xr:uid="{00000000-0005-0000-0000-0000485F0000}"/>
    <cellStyle name="Normal 2 2 5 11 6" xfId="24400" xr:uid="{00000000-0005-0000-0000-0000495F0000}"/>
    <cellStyle name="Normal 2 2 5 11 7" xfId="24401" xr:uid="{00000000-0005-0000-0000-00004A5F0000}"/>
    <cellStyle name="Normal 2 2 5 11 8" xfId="24402" xr:uid="{00000000-0005-0000-0000-00004B5F0000}"/>
    <cellStyle name="Normal 2 2 5 11 9" xfId="24403" xr:uid="{00000000-0005-0000-0000-00004C5F0000}"/>
    <cellStyle name="Normal 2 2 5 12" xfId="24404" xr:uid="{00000000-0005-0000-0000-00004D5F0000}"/>
    <cellStyle name="Normal 2 2 5 12 10" xfId="24405" xr:uid="{00000000-0005-0000-0000-00004E5F0000}"/>
    <cellStyle name="Normal 2 2 5 12 11" xfId="24406" xr:uid="{00000000-0005-0000-0000-00004F5F0000}"/>
    <cellStyle name="Normal 2 2 5 12 12" xfId="24407" xr:uid="{00000000-0005-0000-0000-0000505F0000}"/>
    <cellStyle name="Normal 2 2 5 12 13" xfId="24408" xr:uid="{00000000-0005-0000-0000-0000515F0000}"/>
    <cellStyle name="Normal 2 2 5 12 14" xfId="24409" xr:uid="{00000000-0005-0000-0000-0000525F0000}"/>
    <cellStyle name="Normal 2 2 5 12 2" xfId="24410" xr:uid="{00000000-0005-0000-0000-0000535F0000}"/>
    <cellStyle name="Normal 2 2 5 12 2 10" xfId="24411" xr:uid="{00000000-0005-0000-0000-0000545F0000}"/>
    <cellStyle name="Normal 2 2 5 12 2 2" xfId="24412" xr:uid="{00000000-0005-0000-0000-0000555F0000}"/>
    <cellStyle name="Normal 2 2 5 12 2 3" xfId="24413" xr:uid="{00000000-0005-0000-0000-0000565F0000}"/>
    <cellStyle name="Normal 2 2 5 12 2 4" xfId="24414" xr:uid="{00000000-0005-0000-0000-0000575F0000}"/>
    <cellStyle name="Normal 2 2 5 12 2 5" xfId="24415" xr:uid="{00000000-0005-0000-0000-0000585F0000}"/>
    <cellStyle name="Normal 2 2 5 12 2 6" xfId="24416" xr:uid="{00000000-0005-0000-0000-0000595F0000}"/>
    <cellStyle name="Normal 2 2 5 12 2 7" xfId="24417" xr:uid="{00000000-0005-0000-0000-00005A5F0000}"/>
    <cellStyle name="Normal 2 2 5 12 2 8" xfId="24418" xr:uid="{00000000-0005-0000-0000-00005B5F0000}"/>
    <cellStyle name="Normal 2 2 5 12 2 9" xfId="24419" xr:uid="{00000000-0005-0000-0000-00005C5F0000}"/>
    <cellStyle name="Normal 2 2 5 12 3" xfId="24420" xr:uid="{00000000-0005-0000-0000-00005D5F0000}"/>
    <cellStyle name="Normal 2 2 5 12 3 10" xfId="24421" xr:uid="{00000000-0005-0000-0000-00005E5F0000}"/>
    <cellStyle name="Normal 2 2 5 12 3 2" xfId="24422" xr:uid="{00000000-0005-0000-0000-00005F5F0000}"/>
    <cellStyle name="Normal 2 2 5 12 3 3" xfId="24423" xr:uid="{00000000-0005-0000-0000-0000605F0000}"/>
    <cellStyle name="Normal 2 2 5 12 3 4" xfId="24424" xr:uid="{00000000-0005-0000-0000-0000615F0000}"/>
    <cellStyle name="Normal 2 2 5 12 3 5" xfId="24425" xr:uid="{00000000-0005-0000-0000-0000625F0000}"/>
    <cellStyle name="Normal 2 2 5 12 3 6" xfId="24426" xr:uid="{00000000-0005-0000-0000-0000635F0000}"/>
    <cellStyle name="Normal 2 2 5 12 3 7" xfId="24427" xr:uid="{00000000-0005-0000-0000-0000645F0000}"/>
    <cellStyle name="Normal 2 2 5 12 3 8" xfId="24428" xr:uid="{00000000-0005-0000-0000-0000655F0000}"/>
    <cellStyle name="Normal 2 2 5 12 3 9" xfId="24429" xr:uid="{00000000-0005-0000-0000-0000665F0000}"/>
    <cellStyle name="Normal 2 2 5 12 4" xfId="24430" xr:uid="{00000000-0005-0000-0000-0000675F0000}"/>
    <cellStyle name="Normal 2 2 5 12 4 10" xfId="24431" xr:uid="{00000000-0005-0000-0000-0000685F0000}"/>
    <cellStyle name="Normal 2 2 5 12 4 2" xfId="24432" xr:uid="{00000000-0005-0000-0000-0000695F0000}"/>
    <cellStyle name="Normal 2 2 5 12 4 3" xfId="24433" xr:uid="{00000000-0005-0000-0000-00006A5F0000}"/>
    <cellStyle name="Normal 2 2 5 12 4 4" xfId="24434" xr:uid="{00000000-0005-0000-0000-00006B5F0000}"/>
    <cellStyle name="Normal 2 2 5 12 4 5" xfId="24435" xr:uid="{00000000-0005-0000-0000-00006C5F0000}"/>
    <cellStyle name="Normal 2 2 5 12 4 6" xfId="24436" xr:uid="{00000000-0005-0000-0000-00006D5F0000}"/>
    <cellStyle name="Normal 2 2 5 12 4 7" xfId="24437" xr:uid="{00000000-0005-0000-0000-00006E5F0000}"/>
    <cellStyle name="Normal 2 2 5 12 4 8" xfId="24438" xr:uid="{00000000-0005-0000-0000-00006F5F0000}"/>
    <cellStyle name="Normal 2 2 5 12 4 9" xfId="24439" xr:uid="{00000000-0005-0000-0000-0000705F0000}"/>
    <cellStyle name="Normal 2 2 5 12 5" xfId="24440" xr:uid="{00000000-0005-0000-0000-0000715F0000}"/>
    <cellStyle name="Normal 2 2 5 12 5 10" xfId="24441" xr:uid="{00000000-0005-0000-0000-0000725F0000}"/>
    <cellStyle name="Normal 2 2 5 12 5 2" xfId="24442" xr:uid="{00000000-0005-0000-0000-0000735F0000}"/>
    <cellStyle name="Normal 2 2 5 12 5 3" xfId="24443" xr:uid="{00000000-0005-0000-0000-0000745F0000}"/>
    <cellStyle name="Normal 2 2 5 12 5 4" xfId="24444" xr:uid="{00000000-0005-0000-0000-0000755F0000}"/>
    <cellStyle name="Normal 2 2 5 12 5 5" xfId="24445" xr:uid="{00000000-0005-0000-0000-0000765F0000}"/>
    <cellStyle name="Normal 2 2 5 12 5 6" xfId="24446" xr:uid="{00000000-0005-0000-0000-0000775F0000}"/>
    <cellStyle name="Normal 2 2 5 12 5 7" xfId="24447" xr:uid="{00000000-0005-0000-0000-0000785F0000}"/>
    <cellStyle name="Normal 2 2 5 12 5 8" xfId="24448" xr:uid="{00000000-0005-0000-0000-0000795F0000}"/>
    <cellStyle name="Normal 2 2 5 12 5 9" xfId="24449" xr:uid="{00000000-0005-0000-0000-00007A5F0000}"/>
    <cellStyle name="Normal 2 2 5 12 6" xfId="24450" xr:uid="{00000000-0005-0000-0000-00007B5F0000}"/>
    <cellStyle name="Normal 2 2 5 12 7" xfId="24451" xr:uid="{00000000-0005-0000-0000-00007C5F0000}"/>
    <cellStyle name="Normal 2 2 5 12 8" xfId="24452" xr:uid="{00000000-0005-0000-0000-00007D5F0000}"/>
    <cellStyle name="Normal 2 2 5 12 9" xfId="24453" xr:uid="{00000000-0005-0000-0000-00007E5F0000}"/>
    <cellStyle name="Normal 2 2 5 13" xfId="24454" xr:uid="{00000000-0005-0000-0000-00007F5F0000}"/>
    <cellStyle name="Normal 2 2 5 13 10" xfId="24455" xr:uid="{00000000-0005-0000-0000-0000805F0000}"/>
    <cellStyle name="Normal 2 2 5 13 11" xfId="24456" xr:uid="{00000000-0005-0000-0000-0000815F0000}"/>
    <cellStyle name="Normal 2 2 5 13 12" xfId="24457" xr:uid="{00000000-0005-0000-0000-0000825F0000}"/>
    <cellStyle name="Normal 2 2 5 13 13" xfId="24458" xr:uid="{00000000-0005-0000-0000-0000835F0000}"/>
    <cellStyle name="Normal 2 2 5 13 14" xfId="24459" xr:uid="{00000000-0005-0000-0000-0000845F0000}"/>
    <cellStyle name="Normal 2 2 5 13 2" xfId="24460" xr:uid="{00000000-0005-0000-0000-0000855F0000}"/>
    <cellStyle name="Normal 2 2 5 13 2 10" xfId="24461" xr:uid="{00000000-0005-0000-0000-0000865F0000}"/>
    <cellStyle name="Normal 2 2 5 13 2 2" xfId="24462" xr:uid="{00000000-0005-0000-0000-0000875F0000}"/>
    <cellStyle name="Normal 2 2 5 13 2 3" xfId="24463" xr:uid="{00000000-0005-0000-0000-0000885F0000}"/>
    <cellStyle name="Normal 2 2 5 13 2 4" xfId="24464" xr:uid="{00000000-0005-0000-0000-0000895F0000}"/>
    <cellStyle name="Normal 2 2 5 13 2 5" xfId="24465" xr:uid="{00000000-0005-0000-0000-00008A5F0000}"/>
    <cellStyle name="Normal 2 2 5 13 2 6" xfId="24466" xr:uid="{00000000-0005-0000-0000-00008B5F0000}"/>
    <cellStyle name="Normal 2 2 5 13 2 7" xfId="24467" xr:uid="{00000000-0005-0000-0000-00008C5F0000}"/>
    <cellStyle name="Normal 2 2 5 13 2 8" xfId="24468" xr:uid="{00000000-0005-0000-0000-00008D5F0000}"/>
    <cellStyle name="Normal 2 2 5 13 2 9" xfId="24469" xr:uid="{00000000-0005-0000-0000-00008E5F0000}"/>
    <cellStyle name="Normal 2 2 5 13 3" xfId="24470" xr:uid="{00000000-0005-0000-0000-00008F5F0000}"/>
    <cellStyle name="Normal 2 2 5 13 3 10" xfId="24471" xr:uid="{00000000-0005-0000-0000-0000905F0000}"/>
    <cellStyle name="Normal 2 2 5 13 3 2" xfId="24472" xr:uid="{00000000-0005-0000-0000-0000915F0000}"/>
    <cellStyle name="Normal 2 2 5 13 3 3" xfId="24473" xr:uid="{00000000-0005-0000-0000-0000925F0000}"/>
    <cellStyle name="Normal 2 2 5 13 3 4" xfId="24474" xr:uid="{00000000-0005-0000-0000-0000935F0000}"/>
    <cellStyle name="Normal 2 2 5 13 3 5" xfId="24475" xr:uid="{00000000-0005-0000-0000-0000945F0000}"/>
    <cellStyle name="Normal 2 2 5 13 3 6" xfId="24476" xr:uid="{00000000-0005-0000-0000-0000955F0000}"/>
    <cellStyle name="Normal 2 2 5 13 3 7" xfId="24477" xr:uid="{00000000-0005-0000-0000-0000965F0000}"/>
    <cellStyle name="Normal 2 2 5 13 3 8" xfId="24478" xr:uid="{00000000-0005-0000-0000-0000975F0000}"/>
    <cellStyle name="Normal 2 2 5 13 3 9" xfId="24479" xr:uid="{00000000-0005-0000-0000-0000985F0000}"/>
    <cellStyle name="Normal 2 2 5 13 4" xfId="24480" xr:uid="{00000000-0005-0000-0000-0000995F0000}"/>
    <cellStyle name="Normal 2 2 5 13 4 10" xfId="24481" xr:uid="{00000000-0005-0000-0000-00009A5F0000}"/>
    <cellStyle name="Normal 2 2 5 13 4 2" xfId="24482" xr:uid="{00000000-0005-0000-0000-00009B5F0000}"/>
    <cellStyle name="Normal 2 2 5 13 4 3" xfId="24483" xr:uid="{00000000-0005-0000-0000-00009C5F0000}"/>
    <cellStyle name="Normal 2 2 5 13 4 4" xfId="24484" xr:uid="{00000000-0005-0000-0000-00009D5F0000}"/>
    <cellStyle name="Normal 2 2 5 13 4 5" xfId="24485" xr:uid="{00000000-0005-0000-0000-00009E5F0000}"/>
    <cellStyle name="Normal 2 2 5 13 4 6" xfId="24486" xr:uid="{00000000-0005-0000-0000-00009F5F0000}"/>
    <cellStyle name="Normal 2 2 5 13 4 7" xfId="24487" xr:uid="{00000000-0005-0000-0000-0000A05F0000}"/>
    <cellStyle name="Normal 2 2 5 13 4 8" xfId="24488" xr:uid="{00000000-0005-0000-0000-0000A15F0000}"/>
    <cellStyle name="Normal 2 2 5 13 4 9" xfId="24489" xr:uid="{00000000-0005-0000-0000-0000A25F0000}"/>
    <cellStyle name="Normal 2 2 5 13 5" xfId="24490" xr:uid="{00000000-0005-0000-0000-0000A35F0000}"/>
    <cellStyle name="Normal 2 2 5 13 5 10" xfId="24491" xr:uid="{00000000-0005-0000-0000-0000A45F0000}"/>
    <cellStyle name="Normal 2 2 5 13 5 2" xfId="24492" xr:uid="{00000000-0005-0000-0000-0000A55F0000}"/>
    <cellStyle name="Normal 2 2 5 13 5 3" xfId="24493" xr:uid="{00000000-0005-0000-0000-0000A65F0000}"/>
    <cellStyle name="Normal 2 2 5 13 5 4" xfId="24494" xr:uid="{00000000-0005-0000-0000-0000A75F0000}"/>
    <cellStyle name="Normal 2 2 5 13 5 5" xfId="24495" xr:uid="{00000000-0005-0000-0000-0000A85F0000}"/>
    <cellStyle name="Normal 2 2 5 13 5 6" xfId="24496" xr:uid="{00000000-0005-0000-0000-0000A95F0000}"/>
    <cellStyle name="Normal 2 2 5 13 5 7" xfId="24497" xr:uid="{00000000-0005-0000-0000-0000AA5F0000}"/>
    <cellStyle name="Normal 2 2 5 13 5 8" xfId="24498" xr:uid="{00000000-0005-0000-0000-0000AB5F0000}"/>
    <cellStyle name="Normal 2 2 5 13 5 9" xfId="24499" xr:uid="{00000000-0005-0000-0000-0000AC5F0000}"/>
    <cellStyle name="Normal 2 2 5 13 6" xfId="24500" xr:uid="{00000000-0005-0000-0000-0000AD5F0000}"/>
    <cellStyle name="Normal 2 2 5 13 7" xfId="24501" xr:uid="{00000000-0005-0000-0000-0000AE5F0000}"/>
    <cellStyle name="Normal 2 2 5 13 8" xfId="24502" xr:uid="{00000000-0005-0000-0000-0000AF5F0000}"/>
    <cellStyle name="Normal 2 2 5 13 9" xfId="24503" xr:uid="{00000000-0005-0000-0000-0000B05F0000}"/>
    <cellStyle name="Normal 2 2 5 14" xfId="24504" xr:uid="{00000000-0005-0000-0000-0000B15F0000}"/>
    <cellStyle name="Normal 2 2 5 14 10" xfId="24505" xr:uid="{00000000-0005-0000-0000-0000B25F0000}"/>
    <cellStyle name="Normal 2 2 5 14 11" xfId="24506" xr:uid="{00000000-0005-0000-0000-0000B35F0000}"/>
    <cellStyle name="Normal 2 2 5 14 12" xfId="24507" xr:uid="{00000000-0005-0000-0000-0000B45F0000}"/>
    <cellStyle name="Normal 2 2 5 14 13" xfId="24508" xr:uid="{00000000-0005-0000-0000-0000B55F0000}"/>
    <cellStyle name="Normal 2 2 5 14 14" xfId="24509" xr:uid="{00000000-0005-0000-0000-0000B65F0000}"/>
    <cellStyle name="Normal 2 2 5 14 2" xfId="24510" xr:uid="{00000000-0005-0000-0000-0000B75F0000}"/>
    <cellStyle name="Normal 2 2 5 14 2 10" xfId="24511" xr:uid="{00000000-0005-0000-0000-0000B85F0000}"/>
    <cellStyle name="Normal 2 2 5 14 2 2" xfId="24512" xr:uid="{00000000-0005-0000-0000-0000B95F0000}"/>
    <cellStyle name="Normal 2 2 5 14 2 3" xfId="24513" xr:uid="{00000000-0005-0000-0000-0000BA5F0000}"/>
    <cellStyle name="Normal 2 2 5 14 2 4" xfId="24514" xr:uid="{00000000-0005-0000-0000-0000BB5F0000}"/>
    <cellStyle name="Normal 2 2 5 14 2 5" xfId="24515" xr:uid="{00000000-0005-0000-0000-0000BC5F0000}"/>
    <cellStyle name="Normal 2 2 5 14 2 6" xfId="24516" xr:uid="{00000000-0005-0000-0000-0000BD5F0000}"/>
    <cellStyle name="Normal 2 2 5 14 2 7" xfId="24517" xr:uid="{00000000-0005-0000-0000-0000BE5F0000}"/>
    <cellStyle name="Normal 2 2 5 14 2 8" xfId="24518" xr:uid="{00000000-0005-0000-0000-0000BF5F0000}"/>
    <cellStyle name="Normal 2 2 5 14 2 9" xfId="24519" xr:uid="{00000000-0005-0000-0000-0000C05F0000}"/>
    <cellStyle name="Normal 2 2 5 14 3" xfId="24520" xr:uid="{00000000-0005-0000-0000-0000C15F0000}"/>
    <cellStyle name="Normal 2 2 5 14 3 10" xfId="24521" xr:uid="{00000000-0005-0000-0000-0000C25F0000}"/>
    <cellStyle name="Normal 2 2 5 14 3 2" xfId="24522" xr:uid="{00000000-0005-0000-0000-0000C35F0000}"/>
    <cellStyle name="Normal 2 2 5 14 3 3" xfId="24523" xr:uid="{00000000-0005-0000-0000-0000C45F0000}"/>
    <cellStyle name="Normal 2 2 5 14 3 4" xfId="24524" xr:uid="{00000000-0005-0000-0000-0000C55F0000}"/>
    <cellStyle name="Normal 2 2 5 14 3 5" xfId="24525" xr:uid="{00000000-0005-0000-0000-0000C65F0000}"/>
    <cellStyle name="Normal 2 2 5 14 3 6" xfId="24526" xr:uid="{00000000-0005-0000-0000-0000C75F0000}"/>
    <cellStyle name="Normal 2 2 5 14 3 7" xfId="24527" xr:uid="{00000000-0005-0000-0000-0000C85F0000}"/>
    <cellStyle name="Normal 2 2 5 14 3 8" xfId="24528" xr:uid="{00000000-0005-0000-0000-0000C95F0000}"/>
    <cellStyle name="Normal 2 2 5 14 3 9" xfId="24529" xr:uid="{00000000-0005-0000-0000-0000CA5F0000}"/>
    <cellStyle name="Normal 2 2 5 14 4" xfId="24530" xr:uid="{00000000-0005-0000-0000-0000CB5F0000}"/>
    <cellStyle name="Normal 2 2 5 14 4 10" xfId="24531" xr:uid="{00000000-0005-0000-0000-0000CC5F0000}"/>
    <cellStyle name="Normal 2 2 5 14 4 2" xfId="24532" xr:uid="{00000000-0005-0000-0000-0000CD5F0000}"/>
    <cellStyle name="Normal 2 2 5 14 4 3" xfId="24533" xr:uid="{00000000-0005-0000-0000-0000CE5F0000}"/>
    <cellStyle name="Normal 2 2 5 14 4 4" xfId="24534" xr:uid="{00000000-0005-0000-0000-0000CF5F0000}"/>
    <cellStyle name="Normal 2 2 5 14 4 5" xfId="24535" xr:uid="{00000000-0005-0000-0000-0000D05F0000}"/>
    <cellStyle name="Normal 2 2 5 14 4 6" xfId="24536" xr:uid="{00000000-0005-0000-0000-0000D15F0000}"/>
    <cellStyle name="Normal 2 2 5 14 4 7" xfId="24537" xr:uid="{00000000-0005-0000-0000-0000D25F0000}"/>
    <cellStyle name="Normal 2 2 5 14 4 8" xfId="24538" xr:uid="{00000000-0005-0000-0000-0000D35F0000}"/>
    <cellStyle name="Normal 2 2 5 14 4 9" xfId="24539" xr:uid="{00000000-0005-0000-0000-0000D45F0000}"/>
    <cellStyle name="Normal 2 2 5 14 5" xfId="24540" xr:uid="{00000000-0005-0000-0000-0000D55F0000}"/>
    <cellStyle name="Normal 2 2 5 14 5 10" xfId="24541" xr:uid="{00000000-0005-0000-0000-0000D65F0000}"/>
    <cellStyle name="Normal 2 2 5 14 5 2" xfId="24542" xr:uid="{00000000-0005-0000-0000-0000D75F0000}"/>
    <cellStyle name="Normal 2 2 5 14 5 3" xfId="24543" xr:uid="{00000000-0005-0000-0000-0000D85F0000}"/>
    <cellStyle name="Normal 2 2 5 14 5 4" xfId="24544" xr:uid="{00000000-0005-0000-0000-0000D95F0000}"/>
    <cellStyle name="Normal 2 2 5 14 5 5" xfId="24545" xr:uid="{00000000-0005-0000-0000-0000DA5F0000}"/>
    <cellStyle name="Normal 2 2 5 14 5 6" xfId="24546" xr:uid="{00000000-0005-0000-0000-0000DB5F0000}"/>
    <cellStyle name="Normal 2 2 5 14 5 7" xfId="24547" xr:uid="{00000000-0005-0000-0000-0000DC5F0000}"/>
    <cellStyle name="Normal 2 2 5 14 5 8" xfId="24548" xr:uid="{00000000-0005-0000-0000-0000DD5F0000}"/>
    <cellStyle name="Normal 2 2 5 14 5 9" xfId="24549" xr:uid="{00000000-0005-0000-0000-0000DE5F0000}"/>
    <cellStyle name="Normal 2 2 5 14 6" xfId="24550" xr:uid="{00000000-0005-0000-0000-0000DF5F0000}"/>
    <cellStyle name="Normal 2 2 5 14 7" xfId="24551" xr:uid="{00000000-0005-0000-0000-0000E05F0000}"/>
    <cellStyle name="Normal 2 2 5 14 8" xfId="24552" xr:uid="{00000000-0005-0000-0000-0000E15F0000}"/>
    <cellStyle name="Normal 2 2 5 14 9" xfId="24553" xr:uid="{00000000-0005-0000-0000-0000E25F0000}"/>
    <cellStyle name="Normal 2 2 5 15" xfId="24554" xr:uid="{00000000-0005-0000-0000-0000E35F0000}"/>
    <cellStyle name="Normal 2 2 5 15 10" xfId="24555" xr:uid="{00000000-0005-0000-0000-0000E45F0000}"/>
    <cellStyle name="Normal 2 2 5 15 11" xfId="24556" xr:uid="{00000000-0005-0000-0000-0000E55F0000}"/>
    <cellStyle name="Normal 2 2 5 15 12" xfId="24557" xr:uid="{00000000-0005-0000-0000-0000E65F0000}"/>
    <cellStyle name="Normal 2 2 5 15 13" xfId="24558" xr:uid="{00000000-0005-0000-0000-0000E75F0000}"/>
    <cellStyle name="Normal 2 2 5 15 14" xfId="24559" xr:uid="{00000000-0005-0000-0000-0000E85F0000}"/>
    <cellStyle name="Normal 2 2 5 15 2" xfId="24560" xr:uid="{00000000-0005-0000-0000-0000E95F0000}"/>
    <cellStyle name="Normal 2 2 5 15 2 10" xfId="24561" xr:uid="{00000000-0005-0000-0000-0000EA5F0000}"/>
    <cellStyle name="Normal 2 2 5 15 2 2" xfId="24562" xr:uid="{00000000-0005-0000-0000-0000EB5F0000}"/>
    <cellStyle name="Normal 2 2 5 15 2 3" xfId="24563" xr:uid="{00000000-0005-0000-0000-0000EC5F0000}"/>
    <cellStyle name="Normal 2 2 5 15 2 4" xfId="24564" xr:uid="{00000000-0005-0000-0000-0000ED5F0000}"/>
    <cellStyle name="Normal 2 2 5 15 2 5" xfId="24565" xr:uid="{00000000-0005-0000-0000-0000EE5F0000}"/>
    <cellStyle name="Normal 2 2 5 15 2 6" xfId="24566" xr:uid="{00000000-0005-0000-0000-0000EF5F0000}"/>
    <cellStyle name="Normal 2 2 5 15 2 7" xfId="24567" xr:uid="{00000000-0005-0000-0000-0000F05F0000}"/>
    <cellStyle name="Normal 2 2 5 15 2 8" xfId="24568" xr:uid="{00000000-0005-0000-0000-0000F15F0000}"/>
    <cellStyle name="Normal 2 2 5 15 2 9" xfId="24569" xr:uid="{00000000-0005-0000-0000-0000F25F0000}"/>
    <cellStyle name="Normal 2 2 5 15 3" xfId="24570" xr:uid="{00000000-0005-0000-0000-0000F35F0000}"/>
    <cellStyle name="Normal 2 2 5 15 3 10" xfId="24571" xr:uid="{00000000-0005-0000-0000-0000F45F0000}"/>
    <cellStyle name="Normal 2 2 5 15 3 2" xfId="24572" xr:uid="{00000000-0005-0000-0000-0000F55F0000}"/>
    <cellStyle name="Normal 2 2 5 15 3 3" xfId="24573" xr:uid="{00000000-0005-0000-0000-0000F65F0000}"/>
    <cellStyle name="Normal 2 2 5 15 3 4" xfId="24574" xr:uid="{00000000-0005-0000-0000-0000F75F0000}"/>
    <cellStyle name="Normal 2 2 5 15 3 5" xfId="24575" xr:uid="{00000000-0005-0000-0000-0000F85F0000}"/>
    <cellStyle name="Normal 2 2 5 15 3 6" xfId="24576" xr:uid="{00000000-0005-0000-0000-0000F95F0000}"/>
    <cellStyle name="Normal 2 2 5 15 3 7" xfId="24577" xr:uid="{00000000-0005-0000-0000-0000FA5F0000}"/>
    <cellStyle name="Normal 2 2 5 15 3 8" xfId="24578" xr:uid="{00000000-0005-0000-0000-0000FB5F0000}"/>
    <cellStyle name="Normal 2 2 5 15 3 9" xfId="24579" xr:uid="{00000000-0005-0000-0000-0000FC5F0000}"/>
    <cellStyle name="Normal 2 2 5 15 4" xfId="24580" xr:uid="{00000000-0005-0000-0000-0000FD5F0000}"/>
    <cellStyle name="Normal 2 2 5 15 4 10" xfId="24581" xr:uid="{00000000-0005-0000-0000-0000FE5F0000}"/>
    <cellStyle name="Normal 2 2 5 15 4 2" xfId="24582" xr:uid="{00000000-0005-0000-0000-0000FF5F0000}"/>
    <cellStyle name="Normal 2 2 5 15 4 3" xfId="24583" xr:uid="{00000000-0005-0000-0000-000000600000}"/>
    <cellStyle name="Normal 2 2 5 15 4 4" xfId="24584" xr:uid="{00000000-0005-0000-0000-000001600000}"/>
    <cellStyle name="Normal 2 2 5 15 4 5" xfId="24585" xr:uid="{00000000-0005-0000-0000-000002600000}"/>
    <cellStyle name="Normal 2 2 5 15 4 6" xfId="24586" xr:uid="{00000000-0005-0000-0000-000003600000}"/>
    <cellStyle name="Normal 2 2 5 15 4 7" xfId="24587" xr:uid="{00000000-0005-0000-0000-000004600000}"/>
    <cellStyle name="Normal 2 2 5 15 4 8" xfId="24588" xr:uid="{00000000-0005-0000-0000-000005600000}"/>
    <cellStyle name="Normal 2 2 5 15 4 9" xfId="24589" xr:uid="{00000000-0005-0000-0000-000006600000}"/>
    <cellStyle name="Normal 2 2 5 15 5" xfId="24590" xr:uid="{00000000-0005-0000-0000-000007600000}"/>
    <cellStyle name="Normal 2 2 5 15 5 10" xfId="24591" xr:uid="{00000000-0005-0000-0000-000008600000}"/>
    <cellStyle name="Normal 2 2 5 15 5 2" xfId="24592" xr:uid="{00000000-0005-0000-0000-000009600000}"/>
    <cellStyle name="Normal 2 2 5 15 5 3" xfId="24593" xr:uid="{00000000-0005-0000-0000-00000A600000}"/>
    <cellStyle name="Normal 2 2 5 15 5 4" xfId="24594" xr:uid="{00000000-0005-0000-0000-00000B600000}"/>
    <cellStyle name="Normal 2 2 5 15 5 5" xfId="24595" xr:uid="{00000000-0005-0000-0000-00000C600000}"/>
    <cellStyle name="Normal 2 2 5 15 5 6" xfId="24596" xr:uid="{00000000-0005-0000-0000-00000D600000}"/>
    <cellStyle name="Normal 2 2 5 15 5 7" xfId="24597" xr:uid="{00000000-0005-0000-0000-00000E600000}"/>
    <cellStyle name="Normal 2 2 5 15 5 8" xfId="24598" xr:uid="{00000000-0005-0000-0000-00000F600000}"/>
    <cellStyle name="Normal 2 2 5 15 5 9" xfId="24599" xr:uid="{00000000-0005-0000-0000-000010600000}"/>
    <cellStyle name="Normal 2 2 5 15 6" xfId="24600" xr:uid="{00000000-0005-0000-0000-000011600000}"/>
    <cellStyle name="Normal 2 2 5 15 7" xfId="24601" xr:uid="{00000000-0005-0000-0000-000012600000}"/>
    <cellStyle name="Normal 2 2 5 15 8" xfId="24602" xr:uid="{00000000-0005-0000-0000-000013600000}"/>
    <cellStyle name="Normal 2 2 5 15 9" xfId="24603" xr:uid="{00000000-0005-0000-0000-000014600000}"/>
    <cellStyle name="Normal 2 2 5 16" xfId="24604" xr:uid="{00000000-0005-0000-0000-000015600000}"/>
    <cellStyle name="Normal 2 2 5 16 10" xfId="24605" xr:uid="{00000000-0005-0000-0000-000016600000}"/>
    <cellStyle name="Normal 2 2 5 16 11" xfId="24606" xr:uid="{00000000-0005-0000-0000-000017600000}"/>
    <cellStyle name="Normal 2 2 5 16 12" xfId="24607" xr:uid="{00000000-0005-0000-0000-000018600000}"/>
    <cellStyle name="Normal 2 2 5 16 13" xfId="24608" xr:uid="{00000000-0005-0000-0000-000019600000}"/>
    <cellStyle name="Normal 2 2 5 16 14" xfId="24609" xr:uid="{00000000-0005-0000-0000-00001A600000}"/>
    <cellStyle name="Normal 2 2 5 16 2" xfId="24610" xr:uid="{00000000-0005-0000-0000-00001B600000}"/>
    <cellStyle name="Normal 2 2 5 16 2 10" xfId="24611" xr:uid="{00000000-0005-0000-0000-00001C600000}"/>
    <cellStyle name="Normal 2 2 5 16 2 2" xfId="24612" xr:uid="{00000000-0005-0000-0000-00001D600000}"/>
    <cellStyle name="Normal 2 2 5 16 2 3" xfId="24613" xr:uid="{00000000-0005-0000-0000-00001E600000}"/>
    <cellStyle name="Normal 2 2 5 16 2 4" xfId="24614" xr:uid="{00000000-0005-0000-0000-00001F600000}"/>
    <cellStyle name="Normal 2 2 5 16 2 5" xfId="24615" xr:uid="{00000000-0005-0000-0000-000020600000}"/>
    <cellStyle name="Normal 2 2 5 16 2 6" xfId="24616" xr:uid="{00000000-0005-0000-0000-000021600000}"/>
    <cellStyle name="Normal 2 2 5 16 2 7" xfId="24617" xr:uid="{00000000-0005-0000-0000-000022600000}"/>
    <cellStyle name="Normal 2 2 5 16 2 8" xfId="24618" xr:uid="{00000000-0005-0000-0000-000023600000}"/>
    <cellStyle name="Normal 2 2 5 16 2 9" xfId="24619" xr:uid="{00000000-0005-0000-0000-000024600000}"/>
    <cellStyle name="Normal 2 2 5 16 3" xfId="24620" xr:uid="{00000000-0005-0000-0000-000025600000}"/>
    <cellStyle name="Normal 2 2 5 16 3 10" xfId="24621" xr:uid="{00000000-0005-0000-0000-000026600000}"/>
    <cellStyle name="Normal 2 2 5 16 3 2" xfId="24622" xr:uid="{00000000-0005-0000-0000-000027600000}"/>
    <cellStyle name="Normal 2 2 5 16 3 3" xfId="24623" xr:uid="{00000000-0005-0000-0000-000028600000}"/>
    <cellStyle name="Normal 2 2 5 16 3 4" xfId="24624" xr:uid="{00000000-0005-0000-0000-000029600000}"/>
    <cellStyle name="Normal 2 2 5 16 3 5" xfId="24625" xr:uid="{00000000-0005-0000-0000-00002A600000}"/>
    <cellStyle name="Normal 2 2 5 16 3 6" xfId="24626" xr:uid="{00000000-0005-0000-0000-00002B600000}"/>
    <cellStyle name="Normal 2 2 5 16 3 7" xfId="24627" xr:uid="{00000000-0005-0000-0000-00002C600000}"/>
    <cellStyle name="Normal 2 2 5 16 3 8" xfId="24628" xr:uid="{00000000-0005-0000-0000-00002D600000}"/>
    <cellStyle name="Normal 2 2 5 16 3 9" xfId="24629" xr:uid="{00000000-0005-0000-0000-00002E600000}"/>
    <cellStyle name="Normal 2 2 5 16 4" xfId="24630" xr:uid="{00000000-0005-0000-0000-00002F600000}"/>
    <cellStyle name="Normal 2 2 5 16 4 10" xfId="24631" xr:uid="{00000000-0005-0000-0000-000030600000}"/>
    <cellStyle name="Normal 2 2 5 16 4 2" xfId="24632" xr:uid="{00000000-0005-0000-0000-000031600000}"/>
    <cellStyle name="Normal 2 2 5 16 4 3" xfId="24633" xr:uid="{00000000-0005-0000-0000-000032600000}"/>
    <cellStyle name="Normal 2 2 5 16 4 4" xfId="24634" xr:uid="{00000000-0005-0000-0000-000033600000}"/>
    <cellStyle name="Normal 2 2 5 16 4 5" xfId="24635" xr:uid="{00000000-0005-0000-0000-000034600000}"/>
    <cellStyle name="Normal 2 2 5 16 4 6" xfId="24636" xr:uid="{00000000-0005-0000-0000-000035600000}"/>
    <cellStyle name="Normal 2 2 5 16 4 7" xfId="24637" xr:uid="{00000000-0005-0000-0000-000036600000}"/>
    <cellStyle name="Normal 2 2 5 16 4 8" xfId="24638" xr:uid="{00000000-0005-0000-0000-000037600000}"/>
    <cellStyle name="Normal 2 2 5 16 4 9" xfId="24639" xr:uid="{00000000-0005-0000-0000-000038600000}"/>
    <cellStyle name="Normal 2 2 5 16 5" xfId="24640" xr:uid="{00000000-0005-0000-0000-000039600000}"/>
    <cellStyle name="Normal 2 2 5 16 5 10" xfId="24641" xr:uid="{00000000-0005-0000-0000-00003A600000}"/>
    <cellStyle name="Normal 2 2 5 16 5 2" xfId="24642" xr:uid="{00000000-0005-0000-0000-00003B600000}"/>
    <cellStyle name="Normal 2 2 5 16 5 3" xfId="24643" xr:uid="{00000000-0005-0000-0000-00003C600000}"/>
    <cellStyle name="Normal 2 2 5 16 5 4" xfId="24644" xr:uid="{00000000-0005-0000-0000-00003D600000}"/>
    <cellStyle name="Normal 2 2 5 16 5 5" xfId="24645" xr:uid="{00000000-0005-0000-0000-00003E600000}"/>
    <cellStyle name="Normal 2 2 5 16 5 6" xfId="24646" xr:uid="{00000000-0005-0000-0000-00003F600000}"/>
    <cellStyle name="Normal 2 2 5 16 5 7" xfId="24647" xr:uid="{00000000-0005-0000-0000-000040600000}"/>
    <cellStyle name="Normal 2 2 5 16 5 8" xfId="24648" xr:uid="{00000000-0005-0000-0000-000041600000}"/>
    <cellStyle name="Normal 2 2 5 16 5 9" xfId="24649" xr:uid="{00000000-0005-0000-0000-000042600000}"/>
    <cellStyle name="Normal 2 2 5 16 6" xfId="24650" xr:uid="{00000000-0005-0000-0000-000043600000}"/>
    <cellStyle name="Normal 2 2 5 16 7" xfId="24651" xr:uid="{00000000-0005-0000-0000-000044600000}"/>
    <cellStyle name="Normal 2 2 5 16 8" xfId="24652" xr:uid="{00000000-0005-0000-0000-000045600000}"/>
    <cellStyle name="Normal 2 2 5 16 9" xfId="24653" xr:uid="{00000000-0005-0000-0000-000046600000}"/>
    <cellStyle name="Normal 2 2 5 17" xfId="24654" xr:uid="{00000000-0005-0000-0000-000047600000}"/>
    <cellStyle name="Normal 2 2 5 17 10" xfId="24655" xr:uid="{00000000-0005-0000-0000-000048600000}"/>
    <cellStyle name="Normal 2 2 5 17 11" xfId="24656" xr:uid="{00000000-0005-0000-0000-000049600000}"/>
    <cellStyle name="Normal 2 2 5 17 12" xfId="24657" xr:uid="{00000000-0005-0000-0000-00004A600000}"/>
    <cellStyle name="Normal 2 2 5 17 13" xfId="24658" xr:uid="{00000000-0005-0000-0000-00004B600000}"/>
    <cellStyle name="Normal 2 2 5 17 14" xfId="24659" xr:uid="{00000000-0005-0000-0000-00004C600000}"/>
    <cellStyle name="Normal 2 2 5 17 2" xfId="24660" xr:uid="{00000000-0005-0000-0000-00004D600000}"/>
    <cellStyle name="Normal 2 2 5 17 2 10" xfId="24661" xr:uid="{00000000-0005-0000-0000-00004E600000}"/>
    <cellStyle name="Normal 2 2 5 17 2 2" xfId="24662" xr:uid="{00000000-0005-0000-0000-00004F600000}"/>
    <cellStyle name="Normal 2 2 5 17 2 3" xfId="24663" xr:uid="{00000000-0005-0000-0000-000050600000}"/>
    <cellStyle name="Normal 2 2 5 17 2 4" xfId="24664" xr:uid="{00000000-0005-0000-0000-000051600000}"/>
    <cellStyle name="Normal 2 2 5 17 2 5" xfId="24665" xr:uid="{00000000-0005-0000-0000-000052600000}"/>
    <cellStyle name="Normal 2 2 5 17 2 6" xfId="24666" xr:uid="{00000000-0005-0000-0000-000053600000}"/>
    <cellStyle name="Normal 2 2 5 17 2 7" xfId="24667" xr:uid="{00000000-0005-0000-0000-000054600000}"/>
    <cellStyle name="Normal 2 2 5 17 2 8" xfId="24668" xr:uid="{00000000-0005-0000-0000-000055600000}"/>
    <cellStyle name="Normal 2 2 5 17 2 9" xfId="24669" xr:uid="{00000000-0005-0000-0000-000056600000}"/>
    <cellStyle name="Normal 2 2 5 17 3" xfId="24670" xr:uid="{00000000-0005-0000-0000-000057600000}"/>
    <cellStyle name="Normal 2 2 5 17 3 10" xfId="24671" xr:uid="{00000000-0005-0000-0000-000058600000}"/>
    <cellStyle name="Normal 2 2 5 17 3 2" xfId="24672" xr:uid="{00000000-0005-0000-0000-000059600000}"/>
    <cellStyle name="Normal 2 2 5 17 3 3" xfId="24673" xr:uid="{00000000-0005-0000-0000-00005A600000}"/>
    <cellStyle name="Normal 2 2 5 17 3 4" xfId="24674" xr:uid="{00000000-0005-0000-0000-00005B600000}"/>
    <cellStyle name="Normal 2 2 5 17 3 5" xfId="24675" xr:uid="{00000000-0005-0000-0000-00005C600000}"/>
    <cellStyle name="Normal 2 2 5 17 3 6" xfId="24676" xr:uid="{00000000-0005-0000-0000-00005D600000}"/>
    <cellStyle name="Normal 2 2 5 17 3 7" xfId="24677" xr:uid="{00000000-0005-0000-0000-00005E600000}"/>
    <cellStyle name="Normal 2 2 5 17 3 8" xfId="24678" xr:uid="{00000000-0005-0000-0000-00005F600000}"/>
    <cellStyle name="Normal 2 2 5 17 3 9" xfId="24679" xr:uid="{00000000-0005-0000-0000-000060600000}"/>
    <cellStyle name="Normal 2 2 5 17 4" xfId="24680" xr:uid="{00000000-0005-0000-0000-000061600000}"/>
    <cellStyle name="Normal 2 2 5 17 4 10" xfId="24681" xr:uid="{00000000-0005-0000-0000-000062600000}"/>
    <cellStyle name="Normal 2 2 5 17 4 2" xfId="24682" xr:uid="{00000000-0005-0000-0000-000063600000}"/>
    <cellStyle name="Normal 2 2 5 17 4 3" xfId="24683" xr:uid="{00000000-0005-0000-0000-000064600000}"/>
    <cellStyle name="Normal 2 2 5 17 4 4" xfId="24684" xr:uid="{00000000-0005-0000-0000-000065600000}"/>
    <cellStyle name="Normal 2 2 5 17 4 5" xfId="24685" xr:uid="{00000000-0005-0000-0000-000066600000}"/>
    <cellStyle name="Normal 2 2 5 17 4 6" xfId="24686" xr:uid="{00000000-0005-0000-0000-000067600000}"/>
    <cellStyle name="Normal 2 2 5 17 4 7" xfId="24687" xr:uid="{00000000-0005-0000-0000-000068600000}"/>
    <cellStyle name="Normal 2 2 5 17 4 8" xfId="24688" xr:uid="{00000000-0005-0000-0000-000069600000}"/>
    <cellStyle name="Normal 2 2 5 17 4 9" xfId="24689" xr:uid="{00000000-0005-0000-0000-00006A600000}"/>
    <cellStyle name="Normal 2 2 5 17 5" xfId="24690" xr:uid="{00000000-0005-0000-0000-00006B600000}"/>
    <cellStyle name="Normal 2 2 5 17 5 10" xfId="24691" xr:uid="{00000000-0005-0000-0000-00006C600000}"/>
    <cellStyle name="Normal 2 2 5 17 5 2" xfId="24692" xr:uid="{00000000-0005-0000-0000-00006D600000}"/>
    <cellStyle name="Normal 2 2 5 17 5 3" xfId="24693" xr:uid="{00000000-0005-0000-0000-00006E600000}"/>
    <cellStyle name="Normal 2 2 5 17 5 4" xfId="24694" xr:uid="{00000000-0005-0000-0000-00006F600000}"/>
    <cellStyle name="Normal 2 2 5 17 5 5" xfId="24695" xr:uid="{00000000-0005-0000-0000-000070600000}"/>
    <cellStyle name="Normal 2 2 5 17 5 6" xfId="24696" xr:uid="{00000000-0005-0000-0000-000071600000}"/>
    <cellStyle name="Normal 2 2 5 17 5 7" xfId="24697" xr:uid="{00000000-0005-0000-0000-000072600000}"/>
    <cellStyle name="Normal 2 2 5 17 5 8" xfId="24698" xr:uid="{00000000-0005-0000-0000-000073600000}"/>
    <cellStyle name="Normal 2 2 5 17 5 9" xfId="24699" xr:uid="{00000000-0005-0000-0000-000074600000}"/>
    <cellStyle name="Normal 2 2 5 17 6" xfId="24700" xr:uid="{00000000-0005-0000-0000-000075600000}"/>
    <cellStyle name="Normal 2 2 5 17 7" xfId="24701" xr:uid="{00000000-0005-0000-0000-000076600000}"/>
    <cellStyle name="Normal 2 2 5 17 8" xfId="24702" xr:uid="{00000000-0005-0000-0000-000077600000}"/>
    <cellStyle name="Normal 2 2 5 17 9" xfId="24703" xr:uid="{00000000-0005-0000-0000-000078600000}"/>
    <cellStyle name="Normal 2 2 5 18" xfId="24704" xr:uid="{00000000-0005-0000-0000-000079600000}"/>
    <cellStyle name="Normal 2 2 5 18 10" xfId="24705" xr:uid="{00000000-0005-0000-0000-00007A600000}"/>
    <cellStyle name="Normal 2 2 5 18 11" xfId="24706" xr:uid="{00000000-0005-0000-0000-00007B600000}"/>
    <cellStyle name="Normal 2 2 5 18 12" xfId="24707" xr:uid="{00000000-0005-0000-0000-00007C600000}"/>
    <cellStyle name="Normal 2 2 5 18 13" xfId="24708" xr:uid="{00000000-0005-0000-0000-00007D600000}"/>
    <cellStyle name="Normal 2 2 5 18 14" xfId="24709" xr:uid="{00000000-0005-0000-0000-00007E600000}"/>
    <cellStyle name="Normal 2 2 5 18 2" xfId="24710" xr:uid="{00000000-0005-0000-0000-00007F600000}"/>
    <cellStyle name="Normal 2 2 5 18 2 10" xfId="24711" xr:uid="{00000000-0005-0000-0000-000080600000}"/>
    <cellStyle name="Normal 2 2 5 18 2 2" xfId="24712" xr:uid="{00000000-0005-0000-0000-000081600000}"/>
    <cellStyle name="Normal 2 2 5 18 2 3" xfId="24713" xr:uid="{00000000-0005-0000-0000-000082600000}"/>
    <cellStyle name="Normal 2 2 5 18 2 4" xfId="24714" xr:uid="{00000000-0005-0000-0000-000083600000}"/>
    <cellStyle name="Normal 2 2 5 18 2 5" xfId="24715" xr:uid="{00000000-0005-0000-0000-000084600000}"/>
    <cellStyle name="Normal 2 2 5 18 2 6" xfId="24716" xr:uid="{00000000-0005-0000-0000-000085600000}"/>
    <cellStyle name="Normal 2 2 5 18 2 7" xfId="24717" xr:uid="{00000000-0005-0000-0000-000086600000}"/>
    <cellStyle name="Normal 2 2 5 18 2 8" xfId="24718" xr:uid="{00000000-0005-0000-0000-000087600000}"/>
    <cellStyle name="Normal 2 2 5 18 2 9" xfId="24719" xr:uid="{00000000-0005-0000-0000-000088600000}"/>
    <cellStyle name="Normal 2 2 5 18 3" xfId="24720" xr:uid="{00000000-0005-0000-0000-000089600000}"/>
    <cellStyle name="Normal 2 2 5 18 3 10" xfId="24721" xr:uid="{00000000-0005-0000-0000-00008A600000}"/>
    <cellStyle name="Normal 2 2 5 18 3 2" xfId="24722" xr:uid="{00000000-0005-0000-0000-00008B600000}"/>
    <cellStyle name="Normal 2 2 5 18 3 3" xfId="24723" xr:uid="{00000000-0005-0000-0000-00008C600000}"/>
    <cellStyle name="Normal 2 2 5 18 3 4" xfId="24724" xr:uid="{00000000-0005-0000-0000-00008D600000}"/>
    <cellStyle name="Normal 2 2 5 18 3 5" xfId="24725" xr:uid="{00000000-0005-0000-0000-00008E600000}"/>
    <cellStyle name="Normal 2 2 5 18 3 6" xfId="24726" xr:uid="{00000000-0005-0000-0000-00008F600000}"/>
    <cellStyle name="Normal 2 2 5 18 3 7" xfId="24727" xr:uid="{00000000-0005-0000-0000-000090600000}"/>
    <cellStyle name="Normal 2 2 5 18 3 8" xfId="24728" xr:uid="{00000000-0005-0000-0000-000091600000}"/>
    <cellStyle name="Normal 2 2 5 18 3 9" xfId="24729" xr:uid="{00000000-0005-0000-0000-000092600000}"/>
    <cellStyle name="Normal 2 2 5 18 4" xfId="24730" xr:uid="{00000000-0005-0000-0000-000093600000}"/>
    <cellStyle name="Normal 2 2 5 18 4 10" xfId="24731" xr:uid="{00000000-0005-0000-0000-000094600000}"/>
    <cellStyle name="Normal 2 2 5 18 4 2" xfId="24732" xr:uid="{00000000-0005-0000-0000-000095600000}"/>
    <cellStyle name="Normal 2 2 5 18 4 3" xfId="24733" xr:uid="{00000000-0005-0000-0000-000096600000}"/>
    <cellStyle name="Normal 2 2 5 18 4 4" xfId="24734" xr:uid="{00000000-0005-0000-0000-000097600000}"/>
    <cellStyle name="Normal 2 2 5 18 4 5" xfId="24735" xr:uid="{00000000-0005-0000-0000-000098600000}"/>
    <cellStyle name="Normal 2 2 5 18 4 6" xfId="24736" xr:uid="{00000000-0005-0000-0000-000099600000}"/>
    <cellStyle name="Normal 2 2 5 18 4 7" xfId="24737" xr:uid="{00000000-0005-0000-0000-00009A600000}"/>
    <cellStyle name="Normal 2 2 5 18 4 8" xfId="24738" xr:uid="{00000000-0005-0000-0000-00009B600000}"/>
    <cellStyle name="Normal 2 2 5 18 4 9" xfId="24739" xr:uid="{00000000-0005-0000-0000-00009C600000}"/>
    <cellStyle name="Normal 2 2 5 18 5" xfId="24740" xr:uid="{00000000-0005-0000-0000-00009D600000}"/>
    <cellStyle name="Normal 2 2 5 18 5 10" xfId="24741" xr:uid="{00000000-0005-0000-0000-00009E600000}"/>
    <cellStyle name="Normal 2 2 5 18 5 2" xfId="24742" xr:uid="{00000000-0005-0000-0000-00009F600000}"/>
    <cellStyle name="Normal 2 2 5 18 5 3" xfId="24743" xr:uid="{00000000-0005-0000-0000-0000A0600000}"/>
    <cellStyle name="Normal 2 2 5 18 5 4" xfId="24744" xr:uid="{00000000-0005-0000-0000-0000A1600000}"/>
    <cellStyle name="Normal 2 2 5 18 5 5" xfId="24745" xr:uid="{00000000-0005-0000-0000-0000A2600000}"/>
    <cellStyle name="Normal 2 2 5 18 5 6" xfId="24746" xr:uid="{00000000-0005-0000-0000-0000A3600000}"/>
    <cellStyle name="Normal 2 2 5 18 5 7" xfId="24747" xr:uid="{00000000-0005-0000-0000-0000A4600000}"/>
    <cellStyle name="Normal 2 2 5 18 5 8" xfId="24748" xr:uid="{00000000-0005-0000-0000-0000A5600000}"/>
    <cellStyle name="Normal 2 2 5 18 5 9" xfId="24749" xr:uid="{00000000-0005-0000-0000-0000A6600000}"/>
    <cellStyle name="Normal 2 2 5 18 6" xfId="24750" xr:uid="{00000000-0005-0000-0000-0000A7600000}"/>
    <cellStyle name="Normal 2 2 5 18 7" xfId="24751" xr:uid="{00000000-0005-0000-0000-0000A8600000}"/>
    <cellStyle name="Normal 2 2 5 18 8" xfId="24752" xr:uid="{00000000-0005-0000-0000-0000A9600000}"/>
    <cellStyle name="Normal 2 2 5 18 9" xfId="24753" xr:uid="{00000000-0005-0000-0000-0000AA600000}"/>
    <cellStyle name="Normal 2 2 5 19" xfId="24754" xr:uid="{00000000-0005-0000-0000-0000AB600000}"/>
    <cellStyle name="Normal 2 2 5 19 10" xfId="24755" xr:uid="{00000000-0005-0000-0000-0000AC600000}"/>
    <cellStyle name="Normal 2 2 5 19 11" xfId="24756" xr:uid="{00000000-0005-0000-0000-0000AD600000}"/>
    <cellStyle name="Normal 2 2 5 19 12" xfId="24757" xr:uid="{00000000-0005-0000-0000-0000AE600000}"/>
    <cellStyle name="Normal 2 2 5 19 13" xfId="24758" xr:uid="{00000000-0005-0000-0000-0000AF600000}"/>
    <cellStyle name="Normal 2 2 5 19 14" xfId="24759" xr:uid="{00000000-0005-0000-0000-0000B0600000}"/>
    <cellStyle name="Normal 2 2 5 19 2" xfId="24760" xr:uid="{00000000-0005-0000-0000-0000B1600000}"/>
    <cellStyle name="Normal 2 2 5 19 2 10" xfId="24761" xr:uid="{00000000-0005-0000-0000-0000B2600000}"/>
    <cellStyle name="Normal 2 2 5 19 2 2" xfId="24762" xr:uid="{00000000-0005-0000-0000-0000B3600000}"/>
    <cellStyle name="Normal 2 2 5 19 2 3" xfId="24763" xr:uid="{00000000-0005-0000-0000-0000B4600000}"/>
    <cellStyle name="Normal 2 2 5 19 2 4" xfId="24764" xr:uid="{00000000-0005-0000-0000-0000B5600000}"/>
    <cellStyle name="Normal 2 2 5 19 2 5" xfId="24765" xr:uid="{00000000-0005-0000-0000-0000B6600000}"/>
    <cellStyle name="Normal 2 2 5 19 2 6" xfId="24766" xr:uid="{00000000-0005-0000-0000-0000B7600000}"/>
    <cellStyle name="Normal 2 2 5 19 2 7" xfId="24767" xr:uid="{00000000-0005-0000-0000-0000B8600000}"/>
    <cellStyle name="Normal 2 2 5 19 2 8" xfId="24768" xr:uid="{00000000-0005-0000-0000-0000B9600000}"/>
    <cellStyle name="Normal 2 2 5 19 2 9" xfId="24769" xr:uid="{00000000-0005-0000-0000-0000BA600000}"/>
    <cellStyle name="Normal 2 2 5 19 3" xfId="24770" xr:uid="{00000000-0005-0000-0000-0000BB600000}"/>
    <cellStyle name="Normal 2 2 5 19 3 10" xfId="24771" xr:uid="{00000000-0005-0000-0000-0000BC600000}"/>
    <cellStyle name="Normal 2 2 5 19 3 2" xfId="24772" xr:uid="{00000000-0005-0000-0000-0000BD600000}"/>
    <cellStyle name="Normal 2 2 5 19 3 3" xfId="24773" xr:uid="{00000000-0005-0000-0000-0000BE600000}"/>
    <cellStyle name="Normal 2 2 5 19 3 4" xfId="24774" xr:uid="{00000000-0005-0000-0000-0000BF600000}"/>
    <cellStyle name="Normal 2 2 5 19 3 5" xfId="24775" xr:uid="{00000000-0005-0000-0000-0000C0600000}"/>
    <cellStyle name="Normal 2 2 5 19 3 6" xfId="24776" xr:uid="{00000000-0005-0000-0000-0000C1600000}"/>
    <cellStyle name="Normal 2 2 5 19 3 7" xfId="24777" xr:uid="{00000000-0005-0000-0000-0000C2600000}"/>
    <cellStyle name="Normal 2 2 5 19 3 8" xfId="24778" xr:uid="{00000000-0005-0000-0000-0000C3600000}"/>
    <cellStyle name="Normal 2 2 5 19 3 9" xfId="24779" xr:uid="{00000000-0005-0000-0000-0000C4600000}"/>
    <cellStyle name="Normal 2 2 5 19 4" xfId="24780" xr:uid="{00000000-0005-0000-0000-0000C5600000}"/>
    <cellStyle name="Normal 2 2 5 19 4 10" xfId="24781" xr:uid="{00000000-0005-0000-0000-0000C6600000}"/>
    <cellStyle name="Normal 2 2 5 19 4 2" xfId="24782" xr:uid="{00000000-0005-0000-0000-0000C7600000}"/>
    <cellStyle name="Normal 2 2 5 19 4 3" xfId="24783" xr:uid="{00000000-0005-0000-0000-0000C8600000}"/>
    <cellStyle name="Normal 2 2 5 19 4 4" xfId="24784" xr:uid="{00000000-0005-0000-0000-0000C9600000}"/>
    <cellStyle name="Normal 2 2 5 19 4 5" xfId="24785" xr:uid="{00000000-0005-0000-0000-0000CA600000}"/>
    <cellStyle name="Normal 2 2 5 19 4 6" xfId="24786" xr:uid="{00000000-0005-0000-0000-0000CB600000}"/>
    <cellStyle name="Normal 2 2 5 19 4 7" xfId="24787" xr:uid="{00000000-0005-0000-0000-0000CC600000}"/>
    <cellStyle name="Normal 2 2 5 19 4 8" xfId="24788" xr:uid="{00000000-0005-0000-0000-0000CD600000}"/>
    <cellStyle name="Normal 2 2 5 19 4 9" xfId="24789" xr:uid="{00000000-0005-0000-0000-0000CE600000}"/>
    <cellStyle name="Normal 2 2 5 19 5" xfId="24790" xr:uid="{00000000-0005-0000-0000-0000CF600000}"/>
    <cellStyle name="Normal 2 2 5 19 5 10" xfId="24791" xr:uid="{00000000-0005-0000-0000-0000D0600000}"/>
    <cellStyle name="Normal 2 2 5 19 5 2" xfId="24792" xr:uid="{00000000-0005-0000-0000-0000D1600000}"/>
    <cellStyle name="Normal 2 2 5 19 5 3" xfId="24793" xr:uid="{00000000-0005-0000-0000-0000D2600000}"/>
    <cellStyle name="Normal 2 2 5 19 5 4" xfId="24794" xr:uid="{00000000-0005-0000-0000-0000D3600000}"/>
    <cellStyle name="Normal 2 2 5 19 5 5" xfId="24795" xr:uid="{00000000-0005-0000-0000-0000D4600000}"/>
    <cellStyle name="Normal 2 2 5 19 5 6" xfId="24796" xr:uid="{00000000-0005-0000-0000-0000D5600000}"/>
    <cellStyle name="Normal 2 2 5 19 5 7" xfId="24797" xr:uid="{00000000-0005-0000-0000-0000D6600000}"/>
    <cellStyle name="Normal 2 2 5 19 5 8" xfId="24798" xr:uid="{00000000-0005-0000-0000-0000D7600000}"/>
    <cellStyle name="Normal 2 2 5 19 5 9" xfId="24799" xr:uid="{00000000-0005-0000-0000-0000D8600000}"/>
    <cellStyle name="Normal 2 2 5 19 6" xfId="24800" xr:uid="{00000000-0005-0000-0000-0000D9600000}"/>
    <cellStyle name="Normal 2 2 5 19 7" xfId="24801" xr:uid="{00000000-0005-0000-0000-0000DA600000}"/>
    <cellStyle name="Normal 2 2 5 19 8" xfId="24802" xr:uid="{00000000-0005-0000-0000-0000DB600000}"/>
    <cellStyle name="Normal 2 2 5 19 9" xfId="24803" xr:uid="{00000000-0005-0000-0000-0000DC600000}"/>
    <cellStyle name="Normal 2 2 5 2" xfId="24804" xr:uid="{00000000-0005-0000-0000-0000DD600000}"/>
    <cellStyle name="Normal 2 2 5 2 10" xfId="24805" xr:uid="{00000000-0005-0000-0000-0000DE600000}"/>
    <cellStyle name="Normal 2 2 5 2 11" xfId="24806" xr:uid="{00000000-0005-0000-0000-0000DF600000}"/>
    <cellStyle name="Normal 2 2 5 2 12" xfId="24807" xr:uid="{00000000-0005-0000-0000-0000E0600000}"/>
    <cellStyle name="Normal 2 2 5 2 13" xfId="24808" xr:uid="{00000000-0005-0000-0000-0000E1600000}"/>
    <cellStyle name="Normal 2 2 5 2 14" xfId="24809" xr:uid="{00000000-0005-0000-0000-0000E2600000}"/>
    <cellStyle name="Normal 2 2 5 2 15" xfId="24810" xr:uid="{00000000-0005-0000-0000-0000E3600000}"/>
    <cellStyle name="Normal 2 2 5 2 16" xfId="24811" xr:uid="{00000000-0005-0000-0000-0000E4600000}"/>
    <cellStyle name="Normal 2 2 5 2 17" xfId="24812" xr:uid="{00000000-0005-0000-0000-0000E5600000}"/>
    <cellStyle name="Normal 2 2 5 2 18" xfId="24813" xr:uid="{00000000-0005-0000-0000-0000E6600000}"/>
    <cellStyle name="Normal 2 2 5 2 19" xfId="24814" xr:uid="{00000000-0005-0000-0000-0000E7600000}"/>
    <cellStyle name="Normal 2 2 5 2 2" xfId="24815" xr:uid="{00000000-0005-0000-0000-0000E8600000}"/>
    <cellStyle name="Normal 2 2 5 2 20" xfId="24816" xr:uid="{00000000-0005-0000-0000-0000E9600000}"/>
    <cellStyle name="Normal 2 2 5 2 21" xfId="24817" xr:uid="{00000000-0005-0000-0000-0000EA600000}"/>
    <cellStyle name="Normal 2 2 5 2 21 10" xfId="24818" xr:uid="{00000000-0005-0000-0000-0000EB600000}"/>
    <cellStyle name="Normal 2 2 5 2 21 2" xfId="24819" xr:uid="{00000000-0005-0000-0000-0000EC600000}"/>
    <cellStyle name="Normal 2 2 5 2 21 3" xfId="24820" xr:uid="{00000000-0005-0000-0000-0000ED600000}"/>
    <cellStyle name="Normal 2 2 5 2 21 4" xfId="24821" xr:uid="{00000000-0005-0000-0000-0000EE600000}"/>
    <cellStyle name="Normal 2 2 5 2 21 5" xfId="24822" xr:uid="{00000000-0005-0000-0000-0000EF600000}"/>
    <cellStyle name="Normal 2 2 5 2 21 6" xfId="24823" xr:uid="{00000000-0005-0000-0000-0000F0600000}"/>
    <cellStyle name="Normal 2 2 5 2 21 7" xfId="24824" xr:uid="{00000000-0005-0000-0000-0000F1600000}"/>
    <cellStyle name="Normal 2 2 5 2 21 8" xfId="24825" xr:uid="{00000000-0005-0000-0000-0000F2600000}"/>
    <cellStyle name="Normal 2 2 5 2 21 9" xfId="24826" xr:uid="{00000000-0005-0000-0000-0000F3600000}"/>
    <cellStyle name="Normal 2 2 5 2 22" xfId="24827" xr:uid="{00000000-0005-0000-0000-0000F4600000}"/>
    <cellStyle name="Normal 2 2 5 2 22 10" xfId="24828" xr:uid="{00000000-0005-0000-0000-0000F5600000}"/>
    <cellStyle name="Normal 2 2 5 2 22 2" xfId="24829" xr:uid="{00000000-0005-0000-0000-0000F6600000}"/>
    <cellStyle name="Normal 2 2 5 2 22 3" xfId="24830" xr:uid="{00000000-0005-0000-0000-0000F7600000}"/>
    <cellStyle name="Normal 2 2 5 2 22 4" xfId="24831" xr:uid="{00000000-0005-0000-0000-0000F8600000}"/>
    <cellStyle name="Normal 2 2 5 2 22 5" xfId="24832" xr:uid="{00000000-0005-0000-0000-0000F9600000}"/>
    <cellStyle name="Normal 2 2 5 2 22 6" xfId="24833" xr:uid="{00000000-0005-0000-0000-0000FA600000}"/>
    <cellStyle name="Normal 2 2 5 2 22 7" xfId="24834" xr:uid="{00000000-0005-0000-0000-0000FB600000}"/>
    <cellStyle name="Normal 2 2 5 2 22 8" xfId="24835" xr:uid="{00000000-0005-0000-0000-0000FC600000}"/>
    <cellStyle name="Normal 2 2 5 2 22 9" xfId="24836" xr:uid="{00000000-0005-0000-0000-0000FD600000}"/>
    <cellStyle name="Normal 2 2 5 2 23" xfId="24837" xr:uid="{00000000-0005-0000-0000-0000FE600000}"/>
    <cellStyle name="Normal 2 2 5 2 23 10" xfId="24838" xr:uid="{00000000-0005-0000-0000-0000FF600000}"/>
    <cellStyle name="Normal 2 2 5 2 23 2" xfId="24839" xr:uid="{00000000-0005-0000-0000-000000610000}"/>
    <cellStyle name="Normal 2 2 5 2 23 3" xfId="24840" xr:uid="{00000000-0005-0000-0000-000001610000}"/>
    <cellStyle name="Normal 2 2 5 2 23 4" xfId="24841" xr:uid="{00000000-0005-0000-0000-000002610000}"/>
    <cellStyle name="Normal 2 2 5 2 23 5" xfId="24842" xr:uid="{00000000-0005-0000-0000-000003610000}"/>
    <cellStyle name="Normal 2 2 5 2 23 6" xfId="24843" xr:uid="{00000000-0005-0000-0000-000004610000}"/>
    <cellStyle name="Normal 2 2 5 2 23 7" xfId="24844" xr:uid="{00000000-0005-0000-0000-000005610000}"/>
    <cellStyle name="Normal 2 2 5 2 23 8" xfId="24845" xr:uid="{00000000-0005-0000-0000-000006610000}"/>
    <cellStyle name="Normal 2 2 5 2 23 9" xfId="24846" xr:uid="{00000000-0005-0000-0000-000007610000}"/>
    <cellStyle name="Normal 2 2 5 2 24" xfId="24847" xr:uid="{00000000-0005-0000-0000-000008610000}"/>
    <cellStyle name="Normal 2 2 5 2 24 10" xfId="24848" xr:uid="{00000000-0005-0000-0000-000009610000}"/>
    <cellStyle name="Normal 2 2 5 2 24 2" xfId="24849" xr:uid="{00000000-0005-0000-0000-00000A610000}"/>
    <cellStyle name="Normal 2 2 5 2 24 3" xfId="24850" xr:uid="{00000000-0005-0000-0000-00000B610000}"/>
    <cellStyle name="Normal 2 2 5 2 24 4" xfId="24851" xr:uid="{00000000-0005-0000-0000-00000C610000}"/>
    <cellStyle name="Normal 2 2 5 2 24 5" xfId="24852" xr:uid="{00000000-0005-0000-0000-00000D610000}"/>
    <cellStyle name="Normal 2 2 5 2 24 6" xfId="24853" xr:uid="{00000000-0005-0000-0000-00000E610000}"/>
    <cellStyle name="Normal 2 2 5 2 24 7" xfId="24854" xr:uid="{00000000-0005-0000-0000-00000F610000}"/>
    <cellStyle name="Normal 2 2 5 2 24 8" xfId="24855" xr:uid="{00000000-0005-0000-0000-000010610000}"/>
    <cellStyle name="Normal 2 2 5 2 24 9" xfId="24856" xr:uid="{00000000-0005-0000-0000-000011610000}"/>
    <cellStyle name="Normal 2 2 5 2 25" xfId="24857" xr:uid="{00000000-0005-0000-0000-000012610000}"/>
    <cellStyle name="Normal 2 2 5 2 26" xfId="24858" xr:uid="{00000000-0005-0000-0000-000013610000}"/>
    <cellStyle name="Normal 2 2 5 2 27" xfId="24859" xr:uid="{00000000-0005-0000-0000-000014610000}"/>
    <cellStyle name="Normal 2 2 5 2 28" xfId="24860" xr:uid="{00000000-0005-0000-0000-000015610000}"/>
    <cellStyle name="Normal 2 2 5 2 29" xfId="24861" xr:uid="{00000000-0005-0000-0000-000016610000}"/>
    <cellStyle name="Normal 2 2 5 2 3" xfId="24862" xr:uid="{00000000-0005-0000-0000-000017610000}"/>
    <cellStyle name="Normal 2 2 5 2 30" xfId="24863" xr:uid="{00000000-0005-0000-0000-000018610000}"/>
    <cellStyle name="Normal 2 2 5 2 31" xfId="24864" xr:uid="{00000000-0005-0000-0000-000019610000}"/>
    <cellStyle name="Normal 2 2 5 2 32" xfId="24865" xr:uid="{00000000-0005-0000-0000-00001A610000}"/>
    <cellStyle name="Normal 2 2 5 2 33" xfId="24866" xr:uid="{00000000-0005-0000-0000-00001B610000}"/>
    <cellStyle name="Normal 2 2 5 2 4" xfId="24867" xr:uid="{00000000-0005-0000-0000-00001C610000}"/>
    <cellStyle name="Normal 2 2 5 2 5" xfId="24868" xr:uid="{00000000-0005-0000-0000-00001D610000}"/>
    <cellStyle name="Normal 2 2 5 2 6" xfId="24869" xr:uid="{00000000-0005-0000-0000-00001E610000}"/>
    <cellStyle name="Normal 2 2 5 2 7" xfId="24870" xr:uid="{00000000-0005-0000-0000-00001F610000}"/>
    <cellStyle name="Normal 2 2 5 2 8" xfId="24871" xr:uid="{00000000-0005-0000-0000-000020610000}"/>
    <cellStyle name="Normal 2 2 5 2 9" xfId="24872" xr:uid="{00000000-0005-0000-0000-000021610000}"/>
    <cellStyle name="Normal 2 2 5 20" xfId="24873" xr:uid="{00000000-0005-0000-0000-000022610000}"/>
    <cellStyle name="Normal 2 2 5 20 10" xfId="24874" xr:uid="{00000000-0005-0000-0000-000023610000}"/>
    <cellStyle name="Normal 2 2 5 20 11" xfId="24875" xr:uid="{00000000-0005-0000-0000-000024610000}"/>
    <cellStyle name="Normal 2 2 5 20 12" xfId="24876" xr:uid="{00000000-0005-0000-0000-000025610000}"/>
    <cellStyle name="Normal 2 2 5 20 13" xfId="24877" xr:uid="{00000000-0005-0000-0000-000026610000}"/>
    <cellStyle name="Normal 2 2 5 20 14" xfId="24878" xr:uid="{00000000-0005-0000-0000-000027610000}"/>
    <cellStyle name="Normal 2 2 5 20 2" xfId="24879" xr:uid="{00000000-0005-0000-0000-000028610000}"/>
    <cellStyle name="Normal 2 2 5 20 2 10" xfId="24880" xr:uid="{00000000-0005-0000-0000-000029610000}"/>
    <cellStyle name="Normal 2 2 5 20 2 2" xfId="24881" xr:uid="{00000000-0005-0000-0000-00002A610000}"/>
    <cellStyle name="Normal 2 2 5 20 2 3" xfId="24882" xr:uid="{00000000-0005-0000-0000-00002B610000}"/>
    <cellStyle name="Normal 2 2 5 20 2 4" xfId="24883" xr:uid="{00000000-0005-0000-0000-00002C610000}"/>
    <cellStyle name="Normal 2 2 5 20 2 5" xfId="24884" xr:uid="{00000000-0005-0000-0000-00002D610000}"/>
    <cellStyle name="Normal 2 2 5 20 2 6" xfId="24885" xr:uid="{00000000-0005-0000-0000-00002E610000}"/>
    <cellStyle name="Normal 2 2 5 20 2 7" xfId="24886" xr:uid="{00000000-0005-0000-0000-00002F610000}"/>
    <cellStyle name="Normal 2 2 5 20 2 8" xfId="24887" xr:uid="{00000000-0005-0000-0000-000030610000}"/>
    <cellStyle name="Normal 2 2 5 20 2 9" xfId="24888" xr:uid="{00000000-0005-0000-0000-000031610000}"/>
    <cellStyle name="Normal 2 2 5 20 3" xfId="24889" xr:uid="{00000000-0005-0000-0000-000032610000}"/>
    <cellStyle name="Normal 2 2 5 20 3 10" xfId="24890" xr:uid="{00000000-0005-0000-0000-000033610000}"/>
    <cellStyle name="Normal 2 2 5 20 3 2" xfId="24891" xr:uid="{00000000-0005-0000-0000-000034610000}"/>
    <cellStyle name="Normal 2 2 5 20 3 3" xfId="24892" xr:uid="{00000000-0005-0000-0000-000035610000}"/>
    <cellStyle name="Normal 2 2 5 20 3 4" xfId="24893" xr:uid="{00000000-0005-0000-0000-000036610000}"/>
    <cellStyle name="Normal 2 2 5 20 3 5" xfId="24894" xr:uid="{00000000-0005-0000-0000-000037610000}"/>
    <cellStyle name="Normal 2 2 5 20 3 6" xfId="24895" xr:uid="{00000000-0005-0000-0000-000038610000}"/>
    <cellStyle name="Normal 2 2 5 20 3 7" xfId="24896" xr:uid="{00000000-0005-0000-0000-000039610000}"/>
    <cellStyle name="Normal 2 2 5 20 3 8" xfId="24897" xr:uid="{00000000-0005-0000-0000-00003A610000}"/>
    <cellStyle name="Normal 2 2 5 20 3 9" xfId="24898" xr:uid="{00000000-0005-0000-0000-00003B610000}"/>
    <cellStyle name="Normal 2 2 5 20 4" xfId="24899" xr:uid="{00000000-0005-0000-0000-00003C610000}"/>
    <cellStyle name="Normal 2 2 5 20 4 10" xfId="24900" xr:uid="{00000000-0005-0000-0000-00003D610000}"/>
    <cellStyle name="Normal 2 2 5 20 4 2" xfId="24901" xr:uid="{00000000-0005-0000-0000-00003E610000}"/>
    <cellStyle name="Normal 2 2 5 20 4 3" xfId="24902" xr:uid="{00000000-0005-0000-0000-00003F610000}"/>
    <cellStyle name="Normal 2 2 5 20 4 4" xfId="24903" xr:uid="{00000000-0005-0000-0000-000040610000}"/>
    <cellStyle name="Normal 2 2 5 20 4 5" xfId="24904" xr:uid="{00000000-0005-0000-0000-000041610000}"/>
    <cellStyle name="Normal 2 2 5 20 4 6" xfId="24905" xr:uid="{00000000-0005-0000-0000-000042610000}"/>
    <cellStyle name="Normal 2 2 5 20 4 7" xfId="24906" xr:uid="{00000000-0005-0000-0000-000043610000}"/>
    <cellStyle name="Normal 2 2 5 20 4 8" xfId="24907" xr:uid="{00000000-0005-0000-0000-000044610000}"/>
    <cellStyle name="Normal 2 2 5 20 4 9" xfId="24908" xr:uid="{00000000-0005-0000-0000-000045610000}"/>
    <cellStyle name="Normal 2 2 5 20 5" xfId="24909" xr:uid="{00000000-0005-0000-0000-000046610000}"/>
    <cellStyle name="Normal 2 2 5 20 5 10" xfId="24910" xr:uid="{00000000-0005-0000-0000-000047610000}"/>
    <cellStyle name="Normal 2 2 5 20 5 2" xfId="24911" xr:uid="{00000000-0005-0000-0000-000048610000}"/>
    <cellStyle name="Normal 2 2 5 20 5 3" xfId="24912" xr:uid="{00000000-0005-0000-0000-000049610000}"/>
    <cellStyle name="Normal 2 2 5 20 5 4" xfId="24913" xr:uid="{00000000-0005-0000-0000-00004A610000}"/>
    <cellStyle name="Normal 2 2 5 20 5 5" xfId="24914" xr:uid="{00000000-0005-0000-0000-00004B610000}"/>
    <cellStyle name="Normal 2 2 5 20 5 6" xfId="24915" xr:uid="{00000000-0005-0000-0000-00004C610000}"/>
    <cellStyle name="Normal 2 2 5 20 5 7" xfId="24916" xr:uid="{00000000-0005-0000-0000-00004D610000}"/>
    <cellStyle name="Normal 2 2 5 20 5 8" xfId="24917" xr:uid="{00000000-0005-0000-0000-00004E610000}"/>
    <cellStyle name="Normal 2 2 5 20 5 9" xfId="24918" xr:uid="{00000000-0005-0000-0000-00004F610000}"/>
    <cellStyle name="Normal 2 2 5 20 6" xfId="24919" xr:uid="{00000000-0005-0000-0000-000050610000}"/>
    <cellStyle name="Normal 2 2 5 20 7" xfId="24920" xr:uid="{00000000-0005-0000-0000-000051610000}"/>
    <cellStyle name="Normal 2 2 5 20 8" xfId="24921" xr:uid="{00000000-0005-0000-0000-000052610000}"/>
    <cellStyle name="Normal 2 2 5 20 9" xfId="24922" xr:uid="{00000000-0005-0000-0000-000053610000}"/>
    <cellStyle name="Normal 2 2 5 21" xfId="24923" xr:uid="{00000000-0005-0000-0000-000054610000}"/>
    <cellStyle name="Normal 2 2 5 22" xfId="24924" xr:uid="{00000000-0005-0000-0000-000055610000}"/>
    <cellStyle name="Normal 2 2 5 23" xfId="24925" xr:uid="{00000000-0005-0000-0000-000056610000}"/>
    <cellStyle name="Normal 2 2 5 3" xfId="24926" xr:uid="{00000000-0005-0000-0000-000057610000}"/>
    <cellStyle name="Normal 2 2 5 3 10" xfId="24927" xr:uid="{00000000-0005-0000-0000-000058610000}"/>
    <cellStyle name="Normal 2 2 5 3 11" xfId="24928" xr:uid="{00000000-0005-0000-0000-000059610000}"/>
    <cellStyle name="Normal 2 2 5 3 12" xfId="24929" xr:uid="{00000000-0005-0000-0000-00005A610000}"/>
    <cellStyle name="Normal 2 2 5 3 13" xfId="24930" xr:uid="{00000000-0005-0000-0000-00005B610000}"/>
    <cellStyle name="Normal 2 2 5 3 14" xfId="24931" xr:uid="{00000000-0005-0000-0000-00005C610000}"/>
    <cellStyle name="Normal 2 2 5 3 2" xfId="24932" xr:uid="{00000000-0005-0000-0000-00005D610000}"/>
    <cellStyle name="Normal 2 2 5 3 2 10" xfId="24933" xr:uid="{00000000-0005-0000-0000-00005E610000}"/>
    <cellStyle name="Normal 2 2 5 3 2 2" xfId="24934" xr:uid="{00000000-0005-0000-0000-00005F610000}"/>
    <cellStyle name="Normal 2 2 5 3 2 3" xfId="24935" xr:uid="{00000000-0005-0000-0000-000060610000}"/>
    <cellStyle name="Normal 2 2 5 3 2 4" xfId="24936" xr:uid="{00000000-0005-0000-0000-000061610000}"/>
    <cellStyle name="Normal 2 2 5 3 2 5" xfId="24937" xr:uid="{00000000-0005-0000-0000-000062610000}"/>
    <cellStyle name="Normal 2 2 5 3 2 6" xfId="24938" xr:uid="{00000000-0005-0000-0000-000063610000}"/>
    <cellStyle name="Normal 2 2 5 3 2 7" xfId="24939" xr:uid="{00000000-0005-0000-0000-000064610000}"/>
    <cellStyle name="Normal 2 2 5 3 2 8" xfId="24940" xr:uid="{00000000-0005-0000-0000-000065610000}"/>
    <cellStyle name="Normal 2 2 5 3 2 9" xfId="24941" xr:uid="{00000000-0005-0000-0000-000066610000}"/>
    <cellStyle name="Normal 2 2 5 3 3" xfId="24942" xr:uid="{00000000-0005-0000-0000-000067610000}"/>
    <cellStyle name="Normal 2 2 5 3 3 10" xfId="24943" xr:uid="{00000000-0005-0000-0000-000068610000}"/>
    <cellStyle name="Normal 2 2 5 3 3 2" xfId="24944" xr:uid="{00000000-0005-0000-0000-000069610000}"/>
    <cellStyle name="Normal 2 2 5 3 3 3" xfId="24945" xr:uid="{00000000-0005-0000-0000-00006A610000}"/>
    <cellStyle name="Normal 2 2 5 3 3 4" xfId="24946" xr:uid="{00000000-0005-0000-0000-00006B610000}"/>
    <cellStyle name="Normal 2 2 5 3 3 5" xfId="24947" xr:uid="{00000000-0005-0000-0000-00006C610000}"/>
    <cellStyle name="Normal 2 2 5 3 3 6" xfId="24948" xr:uid="{00000000-0005-0000-0000-00006D610000}"/>
    <cellStyle name="Normal 2 2 5 3 3 7" xfId="24949" xr:uid="{00000000-0005-0000-0000-00006E610000}"/>
    <cellStyle name="Normal 2 2 5 3 3 8" xfId="24950" xr:uid="{00000000-0005-0000-0000-00006F610000}"/>
    <cellStyle name="Normal 2 2 5 3 3 9" xfId="24951" xr:uid="{00000000-0005-0000-0000-000070610000}"/>
    <cellStyle name="Normal 2 2 5 3 4" xfId="24952" xr:uid="{00000000-0005-0000-0000-000071610000}"/>
    <cellStyle name="Normal 2 2 5 3 4 10" xfId="24953" xr:uid="{00000000-0005-0000-0000-000072610000}"/>
    <cellStyle name="Normal 2 2 5 3 4 2" xfId="24954" xr:uid="{00000000-0005-0000-0000-000073610000}"/>
    <cellStyle name="Normal 2 2 5 3 4 3" xfId="24955" xr:uid="{00000000-0005-0000-0000-000074610000}"/>
    <cellStyle name="Normal 2 2 5 3 4 4" xfId="24956" xr:uid="{00000000-0005-0000-0000-000075610000}"/>
    <cellStyle name="Normal 2 2 5 3 4 5" xfId="24957" xr:uid="{00000000-0005-0000-0000-000076610000}"/>
    <cellStyle name="Normal 2 2 5 3 4 6" xfId="24958" xr:uid="{00000000-0005-0000-0000-000077610000}"/>
    <cellStyle name="Normal 2 2 5 3 4 7" xfId="24959" xr:uid="{00000000-0005-0000-0000-000078610000}"/>
    <cellStyle name="Normal 2 2 5 3 4 8" xfId="24960" xr:uid="{00000000-0005-0000-0000-000079610000}"/>
    <cellStyle name="Normal 2 2 5 3 4 9" xfId="24961" xr:uid="{00000000-0005-0000-0000-00007A610000}"/>
    <cellStyle name="Normal 2 2 5 3 5" xfId="24962" xr:uid="{00000000-0005-0000-0000-00007B610000}"/>
    <cellStyle name="Normal 2 2 5 3 5 10" xfId="24963" xr:uid="{00000000-0005-0000-0000-00007C610000}"/>
    <cellStyle name="Normal 2 2 5 3 5 2" xfId="24964" xr:uid="{00000000-0005-0000-0000-00007D610000}"/>
    <cellStyle name="Normal 2 2 5 3 5 3" xfId="24965" xr:uid="{00000000-0005-0000-0000-00007E610000}"/>
    <cellStyle name="Normal 2 2 5 3 5 4" xfId="24966" xr:uid="{00000000-0005-0000-0000-00007F610000}"/>
    <cellStyle name="Normal 2 2 5 3 5 5" xfId="24967" xr:uid="{00000000-0005-0000-0000-000080610000}"/>
    <cellStyle name="Normal 2 2 5 3 5 6" xfId="24968" xr:uid="{00000000-0005-0000-0000-000081610000}"/>
    <cellStyle name="Normal 2 2 5 3 5 7" xfId="24969" xr:uid="{00000000-0005-0000-0000-000082610000}"/>
    <cellStyle name="Normal 2 2 5 3 5 8" xfId="24970" xr:uid="{00000000-0005-0000-0000-000083610000}"/>
    <cellStyle name="Normal 2 2 5 3 5 9" xfId="24971" xr:uid="{00000000-0005-0000-0000-000084610000}"/>
    <cellStyle name="Normal 2 2 5 3 6" xfId="24972" xr:uid="{00000000-0005-0000-0000-000085610000}"/>
    <cellStyle name="Normal 2 2 5 3 7" xfId="24973" xr:uid="{00000000-0005-0000-0000-000086610000}"/>
    <cellStyle name="Normal 2 2 5 3 8" xfId="24974" xr:uid="{00000000-0005-0000-0000-000087610000}"/>
    <cellStyle name="Normal 2 2 5 3 9" xfId="24975" xr:uid="{00000000-0005-0000-0000-000088610000}"/>
    <cellStyle name="Normal 2 2 5 4" xfId="24976" xr:uid="{00000000-0005-0000-0000-000089610000}"/>
    <cellStyle name="Normal 2 2 5 4 10" xfId="24977" xr:uid="{00000000-0005-0000-0000-00008A610000}"/>
    <cellStyle name="Normal 2 2 5 4 11" xfId="24978" xr:uid="{00000000-0005-0000-0000-00008B610000}"/>
    <cellStyle name="Normal 2 2 5 4 12" xfId="24979" xr:uid="{00000000-0005-0000-0000-00008C610000}"/>
    <cellStyle name="Normal 2 2 5 4 13" xfId="24980" xr:uid="{00000000-0005-0000-0000-00008D610000}"/>
    <cellStyle name="Normal 2 2 5 4 14" xfId="24981" xr:uid="{00000000-0005-0000-0000-00008E610000}"/>
    <cellStyle name="Normal 2 2 5 4 2" xfId="24982" xr:uid="{00000000-0005-0000-0000-00008F610000}"/>
    <cellStyle name="Normal 2 2 5 4 2 10" xfId="24983" xr:uid="{00000000-0005-0000-0000-000090610000}"/>
    <cellStyle name="Normal 2 2 5 4 2 2" xfId="24984" xr:uid="{00000000-0005-0000-0000-000091610000}"/>
    <cellStyle name="Normal 2 2 5 4 2 3" xfId="24985" xr:uid="{00000000-0005-0000-0000-000092610000}"/>
    <cellStyle name="Normal 2 2 5 4 2 4" xfId="24986" xr:uid="{00000000-0005-0000-0000-000093610000}"/>
    <cellStyle name="Normal 2 2 5 4 2 5" xfId="24987" xr:uid="{00000000-0005-0000-0000-000094610000}"/>
    <cellStyle name="Normal 2 2 5 4 2 6" xfId="24988" xr:uid="{00000000-0005-0000-0000-000095610000}"/>
    <cellStyle name="Normal 2 2 5 4 2 7" xfId="24989" xr:uid="{00000000-0005-0000-0000-000096610000}"/>
    <cellStyle name="Normal 2 2 5 4 2 8" xfId="24990" xr:uid="{00000000-0005-0000-0000-000097610000}"/>
    <cellStyle name="Normal 2 2 5 4 2 9" xfId="24991" xr:uid="{00000000-0005-0000-0000-000098610000}"/>
    <cellStyle name="Normal 2 2 5 4 3" xfId="24992" xr:uid="{00000000-0005-0000-0000-000099610000}"/>
    <cellStyle name="Normal 2 2 5 4 3 10" xfId="24993" xr:uid="{00000000-0005-0000-0000-00009A610000}"/>
    <cellStyle name="Normal 2 2 5 4 3 2" xfId="24994" xr:uid="{00000000-0005-0000-0000-00009B610000}"/>
    <cellStyle name="Normal 2 2 5 4 3 3" xfId="24995" xr:uid="{00000000-0005-0000-0000-00009C610000}"/>
    <cellStyle name="Normal 2 2 5 4 3 4" xfId="24996" xr:uid="{00000000-0005-0000-0000-00009D610000}"/>
    <cellStyle name="Normal 2 2 5 4 3 5" xfId="24997" xr:uid="{00000000-0005-0000-0000-00009E610000}"/>
    <cellStyle name="Normal 2 2 5 4 3 6" xfId="24998" xr:uid="{00000000-0005-0000-0000-00009F610000}"/>
    <cellStyle name="Normal 2 2 5 4 3 7" xfId="24999" xr:uid="{00000000-0005-0000-0000-0000A0610000}"/>
    <cellStyle name="Normal 2 2 5 4 3 8" xfId="25000" xr:uid="{00000000-0005-0000-0000-0000A1610000}"/>
    <cellStyle name="Normal 2 2 5 4 3 9" xfId="25001" xr:uid="{00000000-0005-0000-0000-0000A2610000}"/>
    <cellStyle name="Normal 2 2 5 4 4" xfId="25002" xr:uid="{00000000-0005-0000-0000-0000A3610000}"/>
    <cellStyle name="Normal 2 2 5 4 4 10" xfId="25003" xr:uid="{00000000-0005-0000-0000-0000A4610000}"/>
    <cellStyle name="Normal 2 2 5 4 4 2" xfId="25004" xr:uid="{00000000-0005-0000-0000-0000A5610000}"/>
    <cellStyle name="Normal 2 2 5 4 4 3" xfId="25005" xr:uid="{00000000-0005-0000-0000-0000A6610000}"/>
    <cellStyle name="Normal 2 2 5 4 4 4" xfId="25006" xr:uid="{00000000-0005-0000-0000-0000A7610000}"/>
    <cellStyle name="Normal 2 2 5 4 4 5" xfId="25007" xr:uid="{00000000-0005-0000-0000-0000A8610000}"/>
    <cellStyle name="Normal 2 2 5 4 4 6" xfId="25008" xr:uid="{00000000-0005-0000-0000-0000A9610000}"/>
    <cellStyle name="Normal 2 2 5 4 4 7" xfId="25009" xr:uid="{00000000-0005-0000-0000-0000AA610000}"/>
    <cellStyle name="Normal 2 2 5 4 4 8" xfId="25010" xr:uid="{00000000-0005-0000-0000-0000AB610000}"/>
    <cellStyle name="Normal 2 2 5 4 4 9" xfId="25011" xr:uid="{00000000-0005-0000-0000-0000AC610000}"/>
    <cellStyle name="Normal 2 2 5 4 5" xfId="25012" xr:uid="{00000000-0005-0000-0000-0000AD610000}"/>
    <cellStyle name="Normal 2 2 5 4 5 10" xfId="25013" xr:uid="{00000000-0005-0000-0000-0000AE610000}"/>
    <cellStyle name="Normal 2 2 5 4 5 2" xfId="25014" xr:uid="{00000000-0005-0000-0000-0000AF610000}"/>
    <cellStyle name="Normal 2 2 5 4 5 3" xfId="25015" xr:uid="{00000000-0005-0000-0000-0000B0610000}"/>
    <cellStyle name="Normal 2 2 5 4 5 4" xfId="25016" xr:uid="{00000000-0005-0000-0000-0000B1610000}"/>
    <cellStyle name="Normal 2 2 5 4 5 5" xfId="25017" xr:uid="{00000000-0005-0000-0000-0000B2610000}"/>
    <cellStyle name="Normal 2 2 5 4 5 6" xfId="25018" xr:uid="{00000000-0005-0000-0000-0000B3610000}"/>
    <cellStyle name="Normal 2 2 5 4 5 7" xfId="25019" xr:uid="{00000000-0005-0000-0000-0000B4610000}"/>
    <cellStyle name="Normal 2 2 5 4 5 8" xfId="25020" xr:uid="{00000000-0005-0000-0000-0000B5610000}"/>
    <cellStyle name="Normal 2 2 5 4 5 9" xfId="25021" xr:uid="{00000000-0005-0000-0000-0000B6610000}"/>
    <cellStyle name="Normal 2 2 5 4 6" xfId="25022" xr:uid="{00000000-0005-0000-0000-0000B7610000}"/>
    <cellStyle name="Normal 2 2 5 4 7" xfId="25023" xr:uid="{00000000-0005-0000-0000-0000B8610000}"/>
    <cellStyle name="Normal 2 2 5 4 8" xfId="25024" xr:uid="{00000000-0005-0000-0000-0000B9610000}"/>
    <cellStyle name="Normal 2 2 5 4 9" xfId="25025" xr:uid="{00000000-0005-0000-0000-0000BA610000}"/>
    <cellStyle name="Normal 2 2 5 5" xfId="25026" xr:uid="{00000000-0005-0000-0000-0000BB610000}"/>
    <cellStyle name="Normal 2 2 5 5 10" xfId="25027" xr:uid="{00000000-0005-0000-0000-0000BC610000}"/>
    <cellStyle name="Normal 2 2 5 5 11" xfId="25028" xr:uid="{00000000-0005-0000-0000-0000BD610000}"/>
    <cellStyle name="Normal 2 2 5 5 12" xfId="25029" xr:uid="{00000000-0005-0000-0000-0000BE610000}"/>
    <cellStyle name="Normal 2 2 5 5 13" xfId="25030" xr:uid="{00000000-0005-0000-0000-0000BF610000}"/>
    <cellStyle name="Normal 2 2 5 5 14" xfId="25031" xr:uid="{00000000-0005-0000-0000-0000C0610000}"/>
    <cellStyle name="Normal 2 2 5 5 2" xfId="25032" xr:uid="{00000000-0005-0000-0000-0000C1610000}"/>
    <cellStyle name="Normal 2 2 5 5 2 10" xfId="25033" xr:uid="{00000000-0005-0000-0000-0000C2610000}"/>
    <cellStyle name="Normal 2 2 5 5 2 2" xfId="25034" xr:uid="{00000000-0005-0000-0000-0000C3610000}"/>
    <cellStyle name="Normal 2 2 5 5 2 3" xfId="25035" xr:uid="{00000000-0005-0000-0000-0000C4610000}"/>
    <cellStyle name="Normal 2 2 5 5 2 4" xfId="25036" xr:uid="{00000000-0005-0000-0000-0000C5610000}"/>
    <cellStyle name="Normal 2 2 5 5 2 5" xfId="25037" xr:uid="{00000000-0005-0000-0000-0000C6610000}"/>
    <cellStyle name="Normal 2 2 5 5 2 6" xfId="25038" xr:uid="{00000000-0005-0000-0000-0000C7610000}"/>
    <cellStyle name="Normal 2 2 5 5 2 7" xfId="25039" xr:uid="{00000000-0005-0000-0000-0000C8610000}"/>
    <cellStyle name="Normal 2 2 5 5 2 8" xfId="25040" xr:uid="{00000000-0005-0000-0000-0000C9610000}"/>
    <cellStyle name="Normal 2 2 5 5 2 9" xfId="25041" xr:uid="{00000000-0005-0000-0000-0000CA610000}"/>
    <cellStyle name="Normal 2 2 5 5 3" xfId="25042" xr:uid="{00000000-0005-0000-0000-0000CB610000}"/>
    <cellStyle name="Normal 2 2 5 5 3 10" xfId="25043" xr:uid="{00000000-0005-0000-0000-0000CC610000}"/>
    <cellStyle name="Normal 2 2 5 5 3 2" xfId="25044" xr:uid="{00000000-0005-0000-0000-0000CD610000}"/>
    <cellStyle name="Normal 2 2 5 5 3 3" xfId="25045" xr:uid="{00000000-0005-0000-0000-0000CE610000}"/>
    <cellStyle name="Normal 2 2 5 5 3 4" xfId="25046" xr:uid="{00000000-0005-0000-0000-0000CF610000}"/>
    <cellStyle name="Normal 2 2 5 5 3 5" xfId="25047" xr:uid="{00000000-0005-0000-0000-0000D0610000}"/>
    <cellStyle name="Normal 2 2 5 5 3 6" xfId="25048" xr:uid="{00000000-0005-0000-0000-0000D1610000}"/>
    <cellStyle name="Normal 2 2 5 5 3 7" xfId="25049" xr:uid="{00000000-0005-0000-0000-0000D2610000}"/>
    <cellStyle name="Normal 2 2 5 5 3 8" xfId="25050" xr:uid="{00000000-0005-0000-0000-0000D3610000}"/>
    <cellStyle name="Normal 2 2 5 5 3 9" xfId="25051" xr:uid="{00000000-0005-0000-0000-0000D4610000}"/>
    <cellStyle name="Normal 2 2 5 5 4" xfId="25052" xr:uid="{00000000-0005-0000-0000-0000D5610000}"/>
    <cellStyle name="Normal 2 2 5 5 4 10" xfId="25053" xr:uid="{00000000-0005-0000-0000-0000D6610000}"/>
    <cellStyle name="Normal 2 2 5 5 4 2" xfId="25054" xr:uid="{00000000-0005-0000-0000-0000D7610000}"/>
    <cellStyle name="Normal 2 2 5 5 4 3" xfId="25055" xr:uid="{00000000-0005-0000-0000-0000D8610000}"/>
    <cellStyle name="Normal 2 2 5 5 4 4" xfId="25056" xr:uid="{00000000-0005-0000-0000-0000D9610000}"/>
    <cellStyle name="Normal 2 2 5 5 4 5" xfId="25057" xr:uid="{00000000-0005-0000-0000-0000DA610000}"/>
    <cellStyle name="Normal 2 2 5 5 4 6" xfId="25058" xr:uid="{00000000-0005-0000-0000-0000DB610000}"/>
    <cellStyle name="Normal 2 2 5 5 4 7" xfId="25059" xr:uid="{00000000-0005-0000-0000-0000DC610000}"/>
    <cellStyle name="Normal 2 2 5 5 4 8" xfId="25060" xr:uid="{00000000-0005-0000-0000-0000DD610000}"/>
    <cellStyle name="Normal 2 2 5 5 4 9" xfId="25061" xr:uid="{00000000-0005-0000-0000-0000DE610000}"/>
    <cellStyle name="Normal 2 2 5 5 5" xfId="25062" xr:uid="{00000000-0005-0000-0000-0000DF610000}"/>
    <cellStyle name="Normal 2 2 5 5 5 10" xfId="25063" xr:uid="{00000000-0005-0000-0000-0000E0610000}"/>
    <cellStyle name="Normal 2 2 5 5 5 2" xfId="25064" xr:uid="{00000000-0005-0000-0000-0000E1610000}"/>
    <cellStyle name="Normal 2 2 5 5 5 3" xfId="25065" xr:uid="{00000000-0005-0000-0000-0000E2610000}"/>
    <cellStyle name="Normal 2 2 5 5 5 4" xfId="25066" xr:uid="{00000000-0005-0000-0000-0000E3610000}"/>
    <cellStyle name="Normal 2 2 5 5 5 5" xfId="25067" xr:uid="{00000000-0005-0000-0000-0000E4610000}"/>
    <cellStyle name="Normal 2 2 5 5 5 6" xfId="25068" xr:uid="{00000000-0005-0000-0000-0000E5610000}"/>
    <cellStyle name="Normal 2 2 5 5 5 7" xfId="25069" xr:uid="{00000000-0005-0000-0000-0000E6610000}"/>
    <cellStyle name="Normal 2 2 5 5 5 8" xfId="25070" xr:uid="{00000000-0005-0000-0000-0000E7610000}"/>
    <cellStyle name="Normal 2 2 5 5 5 9" xfId="25071" xr:uid="{00000000-0005-0000-0000-0000E8610000}"/>
    <cellStyle name="Normal 2 2 5 5 6" xfId="25072" xr:uid="{00000000-0005-0000-0000-0000E9610000}"/>
    <cellStyle name="Normal 2 2 5 5 7" xfId="25073" xr:uid="{00000000-0005-0000-0000-0000EA610000}"/>
    <cellStyle name="Normal 2 2 5 5 8" xfId="25074" xr:uid="{00000000-0005-0000-0000-0000EB610000}"/>
    <cellStyle name="Normal 2 2 5 5 9" xfId="25075" xr:uid="{00000000-0005-0000-0000-0000EC610000}"/>
    <cellStyle name="Normal 2 2 5 6" xfId="25076" xr:uid="{00000000-0005-0000-0000-0000ED610000}"/>
    <cellStyle name="Normal 2 2 5 6 10" xfId="25077" xr:uid="{00000000-0005-0000-0000-0000EE610000}"/>
    <cellStyle name="Normal 2 2 5 6 11" xfId="25078" xr:uid="{00000000-0005-0000-0000-0000EF610000}"/>
    <cellStyle name="Normal 2 2 5 6 12" xfId="25079" xr:uid="{00000000-0005-0000-0000-0000F0610000}"/>
    <cellStyle name="Normal 2 2 5 6 13" xfId="25080" xr:uid="{00000000-0005-0000-0000-0000F1610000}"/>
    <cellStyle name="Normal 2 2 5 6 14" xfId="25081" xr:uid="{00000000-0005-0000-0000-0000F2610000}"/>
    <cellStyle name="Normal 2 2 5 6 2" xfId="25082" xr:uid="{00000000-0005-0000-0000-0000F3610000}"/>
    <cellStyle name="Normal 2 2 5 6 2 10" xfId="25083" xr:uid="{00000000-0005-0000-0000-0000F4610000}"/>
    <cellStyle name="Normal 2 2 5 6 2 2" xfId="25084" xr:uid="{00000000-0005-0000-0000-0000F5610000}"/>
    <cellStyle name="Normal 2 2 5 6 2 3" xfId="25085" xr:uid="{00000000-0005-0000-0000-0000F6610000}"/>
    <cellStyle name="Normal 2 2 5 6 2 4" xfId="25086" xr:uid="{00000000-0005-0000-0000-0000F7610000}"/>
    <cellStyle name="Normal 2 2 5 6 2 5" xfId="25087" xr:uid="{00000000-0005-0000-0000-0000F8610000}"/>
    <cellStyle name="Normal 2 2 5 6 2 6" xfId="25088" xr:uid="{00000000-0005-0000-0000-0000F9610000}"/>
    <cellStyle name="Normal 2 2 5 6 2 7" xfId="25089" xr:uid="{00000000-0005-0000-0000-0000FA610000}"/>
    <cellStyle name="Normal 2 2 5 6 2 8" xfId="25090" xr:uid="{00000000-0005-0000-0000-0000FB610000}"/>
    <cellStyle name="Normal 2 2 5 6 2 9" xfId="25091" xr:uid="{00000000-0005-0000-0000-0000FC610000}"/>
    <cellStyle name="Normal 2 2 5 6 3" xfId="25092" xr:uid="{00000000-0005-0000-0000-0000FD610000}"/>
    <cellStyle name="Normal 2 2 5 6 3 10" xfId="25093" xr:uid="{00000000-0005-0000-0000-0000FE610000}"/>
    <cellStyle name="Normal 2 2 5 6 3 2" xfId="25094" xr:uid="{00000000-0005-0000-0000-0000FF610000}"/>
    <cellStyle name="Normal 2 2 5 6 3 3" xfId="25095" xr:uid="{00000000-0005-0000-0000-000000620000}"/>
    <cellStyle name="Normal 2 2 5 6 3 4" xfId="25096" xr:uid="{00000000-0005-0000-0000-000001620000}"/>
    <cellStyle name="Normal 2 2 5 6 3 5" xfId="25097" xr:uid="{00000000-0005-0000-0000-000002620000}"/>
    <cellStyle name="Normal 2 2 5 6 3 6" xfId="25098" xr:uid="{00000000-0005-0000-0000-000003620000}"/>
    <cellStyle name="Normal 2 2 5 6 3 7" xfId="25099" xr:uid="{00000000-0005-0000-0000-000004620000}"/>
    <cellStyle name="Normal 2 2 5 6 3 8" xfId="25100" xr:uid="{00000000-0005-0000-0000-000005620000}"/>
    <cellStyle name="Normal 2 2 5 6 3 9" xfId="25101" xr:uid="{00000000-0005-0000-0000-000006620000}"/>
    <cellStyle name="Normal 2 2 5 6 4" xfId="25102" xr:uid="{00000000-0005-0000-0000-000007620000}"/>
    <cellStyle name="Normal 2 2 5 6 4 10" xfId="25103" xr:uid="{00000000-0005-0000-0000-000008620000}"/>
    <cellStyle name="Normal 2 2 5 6 4 2" xfId="25104" xr:uid="{00000000-0005-0000-0000-000009620000}"/>
    <cellStyle name="Normal 2 2 5 6 4 3" xfId="25105" xr:uid="{00000000-0005-0000-0000-00000A620000}"/>
    <cellStyle name="Normal 2 2 5 6 4 4" xfId="25106" xr:uid="{00000000-0005-0000-0000-00000B620000}"/>
    <cellStyle name="Normal 2 2 5 6 4 5" xfId="25107" xr:uid="{00000000-0005-0000-0000-00000C620000}"/>
    <cellStyle name="Normal 2 2 5 6 4 6" xfId="25108" xr:uid="{00000000-0005-0000-0000-00000D620000}"/>
    <cellStyle name="Normal 2 2 5 6 4 7" xfId="25109" xr:uid="{00000000-0005-0000-0000-00000E620000}"/>
    <cellStyle name="Normal 2 2 5 6 4 8" xfId="25110" xr:uid="{00000000-0005-0000-0000-00000F620000}"/>
    <cellStyle name="Normal 2 2 5 6 4 9" xfId="25111" xr:uid="{00000000-0005-0000-0000-000010620000}"/>
    <cellStyle name="Normal 2 2 5 6 5" xfId="25112" xr:uid="{00000000-0005-0000-0000-000011620000}"/>
    <cellStyle name="Normal 2 2 5 6 5 10" xfId="25113" xr:uid="{00000000-0005-0000-0000-000012620000}"/>
    <cellStyle name="Normal 2 2 5 6 5 2" xfId="25114" xr:uid="{00000000-0005-0000-0000-000013620000}"/>
    <cellStyle name="Normal 2 2 5 6 5 3" xfId="25115" xr:uid="{00000000-0005-0000-0000-000014620000}"/>
    <cellStyle name="Normal 2 2 5 6 5 4" xfId="25116" xr:uid="{00000000-0005-0000-0000-000015620000}"/>
    <cellStyle name="Normal 2 2 5 6 5 5" xfId="25117" xr:uid="{00000000-0005-0000-0000-000016620000}"/>
    <cellStyle name="Normal 2 2 5 6 5 6" xfId="25118" xr:uid="{00000000-0005-0000-0000-000017620000}"/>
    <cellStyle name="Normal 2 2 5 6 5 7" xfId="25119" xr:uid="{00000000-0005-0000-0000-000018620000}"/>
    <cellStyle name="Normal 2 2 5 6 5 8" xfId="25120" xr:uid="{00000000-0005-0000-0000-000019620000}"/>
    <cellStyle name="Normal 2 2 5 6 5 9" xfId="25121" xr:uid="{00000000-0005-0000-0000-00001A620000}"/>
    <cellStyle name="Normal 2 2 5 6 6" xfId="25122" xr:uid="{00000000-0005-0000-0000-00001B620000}"/>
    <cellStyle name="Normal 2 2 5 6 7" xfId="25123" xr:uid="{00000000-0005-0000-0000-00001C620000}"/>
    <cellStyle name="Normal 2 2 5 6 8" xfId="25124" xr:uid="{00000000-0005-0000-0000-00001D620000}"/>
    <cellStyle name="Normal 2 2 5 6 9" xfId="25125" xr:uid="{00000000-0005-0000-0000-00001E620000}"/>
    <cellStyle name="Normal 2 2 5 7" xfId="25126" xr:uid="{00000000-0005-0000-0000-00001F620000}"/>
    <cellStyle name="Normal 2 2 5 7 10" xfId="25127" xr:uid="{00000000-0005-0000-0000-000020620000}"/>
    <cellStyle name="Normal 2 2 5 7 11" xfId="25128" xr:uid="{00000000-0005-0000-0000-000021620000}"/>
    <cellStyle name="Normal 2 2 5 7 12" xfId="25129" xr:uid="{00000000-0005-0000-0000-000022620000}"/>
    <cellStyle name="Normal 2 2 5 7 13" xfId="25130" xr:uid="{00000000-0005-0000-0000-000023620000}"/>
    <cellStyle name="Normal 2 2 5 7 14" xfId="25131" xr:uid="{00000000-0005-0000-0000-000024620000}"/>
    <cellStyle name="Normal 2 2 5 7 2" xfId="25132" xr:uid="{00000000-0005-0000-0000-000025620000}"/>
    <cellStyle name="Normal 2 2 5 7 2 10" xfId="25133" xr:uid="{00000000-0005-0000-0000-000026620000}"/>
    <cellStyle name="Normal 2 2 5 7 2 2" xfId="25134" xr:uid="{00000000-0005-0000-0000-000027620000}"/>
    <cellStyle name="Normal 2 2 5 7 2 3" xfId="25135" xr:uid="{00000000-0005-0000-0000-000028620000}"/>
    <cellStyle name="Normal 2 2 5 7 2 4" xfId="25136" xr:uid="{00000000-0005-0000-0000-000029620000}"/>
    <cellStyle name="Normal 2 2 5 7 2 5" xfId="25137" xr:uid="{00000000-0005-0000-0000-00002A620000}"/>
    <cellStyle name="Normal 2 2 5 7 2 6" xfId="25138" xr:uid="{00000000-0005-0000-0000-00002B620000}"/>
    <cellStyle name="Normal 2 2 5 7 2 7" xfId="25139" xr:uid="{00000000-0005-0000-0000-00002C620000}"/>
    <cellStyle name="Normal 2 2 5 7 2 8" xfId="25140" xr:uid="{00000000-0005-0000-0000-00002D620000}"/>
    <cellStyle name="Normal 2 2 5 7 2 9" xfId="25141" xr:uid="{00000000-0005-0000-0000-00002E620000}"/>
    <cellStyle name="Normal 2 2 5 7 3" xfId="25142" xr:uid="{00000000-0005-0000-0000-00002F620000}"/>
    <cellStyle name="Normal 2 2 5 7 3 10" xfId="25143" xr:uid="{00000000-0005-0000-0000-000030620000}"/>
    <cellStyle name="Normal 2 2 5 7 3 2" xfId="25144" xr:uid="{00000000-0005-0000-0000-000031620000}"/>
    <cellStyle name="Normal 2 2 5 7 3 3" xfId="25145" xr:uid="{00000000-0005-0000-0000-000032620000}"/>
    <cellStyle name="Normal 2 2 5 7 3 4" xfId="25146" xr:uid="{00000000-0005-0000-0000-000033620000}"/>
    <cellStyle name="Normal 2 2 5 7 3 5" xfId="25147" xr:uid="{00000000-0005-0000-0000-000034620000}"/>
    <cellStyle name="Normal 2 2 5 7 3 6" xfId="25148" xr:uid="{00000000-0005-0000-0000-000035620000}"/>
    <cellStyle name="Normal 2 2 5 7 3 7" xfId="25149" xr:uid="{00000000-0005-0000-0000-000036620000}"/>
    <cellStyle name="Normal 2 2 5 7 3 8" xfId="25150" xr:uid="{00000000-0005-0000-0000-000037620000}"/>
    <cellStyle name="Normal 2 2 5 7 3 9" xfId="25151" xr:uid="{00000000-0005-0000-0000-000038620000}"/>
    <cellStyle name="Normal 2 2 5 7 4" xfId="25152" xr:uid="{00000000-0005-0000-0000-000039620000}"/>
    <cellStyle name="Normal 2 2 5 7 4 10" xfId="25153" xr:uid="{00000000-0005-0000-0000-00003A620000}"/>
    <cellStyle name="Normal 2 2 5 7 4 2" xfId="25154" xr:uid="{00000000-0005-0000-0000-00003B620000}"/>
    <cellStyle name="Normal 2 2 5 7 4 3" xfId="25155" xr:uid="{00000000-0005-0000-0000-00003C620000}"/>
    <cellStyle name="Normal 2 2 5 7 4 4" xfId="25156" xr:uid="{00000000-0005-0000-0000-00003D620000}"/>
    <cellStyle name="Normal 2 2 5 7 4 5" xfId="25157" xr:uid="{00000000-0005-0000-0000-00003E620000}"/>
    <cellStyle name="Normal 2 2 5 7 4 6" xfId="25158" xr:uid="{00000000-0005-0000-0000-00003F620000}"/>
    <cellStyle name="Normal 2 2 5 7 4 7" xfId="25159" xr:uid="{00000000-0005-0000-0000-000040620000}"/>
    <cellStyle name="Normal 2 2 5 7 4 8" xfId="25160" xr:uid="{00000000-0005-0000-0000-000041620000}"/>
    <cellStyle name="Normal 2 2 5 7 4 9" xfId="25161" xr:uid="{00000000-0005-0000-0000-000042620000}"/>
    <cellStyle name="Normal 2 2 5 7 5" xfId="25162" xr:uid="{00000000-0005-0000-0000-000043620000}"/>
    <cellStyle name="Normal 2 2 5 7 5 10" xfId="25163" xr:uid="{00000000-0005-0000-0000-000044620000}"/>
    <cellStyle name="Normal 2 2 5 7 5 2" xfId="25164" xr:uid="{00000000-0005-0000-0000-000045620000}"/>
    <cellStyle name="Normal 2 2 5 7 5 3" xfId="25165" xr:uid="{00000000-0005-0000-0000-000046620000}"/>
    <cellStyle name="Normal 2 2 5 7 5 4" xfId="25166" xr:uid="{00000000-0005-0000-0000-000047620000}"/>
    <cellStyle name="Normal 2 2 5 7 5 5" xfId="25167" xr:uid="{00000000-0005-0000-0000-000048620000}"/>
    <cellStyle name="Normal 2 2 5 7 5 6" xfId="25168" xr:uid="{00000000-0005-0000-0000-000049620000}"/>
    <cellStyle name="Normal 2 2 5 7 5 7" xfId="25169" xr:uid="{00000000-0005-0000-0000-00004A620000}"/>
    <cellStyle name="Normal 2 2 5 7 5 8" xfId="25170" xr:uid="{00000000-0005-0000-0000-00004B620000}"/>
    <cellStyle name="Normal 2 2 5 7 5 9" xfId="25171" xr:uid="{00000000-0005-0000-0000-00004C620000}"/>
    <cellStyle name="Normal 2 2 5 7 6" xfId="25172" xr:uid="{00000000-0005-0000-0000-00004D620000}"/>
    <cellStyle name="Normal 2 2 5 7 7" xfId="25173" xr:uid="{00000000-0005-0000-0000-00004E620000}"/>
    <cellStyle name="Normal 2 2 5 7 8" xfId="25174" xr:uid="{00000000-0005-0000-0000-00004F620000}"/>
    <cellStyle name="Normal 2 2 5 7 9" xfId="25175" xr:uid="{00000000-0005-0000-0000-000050620000}"/>
    <cellStyle name="Normal 2 2 5 8" xfId="25176" xr:uid="{00000000-0005-0000-0000-000051620000}"/>
    <cellStyle name="Normal 2 2 5 8 10" xfId="25177" xr:uid="{00000000-0005-0000-0000-000052620000}"/>
    <cellStyle name="Normal 2 2 5 8 11" xfId="25178" xr:uid="{00000000-0005-0000-0000-000053620000}"/>
    <cellStyle name="Normal 2 2 5 8 12" xfId="25179" xr:uid="{00000000-0005-0000-0000-000054620000}"/>
    <cellStyle name="Normal 2 2 5 8 13" xfId="25180" xr:uid="{00000000-0005-0000-0000-000055620000}"/>
    <cellStyle name="Normal 2 2 5 8 14" xfId="25181" xr:uid="{00000000-0005-0000-0000-000056620000}"/>
    <cellStyle name="Normal 2 2 5 8 2" xfId="25182" xr:uid="{00000000-0005-0000-0000-000057620000}"/>
    <cellStyle name="Normal 2 2 5 8 2 10" xfId="25183" xr:uid="{00000000-0005-0000-0000-000058620000}"/>
    <cellStyle name="Normal 2 2 5 8 2 2" xfId="25184" xr:uid="{00000000-0005-0000-0000-000059620000}"/>
    <cellStyle name="Normal 2 2 5 8 2 3" xfId="25185" xr:uid="{00000000-0005-0000-0000-00005A620000}"/>
    <cellStyle name="Normal 2 2 5 8 2 4" xfId="25186" xr:uid="{00000000-0005-0000-0000-00005B620000}"/>
    <cellStyle name="Normal 2 2 5 8 2 5" xfId="25187" xr:uid="{00000000-0005-0000-0000-00005C620000}"/>
    <cellStyle name="Normal 2 2 5 8 2 6" xfId="25188" xr:uid="{00000000-0005-0000-0000-00005D620000}"/>
    <cellStyle name="Normal 2 2 5 8 2 7" xfId="25189" xr:uid="{00000000-0005-0000-0000-00005E620000}"/>
    <cellStyle name="Normal 2 2 5 8 2 8" xfId="25190" xr:uid="{00000000-0005-0000-0000-00005F620000}"/>
    <cellStyle name="Normal 2 2 5 8 2 9" xfId="25191" xr:uid="{00000000-0005-0000-0000-000060620000}"/>
    <cellStyle name="Normal 2 2 5 8 3" xfId="25192" xr:uid="{00000000-0005-0000-0000-000061620000}"/>
    <cellStyle name="Normal 2 2 5 8 3 10" xfId="25193" xr:uid="{00000000-0005-0000-0000-000062620000}"/>
    <cellStyle name="Normal 2 2 5 8 3 2" xfId="25194" xr:uid="{00000000-0005-0000-0000-000063620000}"/>
    <cellStyle name="Normal 2 2 5 8 3 3" xfId="25195" xr:uid="{00000000-0005-0000-0000-000064620000}"/>
    <cellStyle name="Normal 2 2 5 8 3 4" xfId="25196" xr:uid="{00000000-0005-0000-0000-000065620000}"/>
    <cellStyle name="Normal 2 2 5 8 3 5" xfId="25197" xr:uid="{00000000-0005-0000-0000-000066620000}"/>
    <cellStyle name="Normal 2 2 5 8 3 6" xfId="25198" xr:uid="{00000000-0005-0000-0000-000067620000}"/>
    <cellStyle name="Normal 2 2 5 8 3 7" xfId="25199" xr:uid="{00000000-0005-0000-0000-000068620000}"/>
    <cellStyle name="Normal 2 2 5 8 3 8" xfId="25200" xr:uid="{00000000-0005-0000-0000-000069620000}"/>
    <cellStyle name="Normal 2 2 5 8 3 9" xfId="25201" xr:uid="{00000000-0005-0000-0000-00006A620000}"/>
    <cellStyle name="Normal 2 2 5 8 4" xfId="25202" xr:uid="{00000000-0005-0000-0000-00006B620000}"/>
    <cellStyle name="Normal 2 2 5 8 4 10" xfId="25203" xr:uid="{00000000-0005-0000-0000-00006C620000}"/>
    <cellStyle name="Normal 2 2 5 8 4 2" xfId="25204" xr:uid="{00000000-0005-0000-0000-00006D620000}"/>
    <cellStyle name="Normal 2 2 5 8 4 3" xfId="25205" xr:uid="{00000000-0005-0000-0000-00006E620000}"/>
    <cellStyle name="Normal 2 2 5 8 4 4" xfId="25206" xr:uid="{00000000-0005-0000-0000-00006F620000}"/>
    <cellStyle name="Normal 2 2 5 8 4 5" xfId="25207" xr:uid="{00000000-0005-0000-0000-000070620000}"/>
    <cellStyle name="Normal 2 2 5 8 4 6" xfId="25208" xr:uid="{00000000-0005-0000-0000-000071620000}"/>
    <cellStyle name="Normal 2 2 5 8 4 7" xfId="25209" xr:uid="{00000000-0005-0000-0000-000072620000}"/>
    <cellStyle name="Normal 2 2 5 8 4 8" xfId="25210" xr:uid="{00000000-0005-0000-0000-000073620000}"/>
    <cellStyle name="Normal 2 2 5 8 4 9" xfId="25211" xr:uid="{00000000-0005-0000-0000-000074620000}"/>
    <cellStyle name="Normal 2 2 5 8 5" xfId="25212" xr:uid="{00000000-0005-0000-0000-000075620000}"/>
    <cellStyle name="Normal 2 2 5 8 5 10" xfId="25213" xr:uid="{00000000-0005-0000-0000-000076620000}"/>
    <cellStyle name="Normal 2 2 5 8 5 2" xfId="25214" xr:uid="{00000000-0005-0000-0000-000077620000}"/>
    <cellStyle name="Normal 2 2 5 8 5 3" xfId="25215" xr:uid="{00000000-0005-0000-0000-000078620000}"/>
    <cellStyle name="Normal 2 2 5 8 5 4" xfId="25216" xr:uid="{00000000-0005-0000-0000-000079620000}"/>
    <cellStyle name="Normal 2 2 5 8 5 5" xfId="25217" xr:uid="{00000000-0005-0000-0000-00007A620000}"/>
    <cellStyle name="Normal 2 2 5 8 5 6" xfId="25218" xr:uid="{00000000-0005-0000-0000-00007B620000}"/>
    <cellStyle name="Normal 2 2 5 8 5 7" xfId="25219" xr:uid="{00000000-0005-0000-0000-00007C620000}"/>
    <cellStyle name="Normal 2 2 5 8 5 8" xfId="25220" xr:uid="{00000000-0005-0000-0000-00007D620000}"/>
    <cellStyle name="Normal 2 2 5 8 5 9" xfId="25221" xr:uid="{00000000-0005-0000-0000-00007E620000}"/>
    <cellStyle name="Normal 2 2 5 8 6" xfId="25222" xr:uid="{00000000-0005-0000-0000-00007F620000}"/>
    <cellStyle name="Normal 2 2 5 8 7" xfId="25223" xr:uid="{00000000-0005-0000-0000-000080620000}"/>
    <cellStyle name="Normal 2 2 5 8 8" xfId="25224" xr:uid="{00000000-0005-0000-0000-000081620000}"/>
    <cellStyle name="Normal 2 2 5 8 9" xfId="25225" xr:uid="{00000000-0005-0000-0000-000082620000}"/>
    <cellStyle name="Normal 2 2 5 9" xfId="25226" xr:uid="{00000000-0005-0000-0000-000083620000}"/>
    <cellStyle name="Normal 2 2 5 9 10" xfId="25227" xr:uid="{00000000-0005-0000-0000-000084620000}"/>
    <cellStyle name="Normal 2 2 5 9 11" xfId="25228" xr:uid="{00000000-0005-0000-0000-000085620000}"/>
    <cellStyle name="Normal 2 2 5 9 12" xfId="25229" xr:uid="{00000000-0005-0000-0000-000086620000}"/>
    <cellStyle name="Normal 2 2 5 9 13" xfId="25230" xr:uid="{00000000-0005-0000-0000-000087620000}"/>
    <cellStyle name="Normal 2 2 5 9 14" xfId="25231" xr:uid="{00000000-0005-0000-0000-000088620000}"/>
    <cellStyle name="Normal 2 2 5 9 2" xfId="25232" xr:uid="{00000000-0005-0000-0000-000089620000}"/>
    <cellStyle name="Normal 2 2 5 9 2 10" xfId="25233" xr:uid="{00000000-0005-0000-0000-00008A620000}"/>
    <cellStyle name="Normal 2 2 5 9 2 2" xfId="25234" xr:uid="{00000000-0005-0000-0000-00008B620000}"/>
    <cellStyle name="Normal 2 2 5 9 2 3" xfId="25235" xr:uid="{00000000-0005-0000-0000-00008C620000}"/>
    <cellStyle name="Normal 2 2 5 9 2 4" xfId="25236" xr:uid="{00000000-0005-0000-0000-00008D620000}"/>
    <cellStyle name="Normal 2 2 5 9 2 5" xfId="25237" xr:uid="{00000000-0005-0000-0000-00008E620000}"/>
    <cellStyle name="Normal 2 2 5 9 2 6" xfId="25238" xr:uid="{00000000-0005-0000-0000-00008F620000}"/>
    <cellStyle name="Normal 2 2 5 9 2 7" xfId="25239" xr:uid="{00000000-0005-0000-0000-000090620000}"/>
    <cellStyle name="Normal 2 2 5 9 2 8" xfId="25240" xr:uid="{00000000-0005-0000-0000-000091620000}"/>
    <cellStyle name="Normal 2 2 5 9 2 9" xfId="25241" xr:uid="{00000000-0005-0000-0000-000092620000}"/>
    <cellStyle name="Normal 2 2 5 9 3" xfId="25242" xr:uid="{00000000-0005-0000-0000-000093620000}"/>
    <cellStyle name="Normal 2 2 5 9 3 10" xfId="25243" xr:uid="{00000000-0005-0000-0000-000094620000}"/>
    <cellStyle name="Normal 2 2 5 9 3 2" xfId="25244" xr:uid="{00000000-0005-0000-0000-000095620000}"/>
    <cellStyle name="Normal 2 2 5 9 3 3" xfId="25245" xr:uid="{00000000-0005-0000-0000-000096620000}"/>
    <cellStyle name="Normal 2 2 5 9 3 4" xfId="25246" xr:uid="{00000000-0005-0000-0000-000097620000}"/>
    <cellStyle name="Normal 2 2 5 9 3 5" xfId="25247" xr:uid="{00000000-0005-0000-0000-000098620000}"/>
    <cellStyle name="Normal 2 2 5 9 3 6" xfId="25248" xr:uid="{00000000-0005-0000-0000-000099620000}"/>
    <cellStyle name="Normal 2 2 5 9 3 7" xfId="25249" xr:uid="{00000000-0005-0000-0000-00009A620000}"/>
    <cellStyle name="Normal 2 2 5 9 3 8" xfId="25250" xr:uid="{00000000-0005-0000-0000-00009B620000}"/>
    <cellStyle name="Normal 2 2 5 9 3 9" xfId="25251" xr:uid="{00000000-0005-0000-0000-00009C620000}"/>
    <cellStyle name="Normal 2 2 5 9 4" xfId="25252" xr:uid="{00000000-0005-0000-0000-00009D620000}"/>
    <cellStyle name="Normal 2 2 5 9 4 10" xfId="25253" xr:uid="{00000000-0005-0000-0000-00009E620000}"/>
    <cellStyle name="Normal 2 2 5 9 4 2" xfId="25254" xr:uid="{00000000-0005-0000-0000-00009F620000}"/>
    <cellStyle name="Normal 2 2 5 9 4 3" xfId="25255" xr:uid="{00000000-0005-0000-0000-0000A0620000}"/>
    <cellStyle name="Normal 2 2 5 9 4 4" xfId="25256" xr:uid="{00000000-0005-0000-0000-0000A1620000}"/>
    <cellStyle name="Normal 2 2 5 9 4 5" xfId="25257" xr:uid="{00000000-0005-0000-0000-0000A2620000}"/>
    <cellStyle name="Normal 2 2 5 9 4 6" xfId="25258" xr:uid="{00000000-0005-0000-0000-0000A3620000}"/>
    <cellStyle name="Normal 2 2 5 9 4 7" xfId="25259" xr:uid="{00000000-0005-0000-0000-0000A4620000}"/>
    <cellStyle name="Normal 2 2 5 9 4 8" xfId="25260" xr:uid="{00000000-0005-0000-0000-0000A5620000}"/>
    <cellStyle name="Normal 2 2 5 9 4 9" xfId="25261" xr:uid="{00000000-0005-0000-0000-0000A6620000}"/>
    <cellStyle name="Normal 2 2 5 9 5" xfId="25262" xr:uid="{00000000-0005-0000-0000-0000A7620000}"/>
    <cellStyle name="Normal 2 2 5 9 5 10" xfId="25263" xr:uid="{00000000-0005-0000-0000-0000A8620000}"/>
    <cellStyle name="Normal 2 2 5 9 5 2" xfId="25264" xr:uid="{00000000-0005-0000-0000-0000A9620000}"/>
    <cellStyle name="Normal 2 2 5 9 5 3" xfId="25265" xr:uid="{00000000-0005-0000-0000-0000AA620000}"/>
    <cellStyle name="Normal 2 2 5 9 5 4" xfId="25266" xr:uid="{00000000-0005-0000-0000-0000AB620000}"/>
    <cellStyle name="Normal 2 2 5 9 5 5" xfId="25267" xr:uid="{00000000-0005-0000-0000-0000AC620000}"/>
    <cellStyle name="Normal 2 2 5 9 5 6" xfId="25268" xr:uid="{00000000-0005-0000-0000-0000AD620000}"/>
    <cellStyle name="Normal 2 2 5 9 5 7" xfId="25269" xr:uid="{00000000-0005-0000-0000-0000AE620000}"/>
    <cellStyle name="Normal 2 2 5 9 5 8" xfId="25270" xr:uid="{00000000-0005-0000-0000-0000AF620000}"/>
    <cellStyle name="Normal 2 2 5 9 5 9" xfId="25271" xr:uid="{00000000-0005-0000-0000-0000B0620000}"/>
    <cellStyle name="Normal 2 2 5 9 6" xfId="25272" xr:uid="{00000000-0005-0000-0000-0000B1620000}"/>
    <cellStyle name="Normal 2 2 5 9 7" xfId="25273" xr:uid="{00000000-0005-0000-0000-0000B2620000}"/>
    <cellStyle name="Normal 2 2 5 9 8" xfId="25274" xr:uid="{00000000-0005-0000-0000-0000B3620000}"/>
    <cellStyle name="Normal 2 2 5 9 9" xfId="25275" xr:uid="{00000000-0005-0000-0000-0000B4620000}"/>
    <cellStyle name="Normal 2 2 50" xfId="25276" xr:uid="{00000000-0005-0000-0000-0000B5620000}"/>
    <cellStyle name="Normal 2 2 51" xfId="25277" xr:uid="{00000000-0005-0000-0000-0000B6620000}"/>
    <cellStyle name="Normal 2 2 52" xfId="25278" xr:uid="{00000000-0005-0000-0000-0000B7620000}"/>
    <cellStyle name="Normal 2 2 6" xfId="25279" xr:uid="{00000000-0005-0000-0000-0000B8620000}"/>
    <cellStyle name="Normal 2 2 6 2" xfId="25280" xr:uid="{00000000-0005-0000-0000-0000B9620000}"/>
    <cellStyle name="Normal 2 2 6 3" xfId="25281" xr:uid="{00000000-0005-0000-0000-0000BA620000}"/>
    <cellStyle name="Normal 2 2 7" xfId="25282" xr:uid="{00000000-0005-0000-0000-0000BB620000}"/>
    <cellStyle name="Normal 2 2 7 2" xfId="25283" xr:uid="{00000000-0005-0000-0000-0000BC620000}"/>
    <cellStyle name="Normal 2 2 7 3" xfId="25284" xr:uid="{00000000-0005-0000-0000-0000BD620000}"/>
    <cellStyle name="Normal 2 2 8" xfId="25285" xr:uid="{00000000-0005-0000-0000-0000BE620000}"/>
    <cellStyle name="Normal 2 2 8 2" xfId="25286" xr:uid="{00000000-0005-0000-0000-0000BF620000}"/>
    <cellStyle name="Normal 2 2 8 3" xfId="25287" xr:uid="{00000000-0005-0000-0000-0000C0620000}"/>
    <cellStyle name="Normal 2 2 9" xfId="25288" xr:uid="{00000000-0005-0000-0000-0000C1620000}"/>
    <cellStyle name="Normal 2 2 9 2" xfId="25289" xr:uid="{00000000-0005-0000-0000-0000C2620000}"/>
    <cellStyle name="Normal 2 2 9 3" xfId="25290" xr:uid="{00000000-0005-0000-0000-0000C3620000}"/>
    <cellStyle name="Normal 2 20" xfId="25291" xr:uid="{00000000-0005-0000-0000-0000C4620000}"/>
    <cellStyle name="Normal 2 20 2" xfId="25292" xr:uid="{00000000-0005-0000-0000-0000C5620000}"/>
    <cellStyle name="Normal 2 20 3" xfId="25293" xr:uid="{00000000-0005-0000-0000-0000C6620000}"/>
    <cellStyle name="Normal 2 21" xfId="25294" xr:uid="{00000000-0005-0000-0000-0000C7620000}"/>
    <cellStyle name="Normal 2 21 2" xfId="25295" xr:uid="{00000000-0005-0000-0000-0000C8620000}"/>
    <cellStyle name="Normal 2 21 3" xfId="25296" xr:uid="{00000000-0005-0000-0000-0000C9620000}"/>
    <cellStyle name="Normal 2 22" xfId="25297" xr:uid="{00000000-0005-0000-0000-0000CA620000}"/>
    <cellStyle name="Normal 2 22 2" xfId="25298" xr:uid="{00000000-0005-0000-0000-0000CB620000}"/>
    <cellStyle name="Normal 2 22 3" xfId="25299" xr:uid="{00000000-0005-0000-0000-0000CC620000}"/>
    <cellStyle name="Normal 2 23" xfId="25300" xr:uid="{00000000-0005-0000-0000-0000CD620000}"/>
    <cellStyle name="Normal 2 23 2" xfId="25301" xr:uid="{00000000-0005-0000-0000-0000CE620000}"/>
    <cellStyle name="Normal 2 23 2 2" xfId="25302" xr:uid="{00000000-0005-0000-0000-0000CF620000}"/>
    <cellStyle name="Normal 2 23 3" xfId="25303" xr:uid="{00000000-0005-0000-0000-0000D0620000}"/>
    <cellStyle name="Normal 2 24" xfId="25304" xr:uid="{00000000-0005-0000-0000-0000D1620000}"/>
    <cellStyle name="Normal 2 24 2" xfId="25305" xr:uid="{00000000-0005-0000-0000-0000D2620000}"/>
    <cellStyle name="Normal 2 24 3" xfId="25306" xr:uid="{00000000-0005-0000-0000-0000D3620000}"/>
    <cellStyle name="Normal 2 25" xfId="25307" xr:uid="{00000000-0005-0000-0000-0000D4620000}"/>
    <cellStyle name="Normal 2 25 2" xfId="25308" xr:uid="{00000000-0005-0000-0000-0000D5620000}"/>
    <cellStyle name="Normal 2 25 3" xfId="25309" xr:uid="{00000000-0005-0000-0000-0000D6620000}"/>
    <cellStyle name="Normal 2 26" xfId="25310" xr:uid="{00000000-0005-0000-0000-0000D7620000}"/>
    <cellStyle name="Normal 2 26 2" xfId="25311" xr:uid="{00000000-0005-0000-0000-0000D8620000}"/>
    <cellStyle name="Normal 2 26 3" xfId="25312" xr:uid="{00000000-0005-0000-0000-0000D9620000}"/>
    <cellStyle name="Normal 2 27" xfId="25313" xr:uid="{00000000-0005-0000-0000-0000DA620000}"/>
    <cellStyle name="Normal 2 27 2" xfId="25314" xr:uid="{00000000-0005-0000-0000-0000DB620000}"/>
    <cellStyle name="Normal 2 27 3" xfId="25315" xr:uid="{00000000-0005-0000-0000-0000DC620000}"/>
    <cellStyle name="Normal 2 28" xfId="25316" xr:uid="{00000000-0005-0000-0000-0000DD620000}"/>
    <cellStyle name="Normal 2 28 2" xfId="25317" xr:uid="{00000000-0005-0000-0000-0000DE620000}"/>
    <cellStyle name="Normal 2 28 3" xfId="25318" xr:uid="{00000000-0005-0000-0000-0000DF620000}"/>
    <cellStyle name="Normal 2 29" xfId="25319" xr:uid="{00000000-0005-0000-0000-0000E0620000}"/>
    <cellStyle name="Normal 2 29 2" xfId="25320" xr:uid="{00000000-0005-0000-0000-0000E1620000}"/>
    <cellStyle name="Normal 2 29 3" xfId="25321" xr:uid="{00000000-0005-0000-0000-0000E2620000}"/>
    <cellStyle name="Normal 2 3" xfId="25322" xr:uid="{00000000-0005-0000-0000-0000E3620000}"/>
    <cellStyle name="Normal 2 3 10" xfId="25323" xr:uid="{00000000-0005-0000-0000-0000E4620000}"/>
    <cellStyle name="Normal 2 3 10 10" xfId="25324" xr:uid="{00000000-0005-0000-0000-0000E5620000}"/>
    <cellStyle name="Normal 2 3 10 11" xfId="25325" xr:uid="{00000000-0005-0000-0000-0000E6620000}"/>
    <cellStyle name="Normal 2 3 10 12" xfId="25326" xr:uid="{00000000-0005-0000-0000-0000E7620000}"/>
    <cellStyle name="Normal 2 3 10 13" xfId="25327" xr:uid="{00000000-0005-0000-0000-0000E8620000}"/>
    <cellStyle name="Normal 2 3 10 14" xfId="25328" xr:uid="{00000000-0005-0000-0000-0000E9620000}"/>
    <cellStyle name="Normal 2 3 10 2" xfId="25329" xr:uid="{00000000-0005-0000-0000-0000EA620000}"/>
    <cellStyle name="Normal 2 3 10 2 10" xfId="25330" xr:uid="{00000000-0005-0000-0000-0000EB620000}"/>
    <cellStyle name="Normal 2 3 10 2 2" xfId="25331" xr:uid="{00000000-0005-0000-0000-0000EC620000}"/>
    <cellStyle name="Normal 2 3 10 2 3" xfId="25332" xr:uid="{00000000-0005-0000-0000-0000ED620000}"/>
    <cellStyle name="Normal 2 3 10 2 4" xfId="25333" xr:uid="{00000000-0005-0000-0000-0000EE620000}"/>
    <cellStyle name="Normal 2 3 10 2 5" xfId="25334" xr:uid="{00000000-0005-0000-0000-0000EF620000}"/>
    <cellStyle name="Normal 2 3 10 2 6" xfId="25335" xr:uid="{00000000-0005-0000-0000-0000F0620000}"/>
    <cellStyle name="Normal 2 3 10 2 7" xfId="25336" xr:uid="{00000000-0005-0000-0000-0000F1620000}"/>
    <cellStyle name="Normal 2 3 10 2 8" xfId="25337" xr:uid="{00000000-0005-0000-0000-0000F2620000}"/>
    <cellStyle name="Normal 2 3 10 2 9" xfId="25338" xr:uid="{00000000-0005-0000-0000-0000F3620000}"/>
    <cellStyle name="Normal 2 3 10 3" xfId="25339" xr:uid="{00000000-0005-0000-0000-0000F4620000}"/>
    <cellStyle name="Normal 2 3 10 3 10" xfId="25340" xr:uid="{00000000-0005-0000-0000-0000F5620000}"/>
    <cellStyle name="Normal 2 3 10 3 2" xfId="25341" xr:uid="{00000000-0005-0000-0000-0000F6620000}"/>
    <cellStyle name="Normal 2 3 10 3 3" xfId="25342" xr:uid="{00000000-0005-0000-0000-0000F7620000}"/>
    <cellStyle name="Normal 2 3 10 3 4" xfId="25343" xr:uid="{00000000-0005-0000-0000-0000F8620000}"/>
    <cellStyle name="Normal 2 3 10 3 5" xfId="25344" xr:uid="{00000000-0005-0000-0000-0000F9620000}"/>
    <cellStyle name="Normal 2 3 10 3 6" xfId="25345" xr:uid="{00000000-0005-0000-0000-0000FA620000}"/>
    <cellStyle name="Normal 2 3 10 3 7" xfId="25346" xr:uid="{00000000-0005-0000-0000-0000FB620000}"/>
    <cellStyle name="Normal 2 3 10 3 8" xfId="25347" xr:uid="{00000000-0005-0000-0000-0000FC620000}"/>
    <cellStyle name="Normal 2 3 10 3 9" xfId="25348" xr:uid="{00000000-0005-0000-0000-0000FD620000}"/>
    <cellStyle name="Normal 2 3 10 4" xfId="25349" xr:uid="{00000000-0005-0000-0000-0000FE620000}"/>
    <cellStyle name="Normal 2 3 10 4 10" xfId="25350" xr:uid="{00000000-0005-0000-0000-0000FF620000}"/>
    <cellStyle name="Normal 2 3 10 4 2" xfId="25351" xr:uid="{00000000-0005-0000-0000-000000630000}"/>
    <cellStyle name="Normal 2 3 10 4 3" xfId="25352" xr:uid="{00000000-0005-0000-0000-000001630000}"/>
    <cellStyle name="Normal 2 3 10 4 4" xfId="25353" xr:uid="{00000000-0005-0000-0000-000002630000}"/>
    <cellStyle name="Normal 2 3 10 4 5" xfId="25354" xr:uid="{00000000-0005-0000-0000-000003630000}"/>
    <cellStyle name="Normal 2 3 10 4 6" xfId="25355" xr:uid="{00000000-0005-0000-0000-000004630000}"/>
    <cellStyle name="Normal 2 3 10 4 7" xfId="25356" xr:uid="{00000000-0005-0000-0000-000005630000}"/>
    <cellStyle name="Normal 2 3 10 4 8" xfId="25357" xr:uid="{00000000-0005-0000-0000-000006630000}"/>
    <cellStyle name="Normal 2 3 10 4 9" xfId="25358" xr:uid="{00000000-0005-0000-0000-000007630000}"/>
    <cellStyle name="Normal 2 3 10 5" xfId="25359" xr:uid="{00000000-0005-0000-0000-000008630000}"/>
    <cellStyle name="Normal 2 3 10 5 10" xfId="25360" xr:uid="{00000000-0005-0000-0000-000009630000}"/>
    <cellStyle name="Normal 2 3 10 5 2" xfId="25361" xr:uid="{00000000-0005-0000-0000-00000A630000}"/>
    <cellStyle name="Normal 2 3 10 5 3" xfId="25362" xr:uid="{00000000-0005-0000-0000-00000B630000}"/>
    <cellStyle name="Normal 2 3 10 5 4" xfId="25363" xr:uid="{00000000-0005-0000-0000-00000C630000}"/>
    <cellStyle name="Normal 2 3 10 5 5" xfId="25364" xr:uid="{00000000-0005-0000-0000-00000D630000}"/>
    <cellStyle name="Normal 2 3 10 5 6" xfId="25365" xr:uid="{00000000-0005-0000-0000-00000E630000}"/>
    <cellStyle name="Normal 2 3 10 5 7" xfId="25366" xr:uid="{00000000-0005-0000-0000-00000F630000}"/>
    <cellStyle name="Normal 2 3 10 5 8" xfId="25367" xr:uid="{00000000-0005-0000-0000-000010630000}"/>
    <cellStyle name="Normal 2 3 10 5 9" xfId="25368" xr:uid="{00000000-0005-0000-0000-000011630000}"/>
    <cellStyle name="Normal 2 3 10 6" xfId="25369" xr:uid="{00000000-0005-0000-0000-000012630000}"/>
    <cellStyle name="Normal 2 3 10 7" xfId="25370" xr:uid="{00000000-0005-0000-0000-000013630000}"/>
    <cellStyle name="Normal 2 3 10 8" xfId="25371" xr:uid="{00000000-0005-0000-0000-000014630000}"/>
    <cellStyle name="Normal 2 3 10 9" xfId="25372" xr:uid="{00000000-0005-0000-0000-000015630000}"/>
    <cellStyle name="Normal 2 3 11" xfId="25373" xr:uid="{00000000-0005-0000-0000-000016630000}"/>
    <cellStyle name="Normal 2 3 11 10" xfId="25374" xr:uid="{00000000-0005-0000-0000-000017630000}"/>
    <cellStyle name="Normal 2 3 11 11" xfId="25375" xr:uid="{00000000-0005-0000-0000-000018630000}"/>
    <cellStyle name="Normal 2 3 11 12" xfId="25376" xr:uid="{00000000-0005-0000-0000-000019630000}"/>
    <cellStyle name="Normal 2 3 11 13" xfId="25377" xr:uid="{00000000-0005-0000-0000-00001A630000}"/>
    <cellStyle name="Normal 2 3 11 14" xfId="25378" xr:uid="{00000000-0005-0000-0000-00001B630000}"/>
    <cellStyle name="Normal 2 3 11 2" xfId="25379" xr:uid="{00000000-0005-0000-0000-00001C630000}"/>
    <cellStyle name="Normal 2 3 11 2 10" xfId="25380" xr:uid="{00000000-0005-0000-0000-00001D630000}"/>
    <cellStyle name="Normal 2 3 11 2 2" xfId="25381" xr:uid="{00000000-0005-0000-0000-00001E630000}"/>
    <cellStyle name="Normal 2 3 11 2 3" xfId="25382" xr:uid="{00000000-0005-0000-0000-00001F630000}"/>
    <cellStyle name="Normal 2 3 11 2 4" xfId="25383" xr:uid="{00000000-0005-0000-0000-000020630000}"/>
    <cellStyle name="Normal 2 3 11 2 5" xfId="25384" xr:uid="{00000000-0005-0000-0000-000021630000}"/>
    <cellStyle name="Normal 2 3 11 2 6" xfId="25385" xr:uid="{00000000-0005-0000-0000-000022630000}"/>
    <cellStyle name="Normal 2 3 11 2 7" xfId="25386" xr:uid="{00000000-0005-0000-0000-000023630000}"/>
    <cellStyle name="Normal 2 3 11 2 8" xfId="25387" xr:uid="{00000000-0005-0000-0000-000024630000}"/>
    <cellStyle name="Normal 2 3 11 2 9" xfId="25388" xr:uid="{00000000-0005-0000-0000-000025630000}"/>
    <cellStyle name="Normal 2 3 11 3" xfId="25389" xr:uid="{00000000-0005-0000-0000-000026630000}"/>
    <cellStyle name="Normal 2 3 11 3 10" xfId="25390" xr:uid="{00000000-0005-0000-0000-000027630000}"/>
    <cellStyle name="Normal 2 3 11 3 2" xfId="25391" xr:uid="{00000000-0005-0000-0000-000028630000}"/>
    <cellStyle name="Normal 2 3 11 3 3" xfId="25392" xr:uid="{00000000-0005-0000-0000-000029630000}"/>
    <cellStyle name="Normal 2 3 11 3 4" xfId="25393" xr:uid="{00000000-0005-0000-0000-00002A630000}"/>
    <cellStyle name="Normal 2 3 11 3 5" xfId="25394" xr:uid="{00000000-0005-0000-0000-00002B630000}"/>
    <cellStyle name="Normal 2 3 11 3 6" xfId="25395" xr:uid="{00000000-0005-0000-0000-00002C630000}"/>
    <cellStyle name="Normal 2 3 11 3 7" xfId="25396" xr:uid="{00000000-0005-0000-0000-00002D630000}"/>
    <cellStyle name="Normal 2 3 11 3 8" xfId="25397" xr:uid="{00000000-0005-0000-0000-00002E630000}"/>
    <cellStyle name="Normal 2 3 11 3 9" xfId="25398" xr:uid="{00000000-0005-0000-0000-00002F630000}"/>
    <cellStyle name="Normal 2 3 11 4" xfId="25399" xr:uid="{00000000-0005-0000-0000-000030630000}"/>
    <cellStyle name="Normal 2 3 11 4 10" xfId="25400" xr:uid="{00000000-0005-0000-0000-000031630000}"/>
    <cellStyle name="Normal 2 3 11 4 2" xfId="25401" xr:uid="{00000000-0005-0000-0000-000032630000}"/>
    <cellStyle name="Normal 2 3 11 4 3" xfId="25402" xr:uid="{00000000-0005-0000-0000-000033630000}"/>
    <cellStyle name="Normal 2 3 11 4 4" xfId="25403" xr:uid="{00000000-0005-0000-0000-000034630000}"/>
    <cellStyle name="Normal 2 3 11 4 5" xfId="25404" xr:uid="{00000000-0005-0000-0000-000035630000}"/>
    <cellStyle name="Normal 2 3 11 4 6" xfId="25405" xr:uid="{00000000-0005-0000-0000-000036630000}"/>
    <cellStyle name="Normal 2 3 11 4 7" xfId="25406" xr:uid="{00000000-0005-0000-0000-000037630000}"/>
    <cellStyle name="Normal 2 3 11 4 8" xfId="25407" xr:uid="{00000000-0005-0000-0000-000038630000}"/>
    <cellStyle name="Normal 2 3 11 4 9" xfId="25408" xr:uid="{00000000-0005-0000-0000-000039630000}"/>
    <cellStyle name="Normal 2 3 11 5" xfId="25409" xr:uid="{00000000-0005-0000-0000-00003A630000}"/>
    <cellStyle name="Normal 2 3 11 5 10" xfId="25410" xr:uid="{00000000-0005-0000-0000-00003B630000}"/>
    <cellStyle name="Normal 2 3 11 5 2" xfId="25411" xr:uid="{00000000-0005-0000-0000-00003C630000}"/>
    <cellStyle name="Normal 2 3 11 5 3" xfId="25412" xr:uid="{00000000-0005-0000-0000-00003D630000}"/>
    <cellStyle name="Normal 2 3 11 5 4" xfId="25413" xr:uid="{00000000-0005-0000-0000-00003E630000}"/>
    <cellStyle name="Normal 2 3 11 5 5" xfId="25414" xr:uid="{00000000-0005-0000-0000-00003F630000}"/>
    <cellStyle name="Normal 2 3 11 5 6" xfId="25415" xr:uid="{00000000-0005-0000-0000-000040630000}"/>
    <cellStyle name="Normal 2 3 11 5 7" xfId="25416" xr:uid="{00000000-0005-0000-0000-000041630000}"/>
    <cellStyle name="Normal 2 3 11 5 8" xfId="25417" xr:uid="{00000000-0005-0000-0000-000042630000}"/>
    <cellStyle name="Normal 2 3 11 5 9" xfId="25418" xr:uid="{00000000-0005-0000-0000-000043630000}"/>
    <cellStyle name="Normal 2 3 11 6" xfId="25419" xr:uid="{00000000-0005-0000-0000-000044630000}"/>
    <cellStyle name="Normal 2 3 11 7" xfId="25420" xr:uid="{00000000-0005-0000-0000-000045630000}"/>
    <cellStyle name="Normal 2 3 11 8" xfId="25421" xr:uid="{00000000-0005-0000-0000-000046630000}"/>
    <cellStyle name="Normal 2 3 11 9" xfId="25422" xr:uid="{00000000-0005-0000-0000-000047630000}"/>
    <cellStyle name="Normal 2 3 12" xfId="25423" xr:uid="{00000000-0005-0000-0000-000048630000}"/>
    <cellStyle name="Normal 2 3 12 10" xfId="25424" xr:uid="{00000000-0005-0000-0000-000049630000}"/>
    <cellStyle name="Normal 2 3 12 11" xfId="25425" xr:uid="{00000000-0005-0000-0000-00004A630000}"/>
    <cellStyle name="Normal 2 3 12 12" xfId="25426" xr:uid="{00000000-0005-0000-0000-00004B630000}"/>
    <cellStyle name="Normal 2 3 12 13" xfId="25427" xr:uid="{00000000-0005-0000-0000-00004C630000}"/>
    <cellStyle name="Normal 2 3 12 14" xfId="25428" xr:uid="{00000000-0005-0000-0000-00004D630000}"/>
    <cellStyle name="Normal 2 3 12 2" xfId="25429" xr:uid="{00000000-0005-0000-0000-00004E630000}"/>
    <cellStyle name="Normal 2 3 12 2 10" xfId="25430" xr:uid="{00000000-0005-0000-0000-00004F630000}"/>
    <cellStyle name="Normal 2 3 12 2 2" xfId="25431" xr:uid="{00000000-0005-0000-0000-000050630000}"/>
    <cellStyle name="Normal 2 3 12 2 3" xfId="25432" xr:uid="{00000000-0005-0000-0000-000051630000}"/>
    <cellStyle name="Normal 2 3 12 2 4" xfId="25433" xr:uid="{00000000-0005-0000-0000-000052630000}"/>
    <cellStyle name="Normal 2 3 12 2 5" xfId="25434" xr:uid="{00000000-0005-0000-0000-000053630000}"/>
    <cellStyle name="Normal 2 3 12 2 6" xfId="25435" xr:uid="{00000000-0005-0000-0000-000054630000}"/>
    <cellStyle name="Normal 2 3 12 2 7" xfId="25436" xr:uid="{00000000-0005-0000-0000-000055630000}"/>
    <cellStyle name="Normal 2 3 12 2 8" xfId="25437" xr:uid="{00000000-0005-0000-0000-000056630000}"/>
    <cellStyle name="Normal 2 3 12 2 9" xfId="25438" xr:uid="{00000000-0005-0000-0000-000057630000}"/>
    <cellStyle name="Normal 2 3 12 3" xfId="25439" xr:uid="{00000000-0005-0000-0000-000058630000}"/>
    <cellStyle name="Normal 2 3 12 3 10" xfId="25440" xr:uid="{00000000-0005-0000-0000-000059630000}"/>
    <cellStyle name="Normal 2 3 12 3 2" xfId="25441" xr:uid="{00000000-0005-0000-0000-00005A630000}"/>
    <cellStyle name="Normal 2 3 12 3 3" xfId="25442" xr:uid="{00000000-0005-0000-0000-00005B630000}"/>
    <cellStyle name="Normal 2 3 12 3 4" xfId="25443" xr:uid="{00000000-0005-0000-0000-00005C630000}"/>
    <cellStyle name="Normal 2 3 12 3 5" xfId="25444" xr:uid="{00000000-0005-0000-0000-00005D630000}"/>
    <cellStyle name="Normal 2 3 12 3 6" xfId="25445" xr:uid="{00000000-0005-0000-0000-00005E630000}"/>
    <cellStyle name="Normal 2 3 12 3 7" xfId="25446" xr:uid="{00000000-0005-0000-0000-00005F630000}"/>
    <cellStyle name="Normal 2 3 12 3 8" xfId="25447" xr:uid="{00000000-0005-0000-0000-000060630000}"/>
    <cellStyle name="Normal 2 3 12 3 9" xfId="25448" xr:uid="{00000000-0005-0000-0000-000061630000}"/>
    <cellStyle name="Normal 2 3 12 4" xfId="25449" xr:uid="{00000000-0005-0000-0000-000062630000}"/>
    <cellStyle name="Normal 2 3 12 4 10" xfId="25450" xr:uid="{00000000-0005-0000-0000-000063630000}"/>
    <cellStyle name="Normal 2 3 12 4 2" xfId="25451" xr:uid="{00000000-0005-0000-0000-000064630000}"/>
    <cellStyle name="Normal 2 3 12 4 3" xfId="25452" xr:uid="{00000000-0005-0000-0000-000065630000}"/>
    <cellStyle name="Normal 2 3 12 4 4" xfId="25453" xr:uid="{00000000-0005-0000-0000-000066630000}"/>
    <cellStyle name="Normal 2 3 12 4 5" xfId="25454" xr:uid="{00000000-0005-0000-0000-000067630000}"/>
    <cellStyle name="Normal 2 3 12 4 6" xfId="25455" xr:uid="{00000000-0005-0000-0000-000068630000}"/>
    <cellStyle name="Normal 2 3 12 4 7" xfId="25456" xr:uid="{00000000-0005-0000-0000-000069630000}"/>
    <cellStyle name="Normal 2 3 12 4 8" xfId="25457" xr:uid="{00000000-0005-0000-0000-00006A630000}"/>
    <cellStyle name="Normal 2 3 12 4 9" xfId="25458" xr:uid="{00000000-0005-0000-0000-00006B630000}"/>
    <cellStyle name="Normal 2 3 12 5" xfId="25459" xr:uid="{00000000-0005-0000-0000-00006C630000}"/>
    <cellStyle name="Normal 2 3 12 5 10" xfId="25460" xr:uid="{00000000-0005-0000-0000-00006D630000}"/>
    <cellStyle name="Normal 2 3 12 5 2" xfId="25461" xr:uid="{00000000-0005-0000-0000-00006E630000}"/>
    <cellStyle name="Normal 2 3 12 5 3" xfId="25462" xr:uid="{00000000-0005-0000-0000-00006F630000}"/>
    <cellStyle name="Normal 2 3 12 5 4" xfId="25463" xr:uid="{00000000-0005-0000-0000-000070630000}"/>
    <cellStyle name="Normal 2 3 12 5 5" xfId="25464" xr:uid="{00000000-0005-0000-0000-000071630000}"/>
    <cellStyle name="Normal 2 3 12 5 6" xfId="25465" xr:uid="{00000000-0005-0000-0000-000072630000}"/>
    <cellStyle name="Normal 2 3 12 5 7" xfId="25466" xr:uid="{00000000-0005-0000-0000-000073630000}"/>
    <cellStyle name="Normal 2 3 12 5 8" xfId="25467" xr:uid="{00000000-0005-0000-0000-000074630000}"/>
    <cellStyle name="Normal 2 3 12 5 9" xfId="25468" xr:uid="{00000000-0005-0000-0000-000075630000}"/>
    <cellStyle name="Normal 2 3 12 6" xfId="25469" xr:uid="{00000000-0005-0000-0000-000076630000}"/>
    <cellStyle name="Normal 2 3 12 7" xfId="25470" xr:uid="{00000000-0005-0000-0000-000077630000}"/>
    <cellStyle name="Normal 2 3 12 8" xfId="25471" xr:uid="{00000000-0005-0000-0000-000078630000}"/>
    <cellStyle name="Normal 2 3 12 9" xfId="25472" xr:uid="{00000000-0005-0000-0000-000079630000}"/>
    <cellStyle name="Normal 2 3 13" xfId="25473" xr:uid="{00000000-0005-0000-0000-00007A630000}"/>
    <cellStyle name="Normal 2 3 13 10" xfId="25474" xr:uid="{00000000-0005-0000-0000-00007B630000}"/>
    <cellStyle name="Normal 2 3 13 11" xfId="25475" xr:uid="{00000000-0005-0000-0000-00007C630000}"/>
    <cellStyle name="Normal 2 3 13 12" xfId="25476" xr:uid="{00000000-0005-0000-0000-00007D630000}"/>
    <cellStyle name="Normal 2 3 13 13" xfId="25477" xr:uid="{00000000-0005-0000-0000-00007E630000}"/>
    <cellStyle name="Normal 2 3 13 14" xfId="25478" xr:uid="{00000000-0005-0000-0000-00007F630000}"/>
    <cellStyle name="Normal 2 3 13 2" xfId="25479" xr:uid="{00000000-0005-0000-0000-000080630000}"/>
    <cellStyle name="Normal 2 3 13 2 10" xfId="25480" xr:uid="{00000000-0005-0000-0000-000081630000}"/>
    <cellStyle name="Normal 2 3 13 2 2" xfId="25481" xr:uid="{00000000-0005-0000-0000-000082630000}"/>
    <cellStyle name="Normal 2 3 13 2 3" xfId="25482" xr:uid="{00000000-0005-0000-0000-000083630000}"/>
    <cellStyle name="Normal 2 3 13 2 4" xfId="25483" xr:uid="{00000000-0005-0000-0000-000084630000}"/>
    <cellStyle name="Normal 2 3 13 2 5" xfId="25484" xr:uid="{00000000-0005-0000-0000-000085630000}"/>
    <cellStyle name="Normal 2 3 13 2 6" xfId="25485" xr:uid="{00000000-0005-0000-0000-000086630000}"/>
    <cellStyle name="Normal 2 3 13 2 7" xfId="25486" xr:uid="{00000000-0005-0000-0000-000087630000}"/>
    <cellStyle name="Normal 2 3 13 2 8" xfId="25487" xr:uid="{00000000-0005-0000-0000-000088630000}"/>
    <cellStyle name="Normal 2 3 13 2 9" xfId="25488" xr:uid="{00000000-0005-0000-0000-000089630000}"/>
    <cellStyle name="Normal 2 3 13 3" xfId="25489" xr:uid="{00000000-0005-0000-0000-00008A630000}"/>
    <cellStyle name="Normal 2 3 13 3 10" xfId="25490" xr:uid="{00000000-0005-0000-0000-00008B630000}"/>
    <cellStyle name="Normal 2 3 13 3 2" xfId="25491" xr:uid="{00000000-0005-0000-0000-00008C630000}"/>
    <cellStyle name="Normal 2 3 13 3 3" xfId="25492" xr:uid="{00000000-0005-0000-0000-00008D630000}"/>
    <cellStyle name="Normal 2 3 13 3 4" xfId="25493" xr:uid="{00000000-0005-0000-0000-00008E630000}"/>
    <cellStyle name="Normal 2 3 13 3 5" xfId="25494" xr:uid="{00000000-0005-0000-0000-00008F630000}"/>
    <cellStyle name="Normal 2 3 13 3 6" xfId="25495" xr:uid="{00000000-0005-0000-0000-000090630000}"/>
    <cellStyle name="Normal 2 3 13 3 7" xfId="25496" xr:uid="{00000000-0005-0000-0000-000091630000}"/>
    <cellStyle name="Normal 2 3 13 3 8" xfId="25497" xr:uid="{00000000-0005-0000-0000-000092630000}"/>
    <cellStyle name="Normal 2 3 13 3 9" xfId="25498" xr:uid="{00000000-0005-0000-0000-000093630000}"/>
    <cellStyle name="Normal 2 3 13 4" xfId="25499" xr:uid="{00000000-0005-0000-0000-000094630000}"/>
    <cellStyle name="Normal 2 3 13 4 10" xfId="25500" xr:uid="{00000000-0005-0000-0000-000095630000}"/>
    <cellStyle name="Normal 2 3 13 4 2" xfId="25501" xr:uid="{00000000-0005-0000-0000-000096630000}"/>
    <cellStyle name="Normal 2 3 13 4 3" xfId="25502" xr:uid="{00000000-0005-0000-0000-000097630000}"/>
    <cellStyle name="Normal 2 3 13 4 4" xfId="25503" xr:uid="{00000000-0005-0000-0000-000098630000}"/>
    <cellStyle name="Normal 2 3 13 4 5" xfId="25504" xr:uid="{00000000-0005-0000-0000-000099630000}"/>
    <cellStyle name="Normal 2 3 13 4 6" xfId="25505" xr:uid="{00000000-0005-0000-0000-00009A630000}"/>
    <cellStyle name="Normal 2 3 13 4 7" xfId="25506" xr:uid="{00000000-0005-0000-0000-00009B630000}"/>
    <cellStyle name="Normal 2 3 13 4 8" xfId="25507" xr:uid="{00000000-0005-0000-0000-00009C630000}"/>
    <cellStyle name="Normal 2 3 13 4 9" xfId="25508" xr:uid="{00000000-0005-0000-0000-00009D630000}"/>
    <cellStyle name="Normal 2 3 13 5" xfId="25509" xr:uid="{00000000-0005-0000-0000-00009E630000}"/>
    <cellStyle name="Normal 2 3 13 5 10" xfId="25510" xr:uid="{00000000-0005-0000-0000-00009F630000}"/>
    <cellStyle name="Normal 2 3 13 5 2" xfId="25511" xr:uid="{00000000-0005-0000-0000-0000A0630000}"/>
    <cellStyle name="Normal 2 3 13 5 3" xfId="25512" xr:uid="{00000000-0005-0000-0000-0000A1630000}"/>
    <cellStyle name="Normal 2 3 13 5 4" xfId="25513" xr:uid="{00000000-0005-0000-0000-0000A2630000}"/>
    <cellStyle name="Normal 2 3 13 5 5" xfId="25514" xr:uid="{00000000-0005-0000-0000-0000A3630000}"/>
    <cellStyle name="Normal 2 3 13 5 6" xfId="25515" xr:uid="{00000000-0005-0000-0000-0000A4630000}"/>
    <cellStyle name="Normal 2 3 13 5 7" xfId="25516" xr:uid="{00000000-0005-0000-0000-0000A5630000}"/>
    <cellStyle name="Normal 2 3 13 5 8" xfId="25517" xr:uid="{00000000-0005-0000-0000-0000A6630000}"/>
    <cellStyle name="Normal 2 3 13 5 9" xfId="25518" xr:uid="{00000000-0005-0000-0000-0000A7630000}"/>
    <cellStyle name="Normal 2 3 13 6" xfId="25519" xr:uid="{00000000-0005-0000-0000-0000A8630000}"/>
    <cellStyle name="Normal 2 3 13 7" xfId="25520" xr:uid="{00000000-0005-0000-0000-0000A9630000}"/>
    <cellStyle name="Normal 2 3 13 8" xfId="25521" xr:uid="{00000000-0005-0000-0000-0000AA630000}"/>
    <cellStyle name="Normal 2 3 13 9" xfId="25522" xr:uid="{00000000-0005-0000-0000-0000AB630000}"/>
    <cellStyle name="Normal 2 3 14" xfId="25523" xr:uid="{00000000-0005-0000-0000-0000AC630000}"/>
    <cellStyle name="Normal 2 3 14 10" xfId="25524" xr:uid="{00000000-0005-0000-0000-0000AD630000}"/>
    <cellStyle name="Normal 2 3 14 11" xfId="25525" xr:uid="{00000000-0005-0000-0000-0000AE630000}"/>
    <cellStyle name="Normal 2 3 14 12" xfId="25526" xr:uid="{00000000-0005-0000-0000-0000AF630000}"/>
    <cellStyle name="Normal 2 3 14 13" xfId="25527" xr:uid="{00000000-0005-0000-0000-0000B0630000}"/>
    <cellStyle name="Normal 2 3 14 14" xfId="25528" xr:uid="{00000000-0005-0000-0000-0000B1630000}"/>
    <cellStyle name="Normal 2 3 14 2" xfId="25529" xr:uid="{00000000-0005-0000-0000-0000B2630000}"/>
    <cellStyle name="Normal 2 3 14 2 10" xfId="25530" xr:uid="{00000000-0005-0000-0000-0000B3630000}"/>
    <cellStyle name="Normal 2 3 14 2 2" xfId="25531" xr:uid="{00000000-0005-0000-0000-0000B4630000}"/>
    <cellStyle name="Normal 2 3 14 2 3" xfId="25532" xr:uid="{00000000-0005-0000-0000-0000B5630000}"/>
    <cellStyle name="Normal 2 3 14 2 4" xfId="25533" xr:uid="{00000000-0005-0000-0000-0000B6630000}"/>
    <cellStyle name="Normal 2 3 14 2 5" xfId="25534" xr:uid="{00000000-0005-0000-0000-0000B7630000}"/>
    <cellStyle name="Normal 2 3 14 2 6" xfId="25535" xr:uid="{00000000-0005-0000-0000-0000B8630000}"/>
    <cellStyle name="Normal 2 3 14 2 7" xfId="25536" xr:uid="{00000000-0005-0000-0000-0000B9630000}"/>
    <cellStyle name="Normal 2 3 14 2 8" xfId="25537" xr:uid="{00000000-0005-0000-0000-0000BA630000}"/>
    <cellStyle name="Normal 2 3 14 2 9" xfId="25538" xr:uid="{00000000-0005-0000-0000-0000BB630000}"/>
    <cellStyle name="Normal 2 3 14 3" xfId="25539" xr:uid="{00000000-0005-0000-0000-0000BC630000}"/>
    <cellStyle name="Normal 2 3 14 3 10" xfId="25540" xr:uid="{00000000-0005-0000-0000-0000BD630000}"/>
    <cellStyle name="Normal 2 3 14 3 2" xfId="25541" xr:uid="{00000000-0005-0000-0000-0000BE630000}"/>
    <cellStyle name="Normal 2 3 14 3 3" xfId="25542" xr:uid="{00000000-0005-0000-0000-0000BF630000}"/>
    <cellStyle name="Normal 2 3 14 3 4" xfId="25543" xr:uid="{00000000-0005-0000-0000-0000C0630000}"/>
    <cellStyle name="Normal 2 3 14 3 5" xfId="25544" xr:uid="{00000000-0005-0000-0000-0000C1630000}"/>
    <cellStyle name="Normal 2 3 14 3 6" xfId="25545" xr:uid="{00000000-0005-0000-0000-0000C2630000}"/>
    <cellStyle name="Normal 2 3 14 3 7" xfId="25546" xr:uid="{00000000-0005-0000-0000-0000C3630000}"/>
    <cellStyle name="Normal 2 3 14 3 8" xfId="25547" xr:uid="{00000000-0005-0000-0000-0000C4630000}"/>
    <cellStyle name="Normal 2 3 14 3 9" xfId="25548" xr:uid="{00000000-0005-0000-0000-0000C5630000}"/>
    <cellStyle name="Normal 2 3 14 4" xfId="25549" xr:uid="{00000000-0005-0000-0000-0000C6630000}"/>
    <cellStyle name="Normal 2 3 14 4 10" xfId="25550" xr:uid="{00000000-0005-0000-0000-0000C7630000}"/>
    <cellStyle name="Normal 2 3 14 4 2" xfId="25551" xr:uid="{00000000-0005-0000-0000-0000C8630000}"/>
    <cellStyle name="Normal 2 3 14 4 3" xfId="25552" xr:uid="{00000000-0005-0000-0000-0000C9630000}"/>
    <cellStyle name="Normal 2 3 14 4 4" xfId="25553" xr:uid="{00000000-0005-0000-0000-0000CA630000}"/>
    <cellStyle name="Normal 2 3 14 4 5" xfId="25554" xr:uid="{00000000-0005-0000-0000-0000CB630000}"/>
    <cellStyle name="Normal 2 3 14 4 6" xfId="25555" xr:uid="{00000000-0005-0000-0000-0000CC630000}"/>
    <cellStyle name="Normal 2 3 14 4 7" xfId="25556" xr:uid="{00000000-0005-0000-0000-0000CD630000}"/>
    <cellStyle name="Normal 2 3 14 4 8" xfId="25557" xr:uid="{00000000-0005-0000-0000-0000CE630000}"/>
    <cellStyle name="Normal 2 3 14 4 9" xfId="25558" xr:uid="{00000000-0005-0000-0000-0000CF630000}"/>
    <cellStyle name="Normal 2 3 14 5" xfId="25559" xr:uid="{00000000-0005-0000-0000-0000D0630000}"/>
    <cellStyle name="Normal 2 3 14 5 10" xfId="25560" xr:uid="{00000000-0005-0000-0000-0000D1630000}"/>
    <cellStyle name="Normal 2 3 14 5 2" xfId="25561" xr:uid="{00000000-0005-0000-0000-0000D2630000}"/>
    <cellStyle name="Normal 2 3 14 5 3" xfId="25562" xr:uid="{00000000-0005-0000-0000-0000D3630000}"/>
    <cellStyle name="Normal 2 3 14 5 4" xfId="25563" xr:uid="{00000000-0005-0000-0000-0000D4630000}"/>
    <cellStyle name="Normal 2 3 14 5 5" xfId="25564" xr:uid="{00000000-0005-0000-0000-0000D5630000}"/>
    <cellStyle name="Normal 2 3 14 5 6" xfId="25565" xr:uid="{00000000-0005-0000-0000-0000D6630000}"/>
    <cellStyle name="Normal 2 3 14 5 7" xfId="25566" xr:uid="{00000000-0005-0000-0000-0000D7630000}"/>
    <cellStyle name="Normal 2 3 14 5 8" xfId="25567" xr:uid="{00000000-0005-0000-0000-0000D8630000}"/>
    <cellStyle name="Normal 2 3 14 5 9" xfId="25568" xr:uid="{00000000-0005-0000-0000-0000D9630000}"/>
    <cellStyle name="Normal 2 3 14 6" xfId="25569" xr:uid="{00000000-0005-0000-0000-0000DA630000}"/>
    <cellStyle name="Normal 2 3 14 7" xfId="25570" xr:uid="{00000000-0005-0000-0000-0000DB630000}"/>
    <cellStyle name="Normal 2 3 14 8" xfId="25571" xr:uid="{00000000-0005-0000-0000-0000DC630000}"/>
    <cellStyle name="Normal 2 3 14 9" xfId="25572" xr:uid="{00000000-0005-0000-0000-0000DD630000}"/>
    <cellStyle name="Normal 2 3 15" xfId="25573" xr:uid="{00000000-0005-0000-0000-0000DE630000}"/>
    <cellStyle name="Normal 2 3 15 10" xfId="25574" xr:uid="{00000000-0005-0000-0000-0000DF630000}"/>
    <cellStyle name="Normal 2 3 15 11" xfId="25575" xr:uid="{00000000-0005-0000-0000-0000E0630000}"/>
    <cellStyle name="Normal 2 3 15 12" xfId="25576" xr:uid="{00000000-0005-0000-0000-0000E1630000}"/>
    <cellStyle name="Normal 2 3 15 13" xfId="25577" xr:uid="{00000000-0005-0000-0000-0000E2630000}"/>
    <cellStyle name="Normal 2 3 15 14" xfId="25578" xr:uid="{00000000-0005-0000-0000-0000E3630000}"/>
    <cellStyle name="Normal 2 3 15 2" xfId="25579" xr:uid="{00000000-0005-0000-0000-0000E4630000}"/>
    <cellStyle name="Normal 2 3 15 2 10" xfId="25580" xr:uid="{00000000-0005-0000-0000-0000E5630000}"/>
    <cellStyle name="Normal 2 3 15 2 2" xfId="25581" xr:uid="{00000000-0005-0000-0000-0000E6630000}"/>
    <cellStyle name="Normal 2 3 15 2 3" xfId="25582" xr:uid="{00000000-0005-0000-0000-0000E7630000}"/>
    <cellStyle name="Normal 2 3 15 2 4" xfId="25583" xr:uid="{00000000-0005-0000-0000-0000E8630000}"/>
    <cellStyle name="Normal 2 3 15 2 5" xfId="25584" xr:uid="{00000000-0005-0000-0000-0000E9630000}"/>
    <cellStyle name="Normal 2 3 15 2 6" xfId="25585" xr:uid="{00000000-0005-0000-0000-0000EA630000}"/>
    <cellStyle name="Normal 2 3 15 2 7" xfId="25586" xr:uid="{00000000-0005-0000-0000-0000EB630000}"/>
    <cellStyle name="Normal 2 3 15 2 8" xfId="25587" xr:uid="{00000000-0005-0000-0000-0000EC630000}"/>
    <cellStyle name="Normal 2 3 15 2 9" xfId="25588" xr:uid="{00000000-0005-0000-0000-0000ED630000}"/>
    <cellStyle name="Normal 2 3 15 3" xfId="25589" xr:uid="{00000000-0005-0000-0000-0000EE630000}"/>
    <cellStyle name="Normal 2 3 15 3 10" xfId="25590" xr:uid="{00000000-0005-0000-0000-0000EF630000}"/>
    <cellStyle name="Normal 2 3 15 3 2" xfId="25591" xr:uid="{00000000-0005-0000-0000-0000F0630000}"/>
    <cellStyle name="Normal 2 3 15 3 3" xfId="25592" xr:uid="{00000000-0005-0000-0000-0000F1630000}"/>
    <cellStyle name="Normal 2 3 15 3 4" xfId="25593" xr:uid="{00000000-0005-0000-0000-0000F2630000}"/>
    <cellStyle name="Normal 2 3 15 3 5" xfId="25594" xr:uid="{00000000-0005-0000-0000-0000F3630000}"/>
    <cellStyle name="Normal 2 3 15 3 6" xfId="25595" xr:uid="{00000000-0005-0000-0000-0000F4630000}"/>
    <cellStyle name="Normal 2 3 15 3 7" xfId="25596" xr:uid="{00000000-0005-0000-0000-0000F5630000}"/>
    <cellStyle name="Normal 2 3 15 3 8" xfId="25597" xr:uid="{00000000-0005-0000-0000-0000F6630000}"/>
    <cellStyle name="Normal 2 3 15 3 9" xfId="25598" xr:uid="{00000000-0005-0000-0000-0000F7630000}"/>
    <cellStyle name="Normal 2 3 15 4" xfId="25599" xr:uid="{00000000-0005-0000-0000-0000F8630000}"/>
    <cellStyle name="Normal 2 3 15 4 10" xfId="25600" xr:uid="{00000000-0005-0000-0000-0000F9630000}"/>
    <cellStyle name="Normal 2 3 15 4 2" xfId="25601" xr:uid="{00000000-0005-0000-0000-0000FA630000}"/>
    <cellStyle name="Normal 2 3 15 4 3" xfId="25602" xr:uid="{00000000-0005-0000-0000-0000FB630000}"/>
    <cellStyle name="Normal 2 3 15 4 4" xfId="25603" xr:uid="{00000000-0005-0000-0000-0000FC630000}"/>
    <cellStyle name="Normal 2 3 15 4 5" xfId="25604" xr:uid="{00000000-0005-0000-0000-0000FD630000}"/>
    <cellStyle name="Normal 2 3 15 4 6" xfId="25605" xr:uid="{00000000-0005-0000-0000-0000FE630000}"/>
    <cellStyle name="Normal 2 3 15 4 7" xfId="25606" xr:uid="{00000000-0005-0000-0000-0000FF630000}"/>
    <cellStyle name="Normal 2 3 15 4 8" xfId="25607" xr:uid="{00000000-0005-0000-0000-000000640000}"/>
    <cellStyle name="Normal 2 3 15 4 9" xfId="25608" xr:uid="{00000000-0005-0000-0000-000001640000}"/>
    <cellStyle name="Normal 2 3 15 5" xfId="25609" xr:uid="{00000000-0005-0000-0000-000002640000}"/>
    <cellStyle name="Normal 2 3 15 5 10" xfId="25610" xr:uid="{00000000-0005-0000-0000-000003640000}"/>
    <cellStyle name="Normal 2 3 15 5 2" xfId="25611" xr:uid="{00000000-0005-0000-0000-000004640000}"/>
    <cellStyle name="Normal 2 3 15 5 3" xfId="25612" xr:uid="{00000000-0005-0000-0000-000005640000}"/>
    <cellStyle name="Normal 2 3 15 5 4" xfId="25613" xr:uid="{00000000-0005-0000-0000-000006640000}"/>
    <cellStyle name="Normal 2 3 15 5 5" xfId="25614" xr:uid="{00000000-0005-0000-0000-000007640000}"/>
    <cellStyle name="Normal 2 3 15 5 6" xfId="25615" xr:uid="{00000000-0005-0000-0000-000008640000}"/>
    <cellStyle name="Normal 2 3 15 5 7" xfId="25616" xr:uid="{00000000-0005-0000-0000-000009640000}"/>
    <cellStyle name="Normal 2 3 15 5 8" xfId="25617" xr:uid="{00000000-0005-0000-0000-00000A640000}"/>
    <cellStyle name="Normal 2 3 15 5 9" xfId="25618" xr:uid="{00000000-0005-0000-0000-00000B640000}"/>
    <cellStyle name="Normal 2 3 15 6" xfId="25619" xr:uid="{00000000-0005-0000-0000-00000C640000}"/>
    <cellStyle name="Normal 2 3 15 7" xfId="25620" xr:uid="{00000000-0005-0000-0000-00000D640000}"/>
    <cellStyle name="Normal 2 3 15 8" xfId="25621" xr:uid="{00000000-0005-0000-0000-00000E640000}"/>
    <cellStyle name="Normal 2 3 15 9" xfId="25622" xr:uid="{00000000-0005-0000-0000-00000F640000}"/>
    <cellStyle name="Normal 2 3 16" xfId="25623" xr:uid="{00000000-0005-0000-0000-000010640000}"/>
    <cellStyle name="Normal 2 3 16 10" xfId="25624" xr:uid="{00000000-0005-0000-0000-000011640000}"/>
    <cellStyle name="Normal 2 3 16 11" xfId="25625" xr:uid="{00000000-0005-0000-0000-000012640000}"/>
    <cellStyle name="Normal 2 3 16 12" xfId="25626" xr:uid="{00000000-0005-0000-0000-000013640000}"/>
    <cellStyle name="Normal 2 3 16 13" xfId="25627" xr:uid="{00000000-0005-0000-0000-000014640000}"/>
    <cellStyle name="Normal 2 3 16 14" xfId="25628" xr:uid="{00000000-0005-0000-0000-000015640000}"/>
    <cellStyle name="Normal 2 3 16 2" xfId="25629" xr:uid="{00000000-0005-0000-0000-000016640000}"/>
    <cellStyle name="Normal 2 3 16 2 10" xfId="25630" xr:uid="{00000000-0005-0000-0000-000017640000}"/>
    <cellStyle name="Normal 2 3 16 2 2" xfId="25631" xr:uid="{00000000-0005-0000-0000-000018640000}"/>
    <cellStyle name="Normal 2 3 16 2 3" xfId="25632" xr:uid="{00000000-0005-0000-0000-000019640000}"/>
    <cellStyle name="Normal 2 3 16 2 4" xfId="25633" xr:uid="{00000000-0005-0000-0000-00001A640000}"/>
    <cellStyle name="Normal 2 3 16 2 5" xfId="25634" xr:uid="{00000000-0005-0000-0000-00001B640000}"/>
    <cellStyle name="Normal 2 3 16 2 6" xfId="25635" xr:uid="{00000000-0005-0000-0000-00001C640000}"/>
    <cellStyle name="Normal 2 3 16 2 7" xfId="25636" xr:uid="{00000000-0005-0000-0000-00001D640000}"/>
    <cellStyle name="Normal 2 3 16 2 8" xfId="25637" xr:uid="{00000000-0005-0000-0000-00001E640000}"/>
    <cellStyle name="Normal 2 3 16 2 9" xfId="25638" xr:uid="{00000000-0005-0000-0000-00001F640000}"/>
    <cellStyle name="Normal 2 3 16 3" xfId="25639" xr:uid="{00000000-0005-0000-0000-000020640000}"/>
    <cellStyle name="Normal 2 3 16 3 10" xfId="25640" xr:uid="{00000000-0005-0000-0000-000021640000}"/>
    <cellStyle name="Normal 2 3 16 3 2" xfId="25641" xr:uid="{00000000-0005-0000-0000-000022640000}"/>
    <cellStyle name="Normal 2 3 16 3 3" xfId="25642" xr:uid="{00000000-0005-0000-0000-000023640000}"/>
    <cellStyle name="Normal 2 3 16 3 4" xfId="25643" xr:uid="{00000000-0005-0000-0000-000024640000}"/>
    <cellStyle name="Normal 2 3 16 3 5" xfId="25644" xr:uid="{00000000-0005-0000-0000-000025640000}"/>
    <cellStyle name="Normal 2 3 16 3 6" xfId="25645" xr:uid="{00000000-0005-0000-0000-000026640000}"/>
    <cellStyle name="Normal 2 3 16 3 7" xfId="25646" xr:uid="{00000000-0005-0000-0000-000027640000}"/>
    <cellStyle name="Normal 2 3 16 3 8" xfId="25647" xr:uid="{00000000-0005-0000-0000-000028640000}"/>
    <cellStyle name="Normal 2 3 16 3 9" xfId="25648" xr:uid="{00000000-0005-0000-0000-000029640000}"/>
    <cellStyle name="Normal 2 3 16 4" xfId="25649" xr:uid="{00000000-0005-0000-0000-00002A640000}"/>
    <cellStyle name="Normal 2 3 16 4 10" xfId="25650" xr:uid="{00000000-0005-0000-0000-00002B640000}"/>
    <cellStyle name="Normal 2 3 16 4 2" xfId="25651" xr:uid="{00000000-0005-0000-0000-00002C640000}"/>
    <cellStyle name="Normal 2 3 16 4 3" xfId="25652" xr:uid="{00000000-0005-0000-0000-00002D640000}"/>
    <cellStyle name="Normal 2 3 16 4 4" xfId="25653" xr:uid="{00000000-0005-0000-0000-00002E640000}"/>
    <cellStyle name="Normal 2 3 16 4 5" xfId="25654" xr:uid="{00000000-0005-0000-0000-00002F640000}"/>
    <cellStyle name="Normal 2 3 16 4 6" xfId="25655" xr:uid="{00000000-0005-0000-0000-000030640000}"/>
    <cellStyle name="Normal 2 3 16 4 7" xfId="25656" xr:uid="{00000000-0005-0000-0000-000031640000}"/>
    <cellStyle name="Normal 2 3 16 4 8" xfId="25657" xr:uid="{00000000-0005-0000-0000-000032640000}"/>
    <cellStyle name="Normal 2 3 16 4 9" xfId="25658" xr:uid="{00000000-0005-0000-0000-000033640000}"/>
    <cellStyle name="Normal 2 3 16 5" xfId="25659" xr:uid="{00000000-0005-0000-0000-000034640000}"/>
    <cellStyle name="Normal 2 3 16 5 10" xfId="25660" xr:uid="{00000000-0005-0000-0000-000035640000}"/>
    <cellStyle name="Normal 2 3 16 5 2" xfId="25661" xr:uid="{00000000-0005-0000-0000-000036640000}"/>
    <cellStyle name="Normal 2 3 16 5 3" xfId="25662" xr:uid="{00000000-0005-0000-0000-000037640000}"/>
    <cellStyle name="Normal 2 3 16 5 4" xfId="25663" xr:uid="{00000000-0005-0000-0000-000038640000}"/>
    <cellStyle name="Normal 2 3 16 5 5" xfId="25664" xr:uid="{00000000-0005-0000-0000-000039640000}"/>
    <cellStyle name="Normal 2 3 16 5 6" xfId="25665" xr:uid="{00000000-0005-0000-0000-00003A640000}"/>
    <cellStyle name="Normal 2 3 16 5 7" xfId="25666" xr:uid="{00000000-0005-0000-0000-00003B640000}"/>
    <cellStyle name="Normal 2 3 16 5 8" xfId="25667" xr:uid="{00000000-0005-0000-0000-00003C640000}"/>
    <cellStyle name="Normal 2 3 16 5 9" xfId="25668" xr:uid="{00000000-0005-0000-0000-00003D640000}"/>
    <cellStyle name="Normal 2 3 16 6" xfId="25669" xr:uid="{00000000-0005-0000-0000-00003E640000}"/>
    <cellStyle name="Normal 2 3 16 7" xfId="25670" xr:uid="{00000000-0005-0000-0000-00003F640000}"/>
    <cellStyle name="Normal 2 3 16 8" xfId="25671" xr:uid="{00000000-0005-0000-0000-000040640000}"/>
    <cellStyle name="Normal 2 3 16 9" xfId="25672" xr:uid="{00000000-0005-0000-0000-000041640000}"/>
    <cellStyle name="Normal 2 3 17" xfId="25673" xr:uid="{00000000-0005-0000-0000-000042640000}"/>
    <cellStyle name="Normal 2 3 17 10" xfId="25674" xr:uid="{00000000-0005-0000-0000-000043640000}"/>
    <cellStyle name="Normal 2 3 17 11" xfId="25675" xr:uid="{00000000-0005-0000-0000-000044640000}"/>
    <cellStyle name="Normal 2 3 17 12" xfId="25676" xr:uid="{00000000-0005-0000-0000-000045640000}"/>
    <cellStyle name="Normal 2 3 17 13" xfId="25677" xr:uid="{00000000-0005-0000-0000-000046640000}"/>
    <cellStyle name="Normal 2 3 17 14" xfId="25678" xr:uid="{00000000-0005-0000-0000-000047640000}"/>
    <cellStyle name="Normal 2 3 17 2" xfId="25679" xr:uid="{00000000-0005-0000-0000-000048640000}"/>
    <cellStyle name="Normal 2 3 17 2 10" xfId="25680" xr:uid="{00000000-0005-0000-0000-000049640000}"/>
    <cellStyle name="Normal 2 3 17 2 2" xfId="25681" xr:uid="{00000000-0005-0000-0000-00004A640000}"/>
    <cellStyle name="Normal 2 3 17 2 3" xfId="25682" xr:uid="{00000000-0005-0000-0000-00004B640000}"/>
    <cellStyle name="Normal 2 3 17 2 4" xfId="25683" xr:uid="{00000000-0005-0000-0000-00004C640000}"/>
    <cellStyle name="Normal 2 3 17 2 5" xfId="25684" xr:uid="{00000000-0005-0000-0000-00004D640000}"/>
    <cellStyle name="Normal 2 3 17 2 6" xfId="25685" xr:uid="{00000000-0005-0000-0000-00004E640000}"/>
    <cellStyle name="Normal 2 3 17 2 7" xfId="25686" xr:uid="{00000000-0005-0000-0000-00004F640000}"/>
    <cellStyle name="Normal 2 3 17 2 8" xfId="25687" xr:uid="{00000000-0005-0000-0000-000050640000}"/>
    <cellStyle name="Normal 2 3 17 2 9" xfId="25688" xr:uid="{00000000-0005-0000-0000-000051640000}"/>
    <cellStyle name="Normal 2 3 17 3" xfId="25689" xr:uid="{00000000-0005-0000-0000-000052640000}"/>
    <cellStyle name="Normal 2 3 17 3 10" xfId="25690" xr:uid="{00000000-0005-0000-0000-000053640000}"/>
    <cellStyle name="Normal 2 3 17 3 2" xfId="25691" xr:uid="{00000000-0005-0000-0000-000054640000}"/>
    <cellStyle name="Normal 2 3 17 3 3" xfId="25692" xr:uid="{00000000-0005-0000-0000-000055640000}"/>
    <cellStyle name="Normal 2 3 17 3 4" xfId="25693" xr:uid="{00000000-0005-0000-0000-000056640000}"/>
    <cellStyle name="Normal 2 3 17 3 5" xfId="25694" xr:uid="{00000000-0005-0000-0000-000057640000}"/>
    <cellStyle name="Normal 2 3 17 3 6" xfId="25695" xr:uid="{00000000-0005-0000-0000-000058640000}"/>
    <cellStyle name="Normal 2 3 17 3 7" xfId="25696" xr:uid="{00000000-0005-0000-0000-000059640000}"/>
    <cellStyle name="Normal 2 3 17 3 8" xfId="25697" xr:uid="{00000000-0005-0000-0000-00005A640000}"/>
    <cellStyle name="Normal 2 3 17 3 9" xfId="25698" xr:uid="{00000000-0005-0000-0000-00005B640000}"/>
    <cellStyle name="Normal 2 3 17 4" xfId="25699" xr:uid="{00000000-0005-0000-0000-00005C640000}"/>
    <cellStyle name="Normal 2 3 17 4 10" xfId="25700" xr:uid="{00000000-0005-0000-0000-00005D640000}"/>
    <cellStyle name="Normal 2 3 17 4 2" xfId="25701" xr:uid="{00000000-0005-0000-0000-00005E640000}"/>
    <cellStyle name="Normal 2 3 17 4 3" xfId="25702" xr:uid="{00000000-0005-0000-0000-00005F640000}"/>
    <cellStyle name="Normal 2 3 17 4 4" xfId="25703" xr:uid="{00000000-0005-0000-0000-000060640000}"/>
    <cellStyle name="Normal 2 3 17 4 5" xfId="25704" xr:uid="{00000000-0005-0000-0000-000061640000}"/>
    <cellStyle name="Normal 2 3 17 4 6" xfId="25705" xr:uid="{00000000-0005-0000-0000-000062640000}"/>
    <cellStyle name="Normal 2 3 17 4 7" xfId="25706" xr:uid="{00000000-0005-0000-0000-000063640000}"/>
    <cellStyle name="Normal 2 3 17 4 8" xfId="25707" xr:uid="{00000000-0005-0000-0000-000064640000}"/>
    <cellStyle name="Normal 2 3 17 4 9" xfId="25708" xr:uid="{00000000-0005-0000-0000-000065640000}"/>
    <cellStyle name="Normal 2 3 17 5" xfId="25709" xr:uid="{00000000-0005-0000-0000-000066640000}"/>
    <cellStyle name="Normal 2 3 17 5 10" xfId="25710" xr:uid="{00000000-0005-0000-0000-000067640000}"/>
    <cellStyle name="Normal 2 3 17 5 2" xfId="25711" xr:uid="{00000000-0005-0000-0000-000068640000}"/>
    <cellStyle name="Normal 2 3 17 5 3" xfId="25712" xr:uid="{00000000-0005-0000-0000-000069640000}"/>
    <cellStyle name="Normal 2 3 17 5 4" xfId="25713" xr:uid="{00000000-0005-0000-0000-00006A640000}"/>
    <cellStyle name="Normal 2 3 17 5 5" xfId="25714" xr:uid="{00000000-0005-0000-0000-00006B640000}"/>
    <cellStyle name="Normal 2 3 17 5 6" xfId="25715" xr:uid="{00000000-0005-0000-0000-00006C640000}"/>
    <cellStyle name="Normal 2 3 17 5 7" xfId="25716" xr:uid="{00000000-0005-0000-0000-00006D640000}"/>
    <cellStyle name="Normal 2 3 17 5 8" xfId="25717" xr:uid="{00000000-0005-0000-0000-00006E640000}"/>
    <cellStyle name="Normal 2 3 17 5 9" xfId="25718" xr:uid="{00000000-0005-0000-0000-00006F640000}"/>
    <cellStyle name="Normal 2 3 17 6" xfId="25719" xr:uid="{00000000-0005-0000-0000-000070640000}"/>
    <cellStyle name="Normal 2 3 17 7" xfId="25720" xr:uid="{00000000-0005-0000-0000-000071640000}"/>
    <cellStyle name="Normal 2 3 17 8" xfId="25721" xr:uid="{00000000-0005-0000-0000-000072640000}"/>
    <cellStyle name="Normal 2 3 17 9" xfId="25722" xr:uid="{00000000-0005-0000-0000-000073640000}"/>
    <cellStyle name="Normal 2 3 18" xfId="25723" xr:uid="{00000000-0005-0000-0000-000074640000}"/>
    <cellStyle name="Normal 2 3 18 10" xfId="25724" xr:uid="{00000000-0005-0000-0000-000075640000}"/>
    <cellStyle name="Normal 2 3 18 11" xfId="25725" xr:uid="{00000000-0005-0000-0000-000076640000}"/>
    <cellStyle name="Normal 2 3 18 12" xfId="25726" xr:uid="{00000000-0005-0000-0000-000077640000}"/>
    <cellStyle name="Normal 2 3 18 13" xfId="25727" xr:uid="{00000000-0005-0000-0000-000078640000}"/>
    <cellStyle name="Normal 2 3 18 14" xfId="25728" xr:uid="{00000000-0005-0000-0000-000079640000}"/>
    <cellStyle name="Normal 2 3 18 2" xfId="25729" xr:uid="{00000000-0005-0000-0000-00007A640000}"/>
    <cellStyle name="Normal 2 3 18 2 10" xfId="25730" xr:uid="{00000000-0005-0000-0000-00007B640000}"/>
    <cellStyle name="Normal 2 3 18 2 2" xfId="25731" xr:uid="{00000000-0005-0000-0000-00007C640000}"/>
    <cellStyle name="Normal 2 3 18 2 3" xfId="25732" xr:uid="{00000000-0005-0000-0000-00007D640000}"/>
    <cellStyle name="Normal 2 3 18 2 4" xfId="25733" xr:uid="{00000000-0005-0000-0000-00007E640000}"/>
    <cellStyle name="Normal 2 3 18 2 5" xfId="25734" xr:uid="{00000000-0005-0000-0000-00007F640000}"/>
    <cellStyle name="Normal 2 3 18 2 6" xfId="25735" xr:uid="{00000000-0005-0000-0000-000080640000}"/>
    <cellStyle name="Normal 2 3 18 2 7" xfId="25736" xr:uid="{00000000-0005-0000-0000-000081640000}"/>
    <cellStyle name="Normal 2 3 18 2 8" xfId="25737" xr:uid="{00000000-0005-0000-0000-000082640000}"/>
    <cellStyle name="Normal 2 3 18 2 9" xfId="25738" xr:uid="{00000000-0005-0000-0000-000083640000}"/>
    <cellStyle name="Normal 2 3 18 3" xfId="25739" xr:uid="{00000000-0005-0000-0000-000084640000}"/>
    <cellStyle name="Normal 2 3 18 3 10" xfId="25740" xr:uid="{00000000-0005-0000-0000-000085640000}"/>
    <cellStyle name="Normal 2 3 18 3 2" xfId="25741" xr:uid="{00000000-0005-0000-0000-000086640000}"/>
    <cellStyle name="Normal 2 3 18 3 3" xfId="25742" xr:uid="{00000000-0005-0000-0000-000087640000}"/>
    <cellStyle name="Normal 2 3 18 3 4" xfId="25743" xr:uid="{00000000-0005-0000-0000-000088640000}"/>
    <cellStyle name="Normal 2 3 18 3 5" xfId="25744" xr:uid="{00000000-0005-0000-0000-000089640000}"/>
    <cellStyle name="Normal 2 3 18 3 6" xfId="25745" xr:uid="{00000000-0005-0000-0000-00008A640000}"/>
    <cellStyle name="Normal 2 3 18 3 7" xfId="25746" xr:uid="{00000000-0005-0000-0000-00008B640000}"/>
    <cellStyle name="Normal 2 3 18 3 8" xfId="25747" xr:uid="{00000000-0005-0000-0000-00008C640000}"/>
    <cellStyle name="Normal 2 3 18 3 9" xfId="25748" xr:uid="{00000000-0005-0000-0000-00008D640000}"/>
    <cellStyle name="Normal 2 3 18 4" xfId="25749" xr:uid="{00000000-0005-0000-0000-00008E640000}"/>
    <cellStyle name="Normal 2 3 18 4 10" xfId="25750" xr:uid="{00000000-0005-0000-0000-00008F640000}"/>
    <cellStyle name="Normal 2 3 18 4 2" xfId="25751" xr:uid="{00000000-0005-0000-0000-000090640000}"/>
    <cellStyle name="Normal 2 3 18 4 3" xfId="25752" xr:uid="{00000000-0005-0000-0000-000091640000}"/>
    <cellStyle name="Normal 2 3 18 4 4" xfId="25753" xr:uid="{00000000-0005-0000-0000-000092640000}"/>
    <cellStyle name="Normal 2 3 18 4 5" xfId="25754" xr:uid="{00000000-0005-0000-0000-000093640000}"/>
    <cellStyle name="Normal 2 3 18 4 6" xfId="25755" xr:uid="{00000000-0005-0000-0000-000094640000}"/>
    <cellStyle name="Normal 2 3 18 4 7" xfId="25756" xr:uid="{00000000-0005-0000-0000-000095640000}"/>
    <cellStyle name="Normal 2 3 18 4 8" xfId="25757" xr:uid="{00000000-0005-0000-0000-000096640000}"/>
    <cellStyle name="Normal 2 3 18 4 9" xfId="25758" xr:uid="{00000000-0005-0000-0000-000097640000}"/>
    <cellStyle name="Normal 2 3 18 5" xfId="25759" xr:uid="{00000000-0005-0000-0000-000098640000}"/>
    <cellStyle name="Normal 2 3 18 5 10" xfId="25760" xr:uid="{00000000-0005-0000-0000-000099640000}"/>
    <cellStyle name="Normal 2 3 18 5 2" xfId="25761" xr:uid="{00000000-0005-0000-0000-00009A640000}"/>
    <cellStyle name="Normal 2 3 18 5 3" xfId="25762" xr:uid="{00000000-0005-0000-0000-00009B640000}"/>
    <cellStyle name="Normal 2 3 18 5 4" xfId="25763" xr:uid="{00000000-0005-0000-0000-00009C640000}"/>
    <cellStyle name="Normal 2 3 18 5 5" xfId="25764" xr:uid="{00000000-0005-0000-0000-00009D640000}"/>
    <cellStyle name="Normal 2 3 18 5 6" xfId="25765" xr:uid="{00000000-0005-0000-0000-00009E640000}"/>
    <cellStyle name="Normal 2 3 18 5 7" xfId="25766" xr:uid="{00000000-0005-0000-0000-00009F640000}"/>
    <cellStyle name="Normal 2 3 18 5 8" xfId="25767" xr:uid="{00000000-0005-0000-0000-0000A0640000}"/>
    <cellStyle name="Normal 2 3 18 5 9" xfId="25768" xr:uid="{00000000-0005-0000-0000-0000A1640000}"/>
    <cellStyle name="Normal 2 3 18 6" xfId="25769" xr:uid="{00000000-0005-0000-0000-0000A2640000}"/>
    <cellStyle name="Normal 2 3 18 7" xfId="25770" xr:uid="{00000000-0005-0000-0000-0000A3640000}"/>
    <cellStyle name="Normal 2 3 18 8" xfId="25771" xr:uid="{00000000-0005-0000-0000-0000A4640000}"/>
    <cellStyle name="Normal 2 3 18 9" xfId="25772" xr:uid="{00000000-0005-0000-0000-0000A5640000}"/>
    <cellStyle name="Normal 2 3 19" xfId="25773" xr:uid="{00000000-0005-0000-0000-0000A6640000}"/>
    <cellStyle name="Normal 2 3 19 10" xfId="25774" xr:uid="{00000000-0005-0000-0000-0000A7640000}"/>
    <cellStyle name="Normal 2 3 19 11" xfId="25775" xr:uid="{00000000-0005-0000-0000-0000A8640000}"/>
    <cellStyle name="Normal 2 3 19 12" xfId="25776" xr:uid="{00000000-0005-0000-0000-0000A9640000}"/>
    <cellStyle name="Normal 2 3 19 13" xfId="25777" xr:uid="{00000000-0005-0000-0000-0000AA640000}"/>
    <cellStyle name="Normal 2 3 19 14" xfId="25778" xr:uid="{00000000-0005-0000-0000-0000AB640000}"/>
    <cellStyle name="Normal 2 3 19 2" xfId="25779" xr:uid="{00000000-0005-0000-0000-0000AC640000}"/>
    <cellStyle name="Normal 2 3 19 2 10" xfId="25780" xr:uid="{00000000-0005-0000-0000-0000AD640000}"/>
    <cellStyle name="Normal 2 3 19 2 2" xfId="25781" xr:uid="{00000000-0005-0000-0000-0000AE640000}"/>
    <cellStyle name="Normal 2 3 19 2 3" xfId="25782" xr:uid="{00000000-0005-0000-0000-0000AF640000}"/>
    <cellStyle name="Normal 2 3 19 2 4" xfId="25783" xr:uid="{00000000-0005-0000-0000-0000B0640000}"/>
    <cellStyle name="Normal 2 3 19 2 5" xfId="25784" xr:uid="{00000000-0005-0000-0000-0000B1640000}"/>
    <cellStyle name="Normal 2 3 19 2 6" xfId="25785" xr:uid="{00000000-0005-0000-0000-0000B2640000}"/>
    <cellStyle name="Normal 2 3 19 2 7" xfId="25786" xr:uid="{00000000-0005-0000-0000-0000B3640000}"/>
    <cellStyle name="Normal 2 3 19 2 8" xfId="25787" xr:uid="{00000000-0005-0000-0000-0000B4640000}"/>
    <cellStyle name="Normal 2 3 19 2 9" xfId="25788" xr:uid="{00000000-0005-0000-0000-0000B5640000}"/>
    <cellStyle name="Normal 2 3 19 3" xfId="25789" xr:uid="{00000000-0005-0000-0000-0000B6640000}"/>
    <cellStyle name="Normal 2 3 19 3 10" xfId="25790" xr:uid="{00000000-0005-0000-0000-0000B7640000}"/>
    <cellStyle name="Normal 2 3 19 3 2" xfId="25791" xr:uid="{00000000-0005-0000-0000-0000B8640000}"/>
    <cellStyle name="Normal 2 3 19 3 3" xfId="25792" xr:uid="{00000000-0005-0000-0000-0000B9640000}"/>
    <cellStyle name="Normal 2 3 19 3 4" xfId="25793" xr:uid="{00000000-0005-0000-0000-0000BA640000}"/>
    <cellStyle name="Normal 2 3 19 3 5" xfId="25794" xr:uid="{00000000-0005-0000-0000-0000BB640000}"/>
    <cellStyle name="Normal 2 3 19 3 6" xfId="25795" xr:uid="{00000000-0005-0000-0000-0000BC640000}"/>
    <cellStyle name="Normal 2 3 19 3 7" xfId="25796" xr:uid="{00000000-0005-0000-0000-0000BD640000}"/>
    <cellStyle name="Normal 2 3 19 3 8" xfId="25797" xr:uid="{00000000-0005-0000-0000-0000BE640000}"/>
    <cellStyle name="Normal 2 3 19 3 9" xfId="25798" xr:uid="{00000000-0005-0000-0000-0000BF640000}"/>
    <cellStyle name="Normal 2 3 19 4" xfId="25799" xr:uid="{00000000-0005-0000-0000-0000C0640000}"/>
    <cellStyle name="Normal 2 3 19 4 10" xfId="25800" xr:uid="{00000000-0005-0000-0000-0000C1640000}"/>
    <cellStyle name="Normal 2 3 19 4 2" xfId="25801" xr:uid="{00000000-0005-0000-0000-0000C2640000}"/>
    <cellStyle name="Normal 2 3 19 4 3" xfId="25802" xr:uid="{00000000-0005-0000-0000-0000C3640000}"/>
    <cellStyle name="Normal 2 3 19 4 4" xfId="25803" xr:uid="{00000000-0005-0000-0000-0000C4640000}"/>
    <cellStyle name="Normal 2 3 19 4 5" xfId="25804" xr:uid="{00000000-0005-0000-0000-0000C5640000}"/>
    <cellStyle name="Normal 2 3 19 4 6" xfId="25805" xr:uid="{00000000-0005-0000-0000-0000C6640000}"/>
    <cellStyle name="Normal 2 3 19 4 7" xfId="25806" xr:uid="{00000000-0005-0000-0000-0000C7640000}"/>
    <cellStyle name="Normal 2 3 19 4 8" xfId="25807" xr:uid="{00000000-0005-0000-0000-0000C8640000}"/>
    <cellStyle name="Normal 2 3 19 4 9" xfId="25808" xr:uid="{00000000-0005-0000-0000-0000C9640000}"/>
    <cellStyle name="Normal 2 3 19 5" xfId="25809" xr:uid="{00000000-0005-0000-0000-0000CA640000}"/>
    <cellStyle name="Normal 2 3 19 5 10" xfId="25810" xr:uid="{00000000-0005-0000-0000-0000CB640000}"/>
    <cellStyle name="Normal 2 3 19 5 2" xfId="25811" xr:uid="{00000000-0005-0000-0000-0000CC640000}"/>
    <cellStyle name="Normal 2 3 19 5 3" xfId="25812" xr:uid="{00000000-0005-0000-0000-0000CD640000}"/>
    <cellStyle name="Normal 2 3 19 5 4" xfId="25813" xr:uid="{00000000-0005-0000-0000-0000CE640000}"/>
    <cellStyle name="Normal 2 3 19 5 5" xfId="25814" xr:uid="{00000000-0005-0000-0000-0000CF640000}"/>
    <cellStyle name="Normal 2 3 19 5 6" xfId="25815" xr:uid="{00000000-0005-0000-0000-0000D0640000}"/>
    <cellStyle name="Normal 2 3 19 5 7" xfId="25816" xr:uid="{00000000-0005-0000-0000-0000D1640000}"/>
    <cellStyle name="Normal 2 3 19 5 8" xfId="25817" xr:uid="{00000000-0005-0000-0000-0000D2640000}"/>
    <cellStyle name="Normal 2 3 19 5 9" xfId="25818" xr:uid="{00000000-0005-0000-0000-0000D3640000}"/>
    <cellStyle name="Normal 2 3 19 6" xfId="25819" xr:uid="{00000000-0005-0000-0000-0000D4640000}"/>
    <cellStyle name="Normal 2 3 19 7" xfId="25820" xr:uid="{00000000-0005-0000-0000-0000D5640000}"/>
    <cellStyle name="Normal 2 3 19 8" xfId="25821" xr:uid="{00000000-0005-0000-0000-0000D6640000}"/>
    <cellStyle name="Normal 2 3 19 9" xfId="25822" xr:uid="{00000000-0005-0000-0000-0000D7640000}"/>
    <cellStyle name="Normal 2 3 2" xfId="25823" xr:uid="{00000000-0005-0000-0000-0000D8640000}"/>
    <cellStyle name="Normal 2 3 2 10" xfId="25824" xr:uid="{00000000-0005-0000-0000-0000D9640000}"/>
    <cellStyle name="Normal 2 3 2 10 10" xfId="25825" xr:uid="{00000000-0005-0000-0000-0000DA640000}"/>
    <cellStyle name="Normal 2 3 2 10 11" xfId="25826" xr:uid="{00000000-0005-0000-0000-0000DB640000}"/>
    <cellStyle name="Normal 2 3 2 10 12" xfId="25827" xr:uid="{00000000-0005-0000-0000-0000DC640000}"/>
    <cellStyle name="Normal 2 3 2 10 13" xfId="25828" xr:uid="{00000000-0005-0000-0000-0000DD640000}"/>
    <cellStyle name="Normal 2 3 2 10 14" xfId="25829" xr:uid="{00000000-0005-0000-0000-0000DE640000}"/>
    <cellStyle name="Normal 2 3 2 10 2" xfId="25830" xr:uid="{00000000-0005-0000-0000-0000DF640000}"/>
    <cellStyle name="Normal 2 3 2 10 2 10" xfId="25831" xr:uid="{00000000-0005-0000-0000-0000E0640000}"/>
    <cellStyle name="Normal 2 3 2 10 2 2" xfId="25832" xr:uid="{00000000-0005-0000-0000-0000E1640000}"/>
    <cellStyle name="Normal 2 3 2 10 2 3" xfId="25833" xr:uid="{00000000-0005-0000-0000-0000E2640000}"/>
    <cellStyle name="Normal 2 3 2 10 2 4" xfId="25834" xr:uid="{00000000-0005-0000-0000-0000E3640000}"/>
    <cellStyle name="Normal 2 3 2 10 2 5" xfId="25835" xr:uid="{00000000-0005-0000-0000-0000E4640000}"/>
    <cellStyle name="Normal 2 3 2 10 2 6" xfId="25836" xr:uid="{00000000-0005-0000-0000-0000E5640000}"/>
    <cellStyle name="Normal 2 3 2 10 2 7" xfId="25837" xr:uid="{00000000-0005-0000-0000-0000E6640000}"/>
    <cellStyle name="Normal 2 3 2 10 2 8" xfId="25838" xr:uid="{00000000-0005-0000-0000-0000E7640000}"/>
    <cellStyle name="Normal 2 3 2 10 2 9" xfId="25839" xr:uid="{00000000-0005-0000-0000-0000E8640000}"/>
    <cellStyle name="Normal 2 3 2 10 3" xfId="25840" xr:uid="{00000000-0005-0000-0000-0000E9640000}"/>
    <cellStyle name="Normal 2 3 2 10 3 10" xfId="25841" xr:uid="{00000000-0005-0000-0000-0000EA640000}"/>
    <cellStyle name="Normal 2 3 2 10 3 2" xfId="25842" xr:uid="{00000000-0005-0000-0000-0000EB640000}"/>
    <cellStyle name="Normal 2 3 2 10 3 3" xfId="25843" xr:uid="{00000000-0005-0000-0000-0000EC640000}"/>
    <cellStyle name="Normal 2 3 2 10 3 4" xfId="25844" xr:uid="{00000000-0005-0000-0000-0000ED640000}"/>
    <cellStyle name="Normal 2 3 2 10 3 5" xfId="25845" xr:uid="{00000000-0005-0000-0000-0000EE640000}"/>
    <cellStyle name="Normal 2 3 2 10 3 6" xfId="25846" xr:uid="{00000000-0005-0000-0000-0000EF640000}"/>
    <cellStyle name="Normal 2 3 2 10 3 7" xfId="25847" xr:uid="{00000000-0005-0000-0000-0000F0640000}"/>
    <cellStyle name="Normal 2 3 2 10 3 8" xfId="25848" xr:uid="{00000000-0005-0000-0000-0000F1640000}"/>
    <cellStyle name="Normal 2 3 2 10 3 9" xfId="25849" xr:uid="{00000000-0005-0000-0000-0000F2640000}"/>
    <cellStyle name="Normal 2 3 2 10 4" xfId="25850" xr:uid="{00000000-0005-0000-0000-0000F3640000}"/>
    <cellStyle name="Normal 2 3 2 10 4 10" xfId="25851" xr:uid="{00000000-0005-0000-0000-0000F4640000}"/>
    <cellStyle name="Normal 2 3 2 10 4 2" xfId="25852" xr:uid="{00000000-0005-0000-0000-0000F5640000}"/>
    <cellStyle name="Normal 2 3 2 10 4 3" xfId="25853" xr:uid="{00000000-0005-0000-0000-0000F6640000}"/>
    <cellStyle name="Normal 2 3 2 10 4 4" xfId="25854" xr:uid="{00000000-0005-0000-0000-0000F7640000}"/>
    <cellStyle name="Normal 2 3 2 10 4 5" xfId="25855" xr:uid="{00000000-0005-0000-0000-0000F8640000}"/>
    <cellStyle name="Normal 2 3 2 10 4 6" xfId="25856" xr:uid="{00000000-0005-0000-0000-0000F9640000}"/>
    <cellStyle name="Normal 2 3 2 10 4 7" xfId="25857" xr:uid="{00000000-0005-0000-0000-0000FA640000}"/>
    <cellStyle name="Normal 2 3 2 10 4 8" xfId="25858" xr:uid="{00000000-0005-0000-0000-0000FB640000}"/>
    <cellStyle name="Normal 2 3 2 10 4 9" xfId="25859" xr:uid="{00000000-0005-0000-0000-0000FC640000}"/>
    <cellStyle name="Normal 2 3 2 10 5" xfId="25860" xr:uid="{00000000-0005-0000-0000-0000FD640000}"/>
    <cellStyle name="Normal 2 3 2 10 5 10" xfId="25861" xr:uid="{00000000-0005-0000-0000-0000FE640000}"/>
    <cellStyle name="Normal 2 3 2 10 5 2" xfId="25862" xr:uid="{00000000-0005-0000-0000-0000FF640000}"/>
    <cellStyle name="Normal 2 3 2 10 5 3" xfId="25863" xr:uid="{00000000-0005-0000-0000-000000650000}"/>
    <cellStyle name="Normal 2 3 2 10 5 4" xfId="25864" xr:uid="{00000000-0005-0000-0000-000001650000}"/>
    <cellStyle name="Normal 2 3 2 10 5 5" xfId="25865" xr:uid="{00000000-0005-0000-0000-000002650000}"/>
    <cellStyle name="Normal 2 3 2 10 5 6" xfId="25866" xr:uid="{00000000-0005-0000-0000-000003650000}"/>
    <cellStyle name="Normal 2 3 2 10 5 7" xfId="25867" xr:uid="{00000000-0005-0000-0000-000004650000}"/>
    <cellStyle name="Normal 2 3 2 10 5 8" xfId="25868" xr:uid="{00000000-0005-0000-0000-000005650000}"/>
    <cellStyle name="Normal 2 3 2 10 5 9" xfId="25869" xr:uid="{00000000-0005-0000-0000-000006650000}"/>
    <cellStyle name="Normal 2 3 2 10 6" xfId="25870" xr:uid="{00000000-0005-0000-0000-000007650000}"/>
    <cellStyle name="Normal 2 3 2 10 7" xfId="25871" xr:uid="{00000000-0005-0000-0000-000008650000}"/>
    <cellStyle name="Normal 2 3 2 10 8" xfId="25872" xr:uid="{00000000-0005-0000-0000-000009650000}"/>
    <cellStyle name="Normal 2 3 2 10 9" xfId="25873" xr:uid="{00000000-0005-0000-0000-00000A650000}"/>
    <cellStyle name="Normal 2 3 2 11" xfId="25874" xr:uid="{00000000-0005-0000-0000-00000B650000}"/>
    <cellStyle name="Normal 2 3 2 11 10" xfId="25875" xr:uid="{00000000-0005-0000-0000-00000C650000}"/>
    <cellStyle name="Normal 2 3 2 11 11" xfId="25876" xr:uid="{00000000-0005-0000-0000-00000D650000}"/>
    <cellStyle name="Normal 2 3 2 11 12" xfId="25877" xr:uid="{00000000-0005-0000-0000-00000E650000}"/>
    <cellStyle name="Normal 2 3 2 11 13" xfId="25878" xr:uid="{00000000-0005-0000-0000-00000F650000}"/>
    <cellStyle name="Normal 2 3 2 11 14" xfId="25879" xr:uid="{00000000-0005-0000-0000-000010650000}"/>
    <cellStyle name="Normal 2 3 2 11 2" xfId="25880" xr:uid="{00000000-0005-0000-0000-000011650000}"/>
    <cellStyle name="Normal 2 3 2 11 2 10" xfId="25881" xr:uid="{00000000-0005-0000-0000-000012650000}"/>
    <cellStyle name="Normal 2 3 2 11 2 2" xfId="25882" xr:uid="{00000000-0005-0000-0000-000013650000}"/>
    <cellStyle name="Normal 2 3 2 11 2 3" xfId="25883" xr:uid="{00000000-0005-0000-0000-000014650000}"/>
    <cellStyle name="Normal 2 3 2 11 2 4" xfId="25884" xr:uid="{00000000-0005-0000-0000-000015650000}"/>
    <cellStyle name="Normal 2 3 2 11 2 5" xfId="25885" xr:uid="{00000000-0005-0000-0000-000016650000}"/>
    <cellStyle name="Normal 2 3 2 11 2 6" xfId="25886" xr:uid="{00000000-0005-0000-0000-000017650000}"/>
    <cellStyle name="Normal 2 3 2 11 2 7" xfId="25887" xr:uid="{00000000-0005-0000-0000-000018650000}"/>
    <cellStyle name="Normal 2 3 2 11 2 8" xfId="25888" xr:uid="{00000000-0005-0000-0000-000019650000}"/>
    <cellStyle name="Normal 2 3 2 11 2 9" xfId="25889" xr:uid="{00000000-0005-0000-0000-00001A650000}"/>
    <cellStyle name="Normal 2 3 2 11 3" xfId="25890" xr:uid="{00000000-0005-0000-0000-00001B650000}"/>
    <cellStyle name="Normal 2 3 2 11 3 10" xfId="25891" xr:uid="{00000000-0005-0000-0000-00001C650000}"/>
    <cellStyle name="Normal 2 3 2 11 3 2" xfId="25892" xr:uid="{00000000-0005-0000-0000-00001D650000}"/>
    <cellStyle name="Normal 2 3 2 11 3 3" xfId="25893" xr:uid="{00000000-0005-0000-0000-00001E650000}"/>
    <cellStyle name="Normal 2 3 2 11 3 4" xfId="25894" xr:uid="{00000000-0005-0000-0000-00001F650000}"/>
    <cellStyle name="Normal 2 3 2 11 3 5" xfId="25895" xr:uid="{00000000-0005-0000-0000-000020650000}"/>
    <cellStyle name="Normal 2 3 2 11 3 6" xfId="25896" xr:uid="{00000000-0005-0000-0000-000021650000}"/>
    <cellStyle name="Normal 2 3 2 11 3 7" xfId="25897" xr:uid="{00000000-0005-0000-0000-000022650000}"/>
    <cellStyle name="Normal 2 3 2 11 3 8" xfId="25898" xr:uid="{00000000-0005-0000-0000-000023650000}"/>
    <cellStyle name="Normal 2 3 2 11 3 9" xfId="25899" xr:uid="{00000000-0005-0000-0000-000024650000}"/>
    <cellStyle name="Normal 2 3 2 11 4" xfId="25900" xr:uid="{00000000-0005-0000-0000-000025650000}"/>
    <cellStyle name="Normal 2 3 2 11 4 10" xfId="25901" xr:uid="{00000000-0005-0000-0000-000026650000}"/>
    <cellStyle name="Normal 2 3 2 11 4 2" xfId="25902" xr:uid="{00000000-0005-0000-0000-000027650000}"/>
    <cellStyle name="Normal 2 3 2 11 4 3" xfId="25903" xr:uid="{00000000-0005-0000-0000-000028650000}"/>
    <cellStyle name="Normal 2 3 2 11 4 4" xfId="25904" xr:uid="{00000000-0005-0000-0000-000029650000}"/>
    <cellStyle name="Normal 2 3 2 11 4 5" xfId="25905" xr:uid="{00000000-0005-0000-0000-00002A650000}"/>
    <cellStyle name="Normal 2 3 2 11 4 6" xfId="25906" xr:uid="{00000000-0005-0000-0000-00002B650000}"/>
    <cellStyle name="Normal 2 3 2 11 4 7" xfId="25907" xr:uid="{00000000-0005-0000-0000-00002C650000}"/>
    <cellStyle name="Normal 2 3 2 11 4 8" xfId="25908" xr:uid="{00000000-0005-0000-0000-00002D650000}"/>
    <cellStyle name="Normal 2 3 2 11 4 9" xfId="25909" xr:uid="{00000000-0005-0000-0000-00002E650000}"/>
    <cellStyle name="Normal 2 3 2 11 5" xfId="25910" xr:uid="{00000000-0005-0000-0000-00002F650000}"/>
    <cellStyle name="Normal 2 3 2 11 5 10" xfId="25911" xr:uid="{00000000-0005-0000-0000-000030650000}"/>
    <cellStyle name="Normal 2 3 2 11 5 2" xfId="25912" xr:uid="{00000000-0005-0000-0000-000031650000}"/>
    <cellStyle name="Normal 2 3 2 11 5 3" xfId="25913" xr:uid="{00000000-0005-0000-0000-000032650000}"/>
    <cellStyle name="Normal 2 3 2 11 5 4" xfId="25914" xr:uid="{00000000-0005-0000-0000-000033650000}"/>
    <cellStyle name="Normal 2 3 2 11 5 5" xfId="25915" xr:uid="{00000000-0005-0000-0000-000034650000}"/>
    <cellStyle name="Normal 2 3 2 11 5 6" xfId="25916" xr:uid="{00000000-0005-0000-0000-000035650000}"/>
    <cellStyle name="Normal 2 3 2 11 5 7" xfId="25917" xr:uid="{00000000-0005-0000-0000-000036650000}"/>
    <cellStyle name="Normal 2 3 2 11 5 8" xfId="25918" xr:uid="{00000000-0005-0000-0000-000037650000}"/>
    <cellStyle name="Normal 2 3 2 11 5 9" xfId="25919" xr:uid="{00000000-0005-0000-0000-000038650000}"/>
    <cellStyle name="Normal 2 3 2 11 6" xfId="25920" xr:uid="{00000000-0005-0000-0000-000039650000}"/>
    <cellStyle name="Normal 2 3 2 11 7" xfId="25921" xr:uid="{00000000-0005-0000-0000-00003A650000}"/>
    <cellStyle name="Normal 2 3 2 11 8" xfId="25922" xr:uid="{00000000-0005-0000-0000-00003B650000}"/>
    <cellStyle name="Normal 2 3 2 11 9" xfId="25923" xr:uid="{00000000-0005-0000-0000-00003C650000}"/>
    <cellStyle name="Normal 2 3 2 12" xfId="25924" xr:uid="{00000000-0005-0000-0000-00003D650000}"/>
    <cellStyle name="Normal 2 3 2 12 10" xfId="25925" xr:uid="{00000000-0005-0000-0000-00003E650000}"/>
    <cellStyle name="Normal 2 3 2 12 11" xfId="25926" xr:uid="{00000000-0005-0000-0000-00003F650000}"/>
    <cellStyle name="Normal 2 3 2 12 12" xfId="25927" xr:uid="{00000000-0005-0000-0000-000040650000}"/>
    <cellStyle name="Normal 2 3 2 12 13" xfId="25928" xr:uid="{00000000-0005-0000-0000-000041650000}"/>
    <cellStyle name="Normal 2 3 2 12 14" xfId="25929" xr:uid="{00000000-0005-0000-0000-000042650000}"/>
    <cellStyle name="Normal 2 3 2 12 2" xfId="25930" xr:uid="{00000000-0005-0000-0000-000043650000}"/>
    <cellStyle name="Normal 2 3 2 12 2 10" xfId="25931" xr:uid="{00000000-0005-0000-0000-000044650000}"/>
    <cellStyle name="Normal 2 3 2 12 2 2" xfId="25932" xr:uid="{00000000-0005-0000-0000-000045650000}"/>
    <cellStyle name="Normal 2 3 2 12 2 3" xfId="25933" xr:uid="{00000000-0005-0000-0000-000046650000}"/>
    <cellStyle name="Normal 2 3 2 12 2 4" xfId="25934" xr:uid="{00000000-0005-0000-0000-000047650000}"/>
    <cellStyle name="Normal 2 3 2 12 2 5" xfId="25935" xr:uid="{00000000-0005-0000-0000-000048650000}"/>
    <cellStyle name="Normal 2 3 2 12 2 6" xfId="25936" xr:uid="{00000000-0005-0000-0000-000049650000}"/>
    <cellStyle name="Normal 2 3 2 12 2 7" xfId="25937" xr:uid="{00000000-0005-0000-0000-00004A650000}"/>
    <cellStyle name="Normal 2 3 2 12 2 8" xfId="25938" xr:uid="{00000000-0005-0000-0000-00004B650000}"/>
    <cellStyle name="Normal 2 3 2 12 2 9" xfId="25939" xr:uid="{00000000-0005-0000-0000-00004C650000}"/>
    <cellStyle name="Normal 2 3 2 12 3" xfId="25940" xr:uid="{00000000-0005-0000-0000-00004D650000}"/>
    <cellStyle name="Normal 2 3 2 12 3 10" xfId="25941" xr:uid="{00000000-0005-0000-0000-00004E650000}"/>
    <cellStyle name="Normal 2 3 2 12 3 2" xfId="25942" xr:uid="{00000000-0005-0000-0000-00004F650000}"/>
    <cellStyle name="Normal 2 3 2 12 3 3" xfId="25943" xr:uid="{00000000-0005-0000-0000-000050650000}"/>
    <cellStyle name="Normal 2 3 2 12 3 4" xfId="25944" xr:uid="{00000000-0005-0000-0000-000051650000}"/>
    <cellStyle name="Normal 2 3 2 12 3 5" xfId="25945" xr:uid="{00000000-0005-0000-0000-000052650000}"/>
    <cellStyle name="Normal 2 3 2 12 3 6" xfId="25946" xr:uid="{00000000-0005-0000-0000-000053650000}"/>
    <cellStyle name="Normal 2 3 2 12 3 7" xfId="25947" xr:uid="{00000000-0005-0000-0000-000054650000}"/>
    <cellStyle name="Normal 2 3 2 12 3 8" xfId="25948" xr:uid="{00000000-0005-0000-0000-000055650000}"/>
    <cellStyle name="Normal 2 3 2 12 3 9" xfId="25949" xr:uid="{00000000-0005-0000-0000-000056650000}"/>
    <cellStyle name="Normal 2 3 2 12 4" xfId="25950" xr:uid="{00000000-0005-0000-0000-000057650000}"/>
    <cellStyle name="Normal 2 3 2 12 4 10" xfId="25951" xr:uid="{00000000-0005-0000-0000-000058650000}"/>
    <cellStyle name="Normal 2 3 2 12 4 2" xfId="25952" xr:uid="{00000000-0005-0000-0000-000059650000}"/>
    <cellStyle name="Normal 2 3 2 12 4 3" xfId="25953" xr:uid="{00000000-0005-0000-0000-00005A650000}"/>
    <cellStyle name="Normal 2 3 2 12 4 4" xfId="25954" xr:uid="{00000000-0005-0000-0000-00005B650000}"/>
    <cellStyle name="Normal 2 3 2 12 4 5" xfId="25955" xr:uid="{00000000-0005-0000-0000-00005C650000}"/>
    <cellStyle name="Normal 2 3 2 12 4 6" xfId="25956" xr:uid="{00000000-0005-0000-0000-00005D650000}"/>
    <cellStyle name="Normal 2 3 2 12 4 7" xfId="25957" xr:uid="{00000000-0005-0000-0000-00005E650000}"/>
    <cellStyle name="Normal 2 3 2 12 4 8" xfId="25958" xr:uid="{00000000-0005-0000-0000-00005F650000}"/>
    <cellStyle name="Normal 2 3 2 12 4 9" xfId="25959" xr:uid="{00000000-0005-0000-0000-000060650000}"/>
    <cellStyle name="Normal 2 3 2 12 5" xfId="25960" xr:uid="{00000000-0005-0000-0000-000061650000}"/>
    <cellStyle name="Normal 2 3 2 12 5 10" xfId="25961" xr:uid="{00000000-0005-0000-0000-000062650000}"/>
    <cellStyle name="Normal 2 3 2 12 5 2" xfId="25962" xr:uid="{00000000-0005-0000-0000-000063650000}"/>
    <cellStyle name="Normal 2 3 2 12 5 3" xfId="25963" xr:uid="{00000000-0005-0000-0000-000064650000}"/>
    <cellStyle name="Normal 2 3 2 12 5 4" xfId="25964" xr:uid="{00000000-0005-0000-0000-000065650000}"/>
    <cellStyle name="Normal 2 3 2 12 5 5" xfId="25965" xr:uid="{00000000-0005-0000-0000-000066650000}"/>
    <cellStyle name="Normal 2 3 2 12 5 6" xfId="25966" xr:uid="{00000000-0005-0000-0000-000067650000}"/>
    <cellStyle name="Normal 2 3 2 12 5 7" xfId="25967" xr:uid="{00000000-0005-0000-0000-000068650000}"/>
    <cellStyle name="Normal 2 3 2 12 5 8" xfId="25968" xr:uid="{00000000-0005-0000-0000-000069650000}"/>
    <cellStyle name="Normal 2 3 2 12 5 9" xfId="25969" xr:uid="{00000000-0005-0000-0000-00006A650000}"/>
    <cellStyle name="Normal 2 3 2 12 6" xfId="25970" xr:uid="{00000000-0005-0000-0000-00006B650000}"/>
    <cellStyle name="Normal 2 3 2 12 7" xfId="25971" xr:uid="{00000000-0005-0000-0000-00006C650000}"/>
    <cellStyle name="Normal 2 3 2 12 8" xfId="25972" xr:uid="{00000000-0005-0000-0000-00006D650000}"/>
    <cellStyle name="Normal 2 3 2 12 9" xfId="25973" xr:uid="{00000000-0005-0000-0000-00006E650000}"/>
    <cellStyle name="Normal 2 3 2 13" xfId="25974" xr:uid="{00000000-0005-0000-0000-00006F650000}"/>
    <cellStyle name="Normal 2 3 2 13 10" xfId="25975" xr:uid="{00000000-0005-0000-0000-000070650000}"/>
    <cellStyle name="Normal 2 3 2 13 11" xfId="25976" xr:uid="{00000000-0005-0000-0000-000071650000}"/>
    <cellStyle name="Normal 2 3 2 13 12" xfId="25977" xr:uid="{00000000-0005-0000-0000-000072650000}"/>
    <cellStyle name="Normal 2 3 2 13 13" xfId="25978" xr:uid="{00000000-0005-0000-0000-000073650000}"/>
    <cellStyle name="Normal 2 3 2 13 14" xfId="25979" xr:uid="{00000000-0005-0000-0000-000074650000}"/>
    <cellStyle name="Normal 2 3 2 13 2" xfId="25980" xr:uid="{00000000-0005-0000-0000-000075650000}"/>
    <cellStyle name="Normal 2 3 2 13 2 10" xfId="25981" xr:uid="{00000000-0005-0000-0000-000076650000}"/>
    <cellStyle name="Normal 2 3 2 13 2 2" xfId="25982" xr:uid="{00000000-0005-0000-0000-000077650000}"/>
    <cellStyle name="Normal 2 3 2 13 2 3" xfId="25983" xr:uid="{00000000-0005-0000-0000-000078650000}"/>
    <cellStyle name="Normal 2 3 2 13 2 4" xfId="25984" xr:uid="{00000000-0005-0000-0000-000079650000}"/>
    <cellStyle name="Normal 2 3 2 13 2 5" xfId="25985" xr:uid="{00000000-0005-0000-0000-00007A650000}"/>
    <cellStyle name="Normal 2 3 2 13 2 6" xfId="25986" xr:uid="{00000000-0005-0000-0000-00007B650000}"/>
    <cellStyle name="Normal 2 3 2 13 2 7" xfId="25987" xr:uid="{00000000-0005-0000-0000-00007C650000}"/>
    <cellStyle name="Normal 2 3 2 13 2 8" xfId="25988" xr:uid="{00000000-0005-0000-0000-00007D650000}"/>
    <cellStyle name="Normal 2 3 2 13 2 9" xfId="25989" xr:uid="{00000000-0005-0000-0000-00007E650000}"/>
    <cellStyle name="Normal 2 3 2 13 3" xfId="25990" xr:uid="{00000000-0005-0000-0000-00007F650000}"/>
    <cellStyle name="Normal 2 3 2 13 3 10" xfId="25991" xr:uid="{00000000-0005-0000-0000-000080650000}"/>
    <cellStyle name="Normal 2 3 2 13 3 2" xfId="25992" xr:uid="{00000000-0005-0000-0000-000081650000}"/>
    <cellStyle name="Normal 2 3 2 13 3 3" xfId="25993" xr:uid="{00000000-0005-0000-0000-000082650000}"/>
    <cellStyle name="Normal 2 3 2 13 3 4" xfId="25994" xr:uid="{00000000-0005-0000-0000-000083650000}"/>
    <cellStyle name="Normal 2 3 2 13 3 5" xfId="25995" xr:uid="{00000000-0005-0000-0000-000084650000}"/>
    <cellStyle name="Normal 2 3 2 13 3 6" xfId="25996" xr:uid="{00000000-0005-0000-0000-000085650000}"/>
    <cellStyle name="Normal 2 3 2 13 3 7" xfId="25997" xr:uid="{00000000-0005-0000-0000-000086650000}"/>
    <cellStyle name="Normal 2 3 2 13 3 8" xfId="25998" xr:uid="{00000000-0005-0000-0000-000087650000}"/>
    <cellStyle name="Normal 2 3 2 13 3 9" xfId="25999" xr:uid="{00000000-0005-0000-0000-000088650000}"/>
    <cellStyle name="Normal 2 3 2 13 4" xfId="26000" xr:uid="{00000000-0005-0000-0000-000089650000}"/>
    <cellStyle name="Normal 2 3 2 13 4 10" xfId="26001" xr:uid="{00000000-0005-0000-0000-00008A650000}"/>
    <cellStyle name="Normal 2 3 2 13 4 2" xfId="26002" xr:uid="{00000000-0005-0000-0000-00008B650000}"/>
    <cellStyle name="Normal 2 3 2 13 4 3" xfId="26003" xr:uid="{00000000-0005-0000-0000-00008C650000}"/>
    <cellStyle name="Normal 2 3 2 13 4 4" xfId="26004" xr:uid="{00000000-0005-0000-0000-00008D650000}"/>
    <cellStyle name="Normal 2 3 2 13 4 5" xfId="26005" xr:uid="{00000000-0005-0000-0000-00008E650000}"/>
    <cellStyle name="Normal 2 3 2 13 4 6" xfId="26006" xr:uid="{00000000-0005-0000-0000-00008F650000}"/>
    <cellStyle name="Normal 2 3 2 13 4 7" xfId="26007" xr:uid="{00000000-0005-0000-0000-000090650000}"/>
    <cellStyle name="Normal 2 3 2 13 4 8" xfId="26008" xr:uid="{00000000-0005-0000-0000-000091650000}"/>
    <cellStyle name="Normal 2 3 2 13 4 9" xfId="26009" xr:uid="{00000000-0005-0000-0000-000092650000}"/>
    <cellStyle name="Normal 2 3 2 13 5" xfId="26010" xr:uid="{00000000-0005-0000-0000-000093650000}"/>
    <cellStyle name="Normal 2 3 2 13 5 10" xfId="26011" xr:uid="{00000000-0005-0000-0000-000094650000}"/>
    <cellStyle name="Normal 2 3 2 13 5 2" xfId="26012" xr:uid="{00000000-0005-0000-0000-000095650000}"/>
    <cellStyle name="Normal 2 3 2 13 5 3" xfId="26013" xr:uid="{00000000-0005-0000-0000-000096650000}"/>
    <cellStyle name="Normal 2 3 2 13 5 4" xfId="26014" xr:uid="{00000000-0005-0000-0000-000097650000}"/>
    <cellStyle name="Normal 2 3 2 13 5 5" xfId="26015" xr:uid="{00000000-0005-0000-0000-000098650000}"/>
    <cellStyle name="Normal 2 3 2 13 5 6" xfId="26016" xr:uid="{00000000-0005-0000-0000-000099650000}"/>
    <cellStyle name="Normal 2 3 2 13 5 7" xfId="26017" xr:uid="{00000000-0005-0000-0000-00009A650000}"/>
    <cellStyle name="Normal 2 3 2 13 5 8" xfId="26018" xr:uid="{00000000-0005-0000-0000-00009B650000}"/>
    <cellStyle name="Normal 2 3 2 13 5 9" xfId="26019" xr:uid="{00000000-0005-0000-0000-00009C650000}"/>
    <cellStyle name="Normal 2 3 2 13 6" xfId="26020" xr:uid="{00000000-0005-0000-0000-00009D650000}"/>
    <cellStyle name="Normal 2 3 2 13 7" xfId="26021" xr:uid="{00000000-0005-0000-0000-00009E650000}"/>
    <cellStyle name="Normal 2 3 2 13 8" xfId="26022" xr:uid="{00000000-0005-0000-0000-00009F650000}"/>
    <cellStyle name="Normal 2 3 2 13 9" xfId="26023" xr:uid="{00000000-0005-0000-0000-0000A0650000}"/>
    <cellStyle name="Normal 2 3 2 14" xfId="26024" xr:uid="{00000000-0005-0000-0000-0000A1650000}"/>
    <cellStyle name="Normal 2 3 2 14 10" xfId="26025" xr:uid="{00000000-0005-0000-0000-0000A2650000}"/>
    <cellStyle name="Normal 2 3 2 14 11" xfId="26026" xr:uid="{00000000-0005-0000-0000-0000A3650000}"/>
    <cellStyle name="Normal 2 3 2 14 12" xfId="26027" xr:uid="{00000000-0005-0000-0000-0000A4650000}"/>
    <cellStyle name="Normal 2 3 2 14 13" xfId="26028" xr:uid="{00000000-0005-0000-0000-0000A5650000}"/>
    <cellStyle name="Normal 2 3 2 14 14" xfId="26029" xr:uid="{00000000-0005-0000-0000-0000A6650000}"/>
    <cellStyle name="Normal 2 3 2 14 2" xfId="26030" xr:uid="{00000000-0005-0000-0000-0000A7650000}"/>
    <cellStyle name="Normal 2 3 2 14 2 10" xfId="26031" xr:uid="{00000000-0005-0000-0000-0000A8650000}"/>
    <cellStyle name="Normal 2 3 2 14 2 2" xfId="26032" xr:uid="{00000000-0005-0000-0000-0000A9650000}"/>
    <cellStyle name="Normal 2 3 2 14 2 3" xfId="26033" xr:uid="{00000000-0005-0000-0000-0000AA650000}"/>
    <cellStyle name="Normal 2 3 2 14 2 4" xfId="26034" xr:uid="{00000000-0005-0000-0000-0000AB650000}"/>
    <cellStyle name="Normal 2 3 2 14 2 5" xfId="26035" xr:uid="{00000000-0005-0000-0000-0000AC650000}"/>
    <cellStyle name="Normal 2 3 2 14 2 6" xfId="26036" xr:uid="{00000000-0005-0000-0000-0000AD650000}"/>
    <cellStyle name="Normal 2 3 2 14 2 7" xfId="26037" xr:uid="{00000000-0005-0000-0000-0000AE650000}"/>
    <cellStyle name="Normal 2 3 2 14 2 8" xfId="26038" xr:uid="{00000000-0005-0000-0000-0000AF650000}"/>
    <cellStyle name="Normal 2 3 2 14 2 9" xfId="26039" xr:uid="{00000000-0005-0000-0000-0000B0650000}"/>
    <cellStyle name="Normal 2 3 2 14 3" xfId="26040" xr:uid="{00000000-0005-0000-0000-0000B1650000}"/>
    <cellStyle name="Normal 2 3 2 14 3 10" xfId="26041" xr:uid="{00000000-0005-0000-0000-0000B2650000}"/>
    <cellStyle name="Normal 2 3 2 14 3 2" xfId="26042" xr:uid="{00000000-0005-0000-0000-0000B3650000}"/>
    <cellStyle name="Normal 2 3 2 14 3 3" xfId="26043" xr:uid="{00000000-0005-0000-0000-0000B4650000}"/>
    <cellStyle name="Normal 2 3 2 14 3 4" xfId="26044" xr:uid="{00000000-0005-0000-0000-0000B5650000}"/>
    <cellStyle name="Normal 2 3 2 14 3 5" xfId="26045" xr:uid="{00000000-0005-0000-0000-0000B6650000}"/>
    <cellStyle name="Normal 2 3 2 14 3 6" xfId="26046" xr:uid="{00000000-0005-0000-0000-0000B7650000}"/>
    <cellStyle name="Normal 2 3 2 14 3 7" xfId="26047" xr:uid="{00000000-0005-0000-0000-0000B8650000}"/>
    <cellStyle name="Normal 2 3 2 14 3 8" xfId="26048" xr:uid="{00000000-0005-0000-0000-0000B9650000}"/>
    <cellStyle name="Normal 2 3 2 14 3 9" xfId="26049" xr:uid="{00000000-0005-0000-0000-0000BA650000}"/>
    <cellStyle name="Normal 2 3 2 14 4" xfId="26050" xr:uid="{00000000-0005-0000-0000-0000BB650000}"/>
    <cellStyle name="Normal 2 3 2 14 4 10" xfId="26051" xr:uid="{00000000-0005-0000-0000-0000BC650000}"/>
    <cellStyle name="Normal 2 3 2 14 4 2" xfId="26052" xr:uid="{00000000-0005-0000-0000-0000BD650000}"/>
    <cellStyle name="Normal 2 3 2 14 4 3" xfId="26053" xr:uid="{00000000-0005-0000-0000-0000BE650000}"/>
    <cellStyle name="Normal 2 3 2 14 4 4" xfId="26054" xr:uid="{00000000-0005-0000-0000-0000BF650000}"/>
    <cellStyle name="Normal 2 3 2 14 4 5" xfId="26055" xr:uid="{00000000-0005-0000-0000-0000C0650000}"/>
    <cellStyle name="Normal 2 3 2 14 4 6" xfId="26056" xr:uid="{00000000-0005-0000-0000-0000C1650000}"/>
    <cellStyle name="Normal 2 3 2 14 4 7" xfId="26057" xr:uid="{00000000-0005-0000-0000-0000C2650000}"/>
    <cellStyle name="Normal 2 3 2 14 4 8" xfId="26058" xr:uid="{00000000-0005-0000-0000-0000C3650000}"/>
    <cellStyle name="Normal 2 3 2 14 4 9" xfId="26059" xr:uid="{00000000-0005-0000-0000-0000C4650000}"/>
    <cellStyle name="Normal 2 3 2 14 5" xfId="26060" xr:uid="{00000000-0005-0000-0000-0000C5650000}"/>
    <cellStyle name="Normal 2 3 2 14 5 10" xfId="26061" xr:uid="{00000000-0005-0000-0000-0000C6650000}"/>
    <cellStyle name="Normal 2 3 2 14 5 2" xfId="26062" xr:uid="{00000000-0005-0000-0000-0000C7650000}"/>
    <cellStyle name="Normal 2 3 2 14 5 3" xfId="26063" xr:uid="{00000000-0005-0000-0000-0000C8650000}"/>
    <cellStyle name="Normal 2 3 2 14 5 4" xfId="26064" xr:uid="{00000000-0005-0000-0000-0000C9650000}"/>
    <cellStyle name="Normal 2 3 2 14 5 5" xfId="26065" xr:uid="{00000000-0005-0000-0000-0000CA650000}"/>
    <cellStyle name="Normal 2 3 2 14 5 6" xfId="26066" xr:uid="{00000000-0005-0000-0000-0000CB650000}"/>
    <cellStyle name="Normal 2 3 2 14 5 7" xfId="26067" xr:uid="{00000000-0005-0000-0000-0000CC650000}"/>
    <cellStyle name="Normal 2 3 2 14 5 8" xfId="26068" xr:uid="{00000000-0005-0000-0000-0000CD650000}"/>
    <cellStyle name="Normal 2 3 2 14 5 9" xfId="26069" xr:uid="{00000000-0005-0000-0000-0000CE650000}"/>
    <cellStyle name="Normal 2 3 2 14 6" xfId="26070" xr:uid="{00000000-0005-0000-0000-0000CF650000}"/>
    <cellStyle name="Normal 2 3 2 14 7" xfId="26071" xr:uid="{00000000-0005-0000-0000-0000D0650000}"/>
    <cellStyle name="Normal 2 3 2 14 8" xfId="26072" xr:uid="{00000000-0005-0000-0000-0000D1650000}"/>
    <cellStyle name="Normal 2 3 2 14 9" xfId="26073" xr:uid="{00000000-0005-0000-0000-0000D2650000}"/>
    <cellStyle name="Normal 2 3 2 15" xfId="26074" xr:uid="{00000000-0005-0000-0000-0000D3650000}"/>
    <cellStyle name="Normal 2 3 2 15 10" xfId="26075" xr:uid="{00000000-0005-0000-0000-0000D4650000}"/>
    <cellStyle name="Normal 2 3 2 15 11" xfId="26076" xr:uid="{00000000-0005-0000-0000-0000D5650000}"/>
    <cellStyle name="Normal 2 3 2 15 12" xfId="26077" xr:uid="{00000000-0005-0000-0000-0000D6650000}"/>
    <cellStyle name="Normal 2 3 2 15 13" xfId="26078" xr:uid="{00000000-0005-0000-0000-0000D7650000}"/>
    <cellStyle name="Normal 2 3 2 15 14" xfId="26079" xr:uid="{00000000-0005-0000-0000-0000D8650000}"/>
    <cellStyle name="Normal 2 3 2 15 2" xfId="26080" xr:uid="{00000000-0005-0000-0000-0000D9650000}"/>
    <cellStyle name="Normal 2 3 2 15 2 10" xfId="26081" xr:uid="{00000000-0005-0000-0000-0000DA650000}"/>
    <cellStyle name="Normal 2 3 2 15 2 2" xfId="26082" xr:uid="{00000000-0005-0000-0000-0000DB650000}"/>
    <cellStyle name="Normal 2 3 2 15 2 3" xfId="26083" xr:uid="{00000000-0005-0000-0000-0000DC650000}"/>
    <cellStyle name="Normal 2 3 2 15 2 4" xfId="26084" xr:uid="{00000000-0005-0000-0000-0000DD650000}"/>
    <cellStyle name="Normal 2 3 2 15 2 5" xfId="26085" xr:uid="{00000000-0005-0000-0000-0000DE650000}"/>
    <cellStyle name="Normal 2 3 2 15 2 6" xfId="26086" xr:uid="{00000000-0005-0000-0000-0000DF650000}"/>
    <cellStyle name="Normal 2 3 2 15 2 7" xfId="26087" xr:uid="{00000000-0005-0000-0000-0000E0650000}"/>
    <cellStyle name="Normal 2 3 2 15 2 8" xfId="26088" xr:uid="{00000000-0005-0000-0000-0000E1650000}"/>
    <cellStyle name="Normal 2 3 2 15 2 9" xfId="26089" xr:uid="{00000000-0005-0000-0000-0000E2650000}"/>
    <cellStyle name="Normal 2 3 2 15 3" xfId="26090" xr:uid="{00000000-0005-0000-0000-0000E3650000}"/>
    <cellStyle name="Normal 2 3 2 15 3 10" xfId="26091" xr:uid="{00000000-0005-0000-0000-0000E4650000}"/>
    <cellStyle name="Normal 2 3 2 15 3 2" xfId="26092" xr:uid="{00000000-0005-0000-0000-0000E5650000}"/>
    <cellStyle name="Normal 2 3 2 15 3 3" xfId="26093" xr:uid="{00000000-0005-0000-0000-0000E6650000}"/>
    <cellStyle name="Normal 2 3 2 15 3 4" xfId="26094" xr:uid="{00000000-0005-0000-0000-0000E7650000}"/>
    <cellStyle name="Normal 2 3 2 15 3 5" xfId="26095" xr:uid="{00000000-0005-0000-0000-0000E8650000}"/>
    <cellStyle name="Normal 2 3 2 15 3 6" xfId="26096" xr:uid="{00000000-0005-0000-0000-0000E9650000}"/>
    <cellStyle name="Normal 2 3 2 15 3 7" xfId="26097" xr:uid="{00000000-0005-0000-0000-0000EA650000}"/>
    <cellStyle name="Normal 2 3 2 15 3 8" xfId="26098" xr:uid="{00000000-0005-0000-0000-0000EB650000}"/>
    <cellStyle name="Normal 2 3 2 15 3 9" xfId="26099" xr:uid="{00000000-0005-0000-0000-0000EC650000}"/>
    <cellStyle name="Normal 2 3 2 15 4" xfId="26100" xr:uid="{00000000-0005-0000-0000-0000ED650000}"/>
    <cellStyle name="Normal 2 3 2 15 4 10" xfId="26101" xr:uid="{00000000-0005-0000-0000-0000EE650000}"/>
    <cellStyle name="Normal 2 3 2 15 4 2" xfId="26102" xr:uid="{00000000-0005-0000-0000-0000EF650000}"/>
    <cellStyle name="Normal 2 3 2 15 4 3" xfId="26103" xr:uid="{00000000-0005-0000-0000-0000F0650000}"/>
    <cellStyle name="Normal 2 3 2 15 4 4" xfId="26104" xr:uid="{00000000-0005-0000-0000-0000F1650000}"/>
    <cellStyle name="Normal 2 3 2 15 4 5" xfId="26105" xr:uid="{00000000-0005-0000-0000-0000F2650000}"/>
    <cellStyle name="Normal 2 3 2 15 4 6" xfId="26106" xr:uid="{00000000-0005-0000-0000-0000F3650000}"/>
    <cellStyle name="Normal 2 3 2 15 4 7" xfId="26107" xr:uid="{00000000-0005-0000-0000-0000F4650000}"/>
    <cellStyle name="Normal 2 3 2 15 4 8" xfId="26108" xr:uid="{00000000-0005-0000-0000-0000F5650000}"/>
    <cellStyle name="Normal 2 3 2 15 4 9" xfId="26109" xr:uid="{00000000-0005-0000-0000-0000F6650000}"/>
    <cellStyle name="Normal 2 3 2 15 5" xfId="26110" xr:uid="{00000000-0005-0000-0000-0000F7650000}"/>
    <cellStyle name="Normal 2 3 2 15 5 10" xfId="26111" xr:uid="{00000000-0005-0000-0000-0000F8650000}"/>
    <cellStyle name="Normal 2 3 2 15 5 2" xfId="26112" xr:uid="{00000000-0005-0000-0000-0000F9650000}"/>
    <cellStyle name="Normal 2 3 2 15 5 3" xfId="26113" xr:uid="{00000000-0005-0000-0000-0000FA650000}"/>
    <cellStyle name="Normal 2 3 2 15 5 4" xfId="26114" xr:uid="{00000000-0005-0000-0000-0000FB650000}"/>
    <cellStyle name="Normal 2 3 2 15 5 5" xfId="26115" xr:uid="{00000000-0005-0000-0000-0000FC650000}"/>
    <cellStyle name="Normal 2 3 2 15 5 6" xfId="26116" xr:uid="{00000000-0005-0000-0000-0000FD650000}"/>
    <cellStyle name="Normal 2 3 2 15 5 7" xfId="26117" xr:uid="{00000000-0005-0000-0000-0000FE650000}"/>
    <cellStyle name="Normal 2 3 2 15 5 8" xfId="26118" xr:uid="{00000000-0005-0000-0000-0000FF650000}"/>
    <cellStyle name="Normal 2 3 2 15 5 9" xfId="26119" xr:uid="{00000000-0005-0000-0000-000000660000}"/>
    <cellStyle name="Normal 2 3 2 15 6" xfId="26120" xr:uid="{00000000-0005-0000-0000-000001660000}"/>
    <cellStyle name="Normal 2 3 2 15 7" xfId="26121" xr:uid="{00000000-0005-0000-0000-000002660000}"/>
    <cellStyle name="Normal 2 3 2 15 8" xfId="26122" xr:uid="{00000000-0005-0000-0000-000003660000}"/>
    <cellStyle name="Normal 2 3 2 15 9" xfId="26123" xr:uid="{00000000-0005-0000-0000-000004660000}"/>
    <cellStyle name="Normal 2 3 2 16" xfId="26124" xr:uid="{00000000-0005-0000-0000-000005660000}"/>
    <cellStyle name="Normal 2 3 2 16 10" xfId="26125" xr:uid="{00000000-0005-0000-0000-000006660000}"/>
    <cellStyle name="Normal 2 3 2 16 11" xfId="26126" xr:uid="{00000000-0005-0000-0000-000007660000}"/>
    <cellStyle name="Normal 2 3 2 16 12" xfId="26127" xr:uid="{00000000-0005-0000-0000-000008660000}"/>
    <cellStyle name="Normal 2 3 2 16 13" xfId="26128" xr:uid="{00000000-0005-0000-0000-000009660000}"/>
    <cellStyle name="Normal 2 3 2 16 14" xfId="26129" xr:uid="{00000000-0005-0000-0000-00000A660000}"/>
    <cellStyle name="Normal 2 3 2 16 2" xfId="26130" xr:uid="{00000000-0005-0000-0000-00000B660000}"/>
    <cellStyle name="Normal 2 3 2 16 2 10" xfId="26131" xr:uid="{00000000-0005-0000-0000-00000C660000}"/>
    <cellStyle name="Normal 2 3 2 16 2 2" xfId="26132" xr:uid="{00000000-0005-0000-0000-00000D660000}"/>
    <cellStyle name="Normal 2 3 2 16 2 3" xfId="26133" xr:uid="{00000000-0005-0000-0000-00000E660000}"/>
    <cellStyle name="Normal 2 3 2 16 2 4" xfId="26134" xr:uid="{00000000-0005-0000-0000-00000F660000}"/>
    <cellStyle name="Normal 2 3 2 16 2 5" xfId="26135" xr:uid="{00000000-0005-0000-0000-000010660000}"/>
    <cellStyle name="Normal 2 3 2 16 2 6" xfId="26136" xr:uid="{00000000-0005-0000-0000-000011660000}"/>
    <cellStyle name="Normal 2 3 2 16 2 7" xfId="26137" xr:uid="{00000000-0005-0000-0000-000012660000}"/>
    <cellStyle name="Normal 2 3 2 16 2 8" xfId="26138" xr:uid="{00000000-0005-0000-0000-000013660000}"/>
    <cellStyle name="Normal 2 3 2 16 2 9" xfId="26139" xr:uid="{00000000-0005-0000-0000-000014660000}"/>
    <cellStyle name="Normal 2 3 2 16 3" xfId="26140" xr:uid="{00000000-0005-0000-0000-000015660000}"/>
    <cellStyle name="Normal 2 3 2 16 3 10" xfId="26141" xr:uid="{00000000-0005-0000-0000-000016660000}"/>
    <cellStyle name="Normal 2 3 2 16 3 2" xfId="26142" xr:uid="{00000000-0005-0000-0000-000017660000}"/>
    <cellStyle name="Normal 2 3 2 16 3 3" xfId="26143" xr:uid="{00000000-0005-0000-0000-000018660000}"/>
    <cellStyle name="Normal 2 3 2 16 3 4" xfId="26144" xr:uid="{00000000-0005-0000-0000-000019660000}"/>
    <cellStyle name="Normal 2 3 2 16 3 5" xfId="26145" xr:uid="{00000000-0005-0000-0000-00001A660000}"/>
    <cellStyle name="Normal 2 3 2 16 3 6" xfId="26146" xr:uid="{00000000-0005-0000-0000-00001B660000}"/>
    <cellStyle name="Normal 2 3 2 16 3 7" xfId="26147" xr:uid="{00000000-0005-0000-0000-00001C660000}"/>
    <cellStyle name="Normal 2 3 2 16 3 8" xfId="26148" xr:uid="{00000000-0005-0000-0000-00001D660000}"/>
    <cellStyle name="Normal 2 3 2 16 3 9" xfId="26149" xr:uid="{00000000-0005-0000-0000-00001E660000}"/>
    <cellStyle name="Normal 2 3 2 16 4" xfId="26150" xr:uid="{00000000-0005-0000-0000-00001F660000}"/>
    <cellStyle name="Normal 2 3 2 16 4 10" xfId="26151" xr:uid="{00000000-0005-0000-0000-000020660000}"/>
    <cellStyle name="Normal 2 3 2 16 4 2" xfId="26152" xr:uid="{00000000-0005-0000-0000-000021660000}"/>
    <cellStyle name="Normal 2 3 2 16 4 3" xfId="26153" xr:uid="{00000000-0005-0000-0000-000022660000}"/>
    <cellStyle name="Normal 2 3 2 16 4 4" xfId="26154" xr:uid="{00000000-0005-0000-0000-000023660000}"/>
    <cellStyle name="Normal 2 3 2 16 4 5" xfId="26155" xr:uid="{00000000-0005-0000-0000-000024660000}"/>
    <cellStyle name="Normal 2 3 2 16 4 6" xfId="26156" xr:uid="{00000000-0005-0000-0000-000025660000}"/>
    <cellStyle name="Normal 2 3 2 16 4 7" xfId="26157" xr:uid="{00000000-0005-0000-0000-000026660000}"/>
    <cellStyle name="Normal 2 3 2 16 4 8" xfId="26158" xr:uid="{00000000-0005-0000-0000-000027660000}"/>
    <cellStyle name="Normal 2 3 2 16 4 9" xfId="26159" xr:uid="{00000000-0005-0000-0000-000028660000}"/>
    <cellStyle name="Normal 2 3 2 16 5" xfId="26160" xr:uid="{00000000-0005-0000-0000-000029660000}"/>
    <cellStyle name="Normal 2 3 2 16 5 10" xfId="26161" xr:uid="{00000000-0005-0000-0000-00002A660000}"/>
    <cellStyle name="Normal 2 3 2 16 5 2" xfId="26162" xr:uid="{00000000-0005-0000-0000-00002B660000}"/>
    <cellStyle name="Normal 2 3 2 16 5 3" xfId="26163" xr:uid="{00000000-0005-0000-0000-00002C660000}"/>
    <cellStyle name="Normal 2 3 2 16 5 4" xfId="26164" xr:uid="{00000000-0005-0000-0000-00002D660000}"/>
    <cellStyle name="Normal 2 3 2 16 5 5" xfId="26165" xr:uid="{00000000-0005-0000-0000-00002E660000}"/>
    <cellStyle name="Normal 2 3 2 16 5 6" xfId="26166" xr:uid="{00000000-0005-0000-0000-00002F660000}"/>
    <cellStyle name="Normal 2 3 2 16 5 7" xfId="26167" xr:uid="{00000000-0005-0000-0000-000030660000}"/>
    <cellStyle name="Normal 2 3 2 16 5 8" xfId="26168" xr:uid="{00000000-0005-0000-0000-000031660000}"/>
    <cellStyle name="Normal 2 3 2 16 5 9" xfId="26169" xr:uid="{00000000-0005-0000-0000-000032660000}"/>
    <cellStyle name="Normal 2 3 2 16 6" xfId="26170" xr:uid="{00000000-0005-0000-0000-000033660000}"/>
    <cellStyle name="Normal 2 3 2 16 7" xfId="26171" xr:uid="{00000000-0005-0000-0000-000034660000}"/>
    <cellStyle name="Normal 2 3 2 16 8" xfId="26172" xr:uid="{00000000-0005-0000-0000-000035660000}"/>
    <cellStyle name="Normal 2 3 2 16 9" xfId="26173" xr:uid="{00000000-0005-0000-0000-000036660000}"/>
    <cellStyle name="Normal 2 3 2 17" xfId="26174" xr:uid="{00000000-0005-0000-0000-000037660000}"/>
    <cellStyle name="Normal 2 3 2 17 10" xfId="26175" xr:uid="{00000000-0005-0000-0000-000038660000}"/>
    <cellStyle name="Normal 2 3 2 17 11" xfId="26176" xr:uid="{00000000-0005-0000-0000-000039660000}"/>
    <cellStyle name="Normal 2 3 2 17 12" xfId="26177" xr:uid="{00000000-0005-0000-0000-00003A660000}"/>
    <cellStyle name="Normal 2 3 2 17 13" xfId="26178" xr:uid="{00000000-0005-0000-0000-00003B660000}"/>
    <cellStyle name="Normal 2 3 2 17 14" xfId="26179" xr:uid="{00000000-0005-0000-0000-00003C660000}"/>
    <cellStyle name="Normal 2 3 2 17 2" xfId="26180" xr:uid="{00000000-0005-0000-0000-00003D660000}"/>
    <cellStyle name="Normal 2 3 2 17 2 10" xfId="26181" xr:uid="{00000000-0005-0000-0000-00003E660000}"/>
    <cellStyle name="Normal 2 3 2 17 2 2" xfId="26182" xr:uid="{00000000-0005-0000-0000-00003F660000}"/>
    <cellStyle name="Normal 2 3 2 17 2 3" xfId="26183" xr:uid="{00000000-0005-0000-0000-000040660000}"/>
    <cellStyle name="Normal 2 3 2 17 2 4" xfId="26184" xr:uid="{00000000-0005-0000-0000-000041660000}"/>
    <cellStyle name="Normal 2 3 2 17 2 5" xfId="26185" xr:uid="{00000000-0005-0000-0000-000042660000}"/>
    <cellStyle name="Normal 2 3 2 17 2 6" xfId="26186" xr:uid="{00000000-0005-0000-0000-000043660000}"/>
    <cellStyle name="Normal 2 3 2 17 2 7" xfId="26187" xr:uid="{00000000-0005-0000-0000-000044660000}"/>
    <cellStyle name="Normal 2 3 2 17 2 8" xfId="26188" xr:uid="{00000000-0005-0000-0000-000045660000}"/>
    <cellStyle name="Normal 2 3 2 17 2 9" xfId="26189" xr:uid="{00000000-0005-0000-0000-000046660000}"/>
    <cellStyle name="Normal 2 3 2 17 3" xfId="26190" xr:uid="{00000000-0005-0000-0000-000047660000}"/>
    <cellStyle name="Normal 2 3 2 17 3 10" xfId="26191" xr:uid="{00000000-0005-0000-0000-000048660000}"/>
    <cellStyle name="Normal 2 3 2 17 3 2" xfId="26192" xr:uid="{00000000-0005-0000-0000-000049660000}"/>
    <cellStyle name="Normal 2 3 2 17 3 3" xfId="26193" xr:uid="{00000000-0005-0000-0000-00004A660000}"/>
    <cellStyle name="Normal 2 3 2 17 3 4" xfId="26194" xr:uid="{00000000-0005-0000-0000-00004B660000}"/>
    <cellStyle name="Normal 2 3 2 17 3 5" xfId="26195" xr:uid="{00000000-0005-0000-0000-00004C660000}"/>
    <cellStyle name="Normal 2 3 2 17 3 6" xfId="26196" xr:uid="{00000000-0005-0000-0000-00004D660000}"/>
    <cellStyle name="Normal 2 3 2 17 3 7" xfId="26197" xr:uid="{00000000-0005-0000-0000-00004E660000}"/>
    <cellStyle name="Normal 2 3 2 17 3 8" xfId="26198" xr:uid="{00000000-0005-0000-0000-00004F660000}"/>
    <cellStyle name="Normal 2 3 2 17 3 9" xfId="26199" xr:uid="{00000000-0005-0000-0000-000050660000}"/>
    <cellStyle name="Normal 2 3 2 17 4" xfId="26200" xr:uid="{00000000-0005-0000-0000-000051660000}"/>
    <cellStyle name="Normal 2 3 2 17 4 10" xfId="26201" xr:uid="{00000000-0005-0000-0000-000052660000}"/>
    <cellStyle name="Normal 2 3 2 17 4 2" xfId="26202" xr:uid="{00000000-0005-0000-0000-000053660000}"/>
    <cellStyle name="Normal 2 3 2 17 4 3" xfId="26203" xr:uid="{00000000-0005-0000-0000-000054660000}"/>
    <cellStyle name="Normal 2 3 2 17 4 4" xfId="26204" xr:uid="{00000000-0005-0000-0000-000055660000}"/>
    <cellStyle name="Normal 2 3 2 17 4 5" xfId="26205" xr:uid="{00000000-0005-0000-0000-000056660000}"/>
    <cellStyle name="Normal 2 3 2 17 4 6" xfId="26206" xr:uid="{00000000-0005-0000-0000-000057660000}"/>
    <cellStyle name="Normal 2 3 2 17 4 7" xfId="26207" xr:uid="{00000000-0005-0000-0000-000058660000}"/>
    <cellStyle name="Normal 2 3 2 17 4 8" xfId="26208" xr:uid="{00000000-0005-0000-0000-000059660000}"/>
    <cellStyle name="Normal 2 3 2 17 4 9" xfId="26209" xr:uid="{00000000-0005-0000-0000-00005A660000}"/>
    <cellStyle name="Normal 2 3 2 17 5" xfId="26210" xr:uid="{00000000-0005-0000-0000-00005B660000}"/>
    <cellStyle name="Normal 2 3 2 17 5 10" xfId="26211" xr:uid="{00000000-0005-0000-0000-00005C660000}"/>
    <cellStyle name="Normal 2 3 2 17 5 2" xfId="26212" xr:uid="{00000000-0005-0000-0000-00005D660000}"/>
    <cellStyle name="Normal 2 3 2 17 5 3" xfId="26213" xr:uid="{00000000-0005-0000-0000-00005E660000}"/>
    <cellStyle name="Normal 2 3 2 17 5 4" xfId="26214" xr:uid="{00000000-0005-0000-0000-00005F660000}"/>
    <cellStyle name="Normal 2 3 2 17 5 5" xfId="26215" xr:uid="{00000000-0005-0000-0000-000060660000}"/>
    <cellStyle name="Normal 2 3 2 17 5 6" xfId="26216" xr:uid="{00000000-0005-0000-0000-000061660000}"/>
    <cellStyle name="Normal 2 3 2 17 5 7" xfId="26217" xr:uid="{00000000-0005-0000-0000-000062660000}"/>
    <cellStyle name="Normal 2 3 2 17 5 8" xfId="26218" xr:uid="{00000000-0005-0000-0000-000063660000}"/>
    <cellStyle name="Normal 2 3 2 17 5 9" xfId="26219" xr:uid="{00000000-0005-0000-0000-000064660000}"/>
    <cellStyle name="Normal 2 3 2 17 6" xfId="26220" xr:uid="{00000000-0005-0000-0000-000065660000}"/>
    <cellStyle name="Normal 2 3 2 17 7" xfId="26221" xr:uid="{00000000-0005-0000-0000-000066660000}"/>
    <cellStyle name="Normal 2 3 2 17 8" xfId="26222" xr:uid="{00000000-0005-0000-0000-000067660000}"/>
    <cellStyle name="Normal 2 3 2 17 9" xfId="26223" xr:uid="{00000000-0005-0000-0000-000068660000}"/>
    <cellStyle name="Normal 2 3 2 18" xfId="26224" xr:uid="{00000000-0005-0000-0000-000069660000}"/>
    <cellStyle name="Normal 2 3 2 18 10" xfId="26225" xr:uid="{00000000-0005-0000-0000-00006A660000}"/>
    <cellStyle name="Normal 2 3 2 18 11" xfId="26226" xr:uid="{00000000-0005-0000-0000-00006B660000}"/>
    <cellStyle name="Normal 2 3 2 18 12" xfId="26227" xr:uid="{00000000-0005-0000-0000-00006C660000}"/>
    <cellStyle name="Normal 2 3 2 18 13" xfId="26228" xr:uid="{00000000-0005-0000-0000-00006D660000}"/>
    <cellStyle name="Normal 2 3 2 18 14" xfId="26229" xr:uid="{00000000-0005-0000-0000-00006E660000}"/>
    <cellStyle name="Normal 2 3 2 18 2" xfId="26230" xr:uid="{00000000-0005-0000-0000-00006F660000}"/>
    <cellStyle name="Normal 2 3 2 18 2 10" xfId="26231" xr:uid="{00000000-0005-0000-0000-000070660000}"/>
    <cellStyle name="Normal 2 3 2 18 2 2" xfId="26232" xr:uid="{00000000-0005-0000-0000-000071660000}"/>
    <cellStyle name="Normal 2 3 2 18 2 3" xfId="26233" xr:uid="{00000000-0005-0000-0000-000072660000}"/>
    <cellStyle name="Normal 2 3 2 18 2 4" xfId="26234" xr:uid="{00000000-0005-0000-0000-000073660000}"/>
    <cellStyle name="Normal 2 3 2 18 2 5" xfId="26235" xr:uid="{00000000-0005-0000-0000-000074660000}"/>
    <cellStyle name="Normal 2 3 2 18 2 6" xfId="26236" xr:uid="{00000000-0005-0000-0000-000075660000}"/>
    <cellStyle name="Normal 2 3 2 18 2 7" xfId="26237" xr:uid="{00000000-0005-0000-0000-000076660000}"/>
    <cellStyle name="Normal 2 3 2 18 2 8" xfId="26238" xr:uid="{00000000-0005-0000-0000-000077660000}"/>
    <cellStyle name="Normal 2 3 2 18 2 9" xfId="26239" xr:uid="{00000000-0005-0000-0000-000078660000}"/>
    <cellStyle name="Normal 2 3 2 18 3" xfId="26240" xr:uid="{00000000-0005-0000-0000-000079660000}"/>
    <cellStyle name="Normal 2 3 2 18 3 10" xfId="26241" xr:uid="{00000000-0005-0000-0000-00007A660000}"/>
    <cellStyle name="Normal 2 3 2 18 3 2" xfId="26242" xr:uid="{00000000-0005-0000-0000-00007B660000}"/>
    <cellStyle name="Normal 2 3 2 18 3 3" xfId="26243" xr:uid="{00000000-0005-0000-0000-00007C660000}"/>
    <cellStyle name="Normal 2 3 2 18 3 4" xfId="26244" xr:uid="{00000000-0005-0000-0000-00007D660000}"/>
    <cellStyle name="Normal 2 3 2 18 3 5" xfId="26245" xr:uid="{00000000-0005-0000-0000-00007E660000}"/>
    <cellStyle name="Normal 2 3 2 18 3 6" xfId="26246" xr:uid="{00000000-0005-0000-0000-00007F660000}"/>
    <cellStyle name="Normal 2 3 2 18 3 7" xfId="26247" xr:uid="{00000000-0005-0000-0000-000080660000}"/>
    <cellStyle name="Normal 2 3 2 18 3 8" xfId="26248" xr:uid="{00000000-0005-0000-0000-000081660000}"/>
    <cellStyle name="Normal 2 3 2 18 3 9" xfId="26249" xr:uid="{00000000-0005-0000-0000-000082660000}"/>
    <cellStyle name="Normal 2 3 2 18 4" xfId="26250" xr:uid="{00000000-0005-0000-0000-000083660000}"/>
    <cellStyle name="Normal 2 3 2 18 4 10" xfId="26251" xr:uid="{00000000-0005-0000-0000-000084660000}"/>
    <cellStyle name="Normal 2 3 2 18 4 2" xfId="26252" xr:uid="{00000000-0005-0000-0000-000085660000}"/>
    <cellStyle name="Normal 2 3 2 18 4 3" xfId="26253" xr:uid="{00000000-0005-0000-0000-000086660000}"/>
    <cellStyle name="Normal 2 3 2 18 4 4" xfId="26254" xr:uid="{00000000-0005-0000-0000-000087660000}"/>
    <cellStyle name="Normal 2 3 2 18 4 5" xfId="26255" xr:uid="{00000000-0005-0000-0000-000088660000}"/>
    <cellStyle name="Normal 2 3 2 18 4 6" xfId="26256" xr:uid="{00000000-0005-0000-0000-000089660000}"/>
    <cellStyle name="Normal 2 3 2 18 4 7" xfId="26257" xr:uid="{00000000-0005-0000-0000-00008A660000}"/>
    <cellStyle name="Normal 2 3 2 18 4 8" xfId="26258" xr:uid="{00000000-0005-0000-0000-00008B660000}"/>
    <cellStyle name="Normal 2 3 2 18 4 9" xfId="26259" xr:uid="{00000000-0005-0000-0000-00008C660000}"/>
    <cellStyle name="Normal 2 3 2 18 5" xfId="26260" xr:uid="{00000000-0005-0000-0000-00008D660000}"/>
    <cellStyle name="Normal 2 3 2 18 5 10" xfId="26261" xr:uid="{00000000-0005-0000-0000-00008E660000}"/>
    <cellStyle name="Normal 2 3 2 18 5 2" xfId="26262" xr:uid="{00000000-0005-0000-0000-00008F660000}"/>
    <cellStyle name="Normal 2 3 2 18 5 3" xfId="26263" xr:uid="{00000000-0005-0000-0000-000090660000}"/>
    <cellStyle name="Normal 2 3 2 18 5 4" xfId="26264" xr:uid="{00000000-0005-0000-0000-000091660000}"/>
    <cellStyle name="Normal 2 3 2 18 5 5" xfId="26265" xr:uid="{00000000-0005-0000-0000-000092660000}"/>
    <cellStyle name="Normal 2 3 2 18 5 6" xfId="26266" xr:uid="{00000000-0005-0000-0000-000093660000}"/>
    <cellStyle name="Normal 2 3 2 18 5 7" xfId="26267" xr:uid="{00000000-0005-0000-0000-000094660000}"/>
    <cellStyle name="Normal 2 3 2 18 5 8" xfId="26268" xr:uid="{00000000-0005-0000-0000-000095660000}"/>
    <cellStyle name="Normal 2 3 2 18 5 9" xfId="26269" xr:uid="{00000000-0005-0000-0000-000096660000}"/>
    <cellStyle name="Normal 2 3 2 18 6" xfId="26270" xr:uid="{00000000-0005-0000-0000-000097660000}"/>
    <cellStyle name="Normal 2 3 2 18 7" xfId="26271" xr:uid="{00000000-0005-0000-0000-000098660000}"/>
    <cellStyle name="Normal 2 3 2 18 8" xfId="26272" xr:uid="{00000000-0005-0000-0000-000099660000}"/>
    <cellStyle name="Normal 2 3 2 18 9" xfId="26273" xr:uid="{00000000-0005-0000-0000-00009A660000}"/>
    <cellStyle name="Normal 2 3 2 19" xfId="26274" xr:uid="{00000000-0005-0000-0000-00009B660000}"/>
    <cellStyle name="Normal 2 3 2 19 10" xfId="26275" xr:uid="{00000000-0005-0000-0000-00009C660000}"/>
    <cellStyle name="Normal 2 3 2 19 11" xfId="26276" xr:uid="{00000000-0005-0000-0000-00009D660000}"/>
    <cellStyle name="Normal 2 3 2 19 12" xfId="26277" xr:uid="{00000000-0005-0000-0000-00009E660000}"/>
    <cellStyle name="Normal 2 3 2 19 13" xfId="26278" xr:uid="{00000000-0005-0000-0000-00009F660000}"/>
    <cellStyle name="Normal 2 3 2 19 14" xfId="26279" xr:uid="{00000000-0005-0000-0000-0000A0660000}"/>
    <cellStyle name="Normal 2 3 2 19 2" xfId="26280" xr:uid="{00000000-0005-0000-0000-0000A1660000}"/>
    <cellStyle name="Normal 2 3 2 19 2 10" xfId="26281" xr:uid="{00000000-0005-0000-0000-0000A2660000}"/>
    <cellStyle name="Normal 2 3 2 19 2 2" xfId="26282" xr:uid="{00000000-0005-0000-0000-0000A3660000}"/>
    <cellStyle name="Normal 2 3 2 19 2 3" xfId="26283" xr:uid="{00000000-0005-0000-0000-0000A4660000}"/>
    <cellStyle name="Normal 2 3 2 19 2 4" xfId="26284" xr:uid="{00000000-0005-0000-0000-0000A5660000}"/>
    <cellStyle name="Normal 2 3 2 19 2 5" xfId="26285" xr:uid="{00000000-0005-0000-0000-0000A6660000}"/>
    <cellStyle name="Normal 2 3 2 19 2 6" xfId="26286" xr:uid="{00000000-0005-0000-0000-0000A7660000}"/>
    <cellStyle name="Normal 2 3 2 19 2 7" xfId="26287" xr:uid="{00000000-0005-0000-0000-0000A8660000}"/>
    <cellStyle name="Normal 2 3 2 19 2 8" xfId="26288" xr:uid="{00000000-0005-0000-0000-0000A9660000}"/>
    <cellStyle name="Normal 2 3 2 19 2 9" xfId="26289" xr:uid="{00000000-0005-0000-0000-0000AA660000}"/>
    <cellStyle name="Normal 2 3 2 19 3" xfId="26290" xr:uid="{00000000-0005-0000-0000-0000AB660000}"/>
    <cellStyle name="Normal 2 3 2 19 3 10" xfId="26291" xr:uid="{00000000-0005-0000-0000-0000AC660000}"/>
    <cellStyle name="Normal 2 3 2 19 3 2" xfId="26292" xr:uid="{00000000-0005-0000-0000-0000AD660000}"/>
    <cellStyle name="Normal 2 3 2 19 3 3" xfId="26293" xr:uid="{00000000-0005-0000-0000-0000AE660000}"/>
    <cellStyle name="Normal 2 3 2 19 3 4" xfId="26294" xr:uid="{00000000-0005-0000-0000-0000AF660000}"/>
    <cellStyle name="Normal 2 3 2 19 3 5" xfId="26295" xr:uid="{00000000-0005-0000-0000-0000B0660000}"/>
    <cellStyle name="Normal 2 3 2 19 3 6" xfId="26296" xr:uid="{00000000-0005-0000-0000-0000B1660000}"/>
    <cellStyle name="Normal 2 3 2 19 3 7" xfId="26297" xr:uid="{00000000-0005-0000-0000-0000B2660000}"/>
    <cellStyle name="Normal 2 3 2 19 3 8" xfId="26298" xr:uid="{00000000-0005-0000-0000-0000B3660000}"/>
    <cellStyle name="Normal 2 3 2 19 3 9" xfId="26299" xr:uid="{00000000-0005-0000-0000-0000B4660000}"/>
    <cellStyle name="Normal 2 3 2 19 4" xfId="26300" xr:uid="{00000000-0005-0000-0000-0000B5660000}"/>
    <cellStyle name="Normal 2 3 2 19 4 10" xfId="26301" xr:uid="{00000000-0005-0000-0000-0000B6660000}"/>
    <cellStyle name="Normal 2 3 2 19 4 2" xfId="26302" xr:uid="{00000000-0005-0000-0000-0000B7660000}"/>
    <cellStyle name="Normal 2 3 2 19 4 3" xfId="26303" xr:uid="{00000000-0005-0000-0000-0000B8660000}"/>
    <cellStyle name="Normal 2 3 2 19 4 4" xfId="26304" xr:uid="{00000000-0005-0000-0000-0000B9660000}"/>
    <cellStyle name="Normal 2 3 2 19 4 5" xfId="26305" xr:uid="{00000000-0005-0000-0000-0000BA660000}"/>
    <cellStyle name="Normal 2 3 2 19 4 6" xfId="26306" xr:uid="{00000000-0005-0000-0000-0000BB660000}"/>
    <cellStyle name="Normal 2 3 2 19 4 7" xfId="26307" xr:uid="{00000000-0005-0000-0000-0000BC660000}"/>
    <cellStyle name="Normal 2 3 2 19 4 8" xfId="26308" xr:uid="{00000000-0005-0000-0000-0000BD660000}"/>
    <cellStyle name="Normal 2 3 2 19 4 9" xfId="26309" xr:uid="{00000000-0005-0000-0000-0000BE660000}"/>
    <cellStyle name="Normal 2 3 2 19 5" xfId="26310" xr:uid="{00000000-0005-0000-0000-0000BF660000}"/>
    <cellStyle name="Normal 2 3 2 19 5 10" xfId="26311" xr:uid="{00000000-0005-0000-0000-0000C0660000}"/>
    <cellStyle name="Normal 2 3 2 19 5 2" xfId="26312" xr:uid="{00000000-0005-0000-0000-0000C1660000}"/>
    <cellStyle name="Normal 2 3 2 19 5 3" xfId="26313" xr:uid="{00000000-0005-0000-0000-0000C2660000}"/>
    <cellStyle name="Normal 2 3 2 19 5 4" xfId="26314" xr:uid="{00000000-0005-0000-0000-0000C3660000}"/>
    <cellStyle name="Normal 2 3 2 19 5 5" xfId="26315" xr:uid="{00000000-0005-0000-0000-0000C4660000}"/>
    <cellStyle name="Normal 2 3 2 19 5 6" xfId="26316" xr:uid="{00000000-0005-0000-0000-0000C5660000}"/>
    <cellStyle name="Normal 2 3 2 19 5 7" xfId="26317" xr:uid="{00000000-0005-0000-0000-0000C6660000}"/>
    <cellStyle name="Normal 2 3 2 19 5 8" xfId="26318" xr:uid="{00000000-0005-0000-0000-0000C7660000}"/>
    <cellStyle name="Normal 2 3 2 19 5 9" xfId="26319" xr:uid="{00000000-0005-0000-0000-0000C8660000}"/>
    <cellStyle name="Normal 2 3 2 19 6" xfId="26320" xr:uid="{00000000-0005-0000-0000-0000C9660000}"/>
    <cellStyle name="Normal 2 3 2 19 7" xfId="26321" xr:uid="{00000000-0005-0000-0000-0000CA660000}"/>
    <cellStyle name="Normal 2 3 2 19 8" xfId="26322" xr:uid="{00000000-0005-0000-0000-0000CB660000}"/>
    <cellStyle name="Normal 2 3 2 19 9" xfId="26323" xr:uid="{00000000-0005-0000-0000-0000CC660000}"/>
    <cellStyle name="Normal 2 3 2 2" xfId="26324" xr:uid="{00000000-0005-0000-0000-0000CD660000}"/>
    <cellStyle name="Normal 2 3 2 2 10" xfId="26325" xr:uid="{00000000-0005-0000-0000-0000CE660000}"/>
    <cellStyle name="Normal 2 3 2 2 11" xfId="26326" xr:uid="{00000000-0005-0000-0000-0000CF660000}"/>
    <cellStyle name="Normal 2 3 2 2 12" xfId="26327" xr:uid="{00000000-0005-0000-0000-0000D0660000}"/>
    <cellStyle name="Normal 2 3 2 2 13" xfId="26328" xr:uid="{00000000-0005-0000-0000-0000D1660000}"/>
    <cellStyle name="Normal 2 3 2 2 14" xfId="26329" xr:uid="{00000000-0005-0000-0000-0000D2660000}"/>
    <cellStyle name="Normal 2 3 2 2 15" xfId="26330" xr:uid="{00000000-0005-0000-0000-0000D3660000}"/>
    <cellStyle name="Normal 2 3 2 2 16" xfId="26331" xr:uid="{00000000-0005-0000-0000-0000D4660000}"/>
    <cellStyle name="Normal 2 3 2 2 2" xfId="26332" xr:uid="{00000000-0005-0000-0000-0000D5660000}"/>
    <cellStyle name="Normal 2 3 2 2 2 10" xfId="26333" xr:uid="{00000000-0005-0000-0000-0000D6660000}"/>
    <cellStyle name="Normal 2 3 2 2 2 11" xfId="26334" xr:uid="{00000000-0005-0000-0000-0000D7660000}"/>
    <cellStyle name="Normal 2 3 2 2 2 12" xfId="26335" xr:uid="{00000000-0005-0000-0000-0000D8660000}"/>
    <cellStyle name="Normal 2 3 2 2 2 2" xfId="26336" xr:uid="{00000000-0005-0000-0000-0000D9660000}"/>
    <cellStyle name="Normal 2 3 2 2 2 3" xfId="26337" xr:uid="{00000000-0005-0000-0000-0000DA660000}"/>
    <cellStyle name="Normal 2 3 2 2 2 4" xfId="26338" xr:uid="{00000000-0005-0000-0000-0000DB660000}"/>
    <cellStyle name="Normal 2 3 2 2 2 5" xfId="26339" xr:uid="{00000000-0005-0000-0000-0000DC660000}"/>
    <cellStyle name="Normal 2 3 2 2 2 6" xfId="26340" xr:uid="{00000000-0005-0000-0000-0000DD660000}"/>
    <cellStyle name="Normal 2 3 2 2 2 7" xfId="26341" xr:uid="{00000000-0005-0000-0000-0000DE660000}"/>
    <cellStyle name="Normal 2 3 2 2 2 8" xfId="26342" xr:uid="{00000000-0005-0000-0000-0000DF660000}"/>
    <cellStyle name="Normal 2 3 2 2 2 9" xfId="26343" xr:uid="{00000000-0005-0000-0000-0000E0660000}"/>
    <cellStyle name="Normal 2 3 2 2 3" xfId="26344" xr:uid="{00000000-0005-0000-0000-0000E1660000}"/>
    <cellStyle name="Normal 2 3 2 2 3 10" xfId="26345" xr:uid="{00000000-0005-0000-0000-0000E2660000}"/>
    <cellStyle name="Normal 2 3 2 2 3 2" xfId="26346" xr:uid="{00000000-0005-0000-0000-0000E3660000}"/>
    <cellStyle name="Normal 2 3 2 2 3 3" xfId="26347" xr:uid="{00000000-0005-0000-0000-0000E4660000}"/>
    <cellStyle name="Normal 2 3 2 2 3 4" xfId="26348" xr:uid="{00000000-0005-0000-0000-0000E5660000}"/>
    <cellStyle name="Normal 2 3 2 2 3 5" xfId="26349" xr:uid="{00000000-0005-0000-0000-0000E6660000}"/>
    <cellStyle name="Normal 2 3 2 2 3 6" xfId="26350" xr:uid="{00000000-0005-0000-0000-0000E7660000}"/>
    <cellStyle name="Normal 2 3 2 2 3 7" xfId="26351" xr:uid="{00000000-0005-0000-0000-0000E8660000}"/>
    <cellStyle name="Normal 2 3 2 2 3 8" xfId="26352" xr:uid="{00000000-0005-0000-0000-0000E9660000}"/>
    <cellStyle name="Normal 2 3 2 2 3 9" xfId="26353" xr:uid="{00000000-0005-0000-0000-0000EA660000}"/>
    <cellStyle name="Normal 2 3 2 2 4" xfId="26354" xr:uid="{00000000-0005-0000-0000-0000EB660000}"/>
    <cellStyle name="Normal 2 3 2 2 4 10" xfId="26355" xr:uid="{00000000-0005-0000-0000-0000EC660000}"/>
    <cellStyle name="Normal 2 3 2 2 4 2" xfId="26356" xr:uid="{00000000-0005-0000-0000-0000ED660000}"/>
    <cellStyle name="Normal 2 3 2 2 4 3" xfId="26357" xr:uid="{00000000-0005-0000-0000-0000EE660000}"/>
    <cellStyle name="Normal 2 3 2 2 4 4" xfId="26358" xr:uid="{00000000-0005-0000-0000-0000EF660000}"/>
    <cellStyle name="Normal 2 3 2 2 4 5" xfId="26359" xr:uid="{00000000-0005-0000-0000-0000F0660000}"/>
    <cellStyle name="Normal 2 3 2 2 4 6" xfId="26360" xr:uid="{00000000-0005-0000-0000-0000F1660000}"/>
    <cellStyle name="Normal 2 3 2 2 4 7" xfId="26361" xr:uid="{00000000-0005-0000-0000-0000F2660000}"/>
    <cellStyle name="Normal 2 3 2 2 4 8" xfId="26362" xr:uid="{00000000-0005-0000-0000-0000F3660000}"/>
    <cellStyle name="Normal 2 3 2 2 4 9" xfId="26363" xr:uid="{00000000-0005-0000-0000-0000F4660000}"/>
    <cellStyle name="Normal 2 3 2 2 5" xfId="26364" xr:uid="{00000000-0005-0000-0000-0000F5660000}"/>
    <cellStyle name="Normal 2 3 2 2 5 10" xfId="26365" xr:uid="{00000000-0005-0000-0000-0000F6660000}"/>
    <cellStyle name="Normal 2 3 2 2 5 2" xfId="26366" xr:uid="{00000000-0005-0000-0000-0000F7660000}"/>
    <cellStyle name="Normal 2 3 2 2 5 3" xfId="26367" xr:uid="{00000000-0005-0000-0000-0000F8660000}"/>
    <cellStyle name="Normal 2 3 2 2 5 4" xfId="26368" xr:uid="{00000000-0005-0000-0000-0000F9660000}"/>
    <cellStyle name="Normal 2 3 2 2 5 5" xfId="26369" xr:uid="{00000000-0005-0000-0000-0000FA660000}"/>
    <cellStyle name="Normal 2 3 2 2 5 6" xfId="26370" xr:uid="{00000000-0005-0000-0000-0000FB660000}"/>
    <cellStyle name="Normal 2 3 2 2 5 7" xfId="26371" xr:uid="{00000000-0005-0000-0000-0000FC660000}"/>
    <cellStyle name="Normal 2 3 2 2 5 8" xfId="26372" xr:uid="{00000000-0005-0000-0000-0000FD660000}"/>
    <cellStyle name="Normal 2 3 2 2 5 9" xfId="26373" xr:uid="{00000000-0005-0000-0000-0000FE660000}"/>
    <cellStyle name="Normal 2 3 2 2 6" xfId="26374" xr:uid="{00000000-0005-0000-0000-0000FF660000}"/>
    <cellStyle name="Normal 2 3 2 2 7" xfId="26375" xr:uid="{00000000-0005-0000-0000-000000670000}"/>
    <cellStyle name="Normal 2 3 2 2 8" xfId="26376" xr:uid="{00000000-0005-0000-0000-000001670000}"/>
    <cellStyle name="Normal 2 3 2 2 9" xfId="26377" xr:uid="{00000000-0005-0000-0000-000002670000}"/>
    <cellStyle name="Normal 2 3 2 20" xfId="26378" xr:uid="{00000000-0005-0000-0000-000003670000}"/>
    <cellStyle name="Normal 2 3 2 20 10" xfId="26379" xr:uid="{00000000-0005-0000-0000-000004670000}"/>
    <cellStyle name="Normal 2 3 2 20 11" xfId="26380" xr:uid="{00000000-0005-0000-0000-000005670000}"/>
    <cellStyle name="Normal 2 3 2 20 12" xfId="26381" xr:uid="{00000000-0005-0000-0000-000006670000}"/>
    <cellStyle name="Normal 2 3 2 20 13" xfId="26382" xr:uid="{00000000-0005-0000-0000-000007670000}"/>
    <cellStyle name="Normal 2 3 2 20 14" xfId="26383" xr:uid="{00000000-0005-0000-0000-000008670000}"/>
    <cellStyle name="Normal 2 3 2 20 2" xfId="26384" xr:uid="{00000000-0005-0000-0000-000009670000}"/>
    <cellStyle name="Normal 2 3 2 20 2 10" xfId="26385" xr:uid="{00000000-0005-0000-0000-00000A670000}"/>
    <cellStyle name="Normal 2 3 2 20 2 2" xfId="26386" xr:uid="{00000000-0005-0000-0000-00000B670000}"/>
    <cellStyle name="Normal 2 3 2 20 2 3" xfId="26387" xr:uid="{00000000-0005-0000-0000-00000C670000}"/>
    <cellStyle name="Normal 2 3 2 20 2 4" xfId="26388" xr:uid="{00000000-0005-0000-0000-00000D670000}"/>
    <cellStyle name="Normal 2 3 2 20 2 5" xfId="26389" xr:uid="{00000000-0005-0000-0000-00000E670000}"/>
    <cellStyle name="Normal 2 3 2 20 2 6" xfId="26390" xr:uid="{00000000-0005-0000-0000-00000F670000}"/>
    <cellStyle name="Normal 2 3 2 20 2 7" xfId="26391" xr:uid="{00000000-0005-0000-0000-000010670000}"/>
    <cellStyle name="Normal 2 3 2 20 2 8" xfId="26392" xr:uid="{00000000-0005-0000-0000-000011670000}"/>
    <cellStyle name="Normal 2 3 2 20 2 9" xfId="26393" xr:uid="{00000000-0005-0000-0000-000012670000}"/>
    <cellStyle name="Normal 2 3 2 20 3" xfId="26394" xr:uid="{00000000-0005-0000-0000-000013670000}"/>
    <cellStyle name="Normal 2 3 2 20 3 10" xfId="26395" xr:uid="{00000000-0005-0000-0000-000014670000}"/>
    <cellStyle name="Normal 2 3 2 20 3 2" xfId="26396" xr:uid="{00000000-0005-0000-0000-000015670000}"/>
    <cellStyle name="Normal 2 3 2 20 3 3" xfId="26397" xr:uid="{00000000-0005-0000-0000-000016670000}"/>
    <cellStyle name="Normal 2 3 2 20 3 4" xfId="26398" xr:uid="{00000000-0005-0000-0000-000017670000}"/>
    <cellStyle name="Normal 2 3 2 20 3 5" xfId="26399" xr:uid="{00000000-0005-0000-0000-000018670000}"/>
    <cellStyle name="Normal 2 3 2 20 3 6" xfId="26400" xr:uid="{00000000-0005-0000-0000-000019670000}"/>
    <cellStyle name="Normal 2 3 2 20 3 7" xfId="26401" xr:uid="{00000000-0005-0000-0000-00001A670000}"/>
    <cellStyle name="Normal 2 3 2 20 3 8" xfId="26402" xr:uid="{00000000-0005-0000-0000-00001B670000}"/>
    <cellStyle name="Normal 2 3 2 20 3 9" xfId="26403" xr:uid="{00000000-0005-0000-0000-00001C670000}"/>
    <cellStyle name="Normal 2 3 2 20 4" xfId="26404" xr:uid="{00000000-0005-0000-0000-00001D670000}"/>
    <cellStyle name="Normal 2 3 2 20 4 10" xfId="26405" xr:uid="{00000000-0005-0000-0000-00001E670000}"/>
    <cellStyle name="Normal 2 3 2 20 4 2" xfId="26406" xr:uid="{00000000-0005-0000-0000-00001F670000}"/>
    <cellStyle name="Normal 2 3 2 20 4 3" xfId="26407" xr:uid="{00000000-0005-0000-0000-000020670000}"/>
    <cellStyle name="Normal 2 3 2 20 4 4" xfId="26408" xr:uid="{00000000-0005-0000-0000-000021670000}"/>
    <cellStyle name="Normal 2 3 2 20 4 5" xfId="26409" xr:uid="{00000000-0005-0000-0000-000022670000}"/>
    <cellStyle name="Normal 2 3 2 20 4 6" xfId="26410" xr:uid="{00000000-0005-0000-0000-000023670000}"/>
    <cellStyle name="Normal 2 3 2 20 4 7" xfId="26411" xr:uid="{00000000-0005-0000-0000-000024670000}"/>
    <cellStyle name="Normal 2 3 2 20 4 8" xfId="26412" xr:uid="{00000000-0005-0000-0000-000025670000}"/>
    <cellStyle name="Normal 2 3 2 20 4 9" xfId="26413" xr:uid="{00000000-0005-0000-0000-000026670000}"/>
    <cellStyle name="Normal 2 3 2 20 5" xfId="26414" xr:uid="{00000000-0005-0000-0000-000027670000}"/>
    <cellStyle name="Normal 2 3 2 20 5 10" xfId="26415" xr:uid="{00000000-0005-0000-0000-000028670000}"/>
    <cellStyle name="Normal 2 3 2 20 5 2" xfId="26416" xr:uid="{00000000-0005-0000-0000-000029670000}"/>
    <cellStyle name="Normal 2 3 2 20 5 3" xfId="26417" xr:uid="{00000000-0005-0000-0000-00002A670000}"/>
    <cellStyle name="Normal 2 3 2 20 5 4" xfId="26418" xr:uid="{00000000-0005-0000-0000-00002B670000}"/>
    <cellStyle name="Normal 2 3 2 20 5 5" xfId="26419" xr:uid="{00000000-0005-0000-0000-00002C670000}"/>
    <cellStyle name="Normal 2 3 2 20 5 6" xfId="26420" xr:uid="{00000000-0005-0000-0000-00002D670000}"/>
    <cellStyle name="Normal 2 3 2 20 5 7" xfId="26421" xr:uid="{00000000-0005-0000-0000-00002E670000}"/>
    <cellStyle name="Normal 2 3 2 20 5 8" xfId="26422" xr:uid="{00000000-0005-0000-0000-00002F670000}"/>
    <cellStyle name="Normal 2 3 2 20 5 9" xfId="26423" xr:uid="{00000000-0005-0000-0000-000030670000}"/>
    <cellStyle name="Normal 2 3 2 20 6" xfId="26424" xr:uid="{00000000-0005-0000-0000-000031670000}"/>
    <cellStyle name="Normal 2 3 2 20 7" xfId="26425" xr:uid="{00000000-0005-0000-0000-000032670000}"/>
    <cellStyle name="Normal 2 3 2 20 8" xfId="26426" xr:uid="{00000000-0005-0000-0000-000033670000}"/>
    <cellStyle name="Normal 2 3 2 20 9" xfId="26427" xr:uid="{00000000-0005-0000-0000-000034670000}"/>
    <cellStyle name="Normal 2 3 2 21" xfId="26428" xr:uid="{00000000-0005-0000-0000-000035670000}"/>
    <cellStyle name="Normal 2 3 2 21 10" xfId="26429" xr:uid="{00000000-0005-0000-0000-000036670000}"/>
    <cellStyle name="Normal 2 3 2 21 11" xfId="26430" xr:uid="{00000000-0005-0000-0000-000037670000}"/>
    <cellStyle name="Normal 2 3 2 21 12" xfId="26431" xr:uid="{00000000-0005-0000-0000-000038670000}"/>
    <cellStyle name="Normal 2 3 2 21 13" xfId="26432" xr:uid="{00000000-0005-0000-0000-000039670000}"/>
    <cellStyle name="Normal 2 3 2 21 14" xfId="26433" xr:uid="{00000000-0005-0000-0000-00003A670000}"/>
    <cellStyle name="Normal 2 3 2 21 2" xfId="26434" xr:uid="{00000000-0005-0000-0000-00003B670000}"/>
    <cellStyle name="Normal 2 3 2 21 2 10" xfId="26435" xr:uid="{00000000-0005-0000-0000-00003C670000}"/>
    <cellStyle name="Normal 2 3 2 21 2 2" xfId="26436" xr:uid="{00000000-0005-0000-0000-00003D670000}"/>
    <cellStyle name="Normal 2 3 2 21 2 3" xfId="26437" xr:uid="{00000000-0005-0000-0000-00003E670000}"/>
    <cellStyle name="Normal 2 3 2 21 2 4" xfId="26438" xr:uid="{00000000-0005-0000-0000-00003F670000}"/>
    <cellStyle name="Normal 2 3 2 21 2 5" xfId="26439" xr:uid="{00000000-0005-0000-0000-000040670000}"/>
    <cellStyle name="Normal 2 3 2 21 2 6" xfId="26440" xr:uid="{00000000-0005-0000-0000-000041670000}"/>
    <cellStyle name="Normal 2 3 2 21 2 7" xfId="26441" xr:uid="{00000000-0005-0000-0000-000042670000}"/>
    <cellStyle name="Normal 2 3 2 21 2 8" xfId="26442" xr:uid="{00000000-0005-0000-0000-000043670000}"/>
    <cellStyle name="Normal 2 3 2 21 2 9" xfId="26443" xr:uid="{00000000-0005-0000-0000-000044670000}"/>
    <cellStyle name="Normal 2 3 2 21 3" xfId="26444" xr:uid="{00000000-0005-0000-0000-000045670000}"/>
    <cellStyle name="Normal 2 3 2 21 3 10" xfId="26445" xr:uid="{00000000-0005-0000-0000-000046670000}"/>
    <cellStyle name="Normal 2 3 2 21 3 2" xfId="26446" xr:uid="{00000000-0005-0000-0000-000047670000}"/>
    <cellStyle name="Normal 2 3 2 21 3 3" xfId="26447" xr:uid="{00000000-0005-0000-0000-000048670000}"/>
    <cellStyle name="Normal 2 3 2 21 3 4" xfId="26448" xr:uid="{00000000-0005-0000-0000-000049670000}"/>
    <cellStyle name="Normal 2 3 2 21 3 5" xfId="26449" xr:uid="{00000000-0005-0000-0000-00004A670000}"/>
    <cellStyle name="Normal 2 3 2 21 3 6" xfId="26450" xr:uid="{00000000-0005-0000-0000-00004B670000}"/>
    <cellStyle name="Normal 2 3 2 21 3 7" xfId="26451" xr:uid="{00000000-0005-0000-0000-00004C670000}"/>
    <cellStyle name="Normal 2 3 2 21 3 8" xfId="26452" xr:uid="{00000000-0005-0000-0000-00004D670000}"/>
    <cellStyle name="Normal 2 3 2 21 3 9" xfId="26453" xr:uid="{00000000-0005-0000-0000-00004E670000}"/>
    <cellStyle name="Normal 2 3 2 21 4" xfId="26454" xr:uid="{00000000-0005-0000-0000-00004F670000}"/>
    <cellStyle name="Normal 2 3 2 21 4 10" xfId="26455" xr:uid="{00000000-0005-0000-0000-000050670000}"/>
    <cellStyle name="Normal 2 3 2 21 4 2" xfId="26456" xr:uid="{00000000-0005-0000-0000-000051670000}"/>
    <cellStyle name="Normal 2 3 2 21 4 3" xfId="26457" xr:uid="{00000000-0005-0000-0000-000052670000}"/>
    <cellStyle name="Normal 2 3 2 21 4 4" xfId="26458" xr:uid="{00000000-0005-0000-0000-000053670000}"/>
    <cellStyle name="Normal 2 3 2 21 4 5" xfId="26459" xr:uid="{00000000-0005-0000-0000-000054670000}"/>
    <cellStyle name="Normal 2 3 2 21 4 6" xfId="26460" xr:uid="{00000000-0005-0000-0000-000055670000}"/>
    <cellStyle name="Normal 2 3 2 21 4 7" xfId="26461" xr:uid="{00000000-0005-0000-0000-000056670000}"/>
    <cellStyle name="Normal 2 3 2 21 4 8" xfId="26462" xr:uid="{00000000-0005-0000-0000-000057670000}"/>
    <cellStyle name="Normal 2 3 2 21 4 9" xfId="26463" xr:uid="{00000000-0005-0000-0000-000058670000}"/>
    <cellStyle name="Normal 2 3 2 21 5" xfId="26464" xr:uid="{00000000-0005-0000-0000-000059670000}"/>
    <cellStyle name="Normal 2 3 2 21 5 10" xfId="26465" xr:uid="{00000000-0005-0000-0000-00005A670000}"/>
    <cellStyle name="Normal 2 3 2 21 5 2" xfId="26466" xr:uid="{00000000-0005-0000-0000-00005B670000}"/>
    <cellStyle name="Normal 2 3 2 21 5 3" xfId="26467" xr:uid="{00000000-0005-0000-0000-00005C670000}"/>
    <cellStyle name="Normal 2 3 2 21 5 4" xfId="26468" xr:uid="{00000000-0005-0000-0000-00005D670000}"/>
    <cellStyle name="Normal 2 3 2 21 5 5" xfId="26469" xr:uid="{00000000-0005-0000-0000-00005E670000}"/>
    <cellStyle name="Normal 2 3 2 21 5 6" xfId="26470" xr:uid="{00000000-0005-0000-0000-00005F670000}"/>
    <cellStyle name="Normal 2 3 2 21 5 7" xfId="26471" xr:uid="{00000000-0005-0000-0000-000060670000}"/>
    <cellStyle name="Normal 2 3 2 21 5 8" xfId="26472" xr:uid="{00000000-0005-0000-0000-000061670000}"/>
    <cellStyle name="Normal 2 3 2 21 5 9" xfId="26473" xr:uid="{00000000-0005-0000-0000-000062670000}"/>
    <cellStyle name="Normal 2 3 2 21 6" xfId="26474" xr:uid="{00000000-0005-0000-0000-000063670000}"/>
    <cellStyle name="Normal 2 3 2 21 7" xfId="26475" xr:uid="{00000000-0005-0000-0000-000064670000}"/>
    <cellStyle name="Normal 2 3 2 21 8" xfId="26476" xr:uid="{00000000-0005-0000-0000-000065670000}"/>
    <cellStyle name="Normal 2 3 2 21 9" xfId="26477" xr:uid="{00000000-0005-0000-0000-000066670000}"/>
    <cellStyle name="Normal 2 3 2 22" xfId="26478" xr:uid="{00000000-0005-0000-0000-000067670000}"/>
    <cellStyle name="Normal 2 3 2 22 10" xfId="26479" xr:uid="{00000000-0005-0000-0000-000068670000}"/>
    <cellStyle name="Normal 2 3 2 22 11" xfId="26480" xr:uid="{00000000-0005-0000-0000-000069670000}"/>
    <cellStyle name="Normal 2 3 2 22 12" xfId="26481" xr:uid="{00000000-0005-0000-0000-00006A670000}"/>
    <cellStyle name="Normal 2 3 2 22 13" xfId="26482" xr:uid="{00000000-0005-0000-0000-00006B670000}"/>
    <cellStyle name="Normal 2 3 2 22 14" xfId="26483" xr:uid="{00000000-0005-0000-0000-00006C670000}"/>
    <cellStyle name="Normal 2 3 2 22 2" xfId="26484" xr:uid="{00000000-0005-0000-0000-00006D670000}"/>
    <cellStyle name="Normal 2 3 2 22 2 10" xfId="26485" xr:uid="{00000000-0005-0000-0000-00006E670000}"/>
    <cellStyle name="Normal 2 3 2 22 2 2" xfId="26486" xr:uid="{00000000-0005-0000-0000-00006F670000}"/>
    <cellStyle name="Normal 2 3 2 22 2 3" xfId="26487" xr:uid="{00000000-0005-0000-0000-000070670000}"/>
    <cellStyle name="Normal 2 3 2 22 2 4" xfId="26488" xr:uid="{00000000-0005-0000-0000-000071670000}"/>
    <cellStyle name="Normal 2 3 2 22 2 5" xfId="26489" xr:uid="{00000000-0005-0000-0000-000072670000}"/>
    <cellStyle name="Normal 2 3 2 22 2 6" xfId="26490" xr:uid="{00000000-0005-0000-0000-000073670000}"/>
    <cellStyle name="Normal 2 3 2 22 2 7" xfId="26491" xr:uid="{00000000-0005-0000-0000-000074670000}"/>
    <cellStyle name="Normal 2 3 2 22 2 8" xfId="26492" xr:uid="{00000000-0005-0000-0000-000075670000}"/>
    <cellStyle name="Normal 2 3 2 22 2 9" xfId="26493" xr:uid="{00000000-0005-0000-0000-000076670000}"/>
    <cellStyle name="Normal 2 3 2 22 3" xfId="26494" xr:uid="{00000000-0005-0000-0000-000077670000}"/>
    <cellStyle name="Normal 2 3 2 22 3 10" xfId="26495" xr:uid="{00000000-0005-0000-0000-000078670000}"/>
    <cellStyle name="Normal 2 3 2 22 3 2" xfId="26496" xr:uid="{00000000-0005-0000-0000-000079670000}"/>
    <cellStyle name="Normal 2 3 2 22 3 3" xfId="26497" xr:uid="{00000000-0005-0000-0000-00007A670000}"/>
    <cellStyle name="Normal 2 3 2 22 3 4" xfId="26498" xr:uid="{00000000-0005-0000-0000-00007B670000}"/>
    <cellStyle name="Normal 2 3 2 22 3 5" xfId="26499" xr:uid="{00000000-0005-0000-0000-00007C670000}"/>
    <cellStyle name="Normal 2 3 2 22 3 6" xfId="26500" xr:uid="{00000000-0005-0000-0000-00007D670000}"/>
    <cellStyle name="Normal 2 3 2 22 3 7" xfId="26501" xr:uid="{00000000-0005-0000-0000-00007E670000}"/>
    <cellStyle name="Normal 2 3 2 22 3 8" xfId="26502" xr:uid="{00000000-0005-0000-0000-00007F670000}"/>
    <cellStyle name="Normal 2 3 2 22 3 9" xfId="26503" xr:uid="{00000000-0005-0000-0000-000080670000}"/>
    <cellStyle name="Normal 2 3 2 22 4" xfId="26504" xr:uid="{00000000-0005-0000-0000-000081670000}"/>
    <cellStyle name="Normal 2 3 2 22 4 10" xfId="26505" xr:uid="{00000000-0005-0000-0000-000082670000}"/>
    <cellStyle name="Normal 2 3 2 22 4 2" xfId="26506" xr:uid="{00000000-0005-0000-0000-000083670000}"/>
    <cellStyle name="Normal 2 3 2 22 4 3" xfId="26507" xr:uid="{00000000-0005-0000-0000-000084670000}"/>
    <cellStyle name="Normal 2 3 2 22 4 4" xfId="26508" xr:uid="{00000000-0005-0000-0000-000085670000}"/>
    <cellStyle name="Normal 2 3 2 22 4 5" xfId="26509" xr:uid="{00000000-0005-0000-0000-000086670000}"/>
    <cellStyle name="Normal 2 3 2 22 4 6" xfId="26510" xr:uid="{00000000-0005-0000-0000-000087670000}"/>
    <cellStyle name="Normal 2 3 2 22 4 7" xfId="26511" xr:uid="{00000000-0005-0000-0000-000088670000}"/>
    <cellStyle name="Normal 2 3 2 22 4 8" xfId="26512" xr:uid="{00000000-0005-0000-0000-000089670000}"/>
    <cellStyle name="Normal 2 3 2 22 4 9" xfId="26513" xr:uid="{00000000-0005-0000-0000-00008A670000}"/>
    <cellStyle name="Normal 2 3 2 22 5" xfId="26514" xr:uid="{00000000-0005-0000-0000-00008B670000}"/>
    <cellStyle name="Normal 2 3 2 22 5 10" xfId="26515" xr:uid="{00000000-0005-0000-0000-00008C670000}"/>
    <cellStyle name="Normal 2 3 2 22 5 2" xfId="26516" xr:uid="{00000000-0005-0000-0000-00008D670000}"/>
    <cellStyle name="Normal 2 3 2 22 5 3" xfId="26517" xr:uid="{00000000-0005-0000-0000-00008E670000}"/>
    <cellStyle name="Normal 2 3 2 22 5 4" xfId="26518" xr:uid="{00000000-0005-0000-0000-00008F670000}"/>
    <cellStyle name="Normal 2 3 2 22 5 5" xfId="26519" xr:uid="{00000000-0005-0000-0000-000090670000}"/>
    <cellStyle name="Normal 2 3 2 22 5 6" xfId="26520" xr:uid="{00000000-0005-0000-0000-000091670000}"/>
    <cellStyle name="Normal 2 3 2 22 5 7" xfId="26521" xr:uid="{00000000-0005-0000-0000-000092670000}"/>
    <cellStyle name="Normal 2 3 2 22 5 8" xfId="26522" xr:uid="{00000000-0005-0000-0000-000093670000}"/>
    <cellStyle name="Normal 2 3 2 22 5 9" xfId="26523" xr:uid="{00000000-0005-0000-0000-000094670000}"/>
    <cellStyle name="Normal 2 3 2 22 6" xfId="26524" xr:uid="{00000000-0005-0000-0000-000095670000}"/>
    <cellStyle name="Normal 2 3 2 22 7" xfId="26525" xr:uid="{00000000-0005-0000-0000-000096670000}"/>
    <cellStyle name="Normal 2 3 2 22 8" xfId="26526" xr:uid="{00000000-0005-0000-0000-000097670000}"/>
    <cellStyle name="Normal 2 3 2 22 9" xfId="26527" xr:uid="{00000000-0005-0000-0000-000098670000}"/>
    <cellStyle name="Normal 2 3 2 23" xfId="26528" xr:uid="{00000000-0005-0000-0000-000099670000}"/>
    <cellStyle name="Normal 2 3 2 23 10" xfId="26529" xr:uid="{00000000-0005-0000-0000-00009A670000}"/>
    <cellStyle name="Normal 2 3 2 23 11" xfId="26530" xr:uid="{00000000-0005-0000-0000-00009B670000}"/>
    <cellStyle name="Normal 2 3 2 23 12" xfId="26531" xr:uid="{00000000-0005-0000-0000-00009C670000}"/>
    <cellStyle name="Normal 2 3 2 23 13" xfId="26532" xr:uid="{00000000-0005-0000-0000-00009D670000}"/>
    <cellStyle name="Normal 2 3 2 23 14" xfId="26533" xr:uid="{00000000-0005-0000-0000-00009E670000}"/>
    <cellStyle name="Normal 2 3 2 23 2" xfId="26534" xr:uid="{00000000-0005-0000-0000-00009F670000}"/>
    <cellStyle name="Normal 2 3 2 23 2 10" xfId="26535" xr:uid="{00000000-0005-0000-0000-0000A0670000}"/>
    <cellStyle name="Normal 2 3 2 23 2 2" xfId="26536" xr:uid="{00000000-0005-0000-0000-0000A1670000}"/>
    <cellStyle name="Normal 2 3 2 23 2 3" xfId="26537" xr:uid="{00000000-0005-0000-0000-0000A2670000}"/>
    <cellStyle name="Normal 2 3 2 23 2 4" xfId="26538" xr:uid="{00000000-0005-0000-0000-0000A3670000}"/>
    <cellStyle name="Normal 2 3 2 23 2 5" xfId="26539" xr:uid="{00000000-0005-0000-0000-0000A4670000}"/>
    <cellStyle name="Normal 2 3 2 23 2 6" xfId="26540" xr:uid="{00000000-0005-0000-0000-0000A5670000}"/>
    <cellStyle name="Normal 2 3 2 23 2 7" xfId="26541" xr:uid="{00000000-0005-0000-0000-0000A6670000}"/>
    <cellStyle name="Normal 2 3 2 23 2 8" xfId="26542" xr:uid="{00000000-0005-0000-0000-0000A7670000}"/>
    <cellStyle name="Normal 2 3 2 23 2 9" xfId="26543" xr:uid="{00000000-0005-0000-0000-0000A8670000}"/>
    <cellStyle name="Normal 2 3 2 23 3" xfId="26544" xr:uid="{00000000-0005-0000-0000-0000A9670000}"/>
    <cellStyle name="Normal 2 3 2 23 3 10" xfId="26545" xr:uid="{00000000-0005-0000-0000-0000AA670000}"/>
    <cellStyle name="Normal 2 3 2 23 3 2" xfId="26546" xr:uid="{00000000-0005-0000-0000-0000AB670000}"/>
    <cellStyle name="Normal 2 3 2 23 3 3" xfId="26547" xr:uid="{00000000-0005-0000-0000-0000AC670000}"/>
    <cellStyle name="Normal 2 3 2 23 3 4" xfId="26548" xr:uid="{00000000-0005-0000-0000-0000AD670000}"/>
    <cellStyle name="Normal 2 3 2 23 3 5" xfId="26549" xr:uid="{00000000-0005-0000-0000-0000AE670000}"/>
    <cellStyle name="Normal 2 3 2 23 3 6" xfId="26550" xr:uid="{00000000-0005-0000-0000-0000AF670000}"/>
    <cellStyle name="Normal 2 3 2 23 3 7" xfId="26551" xr:uid="{00000000-0005-0000-0000-0000B0670000}"/>
    <cellStyle name="Normal 2 3 2 23 3 8" xfId="26552" xr:uid="{00000000-0005-0000-0000-0000B1670000}"/>
    <cellStyle name="Normal 2 3 2 23 3 9" xfId="26553" xr:uid="{00000000-0005-0000-0000-0000B2670000}"/>
    <cellStyle name="Normal 2 3 2 23 4" xfId="26554" xr:uid="{00000000-0005-0000-0000-0000B3670000}"/>
    <cellStyle name="Normal 2 3 2 23 4 10" xfId="26555" xr:uid="{00000000-0005-0000-0000-0000B4670000}"/>
    <cellStyle name="Normal 2 3 2 23 4 2" xfId="26556" xr:uid="{00000000-0005-0000-0000-0000B5670000}"/>
    <cellStyle name="Normal 2 3 2 23 4 3" xfId="26557" xr:uid="{00000000-0005-0000-0000-0000B6670000}"/>
    <cellStyle name="Normal 2 3 2 23 4 4" xfId="26558" xr:uid="{00000000-0005-0000-0000-0000B7670000}"/>
    <cellStyle name="Normal 2 3 2 23 4 5" xfId="26559" xr:uid="{00000000-0005-0000-0000-0000B8670000}"/>
    <cellStyle name="Normal 2 3 2 23 4 6" xfId="26560" xr:uid="{00000000-0005-0000-0000-0000B9670000}"/>
    <cellStyle name="Normal 2 3 2 23 4 7" xfId="26561" xr:uid="{00000000-0005-0000-0000-0000BA670000}"/>
    <cellStyle name="Normal 2 3 2 23 4 8" xfId="26562" xr:uid="{00000000-0005-0000-0000-0000BB670000}"/>
    <cellStyle name="Normal 2 3 2 23 4 9" xfId="26563" xr:uid="{00000000-0005-0000-0000-0000BC670000}"/>
    <cellStyle name="Normal 2 3 2 23 5" xfId="26564" xr:uid="{00000000-0005-0000-0000-0000BD670000}"/>
    <cellStyle name="Normal 2 3 2 23 5 10" xfId="26565" xr:uid="{00000000-0005-0000-0000-0000BE670000}"/>
    <cellStyle name="Normal 2 3 2 23 5 2" xfId="26566" xr:uid="{00000000-0005-0000-0000-0000BF670000}"/>
    <cellStyle name="Normal 2 3 2 23 5 3" xfId="26567" xr:uid="{00000000-0005-0000-0000-0000C0670000}"/>
    <cellStyle name="Normal 2 3 2 23 5 4" xfId="26568" xr:uid="{00000000-0005-0000-0000-0000C1670000}"/>
    <cellStyle name="Normal 2 3 2 23 5 5" xfId="26569" xr:uid="{00000000-0005-0000-0000-0000C2670000}"/>
    <cellStyle name="Normal 2 3 2 23 5 6" xfId="26570" xr:uid="{00000000-0005-0000-0000-0000C3670000}"/>
    <cellStyle name="Normal 2 3 2 23 5 7" xfId="26571" xr:uid="{00000000-0005-0000-0000-0000C4670000}"/>
    <cellStyle name="Normal 2 3 2 23 5 8" xfId="26572" xr:uid="{00000000-0005-0000-0000-0000C5670000}"/>
    <cellStyle name="Normal 2 3 2 23 5 9" xfId="26573" xr:uid="{00000000-0005-0000-0000-0000C6670000}"/>
    <cellStyle name="Normal 2 3 2 23 6" xfId="26574" xr:uid="{00000000-0005-0000-0000-0000C7670000}"/>
    <cellStyle name="Normal 2 3 2 23 7" xfId="26575" xr:uid="{00000000-0005-0000-0000-0000C8670000}"/>
    <cellStyle name="Normal 2 3 2 23 8" xfId="26576" xr:uid="{00000000-0005-0000-0000-0000C9670000}"/>
    <cellStyle name="Normal 2 3 2 23 9" xfId="26577" xr:uid="{00000000-0005-0000-0000-0000CA670000}"/>
    <cellStyle name="Normal 2 3 2 24" xfId="26578" xr:uid="{00000000-0005-0000-0000-0000CB670000}"/>
    <cellStyle name="Normal 2 3 2 24 10" xfId="26579" xr:uid="{00000000-0005-0000-0000-0000CC670000}"/>
    <cellStyle name="Normal 2 3 2 24 11" xfId="26580" xr:uid="{00000000-0005-0000-0000-0000CD670000}"/>
    <cellStyle name="Normal 2 3 2 24 12" xfId="26581" xr:uid="{00000000-0005-0000-0000-0000CE670000}"/>
    <cellStyle name="Normal 2 3 2 24 13" xfId="26582" xr:uid="{00000000-0005-0000-0000-0000CF670000}"/>
    <cellStyle name="Normal 2 3 2 24 14" xfId="26583" xr:uid="{00000000-0005-0000-0000-0000D0670000}"/>
    <cellStyle name="Normal 2 3 2 24 2" xfId="26584" xr:uid="{00000000-0005-0000-0000-0000D1670000}"/>
    <cellStyle name="Normal 2 3 2 24 2 10" xfId="26585" xr:uid="{00000000-0005-0000-0000-0000D2670000}"/>
    <cellStyle name="Normal 2 3 2 24 2 2" xfId="26586" xr:uid="{00000000-0005-0000-0000-0000D3670000}"/>
    <cellStyle name="Normal 2 3 2 24 2 3" xfId="26587" xr:uid="{00000000-0005-0000-0000-0000D4670000}"/>
    <cellStyle name="Normal 2 3 2 24 2 4" xfId="26588" xr:uid="{00000000-0005-0000-0000-0000D5670000}"/>
    <cellStyle name="Normal 2 3 2 24 2 5" xfId="26589" xr:uid="{00000000-0005-0000-0000-0000D6670000}"/>
    <cellStyle name="Normal 2 3 2 24 2 6" xfId="26590" xr:uid="{00000000-0005-0000-0000-0000D7670000}"/>
    <cellStyle name="Normal 2 3 2 24 2 7" xfId="26591" xr:uid="{00000000-0005-0000-0000-0000D8670000}"/>
    <cellStyle name="Normal 2 3 2 24 2 8" xfId="26592" xr:uid="{00000000-0005-0000-0000-0000D9670000}"/>
    <cellStyle name="Normal 2 3 2 24 2 9" xfId="26593" xr:uid="{00000000-0005-0000-0000-0000DA670000}"/>
    <cellStyle name="Normal 2 3 2 24 3" xfId="26594" xr:uid="{00000000-0005-0000-0000-0000DB670000}"/>
    <cellStyle name="Normal 2 3 2 24 3 10" xfId="26595" xr:uid="{00000000-0005-0000-0000-0000DC670000}"/>
    <cellStyle name="Normal 2 3 2 24 3 2" xfId="26596" xr:uid="{00000000-0005-0000-0000-0000DD670000}"/>
    <cellStyle name="Normal 2 3 2 24 3 3" xfId="26597" xr:uid="{00000000-0005-0000-0000-0000DE670000}"/>
    <cellStyle name="Normal 2 3 2 24 3 4" xfId="26598" xr:uid="{00000000-0005-0000-0000-0000DF670000}"/>
    <cellStyle name="Normal 2 3 2 24 3 5" xfId="26599" xr:uid="{00000000-0005-0000-0000-0000E0670000}"/>
    <cellStyle name="Normal 2 3 2 24 3 6" xfId="26600" xr:uid="{00000000-0005-0000-0000-0000E1670000}"/>
    <cellStyle name="Normal 2 3 2 24 3 7" xfId="26601" xr:uid="{00000000-0005-0000-0000-0000E2670000}"/>
    <cellStyle name="Normal 2 3 2 24 3 8" xfId="26602" xr:uid="{00000000-0005-0000-0000-0000E3670000}"/>
    <cellStyle name="Normal 2 3 2 24 3 9" xfId="26603" xr:uid="{00000000-0005-0000-0000-0000E4670000}"/>
    <cellStyle name="Normal 2 3 2 24 4" xfId="26604" xr:uid="{00000000-0005-0000-0000-0000E5670000}"/>
    <cellStyle name="Normal 2 3 2 24 4 10" xfId="26605" xr:uid="{00000000-0005-0000-0000-0000E6670000}"/>
    <cellStyle name="Normal 2 3 2 24 4 2" xfId="26606" xr:uid="{00000000-0005-0000-0000-0000E7670000}"/>
    <cellStyle name="Normal 2 3 2 24 4 3" xfId="26607" xr:uid="{00000000-0005-0000-0000-0000E8670000}"/>
    <cellStyle name="Normal 2 3 2 24 4 4" xfId="26608" xr:uid="{00000000-0005-0000-0000-0000E9670000}"/>
    <cellStyle name="Normal 2 3 2 24 4 5" xfId="26609" xr:uid="{00000000-0005-0000-0000-0000EA670000}"/>
    <cellStyle name="Normal 2 3 2 24 4 6" xfId="26610" xr:uid="{00000000-0005-0000-0000-0000EB670000}"/>
    <cellStyle name="Normal 2 3 2 24 4 7" xfId="26611" xr:uid="{00000000-0005-0000-0000-0000EC670000}"/>
    <cellStyle name="Normal 2 3 2 24 4 8" xfId="26612" xr:uid="{00000000-0005-0000-0000-0000ED670000}"/>
    <cellStyle name="Normal 2 3 2 24 4 9" xfId="26613" xr:uid="{00000000-0005-0000-0000-0000EE670000}"/>
    <cellStyle name="Normal 2 3 2 24 5" xfId="26614" xr:uid="{00000000-0005-0000-0000-0000EF670000}"/>
    <cellStyle name="Normal 2 3 2 24 5 10" xfId="26615" xr:uid="{00000000-0005-0000-0000-0000F0670000}"/>
    <cellStyle name="Normal 2 3 2 24 5 2" xfId="26616" xr:uid="{00000000-0005-0000-0000-0000F1670000}"/>
    <cellStyle name="Normal 2 3 2 24 5 3" xfId="26617" xr:uid="{00000000-0005-0000-0000-0000F2670000}"/>
    <cellStyle name="Normal 2 3 2 24 5 4" xfId="26618" xr:uid="{00000000-0005-0000-0000-0000F3670000}"/>
    <cellStyle name="Normal 2 3 2 24 5 5" xfId="26619" xr:uid="{00000000-0005-0000-0000-0000F4670000}"/>
    <cellStyle name="Normal 2 3 2 24 5 6" xfId="26620" xr:uid="{00000000-0005-0000-0000-0000F5670000}"/>
    <cellStyle name="Normal 2 3 2 24 5 7" xfId="26621" xr:uid="{00000000-0005-0000-0000-0000F6670000}"/>
    <cellStyle name="Normal 2 3 2 24 5 8" xfId="26622" xr:uid="{00000000-0005-0000-0000-0000F7670000}"/>
    <cellStyle name="Normal 2 3 2 24 5 9" xfId="26623" xr:uid="{00000000-0005-0000-0000-0000F8670000}"/>
    <cellStyle name="Normal 2 3 2 24 6" xfId="26624" xr:uid="{00000000-0005-0000-0000-0000F9670000}"/>
    <cellStyle name="Normal 2 3 2 24 7" xfId="26625" xr:uid="{00000000-0005-0000-0000-0000FA670000}"/>
    <cellStyle name="Normal 2 3 2 24 8" xfId="26626" xr:uid="{00000000-0005-0000-0000-0000FB670000}"/>
    <cellStyle name="Normal 2 3 2 24 9" xfId="26627" xr:uid="{00000000-0005-0000-0000-0000FC670000}"/>
    <cellStyle name="Normal 2 3 2 25" xfId="26628" xr:uid="{00000000-0005-0000-0000-0000FD670000}"/>
    <cellStyle name="Normal 2 3 2 25 10" xfId="26629" xr:uid="{00000000-0005-0000-0000-0000FE670000}"/>
    <cellStyle name="Normal 2 3 2 25 11" xfId="26630" xr:uid="{00000000-0005-0000-0000-0000FF670000}"/>
    <cellStyle name="Normal 2 3 2 25 12" xfId="26631" xr:uid="{00000000-0005-0000-0000-000000680000}"/>
    <cellStyle name="Normal 2 3 2 25 13" xfId="26632" xr:uid="{00000000-0005-0000-0000-000001680000}"/>
    <cellStyle name="Normal 2 3 2 25 14" xfId="26633" xr:uid="{00000000-0005-0000-0000-000002680000}"/>
    <cellStyle name="Normal 2 3 2 25 2" xfId="26634" xr:uid="{00000000-0005-0000-0000-000003680000}"/>
    <cellStyle name="Normal 2 3 2 25 2 10" xfId="26635" xr:uid="{00000000-0005-0000-0000-000004680000}"/>
    <cellStyle name="Normal 2 3 2 25 2 2" xfId="26636" xr:uid="{00000000-0005-0000-0000-000005680000}"/>
    <cellStyle name="Normal 2 3 2 25 2 3" xfId="26637" xr:uid="{00000000-0005-0000-0000-000006680000}"/>
    <cellStyle name="Normal 2 3 2 25 2 4" xfId="26638" xr:uid="{00000000-0005-0000-0000-000007680000}"/>
    <cellStyle name="Normal 2 3 2 25 2 5" xfId="26639" xr:uid="{00000000-0005-0000-0000-000008680000}"/>
    <cellStyle name="Normal 2 3 2 25 2 6" xfId="26640" xr:uid="{00000000-0005-0000-0000-000009680000}"/>
    <cellStyle name="Normal 2 3 2 25 2 7" xfId="26641" xr:uid="{00000000-0005-0000-0000-00000A680000}"/>
    <cellStyle name="Normal 2 3 2 25 2 8" xfId="26642" xr:uid="{00000000-0005-0000-0000-00000B680000}"/>
    <cellStyle name="Normal 2 3 2 25 2 9" xfId="26643" xr:uid="{00000000-0005-0000-0000-00000C680000}"/>
    <cellStyle name="Normal 2 3 2 25 3" xfId="26644" xr:uid="{00000000-0005-0000-0000-00000D680000}"/>
    <cellStyle name="Normal 2 3 2 25 3 10" xfId="26645" xr:uid="{00000000-0005-0000-0000-00000E680000}"/>
    <cellStyle name="Normal 2 3 2 25 3 2" xfId="26646" xr:uid="{00000000-0005-0000-0000-00000F680000}"/>
    <cellStyle name="Normal 2 3 2 25 3 3" xfId="26647" xr:uid="{00000000-0005-0000-0000-000010680000}"/>
    <cellStyle name="Normal 2 3 2 25 3 4" xfId="26648" xr:uid="{00000000-0005-0000-0000-000011680000}"/>
    <cellStyle name="Normal 2 3 2 25 3 5" xfId="26649" xr:uid="{00000000-0005-0000-0000-000012680000}"/>
    <cellStyle name="Normal 2 3 2 25 3 6" xfId="26650" xr:uid="{00000000-0005-0000-0000-000013680000}"/>
    <cellStyle name="Normal 2 3 2 25 3 7" xfId="26651" xr:uid="{00000000-0005-0000-0000-000014680000}"/>
    <cellStyle name="Normal 2 3 2 25 3 8" xfId="26652" xr:uid="{00000000-0005-0000-0000-000015680000}"/>
    <cellStyle name="Normal 2 3 2 25 3 9" xfId="26653" xr:uid="{00000000-0005-0000-0000-000016680000}"/>
    <cellStyle name="Normal 2 3 2 25 4" xfId="26654" xr:uid="{00000000-0005-0000-0000-000017680000}"/>
    <cellStyle name="Normal 2 3 2 25 4 10" xfId="26655" xr:uid="{00000000-0005-0000-0000-000018680000}"/>
    <cellStyle name="Normal 2 3 2 25 4 2" xfId="26656" xr:uid="{00000000-0005-0000-0000-000019680000}"/>
    <cellStyle name="Normal 2 3 2 25 4 3" xfId="26657" xr:uid="{00000000-0005-0000-0000-00001A680000}"/>
    <cellStyle name="Normal 2 3 2 25 4 4" xfId="26658" xr:uid="{00000000-0005-0000-0000-00001B680000}"/>
    <cellStyle name="Normal 2 3 2 25 4 5" xfId="26659" xr:uid="{00000000-0005-0000-0000-00001C680000}"/>
    <cellStyle name="Normal 2 3 2 25 4 6" xfId="26660" xr:uid="{00000000-0005-0000-0000-00001D680000}"/>
    <cellStyle name="Normal 2 3 2 25 4 7" xfId="26661" xr:uid="{00000000-0005-0000-0000-00001E680000}"/>
    <cellStyle name="Normal 2 3 2 25 4 8" xfId="26662" xr:uid="{00000000-0005-0000-0000-00001F680000}"/>
    <cellStyle name="Normal 2 3 2 25 4 9" xfId="26663" xr:uid="{00000000-0005-0000-0000-000020680000}"/>
    <cellStyle name="Normal 2 3 2 25 5" xfId="26664" xr:uid="{00000000-0005-0000-0000-000021680000}"/>
    <cellStyle name="Normal 2 3 2 25 5 10" xfId="26665" xr:uid="{00000000-0005-0000-0000-000022680000}"/>
    <cellStyle name="Normal 2 3 2 25 5 2" xfId="26666" xr:uid="{00000000-0005-0000-0000-000023680000}"/>
    <cellStyle name="Normal 2 3 2 25 5 3" xfId="26667" xr:uid="{00000000-0005-0000-0000-000024680000}"/>
    <cellStyle name="Normal 2 3 2 25 5 4" xfId="26668" xr:uid="{00000000-0005-0000-0000-000025680000}"/>
    <cellStyle name="Normal 2 3 2 25 5 5" xfId="26669" xr:uid="{00000000-0005-0000-0000-000026680000}"/>
    <cellStyle name="Normal 2 3 2 25 5 6" xfId="26670" xr:uid="{00000000-0005-0000-0000-000027680000}"/>
    <cellStyle name="Normal 2 3 2 25 5 7" xfId="26671" xr:uid="{00000000-0005-0000-0000-000028680000}"/>
    <cellStyle name="Normal 2 3 2 25 5 8" xfId="26672" xr:uid="{00000000-0005-0000-0000-000029680000}"/>
    <cellStyle name="Normal 2 3 2 25 5 9" xfId="26673" xr:uid="{00000000-0005-0000-0000-00002A680000}"/>
    <cellStyle name="Normal 2 3 2 25 6" xfId="26674" xr:uid="{00000000-0005-0000-0000-00002B680000}"/>
    <cellStyle name="Normal 2 3 2 25 7" xfId="26675" xr:uid="{00000000-0005-0000-0000-00002C680000}"/>
    <cellStyle name="Normal 2 3 2 25 8" xfId="26676" xr:uid="{00000000-0005-0000-0000-00002D680000}"/>
    <cellStyle name="Normal 2 3 2 25 9" xfId="26677" xr:uid="{00000000-0005-0000-0000-00002E680000}"/>
    <cellStyle name="Normal 2 3 2 26" xfId="26678" xr:uid="{00000000-0005-0000-0000-00002F680000}"/>
    <cellStyle name="Normal 2 3 2 26 10" xfId="26679" xr:uid="{00000000-0005-0000-0000-000030680000}"/>
    <cellStyle name="Normal 2 3 2 26 11" xfId="26680" xr:uid="{00000000-0005-0000-0000-000031680000}"/>
    <cellStyle name="Normal 2 3 2 26 12" xfId="26681" xr:uid="{00000000-0005-0000-0000-000032680000}"/>
    <cellStyle name="Normal 2 3 2 26 13" xfId="26682" xr:uid="{00000000-0005-0000-0000-000033680000}"/>
    <cellStyle name="Normal 2 3 2 26 14" xfId="26683" xr:uid="{00000000-0005-0000-0000-000034680000}"/>
    <cellStyle name="Normal 2 3 2 26 2" xfId="26684" xr:uid="{00000000-0005-0000-0000-000035680000}"/>
    <cellStyle name="Normal 2 3 2 26 2 10" xfId="26685" xr:uid="{00000000-0005-0000-0000-000036680000}"/>
    <cellStyle name="Normal 2 3 2 26 2 2" xfId="26686" xr:uid="{00000000-0005-0000-0000-000037680000}"/>
    <cellStyle name="Normal 2 3 2 26 2 3" xfId="26687" xr:uid="{00000000-0005-0000-0000-000038680000}"/>
    <cellStyle name="Normal 2 3 2 26 2 4" xfId="26688" xr:uid="{00000000-0005-0000-0000-000039680000}"/>
    <cellStyle name="Normal 2 3 2 26 2 5" xfId="26689" xr:uid="{00000000-0005-0000-0000-00003A680000}"/>
    <cellStyle name="Normal 2 3 2 26 2 6" xfId="26690" xr:uid="{00000000-0005-0000-0000-00003B680000}"/>
    <cellStyle name="Normal 2 3 2 26 2 7" xfId="26691" xr:uid="{00000000-0005-0000-0000-00003C680000}"/>
    <cellStyle name="Normal 2 3 2 26 2 8" xfId="26692" xr:uid="{00000000-0005-0000-0000-00003D680000}"/>
    <cellStyle name="Normal 2 3 2 26 2 9" xfId="26693" xr:uid="{00000000-0005-0000-0000-00003E680000}"/>
    <cellStyle name="Normal 2 3 2 26 3" xfId="26694" xr:uid="{00000000-0005-0000-0000-00003F680000}"/>
    <cellStyle name="Normal 2 3 2 26 3 10" xfId="26695" xr:uid="{00000000-0005-0000-0000-000040680000}"/>
    <cellStyle name="Normal 2 3 2 26 3 2" xfId="26696" xr:uid="{00000000-0005-0000-0000-000041680000}"/>
    <cellStyle name="Normal 2 3 2 26 3 3" xfId="26697" xr:uid="{00000000-0005-0000-0000-000042680000}"/>
    <cellStyle name="Normal 2 3 2 26 3 4" xfId="26698" xr:uid="{00000000-0005-0000-0000-000043680000}"/>
    <cellStyle name="Normal 2 3 2 26 3 5" xfId="26699" xr:uid="{00000000-0005-0000-0000-000044680000}"/>
    <cellStyle name="Normal 2 3 2 26 3 6" xfId="26700" xr:uid="{00000000-0005-0000-0000-000045680000}"/>
    <cellStyle name="Normal 2 3 2 26 3 7" xfId="26701" xr:uid="{00000000-0005-0000-0000-000046680000}"/>
    <cellStyle name="Normal 2 3 2 26 3 8" xfId="26702" xr:uid="{00000000-0005-0000-0000-000047680000}"/>
    <cellStyle name="Normal 2 3 2 26 3 9" xfId="26703" xr:uid="{00000000-0005-0000-0000-000048680000}"/>
    <cellStyle name="Normal 2 3 2 26 4" xfId="26704" xr:uid="{00000000-0005-0000-0000-000049680000}"/>
    <cellStyle name="Normal 2 3 2 26 4 10" xfId="26705" xr:uid="{00000000-0005-0000-0000-00004A680000}"/>
    <cellStyle name="Normal 2 3 2 26 4 2" xfId="26706" xr:uid="{00000000-0005-0000-0000-00004B680000}"/>
    <cellStyle name="Normal 2 3 2 26 4 3" xfId="26707" xr:uid="{00000000-0005-0000-0000-00004C680000}"/>
    <cellStyle name="Normal 2 3 2 26 4 4" xfId="26708" xr:uid="{00000000-0005-0000-0000-00004D680000}"/>
    <cellStyle name="Normal 2 3 2 26 4 5" xfId="26709" xr:uid="{00000000-0005-0000-0000-00004E680000}"/>
    <cellStyle name="Normal 2 3 2 26 4 6" xfId="26710" xr:uid="{00000000-0005-0000-0000-00004F680000}"/>
    <cellStyle name="Normal 2 3 2 26 4 7" xfId="26711" xr:uid="{00000000-0005-0000-0000-000050680000}"/>
    <cellStyle name="Normal 2 3 2 26 4 8" xfId="26712" xr:uid="{00000000-0005-0000-0000-000051680000}"/>
    <cellStyle name="Normal 2 3 2 26 4 9" xfId="26713" xr:uid="{00000000-0005-0000-0000-000052680000}"/>
    <cellStyle name="Normal 2 3 2 26 5" xfId="26714" xr:uid="{00000000-0005-0000-0000-000053680000}"/>
    <cellStyle name="Normal 2 3 2 26 5 10" xfId="26715" xr:uid="{00000000-0005-0000-0000-000054680000}"/>
    <cellStyle name="Normal 2 3 2 26 5 2" xfId="26716" xr:uid="{00000000-0005-0000-0000-000055680000}"/>
    <cellStyle name="Normal 2 3 2 26 5 3" xfId="26717" xr:uid="{00000000-0005-0000-0000-000056680000}"/>
    <cellStyle name="Normal 2 3 2 26 5 4" xfId="26718" xr:uid="{00000000-0005-0000-0000-000057680000}"/>
    <cellStyle name="Normal 2 3 2 26 5 5" xfId="26719" xr:uid="{00000000-0005-0000-0000-000058680000}"/>
    <cellStyle name="Normal 2 3 2 26 5 6" xfId="26720" xr:uid="{00000000-0005-0000-0000-000059680000}"/>
    <cellStyle name="Normal 2 3 2 26 5 7" xfId="26721" xr:uid="{00000000-0005-0000-0000-00005A680000}"/>
    <cellStyle name="Normal 2 3 2 26 5 8" xfId="26722" xr:uid="{00000000-0005-0000-0000-00005B680000}"/>
    <cellStyle name="Normal 2 3 2 26 5 9" xfId="26723" xr:uid="{00000000-0005-0000-0000-00005C680000}"/>
    <cellStyle name="Normal 2 3 2 26 6" xfId="26724" xr:uid="{00000000-0005-0000-0000-00005D680000}"/>
    <cellStyle name="Normal 2 3 2 26 7" xfId="26725" xr:uid="{00000000-0005-0000-0000-00005E680000}"/>
    <cellStyle name="Normal 2 3 2 26 8" xfId="26726" xr:uid="{00000000-0005-0000-0000-00005F680000}"/>
    <cellStyle name="Normal 2 3 2 26 9" xfId="26727" xr:uid="{00000000-0005-0000-0000-000060680000}"/>
    <cellStyle name="Normal 2 3 2 27" xfId="26728" xr:uid="{00000000-0005-0000-0000-000061680000}"/>
    <cellStyle name="Normal 2 3 2 27 10" xfId="26729" xr:uid="{00000000-0005-0000-0000-000062680000}"/>
    <cellStyle name="Normal 2 3 2 27 11" xfId="26730" xr:uid="{00000000-0005-0000-0000-000063680000}"/>
    <cellStyle name="Normal 2 3 2 27 12" xfId="26731" xr:uid="{00000000-0005-0000-0000-000064680000}"/>
    <cellStyle name="Normal 2 3 2 27 13" xfId="26732" xr:uid="{00000000-0005-0000-0000-000065680000}"/>
    <cellStyle name="Normal 2 3 2 27 14" xfId="26733" xr:uid="{00000000-0005-0000-0000-000066680000}"/>
    <cellStyle name="Normal 2 3 2 27 2" xfId="26734" xr:uid="{00000000-0005-0000-0000-000067680000}"/>
    <cellStyle name="Normal 2 3 2 27 2 10" xfId="26735" xr:uid="{00000000-0005-0000-0000-000068680000}"/>
    <cellStyle name="Normal 2 3 2 27 2 2" xfId="26736" xr:uid="{00000000-0005-0000-0000-000069680000}"/>
    <cellStyle name="Normal 2 3 2 27 2 3" xfId="26737" xr:uid="{00000000-0005-0000-0000-00006A680000}"/>
    <cellStyle name="Normal 2 3 2 27 2 4" xfId="26738" xr:uid="{00000000-0005-0000-0000-00006B680000}"/>
    <cellStyle name="Normal 2 3 2 27 2 5" xfId="26739" xr:uid="{00000000-0005-0000-0000-00006C680000}"/>
    <cellStyle name="Normal 2 3 2 27 2 6" xfId="26740" xr:uid="{00000000-0005-0000-0000-00006D680000}"/>
    <cellStyle name="Normal 2 3 2 27 2 7" xfId="26741" xr:uid="{00000000-0005-0000-0000-00006E680000}"/>
    <cellStyle name="Normal 2 3 2 27 2 8" xfId="26742" xr:uid="{00000000-0005-0000-0000-00006F680000}"/>
    <cellStyle name="Normal 2 3 2 27 2 9" xfId="26743" xr:uid="{00000000-0005-0000-0000-000070680000}"/>
    <cellStyle name="Normal 2 3 2 27 3" xfId="26744" xr:uid="{00000000-0005-0000-0000-000071680000}"/>
    <cellStyle name="Normal 2 3 2 27 3 10" xfId="26745" xr:uid="{00000000-0005-0000-0000-000072680000}"/>
    <cellStyle name="Normal 2 3 2 27 3 2" xfId="26746" xr:uid="{00000000-0005-0000-0000-000073680000}"/>
    <cellStyle name="Normal 2 3 2 27 3 3" xfId="26747" xr:uid="{00000000-0005-0000-0000-000074680000}"/>
    <cellStyle name="Normal 2 3 2 27 3 4" xfId="26748" xr:uid="{00000000-0005-0000-0000-000075680000}"/>
    <cellStyle name="Normal 2 3 2 27 3 5" xfId="26749" xr:uid="{00000000-0005-0000-0000-000076680000}"/>
    <cellStyle name="Normal 2 3 2 27 3 6" xfId="26750" xr:uid="{00000000-0005-0000-0000-000077680000}"/>
    <cellStyle name="Normal 2 3 2 27 3 7" xfId="26751" xr:uid="{00000000-0005-0000-0000-000078680000}"/>
    <cellStyle name="Normal 2 3 2 27 3 8" xfId="26752" xr:uid="{00000000-0005-0000-0000-000079680000}"/>
    <cellStyle name="Normal 2 3 2 27 3 9" xfId="26753" xr:uid="{00000000-0005-0000-0000-00007A680000}"/>
    <cellStyle name="Normal 2 3 2 27 4" xfId="26754" xr:uid="{00000000-0005-0000-0000-00007B680000}"/>
    <cellStyle name="Normal 2 3 2 27 4 10" xfId="26755" xr:uid="{00000000-0005-0000-0000-00007C680000}"/>
    <cellStyle name="Normal 2 3 2 27 4 2" xfId="26756" xr:uid="{00000000-0005-0000-0000-00007D680000}"/>
    <cellStyle name="Normal 2 3 2 27 4 3" xfId="26757" xr:uid="{00000000-0005-0000-0000-00007E680000}"/>
    <cellStyle name="Normal 2 3 2 27 4 4" xfId="26758" xr:uid="{00000000-0005-0000-0000-00007F680000}"/>
    <cellStyle name="Normal 2 3 2 27 4 5" xfId="26759" xr:uid="{00000000-0005-0000-0000-000080680000}"/>
    <cellStyle name="Normal 2 3 2 27 4 6" xfId="26760" xr:uid="{00000000-0005-0000-0000-000081680000}"/>
    <cellStyle name="Normal 2 3 2 27 4 7" xfId="26761" xr:uid="{00000000-0005-0000-0000-000082680000}"/>
    <cellStyle name="Normal 2 3 2 27 4 8" xfId="26762" xr:uid="{00000000-0005-0000-0000-000083680000}"/>
    <cellStyle name="Normal 2 3 2 27 4 9" xfId="26763" xr:uid="{00000000-0005-0000-0000-000084680000}"/>
    <cellStyle name="Normal 2 3 2 27 5" xfId="26764" xr:uid="{00000000-0005-0000-0000-000085680000}"/>
    <cellStyle name="Normal 2 3 2 27 5 10" xfId="26765" xr:uid="{00000000-0005-0000-0000-000086680000}"/>
    <cellStyle name="Normal 2 3 2 27 5 2" xfId="26766" xr:uid="{00000000-0005-0000-0000-000087680000}"/>
    <cellStyle name="Normal 2 3 2 27 5 3" xfId="26767" xr:uid="{00000000-0005-0000-0000-000088680000}"/>
    <cellStyle name="Normal 2 3 2 27 5 4" xfId="26768" xr:uid="{00000000-0005-0000-0000-000089680000}"/>
    <cellStyle name="Normal 2 3 2 27 5 5" xfId="26769" xr:uid="{00000000-0005-0000-0000-00008A680000}"/>
    <cellStyle name="Normal 2 3 2 27 5 6" xfId="26770" xr:uid="{00000000-0005-0000-0000-00008B680000}"/>
    <cellStyle name="Normal 2 3 2 27 5 7" xfId="26771" xr:uid="{00000000-0005-0000-0000-00008C680000}"/>
    <cellStyle name="Normal 2 3 2 27 5 8" xfId="26772" xr:uid="{00000000-0005-0000-0000-00008D680000}"/>
    <cellStyle name="Normal 2 3 2 27 5 9" xfId="26773" xr:uid="{00000000-0005-0000-0000-00008E680000}"/>
    <cellStyle name="Normal 2 3 2 27 6" xfId="26774" xr:uid="{00000000-0005-0000-0000-00008F680000}"/>
    <cellStyle name="Normal 2 3 2 27 7" xfId="26775" xr:uid="{00000000-0005-0000-0000-000090680000}"/>
    <cellStyle name="Normal 2 3 2 27 8" xfId="26776" xr:uid="{00000000-0005-0000-0000-000091680000}"/>
    <cellStyle name="Normal 2 3 2 27 9" xfId="26777" xr:uid="{00000000-0005-0000-0000-000092680000}"/>
    <cellStyle name="Normal 2 3 2 28" xfId="26778" xr:uid="{00000000-0005-0000-0000-000093680000}"/>
    <cellStyle name="Normal 2 3 2 28 10" xfId="26779" xr:uid="{00000000-0005-0000-0000-000094680000}"/>
    <cellStyle name="Normal 2 3 2 28 11" xfId="26780" xr:uid="{00000000-0005-0000-0000-000095680000}"/>
    <cellStyle name="Normal 2 3 2 28 12" xfId="26781" xr:uid="{00000000-0005-0000-0000-000096680000}"/>
    <cellStyle name="Normal 2 3 2 28 13" xfId="26782" xr:uid="{00000000-0005-0000-0000-000097680000}"/>
    <cellStyle name="Normal 2 3 2 28 14" xfId="26783" xr:uid="{00000000-0005-0000-0000-000098680000}"/>
    <cellStyle name="Normal 2 3 2 28 2" xfId="26784" xr:uid="{00000000-0005-0000-0000-000099680000}"/>
    <cellStyle name="Normal 2 3 2 28 2 10" xfId="26785" xr:uid="{00000000-0005-0000-0000-00009A680000}"/>
    <cellStyle name="Normal 2 3 2 28 2 2" xfId="26786" xr:uid="{00000000-0005-0000-0000-00009B680000}"/>
    <cellStyle name="Normal 2 3 2 28 2 3" xfId="26787" xr:uid="{00000000-0005-0000-0000-00009C680000}"/>
    <cellStyle name="Normal 2 3 2 28 2 4" xfId="26788" xr:uid="{00000000-0005-0000-0000-00009D680000}"/>
    <cellStyle name="Normal 2 3 2 28 2 5" xfId="26789" xr:uid="{00000000-0005-0000-0000-00009E680000}"/>
    <cellStyle name="Normal 2 3 2 28 2 6" xfId="26790" xr:uid="{00000000-0005-0000-0000-00009F680000}"/>
    <cellStyle name="Normal 2 3 2 28 2 7" xfId="26791" xr:uid="{00000000-0005-0000-0000-0000A0680000}"/>
    <cellStyle name="Normal 2 3 2 28 2 8" xfId="26792" xr:uid="{00000000-0005-0000-0000-0000A1680000}"/>
    <cellStyle name="Normal 2 3 2 28 2 9" xfId="26793" xr:uid="{00000000-0005-0000-0000-0000A2680000}"/>
    <cellStyle name="Normal 2 3 2 28 3" xfId="26794" xr:uid="{00000000-0005-0000-0000-0000A3680000}"/>
    <cellStyle name="Normal 2 3 2 28 3 10" xfId="26795" xr:uid="{00000000-0005-0000-0000-0000A4680000}"/>
    <cellStyle name="Normal 2 3 2 28 3 2" xfId="26796" xr:uid="{00000000-0005-0000-0000-0000A5680000}"/>
    <cellStyle name="Normal 2 3 2 28 3 3" xfId="26797" xr:uid="{00000000-0005-0000-0000-0000A6680000}"/>
    <cellStyle name="Normal 2 3 2 28 3 4" xfId="26798" xr:uid="{00000000-0005-0000-0000-0000A7680000}"/>
    <cellStyle name="Normal 2 3 2 28 3 5" xfId="26799" xr:uid="{00000000-0005-0000-0000-0000A8680000}"/>
    <cellStyle name="Normal 2 3 2 28 3 6" xfId="26800" xr:uid="{00000000-0005-0000-0000-0000A9680000}"/>
    <cellStyle name="Normal 2 3 2 28 3 7" xfId="26801" xr:uid="{00000000-0005-0000-0000-0000AA680000}"/>
    <cellStyle name="Normal 2 3 2 28 3 8" xfId="26802" xr:uid="{00000000-0005-0000-0000-0000AB680000}"/>
    <cellStyle name="Normal 2 3 2 28 3 9" xfId="26803" xr:uid="{00000000-0005-0000-0000-0000AC680000}"/>
    <cellStyle name="Normal 2 3 2 28 4" xfId="26804" xr:uid="{00000000-0005-0000-0000-0000AD680000}"/>
    <cellStyle name="Normal 2 3 2 28 4 10" xfId="26805" xr:uid="{00000000-0005-0000-0000-0000AE680000}"/>
    <cellStyle name="Normal 2 3 2 28 4 2" xfId="26806" xr:uid="{00000000-0005-0000-0000-0000AF680000}"/>
    <cellStyle name="Normal 2 3 2 28 4 3" xfId="26807" xr:uid="{00000000-0005-0000-0000-0000B0680000}"/>
    <cellStyle name="Normal 2 3 2 28 4 4" xfId="26808" xr:uid="{00000000-0005-0000-0000-0000B1680000}"/>
    <cellStyle name="Normal 2 3 2 28 4 5" xfId="26809" xr:uid="{00000000-0005-0000-0000-0000B2680000}"/>
    <cellStyle name="Normal 2 3 2 28 4 6" xfId="26810" xr:uid="{00000000-0005-0000-0000-0000B3680000}"/>
    <cellStyle name="Normal 2 3 2 28 4 7" xfId="26811" xr:uid="{00000000-0005-0000-0000-0000B4680000}"/>
    <cellStyle name="Normal 2 3 2 28 4 8" xfId="26812" xr:uid="{00000000-0005-0000-0000-0000B5680000}"/>
    <cellStyle name="Normal 2 3 2 28 4 9" xfId="26813" xr:uid="{00000000-0005-0000-0000-0000B6680000}"/>
    <cellStyle name="Normal 2 3 2 28 5" xfId="26814" xr:uid="{00000000-0005-0000-0000-0000B7680000}"/>
    <cellStyle name="Normal 2 3 2 28 5 10" xfId="26815" xr:uid="{00000000-0005-0000-0000-0000B8680000}"/>
    <cellStyle name="Normal 2 3 2 28 5 2" xfId="26816" xr:uid="{00000000-0005-0000-0000-0000B9680000}"/>
    <cellStyle name="Normal 2 3 2 28 5 3" xfId="26817" xr:uid="{00000000-0005-0000-0000-0000BA680000}"/>
    <cellStyle name="Normal 2 3 2 28 5 4" xfId="26818" xr:uid="{00000000-0005-0000-0000-0000BB680000}"/>
    <cellStyle name="Normal 2 3 2 28 5 5" xfId="26819" xr:uid="{00000000-0005-0000-0000-0000BC680000}"/>
    <cellStyle name="Normal 2 3 2 28 5 6" xfId="26820" xr:uid="{00000000-0005-0000-0000-0000BD680000}"/>
    <cellStyle name="Normal 2 3 2 28 5 7" xfId="26821" xr:uid="{00000000-0005-0000-0000-0000BE680000}"/>
    <cellStyle name="Normal 2 3 2 28 5 8" xfId="26822" xr:uid="{00000000-0005-0000-0000-0000BF680000}"/>
    <cellStyle name="Normal 2 3 2 28 5 9" xfId="26823" xr:uid="{00000000-0005-0000-0000-0000C0680000}"/>
    <cellStyle name="Normal 2 3 2 28 6" xfId="26824" xr:uid="{00000000-0005-0000-0000-0000C1680000}"/>
    <cellStyle name="Normal 2 3 2 28 7" xfId="26825" xr:uid="{00000000-0005-0000-0000-0000C2680000}"/>
    <cellStyle name="Normal 2 3 2 28 8" xfId="26826" xr:uid="{00000000-0005-0000-0000-0000C3680000}"/>
    <cellStyle name="Normal 2 3 2 28 9" xfId="26827" xr:uid="{00000000-0005-0000-0000-0000C4680000}"/>
    <cellStyle name="Normal 2 3 2 29" xfId="26828" xr:uid="{00000000-0005-0000-0000-0000C5680000}"/>
    <cellStyle name="Normal 2 3 2 29 10" xfId="26829" xr:uid="{00000000-0005-0000-0000-0000C6680000}"/>
    <cellStyle name="Normal 2 3 2 29 11" xfId="26830" xr:uid="{00000000-0005-0000-0000-0000C7680000}"/>
    <cellStyle name="Normal 2 3 2 29 12" xfId="26831" xr:uid="{00000000-0005-0000-0000-0000C8680000}"/>
    <cellStyle name="Normal 2 3 2 29 13" xfId="26832" xr:uid="{00000000-0005-0000-0000-0000C9680000}"/>
    <cellStyle name="Normal 2 3 2 29 14" xfId="26833" xr:uid="{00000000-0005-0000-0000-0000CA680000}"/>
    <cellStyle name="Normal 2 3 2 29 2" xfId="26834" xr:uid="{00000000-0005-0000-0000-0000CB680000}"/>
    <cellStyle name="Normal 2 3 2 29 2 10" xfId="26835" xr:uid="{00000000-0005-0000-0000-0000CC680000}"/>
    <cellStyle name="Normal 2 3 2 29 2 2" xfId="26836" xr:uid="{00000000-0005-0000-0000-0000CD680000}"/>
    <cellStyle name="Normal 2 3 2 29 2 3" xfId="26837" xr:uid="{00000000-0005-0000-0000-0000CE680000}"/>
    <cellStyle name="Normal 2 3 2 29 2 4" xfId="26838" xr:uid="{00000000-0005-0000-0000-0000CF680000}"/>
    <cellStyle name="Normal 2 3 2 29 2 5" xfId="26839" xr:uid="{00000000-0005-0000-0000-0000D0680000}"/>
    <cellStyle name="Normal 2 3 2 29 2 6" xfId="26840" xr:uid="{00000000-0005-0000-0000-0000D1680000}"/>
    <cellStyle name="Normal 2 3 2 29 2 7" xfId="26841" xr:uid="{00000000-0005-0000-0000-0000D2680000}"/>
    <cellStyle name="Normal 2 3 2 29 2 8" xfId="26842" xr:uid="{00000000-0005-0000-0000-0000D3680000}"/>
    <cellStyle name="Normal 2 3 2 29 2 9" xfId="26843" xr:uid="{00000000-0005-0000-0000-0000D4680000}"/>
    <cellStyle name="Normal 2 3 2 29 3" xfId="26844" xr:uid="{00000000-0005-0000-0000-0000D5680000}"/>
    <cellStyle name="Normal 2 3 2 29 3 10" xfId="26845" xr:uid="{00000000-0005-0000-0000-0000D6680000}"/>
    <cellStyle name="Normal 2 3 2 29 3 2" xfId="26846" xr:uid="{00000000-0005-0000-0000-0000D7680000}"/>
    <cellStyle name="Normal 2 3 2 29 3 3" xfId="26847" xr:uid="{00000000-0005-0000-0000-0000D8680000}"/>
    <cellStyle name="Normal 2 3 2 29 3 4" xfId="26848" xr:uid="{00000000-0005-0000-0000-0000D9680000}"/>
    <cellStyle name="Normal 2 3 2 29 3 5" xfId="26849" xr:uid="{00000000-0005-0000-0000-0000DA680000}"/>
    <cellStyle name="Normal 2 3 2 29 3 6" xfId="26850" xr:uid="{00000000-0005-0000-0000-0000DB680000}"/>
    <cellStyle name="Normal 2 3 2 29 3 7" xfId="26851" xr:uid="{00000000-0005-0000-0000-0000DC680000}"/>
    <cellStyle name="Normal 2 3 2 29 3 8" xfId="26852" xr:uid="{00000000-0005-0000-0000-0000DD680000}"/>
    <cellStyle name="Normal 2 3 2 29 3 9" xfId="26853" xr:uid="{00000000-0005-0000-0000-0000DE680000}"/>
    <cellStyle name="Normal 2 3 2 29 4" xfId="26854" xr:uid="{00000000-0005-0000-0000-0000DF680000}"/>
    <cellStyle name="Normal 2 3 2 29 4 10" xfId="26855" xr:uid="{00000000-0005-0000-0000-0000E0680000}"/>
    <cellStyle name="Normal 2 3 2 29 4 2" xfId="26856" xr:uid="{00000000-0005-0000-0000-0000E1680000}"/>
    <cellStyle name="Normal 2 3 2 29 4 3" xfId="26857" xr:uid="{00000000-0005-0000-0000-0000E2680000}"/>
    <cellStyle name="Normal 2 3 2 29 4 4" xfId="26858" xr:uid="{00000000-0005-0000-0000-0000E3680000}"/>
    <cellStyle name="Normal 2 3 2 29 4 5" xfId="26859" xr:uid="{00000000-0005-0000-0000-0000E4680000}"/>
    <cellStyle name="Normal 2 3 2 29 4 6" xfId="26860" xr:uid="{00000000-0005-0000-0000-0000E5680000}"/>
    <cellStyle name="Normal 2 3 2 29 4 7" xfId="26861" xr:uid="{00000000-0005-0000-0000-0000E6680000}"/>
    <cellStyle name="Normal 2 3 2 29 4 8" xfId="26862" xr:uid="{00000000-0005-0000-0000-0000E7680000}"/>
    <cellStyle name="Normal 2 3 2 29 4 9" xfId="26863" xr:uid="{00000000-0005-0000-0000-0000E8680000}"/>
    <cellStyle name="Normal 2 3 2 29 5" xfId="26864" xr:uid="{00000000-0005-0000-0000-0000E9680000}"/>
    <cellStyle name="Normal 2 3 2 29 5 10" xfId="26865" xr:uid="{00000000-0005-0000-0000-0000EA680000}"/>
    <cellStyle name="Normal 2 3 2 29 5 2" xfId="26866" xr:uid="{00000000-0005-0000-0000-0000EB680000}"/>
    <cellStyle name="Normal 2 3 2 29 5 3" xfId="26867" xr:uid="{00000000-0005-0000-0000-0000EC680000}"/>
    <cellStyle name="Normal 2 3 2 29 5 4" xfId="26868" xr:uid="{00000000-0005-0000-0000-0000ED680000}"/>
    <cellStyle name="Normal 2 3 2 29 5 5" xfId="26869" xr:uid="{00000000-0005-0000-0000-0000EE680000}"/>
    <cellStyle name="Normal 2 3 2 29 5 6" xfId="26870" xr:uid="{00000000-0005-0000-0000-0000EF680000}"/>
    <cellStyle name="Normal 2 3 2 29 5 7" xfId="26871" xr:uid="{00000000-0005-0000-0000-0000F0680000}"/>
    <cellStyle name="Normal 2 3 2 29 5 8" xfId="26872" xr:uid="{00000000-0005-0000-0000-0000F1680000}"/>
    <cellStyle name="Normal 2 3 2 29 5 9" xfId="26873" xr:uid="{00000000-0005-0000-0000-0000F2680000}"/>
    <cellStyle name="Normal 2 3 2 29 6" xfId="26874" xr:uid="{00000000-0005-0000-0000-0000F3680000}"/>
    <cellStyle name="Normal 2 3 2 29 7" xfId="26875" xr:uid="{00000000-0005-0000-0000-0000F4680000}"/>
    <cellStyle name="Normal 2 3 2 29 8" xfId="26876" xr:uid="{00000000-0005-0000-0000-0000F5680000}"/>
    <cellStyle name="Normal 2 3 2 29 9" xfId="26877" xr:uid="{00000000-0005-0000-0000-0000F6680000}"/>
    <cellStyle name="Normal 2 3 2 3" xfId="26878" xr:uid="{00000000-0005-0000-0000-0000F7680000}"/>
    <cellStyle name="Normal 2 3 2 3 10" xfId="26879" xr:uid="{00000000-0005-0000-0000-0000F8680000}"/>
    <cellStyle name="Normal 2 3 2 3 11" xfId="26880" xr:uid="{00000000-0005-0000-0000-0000F9680000}"/>
    <cellStyle name="Normal 2 3 2 3 12" xfId="26881" xr:uid="{00000000-0005-0000-0000-0000FA680000}"/>
    <cellStyle name="Normal 2 3 2 3 13" xfId="26882" xr:uid="{00000000-0005-0000-0000-0000FB680000}"/>
    <cellStyle name="Normal 2 3 2 3 14" xfId="26883" xr:uid="{00000000-0005-0000-0000-0000FC680000}"/>
    <cellStyle name="Normal 2 3 2 3 15" xfId="26884" xr:uid="{00000000-0005-0000-0000-0000FD680000}"/>
    <cellStyle name="Normal 2 3 2 3 16" xfId="26885" xr:uid="{00000000-0005-0000-0000-0000FE680000}"/>
    <cellStyle name="Normal 2 3 2 3 2" xfId="26886" xr:uid="{00000000-0005-0000-0000-0000FF680000}"/>
    <cellStyle name="Normal 2 3 2 3 2 10" xfId="26887" xr:uid="{00000000-0005-0000-0000-000000690000}"/>
    <cellStyle name="Normal 2 3 2 3 2 2" xfId="26888" xr:uid="{00000000-0005-0000-0000-000001690000}"/>
    <cellStyle name="Normal 2 3 2 3 2 3" xfId="26889" xr:uid="{00000000-0005-0000-0000-000002690000}"/>
    <cellStyle name="Normal 2 3 2 3 2 4" xfId="26890" xr:uid="{00000000-0005-0000-0000-000003690000}"/>
    <cellStyle name="Normal 2 3 2 3 2 5" xfId="26891" xr:uid="{00000000-0005-0000-0000-000004690000}"/>
    <cellStyle name="Normal 2 3 2 3 2 6" xfId="26892" xr:uid="{00000000-0005-0000-0000-000005690000}"/>
    <cellStyle name="Normal 2 3 2 3 2 7" xfId="26893" xr:uid="{00000000-0005-0000-0000-000006690000}"/>
    <cellStyle name="Normal 2 3 2 3 2 8" xfId="26894" xr:uid="{00000000-0005-0000-0000-000007690000}"/>
    <cellStyle name="Normal 2 3 2 3 2 9" xfId="26895" xr:uid="{00000000-0005-0000-0000-000008690000}"/>
    <cellStyle name="Normal 2 3 2 3 3" xfId="26896" xr:uid="{00000000-0005-0000-0000-000009690000}"/>
    <cellStyle name="Normal 2 3 2 3 3 10" xfId="26897" xr:uid="{00000000-0005-0000-0000-00000A690000}"/>
    <cellStyle name="Normal 2 3 2 3 3 2" xfId="26898" xr:uid="{00000000-0005-0000-0000-00000B690000}"/>
    <cellStyle name="Normal 2 3 2 3 3 3" xfId="26899" xr:uid="{00000000-0005-0000-0000-00000C690000}"/>
    <cellStyle name="Normal 2 3 2 3 3 4" xfId="26900" xr:uid="{00000000-0005-0000-0000-00000D690000}"/>
    <cellStyle name="Normal 2 3 2 3 3 5" xfId="26901" xr:uid="{00000000-0005-0000-0000-00000E690000}"/>
    <cellStyle name="Normal 2 3 2 3 3 6" xfId="26902" xr:uid="{00000000-0005-0000-0000-00000F690000}"/>
    <cellStyle name="Normal 2 3 2 3 3 7" xfId="26903" xr:uid="{00000000-0005-0000-0000-000010690000}"/>
    <cellStyle name="Normal 2 3 2 3 3 8" xfId="26904" xr:uid="{00000000-0005-0000-0000-000011690000}"/>
    <cellStyle name="Normal 2 3 2 3 3 9" xfId="26905" xr:uid="{00000000-0005-0000-0000-000012690000}"/>
    <cellStyle name="Normal 2 3 2 3 4" xfId="26906" xr:uid="{00000000-0005-0000-0000-000013690000}"/>
    <cellStyle name="Normal 2 3 2 3 4 10" xfId="26907" xr:uid="{00000000-0005-0000-0000-000014690000}"/>
    <cellStyle name="Normal 2 3 2 3 4 2" xfId="26908" xr:uid="{00000000-0005-0000-0000-000015690000}"/>
    <cellStyle name="Normal 2 3 2 3 4 3" xfId="26909" xr:uid="{00000000-0005-0000-0000-000016690000}"/>
    <cellStyle name="Normal 2 3 2 3 4 4" xfId="26910" xr:uid="{00000000-0005-0000-0000-000017690000}"/>
    <cellStyle name="Normal 2 3 2 3 4 5" xfId="26911" xr:uid="{00000000-0005-0000-0000-000018690000}"/>
    <cellStyle name="Normal 2 3 2 3 4 6" xfId="26912" xr:uid="{00000000-0005-0000-0000-000019690000}"/>
    <cellStyle name="Normal 2 3 2 3 4 7" xfId="26913" xr:uid="{00000000-0005-0000-0000-00001A690000}"/>
    <cellStyle name="Normal 2 3 2 3 4 8" xfId="26914" xr:uid="{00000000-0005-0000-0000-00001B690000}"/>
    <cellStyle name="Normal 2 3 2 3 4 9" xfId="26915" xr:uid="{00000000-0005-0000-0000-00001C690000}"/>
    <cellStyle name="Normal 2 3 2 3 5" xfId="26916" xr:uid="{00000000-0005-0000-0000-00001D690000}"/>
    <cellStyle name="Normal 2 3 2 3 5 10" xfId="26917" xr:uid="{00000000-0005-0000-0000-00001E690000}"/>
    <cellStyle name="Normal 2 3 2 3 5 2" xfId="26918" xr:uid="{00000000-0005-0000-0000-00001F690000}"/>
    <cellStyle name="Normal 2 3 2 3 5 3" xfId="26919" xr:uid="{00000000-0005-0000-0000-000020690000}"/>
    <cellStyle name="Normal 2 3 2 3 5 4" xfId="26920" xr:uid="{00000000-0005-0000-0000-000021690000}"/>
    <cellStyle name="Normal 2 3 2 3 5 5" xfId="26921" xr:uid="{00000000-0005-0000-0000-000022690000}"/>
    <cellStyle name="Normal 2 3 2 3 5 6" xfId="26922" xr:uid="{00000000-0005-0000-0000-000023690000}"/>
    <cellStyle name="Normal 2 3 2 3 5 7" xfId="26923" xr:uid="{00000000-0005-0000-0000-000024690000}"/>
    <cellStyle name="Normal 2 3 2 3 5 8" xfId="26924" xr:uid="{00000000-0005-0000-0000-000025690000}"/>
    <cellStyle name="Normal 2 3 2 3 5 9" xfId="26925" xr:uid="{00000000-0005-0000-0000-000026690000}"/>
    <cellStyle name="Normal 2 3 2 3 6" xfId="26926" xr:uid="{00000000-0005-0000-0000-000027690000}"/>
    <cellStyle name="Normal 2 3 2 3 7" xfId="26927" xr:uid="{00000000-0005-0000-0000-000028690000}"/>
    <cellStyle name="Normal 2 3 2 3 8" xfId="26928" xr:uid="{00000000-0005-0000-0000-000029690000}"/>
    <cellStyle name="Normal 2 3 2 3 9" xfId="26929" xr:uid="{00000000-0005-0000-0000-00002A690000}"/>
    <cellStyle name="Normal 2 3 2 30" xfId="26930" xr:uid="{00000000-0005-0000-0000-00002B690000}"/>
    <cellStyle name="Normal 2 3 2 30 10" xfId="26931" xr:uid="{00000000-0005-0000-0000-00002C690000}"/>
    <cellStyle name="Normal 2 3 2 30 11" xfId="26932" xr:uid="{00000000-0005-0000-0000-00002D690000}"/>
    <cellStyle name="Normal 2 3 2 30 12" xfId="26933" xr:uid="{00000000-0005-0000-0000-00002E690000}"/>
    <cellStyle name="Normal 2 3 2 30 13" xfId="26934" xr:uid="{00000000-0005-0000-0000-00002F690000}"/>
    <cellStyle name="Normal 2 3 2 30 14" xfId="26935" xr:uid="{00000000-0005-0000-0000-000030690000}"/>
    <cellStyle name="Normal 2 3 2 30 2" xfId="26936" xr:uid="{00000000-0005-0000-0000-000031690000}"/>
    <cellStyle name="Normal 2 3 2 30 2 10" xfId="26937" xr:uid="{00000000-0005-0000-0000-000032690000}"/>
    <cellStyle name="Normal 2 3 2 30 2 2" xfId="26938" xr:uid="{00000000-0005-0000-0000-000033690000}"/>
    <cellStyle name="Normal 2 3 2 30 2 3" xfId="26939" xr:uid="{00000000-0005-0000-0000-000034690000}"/>
    <cellStyle name="Normal 2 3 2 30 2 4" xfId="26940" xr:uid="{00000000-0005-0000-0000-000035690000}"/>
    <cellStyle name="Normal 2 3 2 30 2 5" xfId="26941" xr:uid="{00000000-0005-0000-0000-000036690000}"/>
    <cellStyle name="Normal 2 3 2 30 2 6" xfId="26942" xr:uid="{00000000-0005-0000-0000-000037690000}"/>
    <cellStyle name="Normal 2 3 2 30 2 7" xfId="26943" xr:uid="{00000000-0005-0000-0000-000038690000}"/>
    <cellStyle name="Normal 2 3 2 30 2 8" xfId="26944" xr:uid="{00000000-0005-0000-0000-000039690000}"/>
    <cellStyle name="Normal 2 3 2 30 2 9" xfId="26945" xr:uid="{00000000-0005-0000-0000-00003A690000}"/>
    <cellStyle name="Normal 2 3 2 30 3" xfId="26946" xr:uid="{00000000-0005-0000-0000-00003B690000}"/>
    <cellStyle name="Normal 2 3 2 30 3 10" xfId="26947" xr:uid="{00000000-0005-0000-0000-00003C690000}"/>
    <cellStyle name="Normal 2 3 2 30 3 2" xfId="26948" xr:uid="{00000000-0005-0000-0000-00003D690000}"/>
    <cellStyle name="Normal 2 3 2 30 3 3" xfId="26949" xr:uid="{00000000-0005-0000-0000-00003E690000}"/>
    <cellStyle name="Normal 2 3 2 30 3 4" xfId="26950" xr:uid="{00000000-0005-0000-0000-00003F690000}"/>
    <cellStyle name="Normal 2 3 2 30 3 5" xfId="26951" xr:uid="{00000000-0005-0000-0000-000040690000}"/>
    <cellStyle name="Normal 2 3 2 30 3 6" xfId="26952" xr:uid="{00000000-0005-0000-0000-000041690000}"/>
    <cellStyle name="Normal 2 3 2 30 3 7" xfId="26953" xr:uid="{00000000-0005-0000-0000-000042690000}"/>
    <cellStyle name="Normal 2 3 2 30 3 8" xfId="26954" xr:uid="{00000000-0005-0000-0000-000043690000}"/>
    <cellStyle name="Normal 2 3 2 30 3 9" xfId="26955" xr:uid="{00000000-0005-0000-0000-000044690000}"/>
    <cellStyle name="Normal 2 3 2 30 4" xfId="26956" xr:uid="{00000000-0005-0000-0000-000045690000}"/>
    <cellStyle name="Normal 2 3 2 30 4 10" xfId="26957" xr:uid="{00000000-0005-0000-0000-000046690000}"/>
    <cellStyle name="Normal 2 3 2 30 4 2" xfId="26958" xr:uid="{00000000-0005-0000-0000-000047690000}"/>
    <cellStyle name="Normal 2 3 2 30 4 3" xfId="26959" xr:uid="{00000000-0005-0000-0000-000048690000}"/>
    <cellStyle name="Normal 2 3 2 30 4 4" xfId="26960" xr:uid="{00000000-0005-0000-0000-000049690000}"/>
    <cellStyle name="Normal 2 3 2 30 4 5" xfId="26961" xr:uid="{00000000-0005-0000-0000-00004A690000}"/>
    <cellStyle name="Normal 2 3 2 30 4 6" xfId="26962" xr:uid="{00000000-0005-0000-0000-00004B690000}"/>
    <cellStyle name="Normal 2 3 2 30 4 7" xfId="26963" xr:uid="{00000000-0005-0000-0000-00004C690000}"/>
    <cellStyle name="Normal 2 3 2 30 4 8" xfId="26964" xr:uid="{00000000-0005-0000-0000-00004D690000}"/>
    <cellStyle name="Normal 2 3 2 30 4 9" xfId="26965" xr:uid="{00000000-0005-0000-0000-00004E690000}"/>
    <cellStyle name="Normal 2 3 2 30 5" xfId="26966" xr:uid="{00000000-0005-0000-0000-00004F690000}"/>
    <cellStyle name="Normal 2 3 2 30 5 10" xfId="26967" xr:uid="{00000000-0005-0000-0000-000050690000}"/>
    <cellStyle name="Normal 2 3 2 30 5 2" xfId="26968" xr:uid="{00000000-0005-0000-0000-000051690000}"/>
    <cellStyle name="Normal 2 3 2 30 5 3" xfId="26969" xr:uid="{00000000-0005-0000-0000-000052690000}"/>
    <cellStyle name="Normal 2 3 2 30 5 4" xfId="26970" xr:uid="{00000000-0005-0000-0000-000053690000}"/>
    <cellStyle name="Normal 2 3 2 30 5 5" xfId="26971" xr:uid="{00000000-0005-0000-0000-000054690000}"/>
    <cellStyle name="Normal 2 3 2 30 5 6" xfId="26972" xr:uid="{00000000-0005-0000-0000-000055690000}"/>
    <cellStyle name="Normal 2 3 2 30 5 7" xfId="26973" xr:uid="{00000000-0005-0000-0000-000056690000}"/>
    <cellStyle name="Normal 2 3 2 30 5 8" xfId="26974" xr:uid="{00000000-0005-0000-0000-000057690000}"/>
    <cellStyle name="Normal 2 3 2 30 5 9" xfId="26975" xr:uid="{00000000-0005-0000-0000-000058690000}"/>
    <cellStyle name="Normal 2 3 2 30 6" xfId="26976" xr:uid="{00000000-0005-0000-0000-000059690000}"/>
    <cellStyle name="Normal 2 3 2 30 7" xfId="26977" xr:uid="{00000000-0005-0000-0000-00005A690000}"/>
    <cellStyle name="Normal 2 3 2 30 8" xfId="26978" xr:uid="{00000000-0005-0000-0000-00005B690000}"/>
    <cellStyle name="Normal 2 3 2 30 9" xfId="26979" xr:uid="{00000000-0005-0000-0000-00005C690000}"/>
    <cellStyle name="Normal 2 3 2 31" xfId="26980" xr:uid="{00000000-0005-0000-0000-00005D690000}"/>
    <cellStyle name="Normal 2 3 2 31 10" xfId="26981" xr:uid="{00000000-0005-0000-0000-00005E690000}"/>
    <cellStyle name="Normal 2 3 2 31 11" xfId="26982" xr:uid="{00000000-0005-0000-0000-00005F690000}"/>
    <cellStyle name="Normal 2 3 2 31 12" xfId="26983" xr:uid="{00000000-0005-0000-0000-000060690000}"/>
    <cellStyle name="Normal 2 3 2 31 13" xfId="26984" xr:uid="{00000000-0005-0000-0000-000061690000}"/>
    <cellStyle name="Normal 2 3 2 31 14" xfId="26985" xr:uid="{00000000-0005-0000-0000-000062690000}"/>
    <cellStyle name="Normal 2 3 2 31 2" xfId="26986" xr:uid="{00000000-0005-0000-0000-000063690000}"/>
    <cellStyle name="Normal 2 3 2 31 2 10" xfId="26987" xr:uid="{00000000-0005-0000-0000-000064690000}"/>
    <cellStyle name="Normal 2 3 2 31 2 2" xfId="26988" xr:uid="{00000000-0005-0000-0000-000065690000}"/>
    <cellStyle name="Normal 2 3 2 31 2 3" xfId="26989" xr:uid="{00000000-0005-0000-0000-000066690000}"/>
    <cellStyle name="Normal 2 3 2 31 2 4" xfId="26990" xr:uid="{00000000-0005-0000-0000-000067690000}"/>
    <cellStyle name="Normal 2 3 2 31 2 5" xfId="26991" xr:uid="{00000000-0005-0000-0000-000068690000}"/>
    <cellStyle name="Normal 2 3 2 31 2 6" xfId="26992" xr:uid="{00000000-0005-0000-0000-000069690000}"/>
    <cellStyle name="Normal 2 3 2 31 2 7" xfId="26993" xr:uid="{00000000-0005-0000-0000-00006A690000}"/>
    <cellStyle name="Normal 2 3 2 31 2 8" xfId="26994" xr:uid="{00000000-0005-0000-0000-00006B690000}"/>
    <cellStyle name="Normal 2 3 2 31 2 9" xfId="26995" xr:uid="{00000000-0005-0000-0000-00006C690000}"/>
    <cellStyle name="Normal 2 3 2 31 3" xfId="26996" xr:uid="{00000000-0005-0000-0000-00006D690000}"/>
    <cellStyle name="Normal 2 3 2 31 3 10" xfId="26997" xr:uid="{00000000-0005-0000-0000-00006E690000}"/>
    <cellStyle name="Normal 2 3 2 31 3 2" xfId="26998" xr:uid="{00000000-0005-0000-0000-00006F690000}"/>
    <cellStyle name="Normal 2 3 2 31 3 3" xfId="26999" xr:uid="{00000000-0005-0000-0000-000070690000}"/>
    <cellStyle name="Normal 2 3 2 31 3 4" xfId="27000" xr:uid="{00000000-0005-0000-0000-000071690000}"/>
    <cellStyle name="Normal 2 3 2 31 3 5" xfId="27001" xr:uid="{00000000-0005-0000-0000-000072690000}"/>
    <cellStyle name="Normal 2 3 2 31 3 6" xfId="27002" xr:uid="{00000000-0005-0000-0000-000073690000}"/>
    <cellStyle name="Normal 2 3 2 31 3 7" xfId="27003" xr:uid="{00000000-0005-0000-0000-000074690000}"/>
    <cellStyle name="Normal 2 3 2 31 3 8" xfId="27004" xr:uid="{00000000-0005-0000-0000-000075690000}"/>
    <cellStyle name="Normal 2 3 2 31 3 9" xfId="27005" xr:uid="{00000000-0005-0000-0000-000076690000}"/>
    <cellStyle name="Normal 2 3 2 31 4" xfId="27006" xr:uid="{00000000-0005-0000-0000-000077690000}"/>
    <cellStyle name="Normal 2 3 2 31 4 10" xfId="27007" xr:uid="{00000000-0005-0000-0000-000078690000}"/>
    <cellStyle name="Normal 2 3 2 31 4 2" xfId="27008" xr:uid="{00000000-0005-0000-0000-000079690000}"/>
    <cellStyle name="Normal 2 3 2 31 4 3" xfId="27009" xr:uid="{00000000-0005-0000-0000-00007A690000}"/>
    <cellStyle name="Normal 2 3 2 31 4 4" xfId="27010" xr:uid="{00000000-0005-0000-0000-00007B690000}"/>
    <cellStyle name="Normal 2 3 2 31 4 5" xfId="27011" xr:uid="{00000000-0005-0000-0000-00007C690000}"/>
    <cellStyle name="Normal 2 3 2 31 4 6" xfId="27012" xr:uid="{00000000-0005-0000-0000-00007D690000}"/>
    <cellStyle name="Normal 2 3 2 31 4 7" xfId="27013" xr:uid="{00000000-0005-0000-0000-00007E690000}"/>
    <cellStyle name="Normal 2 3 2 31 4 8" xfId="27014" xr:uid="{00000000-0005-0000-0000-00007F690000}"/>
    <cellStyle name="Normal 2 3 2 31 4 9" xfId="27015" xr:uid="{00000000-0005-0000-0000-000080690000}"/>
    <cellStyle name="Normal 2 3 2 31 5" xfId="27016" xr:uid="{00000000-0005-0000-0000-000081690000}"/>
    <cellStyle name="Normal 2 3 2 31 5 10" xfId="27017" xr:uid="{00000000-0005-0000-0000-000082690000}"/>
    <cellStyle name="Normal 2 3 2 31 5 2" xfId="27018" xr:uid="{00000000-0005-0000-0000-000083690000}"/>
    <cellStyle name="Normal 2 3 2 31 5 3" xfId="27019" xr:uid="{00000000-0005-0000-0000-000084690000}"/>
    <cellStyle name="Normal 2 3 2 31 5 4" xfId="27020" xr:uid="{00000000-0005-0000-0000-000085690000}"/>
    <cellStyle name="Normal 2 3 2 31 5 5" xfId="27021" xr:uid="{00000000-0005-0000-0000-000086690000}"/>
    <cellStyle name="Normal 2 3 2 31 5 6" xfId="27022" xr:uid="{00000000-0005-0000-0000-000087690000}"/>
    <cellStyle name="Normal 2 3 2 31 5 7" xfId="27023" xr:uid="{00000000-0005-0000-0000-000088690000}"/>
    <cellStyle name="Normal 2 3 2 31 5 8" xfId="27024" xr:uid="{00000000-0005-0000-0000-000089690000}"/>
    <cellStyle name="Normal 2 3 2 31 5 9" xfId="27025" xr:uid="{00000000-0005-0000-0000-00008A690000}"/>
    <cellStyle name="Normal 2 3 2 31 6" xfId="27026" xr:uid="{00000000-0005-0000-0000-00008B690000}"/>
    <cellStyle name="Normal 2 3 2 31 7" xfId="27027" xr:uid="{00000000-0005-0000-0000-00008C690000}"/>
    <cellStyle name="Normal 2 3 2 31 8" xfId="27028" xr:uid="{00000000-0005-0000-0000-00008D690000}"/>
    <cellStyle name="Normal 2 3 2 31 9" xfId="27029" xr:uid="{00000000-0005-0000-0000-00008E690000}"/>
    <cellStyle name="Normal 2 3 2 32" xfId="27030" xr:uid="{00000000-0005-0000-0000-00008F690000}"/>
    <cellStyle name="Normal 2 3 2 32 10" xfId="27031" xr:uid="{00000000-0005-0000-0000-000090690000}"/>
    <cellStyle name="Normal 2 3 2 32 11" xfId="27032" xr:uid="{00000000-0005-0000-0000-000091690000}"/>
    <cellStyle name="Normal 2 3 2 32 12" xfId="27033" xr:uid="{00000000-0005-0000-0000-000092690000}"/>
    <cellStyle name="Normal 2 3 2 32 13" xfId="27034" xr:uid="{00000000-0005-0000-0000-000093690000}"/>
    <cellStyle name="Normal 2 3 2 32 14" xfId="27035" xr:uid="{00000000-0005-0000-0000-000094690000}"/>
    <cellStyle name="Normal 2 3 2 32 2" xfId="27036" xr:uid="{00000000-0005-0000-0000-000095690000}"/>
    <cellStyle name="Normal 2 3 2 32 2 10" xfId="27037" xr:uid="{00000000-0005-0000-0000-000096690000}"/>
    <cellStyle name="Normal 2 3 2 32 2 2" xfId="27038" xr:uid="{00000000-0005-0000-0000-000097690000}"/>
    <cellStyle name="Normal 2 3 2 32 2 3" xfId="27039" xr:uid="{00000000-0005-0000-0000-000098690000}"/>
    <cellStyle name="Normal 2 3 2 32 2 4" xfId="27040" xr:uid="{00000000-0005-0000-0000-000099690000}"/>
    <cellStyle name="Normal 2 3 2 32 2 5" xfId="27041" xr:uid="{00000000-0005-0000-0000-00009A690000}"/>
    <cellStyle name="Normal 2 3 2 32 2 6" xfId="27042" xr:uid="{00000000-0005-0000-0000-00009B690000}"/>
    <cellStyle name="Normal 2 3 2 32 2 7" xfId="27043" xr:uid="{00000000-0005-0000-0000-00009C690000}"/>
    <cellStyle name="Normal 2 3 2 32 2 8" xfId="27044" xr:uid="{00000000-0005-0000-0000-00009D690000}"/>
    <cellStyle name="Normal 2 3 2 32 2 9" xfId="27045" xr:uid="{00000000-0005-0000-0000-00009E690000}"/>
    <cellStyle name="Normal 2 3 2 32 3" xfId="27046" xr:uid="{00000000-0005-0000-0000-00009F690000}"/>
    <cellStyle name="Normal 2 3 2 32 3 10" xfId="27047" xr:uid="{00000000-0005-0000-0000-0000A0690000}"/>
    <cellStyle name="Normal 2 3 2 32 3 2" xfId="27048" xr:uid="{00000000-0005-0000-0000-0000A1690000}"/>
    <cellStyle name="Normal 2 3 2 32 3 3" xfId="27049" xr:uid="{00000000-0005-0000-0000-0000A2690000}"/>
    <cellStyle name="Normal 2 3 2 32 3 4" xfId="27050" xr:uid="{00000000-0005-0000-0000-0000A3690000}"/>
    <cellStyle name="Normal 2 3 2 32 3 5" xfId="27051" xr:uid="{00000000-0005-0000-0000-0000A4690000}"/>
    <cellStyle name="Normal 2 3 2 32 3 6" xfId="27052" xr:uid="{00000000-0005-0000-0000-0000A5690000}"/>
    <cellStyle name="Normal 2 3 2 32 3 7" xfId="27053" xr:uid="{00000000-0005-0000-0000-0000A6690000}"/>
    <cellStyle name="Normal 2 3 2 32 3 8" xfId="27054" xr:uid="{00000000-0005-0000-0000-0000A7690000}"/>
    <cellStyle name="Normal 2 3 2 32 3 9" xfId="27055" xr:uid="{00000000-0005-0000-0000-0000A8690000}"/>
    <cellStyle name="Normal 2 3 2 32 4" xfId="27056" xr:uid="{00000000-0005-0000-0000-0000A9690000}"/>
    <cellStyle name="Normal 2 3 2 32 4 10" xfId="27057" xr:uid="{00000000-0005-0000-0000-0000AA690000}"/>
    <cellStyle name="Normal 2 3 2 32 4 2" xfId="27058" xr:uid="{00000000-0005-0000-0000-0000AB690000}"/>
    <cellStyle name="Normal 2 3 2 32 4 3" xfId="27059" xr:uid="{00000000-0005-0000-0000-0000AC690000}"/>
    <cellStyle name="Normal 2 3 2 32 4 4" xfId="27060" xr:uid="{00000000-0005-0000-0000-0000AD690000}"/>
    <cellStyle name="Normal 2 3 2 32 4 5" xfId="27061" xr:uid="{00000000-0005-0000-0000-0000AE690000}"/>
    <cellStyle name="Normal 2 3 2 32 4 6" xfId="27062" xr:uid="{00000000-0005-0000-0000-0000AF690000}"/>
    <cellStyle name="Normal 2 3 2 32 4 7" xfId="27063" xr:uid="{00000000-0005-0000-0000-0000B0690000}"/>
    <cellStyle name="Normal 2 3 2 32 4 8" xfId="27064" xr:uid="{00000000-0005-0000-0000-0000B1690000}"/>
    <cellStyle name="Normal 2 3 2 32 4 9" xfId="27065" xr:uid="{00000000-0005-0000-0000-0000B2690000}"/>
    <cellStyle name="Normal 2 3 2 32 5" xfId="27066" xr:uid="{00000000-0005-0000-0000-0000B3690000}"/>
    <cellStyle name="Normal 2 3 2 32 5 10" xfId="27067" xr:uid="{00000000-0005-0000-0000-0000B4690000}"/>
    <cellStyle name="Normal 2 3 2 32 5 2" xfId="27068" xr:uid="{00000000-0005-0000-0000-0000B5690000}"/>
    <cellStyle name="Normal 2 3 2 32 5 3" xfId="27069" xr:uid="{00000000-0005-0000-0000-0000B6690000}"/>
    <cellStyle name="Normal 2 3 2 32 5 4" xfId="27070" xr:uid="{00000000-0005-0000-0000-0000B7690000}"/>
    <cellStyle name="Normal 2 3 2 32 5 5" xfId="27071" xr:uid="{00000000-0005-0000-0000-0000B8690000}"/>
    <cellStyle name="Normal 2 3 2 32 5 6" xfId="27072" xr:uid="{00000000-0005-0000-0000-0000B9690000}"/>
    <cellStyle name="Normal 2 3 2 32 5 7" xfId="27073" xr:uid="{00000000-0005-0000-0000-0000BA690000}"/>
    <cellStyle name="Normal 2 3 2 32 5 8" xfId="27074" xr:uid="{00000000-0005-0000-0000-0000BB690000}"/>
    <cellStyle name="Normal 2 3 2 32 5 9" xfId="27075" xr:uid="{00000000-0005-0000-0000-0000BC690000}"/>
    <cellStyle name="Normal 2 3 2 32 6" xfId="27076" xr:uid="{00000000-0005-0000-0000-0000BD690000}"/>
    <cellStyle name="Normal 2 3 2 32 7" xfId="27077" xr:uid="{00000000-0005-0000-0000-0000BE690000}"/>
    <cellStyle name="Normal 2 3 2 32 8" xfId="27078" xr:uid="{00000000-0005-0000-0000-0000BF690000}"/>
    <cellStyle name="Normal 2 3 2 32 9" xfId="27079" xr:uid="{00000000-0005-0000-0000-0000C0690000}"/>
    <cellStyle name="Normal 2 3 2 33" xfId="27080" xr:uid="{00000000-0005-0000-0000-0000C1690000}"/>
    <cellStyle name="Normal 2 3 2 33 10" xfId="27081" xr:uid="{00000000-0005-0000-0000-0000C2690000}"/>
    <cellStyle name="Normal 2 3 2 33 11" xfId="27082" xr:uid="{00000000-0005-0000-0000-0000C3690000}"/>
    <cellStyle name="Normal 2 3 2 33 12" xfId="27083" xr:uid="{00000000-0005-0000-0000-0000C4690000}"/>
    <cellStyle name="Normal 2 3 2 33 13" xfId="27084" xr:uid="{00000000-0005-0000-0000-0000C5690000}"/>
    <cellStyle name="Normal 2 3 2 33 14" xfId="27085" xr:uid="{00000000-0005-0000-0000-0000C6690000}"/>
    <cellStyle name="Normal 2 3 2 33 2" xfId="27086" xr:uid="{00000000-0005-0000-0000-0000C7690000}"/>
    <cellStyle name="Normal 2 3 2 33 2 10" xfId="27087" xr:uid="{00000000-0005-0000-0000-0000C8690000}"/>
    <cellStyle name="Normal 2 3 2 33 2 2" xfId="27088" xr:uid="{00000000-0005-0000-0000-0000C9690000}"/>
    <cellStyle name="Normal 2 3 2 33 2 3" xfId="27089" xr:uid="{00000000-0005-0000-0000-0000CA690000}"/>
    <cellStyle name="Normal 2 3 2 33 2 4" xfId="27090" xr:uid="{00000000-0005-0000-0000-0000CB690000}"/>
    <cellStyle name="Normal 2 3 2 33 2 5" xfId="27091" xr:uid="{00000000-0005-0000-0000-0000CC690000}"/>
    <cellStyle name="Normal 2 3 2 33 2 6" xfId="27092" xr:uid="{00000000-0005-0000-0000-0000CD690000}"/>
    <cellStyle name="Normal 2 3 2 33 2 7" xfId="27093" xr:uid="{00000000-0005-0000-0000-0000CE690000}"/>
    <cellStyle name="Normal 2 3 2 33 2 8" xfId="27094" xr:uid="{00000000-0005-0000-0000-0000CF690000}"/>
    <cellStyle name="Normal 2 3 2 33 2 9" xfId="27095" xr:uid="{00000000-0005-0000-0000-0000D0690000}"/>
    <cellStyle name="Normal 2 3 2 33 3" xfId="27096" xr:uid="{00000000-0005-0000-0000-0000D1690000}"/>
    <cellStyle name="Normal 2 3 2 33 3 10" xfId="27097" xr:uid="{00000000-0005-0000-0000-0000D2690000}"/>
    <cellStyle name="Normal 2 3 2 33 3 2" xfId="27098" xr:uid="{00000000-0005-0000-0000-0000D3690000}"/>
    <cellStyle name="Normal 2 3 2 33 3 3" xfId="27099" xr:uid="{00000000-0005-0000-0000-0000D4690000}"/>
    <cellStyle name="Normal 2 3 2 33 3 4" xfId="27100" xr:uid="{00000000-0005-0000-0000-0000D5690000}"/>
    <cellStyle name="Normal 2 3 2 33 3 5" xfId="27101" xr:uid="{00000000-0005-0000-0000-0000D6690000}"/>
    <cellStyle name="Normal 2 3 2 33 3 6" xfId="27102" xr:uid="{00000000-0005-0000-0000-0000D7690000}"/>
    <cellStyle name="Normal 2 3 2 33 3 7" xfId="27103" xr:uid="{00000000-0005-0000-0000-0000D8690000}"/>
    <cellStyle name="Normal 2 3 2 33 3 8" xfId="27104" xr:uid="{00000000-0005-0000-0000-0000D9690000}"/>
    <cellStyle name="Normal 2 3 2 33 3 9" xfId="27105" xr:uid="{00000000-0005-0000-0000-0000DA690000}"/>
    <cellStyle name="Normal 2 3 2 33 4" xfId="27106" xr:uid="{00000000-0005-0000-0000-0000DB690000}"/>
    <cellStyle name="Normal 2 3 2 33 4 10" xfId="27107" xr:uid="{00000000-0005-0000-0000-0000DC690000}"/>
    <cellStyle name="Normal 2 3 2 33 4 2" xfId="27108" xr:uid="{00000000-0005-0000-0000-0000DD690000}"/>
    <cellStyle name="Normal 2 3 2 33 4 3" xfId="27109" xr:uid="{00000000-0005-0000-0000-0000DE690000}"/>
    <cellStyle name="Normal 2 3 2 33 4 4" xfId="27110" xr:uid="{00000000-0005-0000-0000-0000DF690000}"/>
    <cellStyle name="Normal 2 3 2 33 4 5" xfId="27111" xr:uid="{00000000-0005-0000-0000-0000E0690000}"/>
    <cellStyle name="Normal 2 3 2 33 4 6" xfId="27112" xr:uid="{00000000-0005-0000-0000-0000E1690000}"/>
    <cellStyle name="Normal 2 3 2 33 4 7" xfId="27113" xr:uid="{00000000-0005-0000-0000-0000E2690000}"/>
    <cellStyle name="Normal 2 3 2 33 4 8" xfId="27114" xr:uid="{00000000-0005-0000-0000-0000E3690000}"/>
    <cellStyle name="Normal 2 3 2 33 4 9" xfId="27115" xr:uid="{00000000-0005-0000-0000-0000E4690000}"/>
    <cellStyle name="Normal 2 3 2 33 5" xfId="27116" xr:uid="{00000000-0005-0000-0000-0000E5690000}"/>
    <cellStyle name="Normal 2 3 2 33 5 10" xfId="27117" xr:uid="{00000000-0005-0000-0000-0000E6690000}"/>
    <cellStyle name="Normal 2 3 2 33 5 2" xfId="27118" xr:uid="{00000000-0005-0000-0000-0000E7690000}"/>
    <cellStyle name="Normal 2 3 2 33 5 3" xfId="27119" xr:uid="{00000000-0005-0000-0000-0000E8690000}"/>
    <cellStyle name="Normal 2 3 2 33 5 4" xfId="27120" xr:uid="{00000000-0005-0000-0000-0000E9690000}"/>
    <cellStyle name="Normal 2 3 2 33 5 5" xfId="27121" xr:uid="{00000000-0005-0000-0000-0000EA690000}"/>
    <cellStyle name="Normal 2 3 2 33 5 6" xfId="27122" xr:uid="{00000000-0005-0000-0000-0000EB690000}"/>
    <cellStyle name="Normal 2 3 2 33 5 7" xfId="27123" xr:uid="{00000000-0005-0000-0000-0000EC690000}"/>
    <cellStyle name="Normal 2 3 2 33 5 8" xfId="27124" xr:uid="{00000000-0005-0000-0000-0000ED690000}"/>
    <cellStyle name="Normal 2 3 2 33 5 9" xfId="27125" xr:uid="{00000000-0005-0000-0000-0000EE690000}"/>
    <cellStyle name="Normal 2 3 2 33 6" xfId="27126" xr:uid="{00000000-0005-0000-0000-0000EF690000}"/>
    <cellStyle name="Normal 2 3 2 33 7" xfId="27127" xr:uid="{00000000-0005-0000-0000-0000F0690000}"/>
    <cellStyle name="Normal 2 3 2 33 8" xfId="27128" xr:uid="{00000000-0005-0000-0000-0000F1690000}"/>
    <cellStyle name="Normal 2 3 2 33 9" xfId="27129" xr:uid="{00000000-0005-0000-0000-0000F2690000}"/>
    <cellStyle name="Normal 2 3 2 34" xfId="27130" xr:uid="{00000000-0005-0000-0000-0000F3690000}"/>
    <cellStyle name="Normal 2 3 2 34 10" xfId="27131" xr:uid="{00000000-0005-0000-0000-0000F4690000}"/>
    <cellStyle name="Normal 2 3 2 34 2" xfId="27132" xr:uid="{00000000-0005-0000-0000-0000F5690000}"/>
    <cellStyle name="Normal 2 3 2 34 3" xfId="27133" xr:uid="{00000000-0005-0000-0000-0000F6690000}"/>
    <cellStyle name="Normal 2 3 2 34 4" xfId="27134" xr:uid="{00000000-0005-0000-0000-0000F7690000}"/>
    <cellStyle name="Normal 2 3 2 34 5" xfId="27135" xr:uid="{00000000-0005-0000-0000-0000F8690000}"/>
    <cellStyle name="Normal 2 3 2 34 6" xfId="27136" xr:uid="{00000000-0005-0000-0000-0000F9690000}"/>
    <cellStyle name="Normal 2 3 2 34 7" xfId="27137" xr:uid="{00000000-0005-0000-0000-0000FA690000}"/>
    <cellStyle name="Normal 2 3 2 34 8" xfId="27138" xr:uid="{00000000-0005-0000-0000-0000FB690000}"/>
    <cellStyle name="Normal 2 3 2 34 9" xfId="27139" xr:uid="{00000000-0005-0000-0000-0000FC690000}"/>
    <cellStyle name="Normal 2 3 2 35" xfId="27140" xr:uid="{00000000-0005-0000-0000-0000FD690000}"/>
    <cellStyle name="Normal 2 3 2 35 10" xfId="27141" xr:uid="{00000000-0005-0000-0000-0000FE690000}"/>
    <cellStyle name="Normal 2 3 2 35 2" xfId="27142" xr:uid="{00000000-0005-0000-0000-0000FF690000}"/>
    <cellStyle name="Normal 2 3 2 35 3" xfId="27143" xr:uid="{00000000-0005-0000-0000-0000006A0000}"/>
    <cellStyle name="Normal 2 3 2 35 4" xfId="27144" xr:uid="{00000000-0005-0000-0000-0000016A0000}"/>
    <cellStyle name="Normal 2 3 2 35 5" xfId="27145" xr:uid="{00000000-0005-0000-0000-0000026A0000}"/>
    <cellStyle name="Normal 2 3 2 35 6" xfId="27146" xr:uid="{00000000-0005-0000-0000-0000036A0000}"/>
    <cellStyle name="Normal 2 3 2 35 7" xfId="27147" xr:uid="{00000000-0005-0000-0000-0000046A0000}"/>
    <cellStyle name="Normal 2 3 2 35 8" xfId="27148" xr:uid="{00000000-0005-0000-0000-0000056A0000}"/>
    <cellStyle name="Normal 2 3 2 35 9" xfId="27149" xr:uid="{00000000-0005-0000-0000-0000066A0000}"/>
    <cellStyle name="Normal 2 3 2 36" xfId="27150" xr:uid="{00000000-0005-0000-0000-0000076A0000}"/>
    <cellStyle name="Normal 2 3 2 36 10" xfId="27151" xr:uid="{00000000-0005-0000-0000-0000086A0000}"/>
    <cellStyle name="Normal 2 3 2 36 2" xfId="27152" xr:uid="{00000000-0005-0000-0000-0000096A0000}"/>
    <cellStyle name="Normal 2 3 2 36 3" xfId="27153" xr:uid="{00000000-0005-0000-0000-00000A6A0000}"/>
    <cellStyle name="Normal 2 3 2 36 4" xfId="27154" xr:uid="{00000000-0005-0000-0000-00000B6A0000}"/>
    <cellStyle name="Normal 2 3 2 36 5" xfId="27155" xr:uid="{00000000-0005-0000-0000-00000C6A0000}"/>
    <cellStyle name="Normal 2 3 2 36 6" xfId="27156" xr:uid="{00000000-0005-0000-0000-00000D6A0000}"/>
    <cellStyle name="Normal 2 3 2 36 7" xfId="27157" xr:uid="{00000000-0005-0000-0000-00000E6A0000}"/>
    <cellStyle name="Normal 2 3 2 36 8" xfId="27158" xr:uid="{00000000-0005-0000-0000-00000F6A0000}"/>
    <cellStyle name="Normal 2 3 2 36 9" xfId="27159" xr:uid="{00000000-0005-0000-0000-0000106A0000}"/>
    <cellStyle name="Normal 2 3 2 37" xfId="27160" xr:uid="{00000000-0005-0000-0000-0000116A0000}"/>
    <cellStyle name="Normal 2 3 2 37 10" xfId="27161" xr:uid="{00000000-0005-0000-0000-0000126A0000}"/>
    <cellStyle name="Normal 2 3 2 37 2" xfId="27162" xr:uid="{00000000-0005-0000-0000-0000136A0000}"/>
    <cellStyle name="Normal 2 3 2 37 3" xfId="27163" xr:uid="{00000000-0005-0000-0000-0000146A0000}"/>
    <cellStyle name="Normal 2 3 2 37 4" xfId="27164" xr:uid="{00000000-0005-0000-0000-0000156A0000}"/>
    <cellStyle name="Normal 2 3 2 37 5" xfId="27165" xr:uid="{00000000-0005-0000-0000-0000166A0000}"/>
    <cellStyle name="Normal 2 3 2 37 6" xfId="27166" xr:uid="{00000000-0005-0000-0000-0000176A0000}"/>
    <cellStyle name="Normal 2 3 2 37 7" xfId="27167" xr:uid="{00000000-0005-0000-0000-0000186A0000}"/>
    <cellStyle name="Normal 2 3 2 37 8" xfId="27168" xr:uid="{00000000-0005-0000-0000-0000196A0000}"/>
    <cellStyle name="Normal 2 3 2 37 9" xfId="27169" xr:uid="{00000000-0005-0000-0000-00001A6A0000}"/>
    <cellStyle name="Normal 2 3 2 38" xfId="27170" xr:uid="{00000000-0005-0000-0000-00001B6A0000}"/>
    <cellStyle name="Normal 2 3 2 39" xfId="27171" xr:uid="{00000000-0005-0000-0000-00001C6A0000}"/>
    <cellStyle name="Normal 2 3 2 4" xfId="27172" xr:uid="{00000000-0005-0000-0000-00001D6A0000}"/>
    <cellStyle name="Normal 2 3 2 4 10" xfId="27173" xr:uid="{00000000-0005-0000-0000-00001E6A0000}"/>
    <cellStyle name="Normal 2 3 2 4 11" xfId="27174" xr:uid="{00000000-0005-0000-0000-00001F6A0000}"/>
    <cellStyle name="Normal 2 3 2 4 12" xfId="27175" xr:uid="{00000000-0005-0000-0000-0000206A0000}"/>
    <cellStyle name="Normal 2 3 2 4 13" xfId="27176" xr:uid="{00000000-0005-0000-0000-0000216A0000}"/>
    <cellStyle name="Normal 2 3 2 4 14" xfId="27177" xr:uid="{00000000-0005-0000-0000-0000226A0000}"/>
    <cellStyle name="Normal 2 3 2 4 2" xfId="27178" xr:uid="{00000000-0005-0000-0000-0000236A0000}"/>
    <cellStyle name="Normal 2 3 2 4 2 10" xfId="27179" xr:uid="{00000000-0005-0000-0000-0000246A0000}"/>
    <cellStyle name="Normal 2 3 2 4 2 2" xfId="27180" xr:uid="{00000000-0005-0000-0000-0000256A0000}"/>
    <cellStyle name="Normal 2 3 2 4 2 3" xfId="27181" xr:uid="{00000000-0005-0000-0000-0000266A0000}"/>
    <cellStyle name="Normal 2 3 2 4 2 4" xfId="27182" xr:uid="{00000000-0005-0000-0000-0000276A0000}"/>
    <cellStyle name="Normal 2 3 2 4 2 5" xfId="27183" xr:uid="{00000000-0005-0000-0000-0000286A0000}"/>
    <cellStyle name="Normal 2 3 2 4 2 6" xfId="27184" xr:uid="{00000000-0005-0000-0000-0000296A0000}"/>
    <cellStyle name="Normal 2 3 2 4 2 7" xfId="27185" xr:uid="{00000000-0005-0000-0000-00002A6A0000}"/>
    <cellStyle name="Normal 2 3 2 4 2 8" xfId="27186" xr:uid="{00000000-0005-0000-0000-00002B6A0000}"/>
    <cellStyle name="Normal 2 3 2 4 2 9" xfId="27187" xr:uid="{00000000-0005-0000-0000-00002C6A0000}"/>
    <cellStyle name="Normal 2 3 2 4 3" xfId="27188" xr:uid="{00000000-0005-0000-0000-00002D6A0000}"/>
    <cellStyle name="Normal 2 3 2 4 3 10" xfId="27189" xr:uid="{00000000-0005-0000-0000-00002E6A0000}"/>
    <cellStyle name="Normal 2 3 2 4 3 2" xfId="27190" xr:uid="{00000000-0005-0000-0000-00002F6A0000}"/>
    <cellStyle name="Normal 2 3 2 4 3 3" xfId="27191" xr:uid="{00000000-0005-0000-0000-0000306A0000}"/>
    <cellStyle name="Normal 2 3 2 4 3 4" xfId="27192" xr:uid="{00000000-0005-0000-0000-0000316A0000}"/>
    <cellStyle name="Normal 2 3 2 4 3 5" xfId="27193" xr:uid="{00000000-0005-0000-0000-0000326A0000}"/>
    <cellStyle name="Normal 2 3 2 4 3 6" xfId="27194" xr:uid="{00000000-0005-0000-0000-0000336A0000}"/>
    <cellStyle name="Normal 2 3 2 4 3 7" xfId="27195" xr:uid="{00000000-0005-0000-0000-0000346A0000}"/>
    <cellStyle name="Normal 2 3 2 4 3 8" xfId="27196" xr:uid="{00000000-0005-0000-0000-0000356A0000}"/>
    <cellStyle name="Normal 2 3 2 4 3 9" xfId="27197" xr:uid="{00000000-0005-0000-0000-0000366A0000}"/>
    <cellStyle name="Normal 2 3 2 4 4" xfId="27198" xr:uid="{00000000-0005-0000-0000-0000376A0000}"/>
    <cellStyle name="Normal 2 3 2 4 4 10" xfId="27199" xr:uid="{00000000-0005-0000-0000-0000386A0000}"/>
    <cellStyle name="Normal 2 3 2 4 4 2" xfId="27200" xr:uid="{00000000-0005-0000-0000-0000396A0000}"/>
    <cellStyle name="Normal 2 3 2 4 4 3" xfId="27201" xr:uid="{00000000-0005-0000-0000-00003A6A0000}"/>
    <cellStyle name="Normal 2 3 2 4 4 4" xfId="27202" xr:uid="{00000000-0005-0000-0000-00003B6A0000}"/>
    <cellStyle name="Normal 2 3 2 4 4 5" xfId="27203" xr:uid="{00000000-0005-0000-0000-00003C6A0000}"/>
    <cellStyle name="Normal 2 3 2 4 4 6" xfId="27204" xr:uid="{00000000-0005-0000-0000-00003D6A0000}"/>
    <cellStyle name="Normal 2 3 2 4 4 7" xfId="27205" xr:uid="{00000000-0005-0000-0000-00003E6A0000}"/>
    <cellStyle name="Normal 2 3 2 4 4 8" xfId="27206" xr:uid="{00000000-0005-0000-0000-00003F6A0000}"/>
    <cellStyle name="Normal 2 3 2 4 4 9" xfId="27207" xr:uid="{00000000-0005-0000-0000-0000406A0000}"/>
    <cellStyle name="Normal 2 3 2 4 5" xfId="27208" xr:uid="{00000000-0005-0000-0000-0000416A0000}"/>
    <cellStyle name="Normal 2 3 2 4 5 10" xfId="27209" xr:uid="{00000000-0005-0000-0000-0000426A0000}"/>
    <cellStyle name="Normal 2 3 2 4 5 2" xfId="27210" xr:uid="{00000000-0005-0000-0000-0000436A0000}"/>
    <cellStyle name="Normal 2 3 2 4 5 3" xfId="27211" xr:uid="{00000000-0005-0000-0000-0000446A0000}"/>
    <cellStyle name="Normal 2 3 2 4 5 4" xfId="27212" xr:uid="{00000000-0005-0000-0000-0000456A0000}"/>
    <cellStyle name="Normal 2 3 2 4 5 5" xfId="27213" xr:uid="{00000000-0005-0000-0000-0000466A0000}"/>
    <cellStyle name="Normal 2 3 2 4 5 6" xfId="27214" xr:uid="{00000000-0005-0000-0000-0000476A0000}"/>
    <cellStyle name="Normal 2 3 2 4 5 7" xfId="27215" xr:uid="{00000000-0005-0000-0000-0000486A0000}"/>
    <cellStyle name="Normal 2 3 2 4 5 8" xfId="27216" xr:uid="{00000000-0005-0000-0000-0000496A0000}"/>
    <cellStyle name="Normal 2 3 2 4 5 9" xfId="27217" xr:uid="{00000000-0005-0000-0000-00004A6A0000}"/>
    <cellStyle name="Normal 2 3 2 4 6" xfId="27218" xr:uid="{00000000-0005-0000-0000-00004B6A0000}"/>
    <cellStyle name="Normal 2 3 2 4 7" xfId="27219" xr:uid="{00000000-0005-0000-0000-00004C6A0000}"/>
    <cellStyle name="Normal 2 3 2 4 8" xfId="27220" xr:uid="{00000000-0005-0000-0000-00004D6A0000}"/>
    <cellStyle name="Normal 2 3 2 4 9" xfId="27221" xr:uid="{00000000-0005-0000-0000-00004E6A0000}"/>
    <cellStyle name="Normal 2 3 2 40" xfId="27222" xr:uid="{00000000-0005-0000-0000-00004F6A0000}"/>
    <cellStyle name="Normal 2 3 2 41" xfId="27223" xr:uid="{00000000-0005-0000-0000-0000506A0000}"/>
    <cellStyle name="Normal 2 3 2 42" xfId="27224" xr:uid="{00000000-0005-0000-0000-0000516A0000}"/>
    <cellStyle name="Normal 2 3 2 43" xfId="27225" xr:uid="{00000000-0005-0000-0000-0000526A0000}"/>
    <cellStyle name="Normal 2 3 2 44" xfId="27226" xr:uid="{00000000-0005-0000-0000-0000536A0000}"/>
    <cellStyle name="Normal 2 3 2 45" xfId="27227" xr:uid="{00000000-0005-0000-0000-0000546A0000}"/>
    <cellStyle name="Normal 2 3 2 46" xfId="27228" xr:uid="{00000000-0005-0000-0000-0000556A0000}"/>
    <cellStyle name="Normal 2 3 2 47" xfId="27229" xr:uid="{00000000-0005-0000-0000-0000566A0000}"/>
    <cellStyle name="Normal 2 3 2 48" xfId="27230" xr:uid="{00000000-0005-0000-0000-0000576A0000}"/>
    <cellStyle name="Normal 2 3 2 5" xfId="27231" xr:uid="{00000000-0005-0000-0000-0000586A0000}"/>
    <cellStyle name="Normal 2 3 2 5 10" xfId="27232" xr:uid="{00000000-0005-0000-0000-0000596A0000}"/>
    <cellStyle name="Normal 2 3 2 5 11" xfId="27233" xr:uid="{00000000-0005-0000-0000-00005A6A0000}"/>
    <cellStyle name="Normal 2 3 2 5 12" xfId="27234" xr:uid="{00000000-0005-0000-0000-00005B6A0000}"/>
    <cellStyle name="Normal 2 3 2 5 13" xfId="27235" xr:uid="{00000000-0005-0000-0000-00005C6A0000}"/>
    <cellStyle name="Normal 2 3 2 5 14" xfId="27236" xr:uid="{00000000-0005-0000-0000-00005D6A0000}"/>
    <cellStyle name="Normal 2 3 2 5 2" xfId="27237" xr:uid="{00000000-0005-0000-0000-00005E6A0000}"/>
    <cellStyle name="Normal 2 3 2 5 2 10" xfId="27238" xr:uid="{00000000-0005-0000-0000-00005F6A0000}"/>
    <cellStyle name="Normal 2 3 2 5 2 2" xfId="27239" xr:uid="{00000000-0005-0000-0000-0000606A0000}"/>
    <cellStyle name="Normal 2 3 2 5 2 3" xfId="27240" xr:uid="{00000000-0005-0000-0000-0000616A0000}"/>
    <cellStyle name="Normal 2 3 2 5 2 4" xfId="27241" xr:uid="{00000000-0005-0000-0000-0000626A0000}"/>
    <cellStyle name="Normal 2 3 2 5 2 5" xfId="27242" xr:uid="{00000000-0005-0000-0000-0000636A0000}"/>
    <cellStyle name="Normal 2 3 2 5 2 6" xfId="27243" xr:uid="{00000000-0005-0000-0000-0000646A0000}"/>
    <cellStyle name="Normal 2 3 2 5 2 7" xfId="27244" xr:uid="{00000000-0005-0000-0000-0000656A0000}"/>
    <cellStyle name="Normal 2 3 2 5 2 8" xfId="27245" xr:uid="{00000000-0005-0000-0000-0000666A0000}"/>
    <cellStyle name="Normal 2 3 2 5 2 9" xfId="27246" xr:uid="{00000000-0005-0000-0000-0000676A0000}"/>
    <cellStyle name="Normal 2 3 2 5 3" xfId="27247" xr:uid="{00000000-0005-0000-0000-0000686A0000}"/>
    <cellStyle name="Normal 2 3 2 5 3 10" xfId="27248" xr:uid="{00000000-0005-0000-0000-0000696A0000}"/>
    <cellStyle name="Normal 2 3 2 5 3 2" xfId="27249" xr:uid="{00000000-0005-0000-0000-00006A6A0000}"/>
    <cellStyle name="Normal 2 3 2 5 3 3" xfId="27250" xr:uid="{00000000-0005-0000-0000-00006B6A0000}"/>
    <cellStyle name="Normal 2 3 2 5 3 4" xfId="27251" xr:uid="{00000000-0005-0000-0000-00006C6A0000}"/>
    <cellStyle name="Normal 2 3 2 5 3 5" xfId="27252" xr:uid="{00000000-0005-0000-0000-00006D6A0000}"/>
    <cellStyle name="Normal 2 3 2 5 3 6" xfId="27253" xr:uid="{00000000-0005-0000-0000-00006E6A0000}"/>
    <cellStyle name="Normal 2 3 2 5 3 7" xfId="27254" xr:uid="{00000000-0005-0000-0000-00006F6A0000}"/>
    <cellStyle name="Normal 2 3 2 5 3 8" xfId="27255" xr:uid="{00000000-0005-0000-0000-0000706A0000}"/>
    <cellStyle name="Normal 2 3 2 5 3 9" xfId="27256" xr:uid="{00000000-0005-0000-0000-0000716A0000}"/>
    <cellStyle name="Normal 2 3 2 5 4" xfId="27257" xr:uid="{00000000-0005-0000-0000-0000726A0000}"/>
    <cellStyle name="Normal 2 3 2 5 4 10" xfId="27258" xr:uid="{00000000-0005-0000-0000-0000736A0000}"/>
    <cellStyle name="Normal 2 3 2 5 4 2" xfId="27259" xr:uid="{00000000-0005-0000-0000-0000746A0000}"/>
    <cellStyle name="Normal 2 3 2 5 4 3" xfId="27260" xr:uid="{00000000-0005-0000-0000-0000756A0000}"/>
    <cellStyle name="Normal 2 3 2 5 4 4" xfId="27261" xr:uid="{00000000-0005-0000-0000-0000766A0000}"/>
    <cellStyle name="Normal 2 3 2 5 4 5" xfId="27262" xr:uid="{00000000-0005-0000-0000-0000776A0000}"/>
    <cellStyle name="Normal 2 3 2 5 4 6" xfId="27263" xr:uid="{00000000-0005-0000-0000-0000786A0000}"/>
    <cellStyle name="Normal 2 3 2 5 4 7" xfId="27264" xr:uid="{00000000-0005-0000-0000-0000796A0000}"/>
    <cellStyle name="Normal 2 3 2 5 4 8" xfId="27265" xr:uid="{00000000-0005-0000-0000-00007A6A0000}"/>
    <cellStyle name="Normal 2 3 2 5 4 9" xfId="27266" xr:uid="{00000000-0005-0000-0000-00007B6A0000}"/>
    <cellStyle name="Normal 2 3 2 5 5" xfId="27267" xr:uid="{00000000-0005-0000-0000-00007C6A0000}"/>
    <cellStyle name="Normal 2 3 2 5 5 10" xfId="27268" xr:uid="{00000000-0005-0000-0000-00007D6A0000}"/>
    <cellStyle name="Normal 2 3 2 5 5 2" xfId="27269" xr:uid="{00000000-0005-0000-0000-00007E6A0000}"/>
    <cellStyle name="Normal 2 3 2 5 5 3" xfId="27270" xr:uid="{00000000-0005-0000-0000-00007F6A0000}"/>
    <cellStyle name="Normal 2 3 2 5 5 4" xfId="27271" xr:uid="{00000000-0005-0000-0000-0000806A0000}"/>
    <cellStyle name="Normal 2 3 2 5 5 5" xfId="27272" xr:uid="{00000000-0005-0000-0000-0000816A0000}"/>
    <cellStyle name="Normal 2 3 2 5 5 6" xfId="27273" xr:uid="{00000000-0005-0000-0000-0000826A0000}"/>
    <cellStyle name="Normal 2 3 2 5 5 7" xfId="27274" xr:uid="{00000000-0005-0000-0000-0000836A0000}"/>
    <cellStyle name="Normal 2 3 2 5 5 8" xfId="27275" xr:uid="{00000000-0005-0000-0000-0000846A0000}"/>
    <cellStyle name="Normal 2 3 2 5 5 9" xfId="27276" xr:uid="{00000000-0005-0000-0000-0000856A0000}"/>
    <cellStyle name="Normal 2 3 2 5 6" xfId="27277" xr:uid="{00000000-0005-0000-0000-0000866A0000}"/>
    <cellStyle name="Normal 2 3 2 5 7" xfId="27278" xr:uid="{00000000-0005-0000-0000-0000876A0000}"/>
    <cellStyle name="Normal 2 3 2 5 8" xfId="27279" xr:uid="{00000000-0005-0000-0000-0000886A0000}"/>
    <cellStyle name="Normal 2 3 2 5 9" xfId="27280" xr:uid="{00000000-0005-0000-0000-0000896A0000}"/>
    <cellStyle name="Normal 2 3 2 6" xfId="27281" xr:uid="{00000000-0005-0000-0000-00008A6A0000}"/>
    <cellStyle name="Normal 2 3 2 6 10" xfId="27282" xr:uid="{00000000-0005-0000-0000-00008B6A0000}"/>
    <cellStyle name="Normal 2 3 2 6 11" xfId="27283" xr:uid="{00000000-0005-0000-0000-00008C6A0000}"/>
    <cellStyle name="Normal 2 3 2 6 12" xfId="27284" xr:uid="{00000000-0005-0000-0000-00008D6A0000}"/>
    <cellStyle name="Normal 2 3 2 6 13" xfId="27285" xr:uid="{00000000-0005-0000-0000-00008E6A0000}"/>
    <cellStyle name="Normal 2 3 2 6 14" xfId="27286" xr:uid="{00000000-0005-0000-0000-00008F6A0000}"/>
    <cellStyle name="Normal 2 3 2 6 2" xfId="27287" xr:uid="{00000000-0005-0000-0000-0000906A0000}"/>
    <cellStyle name="Normal 2 3 2 6 2 10" xfId="27288" xr:uid="{00000000-0005-0000-0000-0000916A0000}"/>
    <cellStyle name="Normal 2 3 2 6 2 2" xfId="27289" xr:uid="{00000000-0005-0000-0000-0000926A0000}"/>
    <cellStyle name="Normal 2 3 2 6 2 3" xfId="27290" xr:uid="{00000000-0005-0000-0000-0000936A0000}"/>
    <cellStyle name="Normal 2 3 2 6 2 4" xfId="27291" xr:uid="{00000000-0005-0000-0000-0000946A0000}"/>
    <cellStyle name="Normal 2 3 2 6 2 5" xfId="27292" xr:uid="{00000000-0005-0000-0000-0000956A0000}"/>
    <cellStyle name="Normal 2 3 2 6 2 6" xfId="27293" xr:uid="{00000000-0005-0000-0000-0000966A0000}"/>
    <cellStyle name="Normal 2 3 2 6 2 7" xfId="27294" xr:uid="{00000000-0005-0000-0000-0000976A0000}"/>
    <cellStyle name="Normal 2 3 2 6 2 8" xfId="27295" xr:uid="{00000000-0005-0000-0000-0000986A0000}"/>
    <cellStyle name="Normal 2 3 2 6 2 9" xfId="27296" xr:uid="{00000000-0005-0000-0000-0000996A0000}"/>
    <cellStyle name="Normal 2 3 2 6 3" xfId="27297" xr:uid="{00000000-0005-0000-0000-00009A6A0000}"/>
    <cellStyle name="Normal 2 3 2 6 3 10" xfId="27298" xr:uid="{00000000-0005-0000-0000-00009B6A0000}"/>
    <cellStyle name="Normal 2 3 2 6 3 2" xfId="27299" xr:uid="{00000000-0005-0000-0000-00009C6A0000}"/>
    <cellStyle name="Normal 2 3 2 6 3 3" xfId="27300" xr:uid="{00000000-0005-0000-0000-00009D6A0000}"/>
    <cellStyle name="Normal 2 3 2 6 3 4" xfId="27301" xr:uid="{00000000-0005-0000-0000-00009E6A0000}"/>
    <cellStyle name="Normal 2 3 2 6 3 5" xfId="27302" xr:uid="{00000000-0005-0000-0000-00009F6A0000}"/>
    <cellStyle name="Normal 2 3 2 6 3 6" xfId="27303" xr:uid="{00000000-0005-0000-0000-0000A06A0000}"/>
    <cellStyle name="Normal 2 3 2 6 3 7" xfId="27304" xr:uid="{00000000-0005-0000-0000-0000A16A0000}"/>
    <cellStyle name="Normal 2 3 2 6 3 8" xfId="27305" xr:uid="{00000000-0005-0000-0000-0000A26A0000}"/>
    <cellStyle name="Normal 2 3 2 6 3 9" xfId="27306" xr:uid="{00000000-0005-0000-0000-0000A36A0000}"/>
    <cellStyle name="Normal 2 3 2 6 4" xfId="27307" xr:uid="{00000000-0005-0000-0000-0000A46A0000}"/>
    <cellStyle name="Normal 2 3 2 6 4 10" xfId="27308" xr:uid="{00000000-0005-0000-0000-0000A56A0000}"/>
    <cellStyle name="Normal 2 3 2 6 4 2" xfId="27309" xr:uid="{00000000-0005-0000-0000-0000A66A0000}"/>
    <cellStyle name="Normal 2 3 2 6 4 3" xfId="27310" xr:uid="{00000000-0005-0000-0000-0000A76A0000}"/>
    <cellStyle name="Normal 2 3 2 6 4 4" xfId="27311" xr:uid="{00000000-0005-0000-0000-0000A86A0000}"/>
    <cellStyle name="Normal 2 3 2 6 4 5" xfId="27312" xr:uid="{00000000-0005-0000-0000-0000A96A0000}"/>
    <cellStyle name="Normal 2 3 2 6 4 6" xfId="27313" xr:uid="{00000000-0005-0000-0000-0000AA6A0000}"/>
    <cellStyle name="Normal 2 3 2 6 4 7" xfId="27314" xr:uid="{00000000-0005-0000-0000-0000AB6A0000}"/>
    <cellStyle name="Normal 2 3 2 6 4 8" xfId="27315" xr:uid="{00000000-0005-0000-0000-0000AC6A0000}"/>
    <cellStyle name="Normal 2 3 2 6 4 9" xfId="27316" xr:uid="{00000000-0005-0000-0000-0000AD6A0000}"/>
    <cellStyle name="Normal 2 3 2 6 5" xfId="27317" xr:uid="{00000000-0005-0000-0000-0000AE6A0000}"/>
    <cellStyle name="Normal 2 3 2 6 5 10" xfId="27318" xr:uid="{00000000-0005-0000-0000-0000AF6A0000}"/>
    <cellStyle name="Normal 2 3 2 6 5 2" xfId="27319" xr:uid="{00000000-0005-0000-0000-0000B06A0000}"/>
    <cellStyle name="Normal 2 3 2 6 5 3" xfId="27320" xr:uid="{00000000-0005-0000-0000-0000B16A0000}"/>
    <cellStyle name="Normal 2 3 2 6 5 4" xfId="27321" xr:uid="{00000000-0005-0000-0000-0000B26A0000}"/>
    <cellStyle name="Normal 2 3 2 6 5 5" xfId="27322" xr:uid="{00000000-0005-0000-0000-0000B36A0000}"/>
    <cellStyle name="Normal 2 3 2 6 5 6" xfId="27323" xr:uid="{00000000-0005-0000-0000-0000B46A0000}"/>
    <cellStyle name="Normal 2 3 2 6 5 7" xfId="27324" xr:uid="{00000000-0005-0000-0000-0000B56A0000}"/>
    <cellStyle name="Normal 2 3 2 6 5 8" xfId="27325" xr:uid="{00000000-0005-0000-0000-0000B66A0000}"/>
    <cellStyle name="Normal 2 3 2 6 5 9" xfId="27326" xr:uid="{00000000-0005-0000-0000-0000B76A0000}"/>
    <cellStyle name="Normal 2 3 2 6 6" xfId="27327" xr:uid="{00000000-0005-0000-0000-0000B86A0000}"/>
    <cellStyle name="Normal 2 3 2 6 7" xfId="27328" xr:uid="{00000000-0005-0000-0000-0000B96A0000}"/>
    <cellStyle name="Normal 2 3 2 6 8" xfId="27329" xr:uid="{00000000-0005-0000-0000-0000BA6A0000}"/>
    <cellStyle name="Normal 2 3 2 6 9" xfId="27330" xr:uid="{00000000-0005-0000-0000-0000BB6A0000}"/>
    <cellStyle name="Normal 2 3 2 7" xfId="27331" xr:uid="{00000000-0005-0000-0000-0000BC6A0000}"/>
    <cellStyle name="Normal 2 3 2 7 10" xfId="27332" xr:uid="{00000000-0005-0000-0000-0000BD6A0000}"/>
    <cellStyle name="Normal 2 3 2 7 11" xfId="27333" xr:uid="{00000000-0005-0000-0000-0000BE6A0000}"/>
    <cellStyle name="Normal 2 3 2 7 12" xfId="27334" xr:uid="{00000000-0005-0000-0000-0000BF6A0000}"/>
    <cellStyle name="Normal 2 3 2 7 13" xfId="27335" xr:uid="{00000000-0005-0000-0000-0000C06A0000}"/>
    <cellStyle name="Normal 2 3 2 7 14" xfId="27336" xr:uid="{00000000-0005-0000-0000-0000C16A0000}"/>
    <cellStyle name="Normal 2 3 2 7 2" xfId="27337" xr:uid="{00000000-0005-0000-0000-0000C26A0000}"/>
    <cellStyle name="Normal 2 3 2 7 2 10" xfId="27338" xr:uid="{00000000-0005-0000-0000-0000C36A0000}"/>
    <cellStyle name="Normal 2 3 2 7 2 2" xfId="27339" xr:uid="{00000000-0005-0000-0000-0000C46A0000}"/>
    <cellStyle name="Normal 2 3 2 7 2 3" xfId="27340" xr:uid="{00000000-0005-0000-0000-0000C56A0000}"/>
    <cellStyle name="Normal 2 3 2 7 2 4" xfId="27341" xr:uid="{00000000-0005-0000-0000-0000C66A0000}"/>
    <cellStyle name="Normal 2 3 2 7 2 5" xfId="27342" xr:uid="{00000000-0005-0000-0000-0000C76A0000}"/>
    <cellStyle name="Normal 2 3 2 7 2 6" xfId="27343" xr:uid="{00000000-0005-0000-0000-0000C86A0000}"/>
    <cellStyle name="Normal 2 3 2 7 2 7" xfId="27344" xr:uid="{00000000-0005-0000-0000-0000C96A0000}"/>
    <cellStyle name="Normal 2 3 2 7 2 8" xfId="27345" xr:uid="{00000000-0005-0000-0000-0000CA6A0000}"/>
    <cellStyle name="Normal 2 3 2 7 2 9" xfId="27346" xr:uid="{00000000-0005-0000-0000-0000CB6A0000}"/>
    <cellStyle name="Normal 2 3 2 7 3" xfId="27347" xr:uid="{00000000-0005-0000-0000-0000CC6A0000}"/>
    <cellStyle name="Normal 2 3 2 7 3 10" xfId="27348" xr:uid="{00000000-0005-0000-0000-0000CD6A0000}"/>
    <cellStyle name="Normal 2 3 2 7 3 2" xfId="27349" xr:uid="{00000000-0005-0000-0000-0000CE6A0000}"/>
    <cellStyle name="Normal 2 3 2 7 3 3" xfId="27350" xr:uid="{00000000-0005-0000-0000-0000CF6A0000}"/>
    <cellStyle name="Normal 2 3 2 7 3 4" xfId="27351" xr:uid="{00000000-0005-0000-0000-0000D06A0000}"/>
    <cellStyle name="Normal 2 3 2 7 3 5" xfId="27352" xr:uid="{00000000-0005-0000-0000-0000D16A0000}"/>
    <cellStyle name="Normal 2 3 2 7 3 6" xfId="27353" xr:uid="{00000000-0005-0000-0000-0000D26A0000}"/>
    <cellStyle name="Normal 2 3 2 7 3 7" xfId="27354" xr:uid="{00000000-0005-0000-0000-0000D36A0000}"/>
    <cellStyle name="Normal 2 3 2 7 3 8" xfId="27355" xr:uid="{00000000-0005-0000-0000-0000D46A0000}"/>
    <cellStyle name="Normal 2 3 2 7 3 9" xfId="27356" xr:uid="{00000000-0005-0000-0000-0000D56A0000}"/>
    <cellStyle name="Normal 2 3 2 7 4" xfId="27357" xr:uid="{00000000-0005-0000-0000-0000D66A0000}"/>
    <cellStyle name="Normal 2 3 2 7 4 10" xfId="27358" xr:uid="{00000000-0005-0000-0000-0000D76A0000}"/>
    <cellStyle name="Normal 2 3 2 7 4 2" xfId="27359" xr:uid="{00000000-0005-0000-0000-0000D86A0000}"/>
    <cellStyle name="Normal 2 3 2 7 4 3" xfId="27360" xr:uid="{00000000-0005-0000-0000-0000D96A0000}"/>
    <cellStyle name="Normal 2 3 2 7 4 4" xfId="27361" xr:uid="{00000000-0005-0000-0000-0000DA6A0000}"/>
    <cellStyle name="Normal 2 3 2 7 4 5" xfId="27362" xr:uid="{00000000-0005-0000-0000-0000DB6A0000}"/>
    <cellStyle name="Normal 2 3 2 7 4 6" xfId="27363" xr:uid="{00000000-0005-0000-0000-0000DC6A0000}"/>
    <cellStyle name="Normal 2 3 2 7 4 7" xfId="27364" xr:uid="{00000000-0005-0000-0000-0000DD6A0000}"/>
    <cellStyle name="Normal 2 3 2 7 4 8" xfId="27365" xr:uid="{00000000-0005-0000-0000-0000DE6A0000}"/>
    <cellStyle name="Normal 2 3 2 7 4 9" xfId="27366" xr:uid="{00000000-0005-0000-0000-0000DF6A0000}"/>
    <cellStyle name="Normal 2 3 2 7 5" xfId="27367" xr:uid="{00000000-0005-0000-0000-0000E06A0000}"/>
    <cellStyle name="Normal 2 3 2 7 5 10" xfId="27368" xr:uid="{00000000-0005-0000-0000-0000E16A0000}"/>
    <cellStyle name="Normal 2 3 2 7 5 2" xfId="27369" xr:uid="{00000000-0005-0000-0000-0000E26A0000}"/>
    <cellStyle name="Normal 2 3 2 7 5 3" xfId="27370" xr:uid="{00000000-0005-0000-0000-0000E36A0000}"/>
    <cellStyle name="Normal 2 3 2 7 5 4" xfId="27371" xr:uid="{00000000-0005-0000-0000-0000E46A0000}"/>
    <cellStyle name="Normal 2 3 2 7 5 5" xfId="27372" xr:uid="{00000000-0005-0000-0000-0000E56A0000}"/>
    <cellStyle name="Normal 2 3 2 7 5 6" xfId="27373" xr:uid="{00000000-0005-0000-0000-0000E66A0000}"/>
    <cellStyle name="Normal 2 3 2 7 5 7" xfId="27374" xr:uid="{00000000-0005-0000-0000-0000E76A0000}"/>
    <cellStyle name="Normal 2 3 2 7 5 8" xfId="27375" xr:uid="{00000000-0005-0000-0000-0000E86A0000}"/>
    <cellStyle name="Normal 2 3 2 7 5 9" xfId="27376" xr:uid="{00000000-0005-0000-0000-0000E96A0000}"/>
    <cellStyle name="Normal 2 3 2 7 6" xfId="27377" xr:uid="{00000000-0005-0000-0000-0000EA6A0000}"/>
    <cellStyle name="Normal 2 3 2 7 7" xfId="27378" xr:uid="{00000000-0005-0000-0000-0000EB6A0000}"/>
    <cellStyle name="Normal 2 3 2 7 8" xfId="27379" xr:uid="{00000000-0005-0000-0000-0000EC6A0000}"/>
    <cellStyle name="Normal 2 3 2 7 9" xfId="27380" xr:uid="{00000000-0005-0000-0000-0000ED6A0000}"/>
    <cellStyle name="Normal 2 3 2 8" xfId="27381" xr:uid="{00000000-0005-0000-0000-0000EE6A0000}"/>
    <cellStyle name="Normal 2 3 2 8 10" xfId="27382" xr:uid="{00000000-0005-0000-0000-0000EF6A0000}"/>
    <cellStyle name="Normal 2 3 2 8 11" xfId="27383" xr:uid="{00000000-0005-0000-0000-0000F06A0000}"/>
    <cellStyle name="Normal 2 3 2 8 12" xfId="27384" xr:uid="{00000000-0005-0000-0000-0000F16A0000}"/>
    <cellStyle name="Normal 2 3 2 8 13" xfId="27385" xr:uid="{00000000-0005-0000-0000-0000F26A0000}"/>
    <cellStyle name="Normal 2 3 2 8 14" xfId="27386" xr:uid="{00000000-0005-0000-0000-0000F36A0000}"/>
    <cellStyle name="Normal 2 3 2 8 2" xfId="27387" xr:uid="{00000000-0005-0000-0000-0000F46A0000}"/>
    <cellStyle name="Normal 2 3 2 8 2 10" xfId="27388" xr:uid="{00000000-0005-0000-0000-0000F56A0000}"/>
    <cellStyle name="Normal 2 3 2 8 2 2" xfId="27389" xr:uid="{00000000-0005-0000-0000-0000F66A0000}"/>
    <cellStyle name="Normal 2 3 2 8 2 3" xfId="27390" xr:uid="{00000000-0005-0000-0000-0000F76A0000}"/>
    <cellStyle name="Normal 2 3 2 8 2 4" xfId="27391" xr:uid="{00000000-0005-0000-0000-0000F86A0000}"/>
    <cellStyle name="Normal 2 3 2 8 2 5" xfId="27392" xr:uid="{00000000-0005-0000-0000-0000F96A0000}"/>
    <cellStyle name="Normal 2 3 2 8 2 6" xfId="27393" xr:uid="{00000000-0005-0000-0000-0000FA6A0000}"/>
    <cellStyle name="Normal 2 3 2 8 2 7" xfId="27394" xr:uid="{00000000-0005-0000-0000-0000FB6A0000}"/>
    <cellStyle name="Normal 2 3 2 8 2 8" xfId="27395" xr:uid="{00000000-0005-0000-0000-0000FC6A0000}"/>
    <cellStyle name="Normal 2 3 2 8 2 9" xfId="27396" xr:uid="{00000000-0005-0000-0000-0000FD6A0000}"/>
    <cellStyle name="Normal 2 3 2 8 3" xfId="27397" xr:uid="{00000000-0005-0000-0000-0000FE6A0000}"/>
    <cellStyle name="Normal 2 3 2 8 3 10" xfId="27398" xr:uid="{00000000-0005-0000-0000-0000FF6A0000}"/>
    <cellStyle name="Normal 2 3 2 8 3 2" xfId="27399" xr:uid="{00000000-0005-0000-0000-0000006B0000}"/>
    <cellStyle name="Normal 2 3 2 8 3 3" xfId="27400" xr:uid="{00000000-0005-0000-0000-0000016B0000}"/>
    <cellStyle name="Normal 2 3 2 8 3 4" xfId="27401" xr:uid="{00000000-0005-0000-0000-0000026B0000}"/>
    <cellStyle name="Normal 2 3 2 8 3 5" xfId="27402" xr:uid="{00000000-0005-0000-0000-0000036B0000}"/>
    <cellStyle name="Normal 2 3 2 8 3 6" xfId="27403" xr:uid="{00000000-0005-0000-0000-0000046B0000}"/>
    <cellStyle name="Normal 2 3 2 8 3 7" xfId="27404" xr:uid="{00000000-0005-0000-0000-0000056B0000}"/>
    <cellStyle name="Normal 2 3 2 8 3 8" xfId="27405" xr:uid="{00000000-0005-0000-0000-0000066B0000}"/>
    <cellStyle name="Normal 2 3 2 8 3 9" xfId="27406" xr:uid="{00000000-0005-0000-0000-0000076B0000}"/>
    <cellStyle name="Normal 2 3 2 8 4" xfId="27407" xr:uid="{00000000-0005-0000-0000-0000086B0000}"/>
    <cellStyle name="Normal 2 3 2 8 4 10" xfId="27408" xr:uid="{00000000-0005-0000-0000-0000096B0000}"/>
    <cellStyle name="Normal 2 3 2 8 4 2" xfId="27409" xr:uid="{00000000-0005-0000-0000-00000A6B0000}"/>
    <cellStyle name="Normal 2 3 2 8 4 3" xfId="27410" xr:uid="{00000000-0005-0000-0000-00000B6B0000}"/>
    <cellStyle name="Normal 2 3 2 8 4 4" xfId="27411" xr:uid="{00000000-0005-0000-0000-00000C6B0000}"/>
    <cellStyle name="Normal 2 3 2 8 4 5" xfId="27412" xr:uid="{00000000-0005-0000-0000-00000D6B0000}"/>
    <cellStyle name="Normal 2 3 2 8 4 6" xfId="27413" xr:uid="{00000000-0005-0000-0000-00000E6B0000}"/>
    <cellStyle name="Normal 2 3 2 8 4 7" xfId="27414" xr:uid="{00000000-0005-0000-0000-00000F6B0000}"/>
    <cellStyle name="Normal 2 3 2 8 4 8" xfId="27415" xr:uid="{00000000-0005-0000-0000-0000106B0000}"/>
    <cellStyle name="Normal 2 3 2 8 4 9" xfId="27416" xr:uid="{00000000-0005-0000-0000-0000116B0000}"/>
    <cellStyle name="Normal 2 3 2 8 5" xfId="27417" xr:uid="{00000000-0005-0000-0000-0000126B0000}"/>
    <cellStyle name="Normal 2 3 2 8 5 10" xfId="27418" xr:uid="{00000000-0005-0000-0000-0000136B0000}"/>
    <cellStyle name="Normal 2 3 2 8 5 2" xfId="27419" xr:uid="{00000000-0005-0000-0000-0000146B0000}"/>
    <cellStyle name="Normal 2 3 2 8 5 3" xfId="27420" xr:uid="{00000000-0005-0000-0000-0000156B0000}"/>
    <cellStyle name="Normal 2 3 2 8 5 4" xfId="27421" xr:uid="{00000000-0005-0000-0000-0000166B0000}"/>
    <cellStyle name="Normal 2 3 2 8 5 5" xfId="27422" xr:uid="{00000000-0005-0000-0000-0000176B0000}"/>
    <cellStyle name="Normal 2 3 2 8 5 6" xfId="27423" xr:uid="{00000000-0005-0000-0000-0000186B0000}"/>
    <cellStyle name="Normal 2 3 2 8 5 7" xfId="27424" xr:uid="{00000000-0005-0000-0000-0000196B0000}"/>
    <cellStyle name="Normal 2 3 2 8 5 8" xfId="27425" xr:uid="{00000000-0005-0000-0000-00001A6B0000}"/>
    <cellStyle name="Normal 2 3 2 8 5 9" xfId="27426" xr:uid="{00000000-0005-0000-0000-00001B6B0000}"/>
    <cellStyle name="Normal 2 3 2 8 6" xfId="27427" xr:uid="{00000000-0005-0000-0000-00001C6B0000}"/>
    <cellStyle name="Normal 2 3 2 8 7" xfId="27428" xr:uid="{00000000-0005-0000-0000-00001D6B0000}"/>
    <cellStyle name="Normal 2 3 2 8 8" xfId="27429" xr:uid="{00000000-0005-0000-0000-00001E6B0000}"/>
    <cellStyle name="Normal 2 3 2 8 9" xfId="27430" xr:uid="{00000000-0005-0000-0000-00001F6B0000}"/>
    <cellStyle name="Normal 2 3 2 9" xfId="27431" xr:uid="{00000000-0005-0000-0000-0000206B0000}"/>
    <cellStyle name="Normal 2 3 2 9 10" xfId="27432" xr:uid="{00000000-0005-0000-0000-0000216B0000}"/>
    <cellStyle name="Normal 2 3 2 9 11" xfId="27433" xr:uid="{00000000-0005-0000-0000-0000226B0000}"/>
    <cellStyle name="Normal 2 3 2 9 12" xfId="27434" xr:uid="{00000000-0005-0000-0000-0000236B0000}"/>
    <cellStyle name="Normal 2 3 2 9 13" xfId="27435" xr:uid="{00000000-0005-0000-0000-0000246B0000}"/>
    <cellStyle name="Normal 2 3 2 9 14" xfId="27436" xr:uid="{00000000-0005-0000-0000-0000256B0000}"/>
    <cellStyle name="Normal 2 3 2 9 2" xfId="27437" xr:uid="{00000000-0005-0000-0000-0000266B0000}"/>
    <cellStyle name="Normal 2 3 2 9 2 10" xfId="27438" xr:uid="{00000000-0005-0000-0000-0000276B0000}"/>
    <cellStyle name="Normal 2 3 2 9 2 2" xfId="27439" xr:uid="{00000000-0005-0000-0000-0000286B0000}"/>
    <cellStyle name="Normal 2 3 2 9 2 3" xfId="27440" xr:uid="{00000000-0005-0000-0000-0000296B0000}"/>
    <cellStyle name="Normal 2 3 2 9 2 4" xfId="27441" xr:uid="{00000000-0005-0000-0000-00002A6B0000}"/>
    <cellStyle name="Normal 2 3 2 9 2 5" xfId="27442" xr:uid="{00000000-0005-0000-0000-00002B6B0000}"/>
    <cellStyle name="Normal 2 3 2 9 2 6" xfId="27443" xr:uid="{00000000-0005-0000-0000-00002C6B0000}"/>
    <cellStyle name="Normal 2 3 2 9 2 7" xfId="27444" xr:uid="{00000000-0005-0000-0000-00002D6B0000}"/>
    <cellStyle name="Normal 2 3 2 9 2 8" xfId="27445" xr:uid="{00000000-0005-0000-0000-00002E6B0000}"/>
    <cellStyle name="Normal 2 3 2 9 2 9" xfId="27446" xr:uid="{00000000-0005-0000-0000-00002F6B0000}"/>
    <cellStyle name="Normal 2 3 2 9 3" xfId="27447" xr:uid="{00000000-0005-0000-0000-0000306B0000}"/>
    <cellStyle name="Normal 2 3 2 9 3 10" xfId="27448" xr:uid="{00000000-0005-0000-0000-0000316B0000}"/>
    <cellStyle name="Normal 2 3 2 9 3 2" xfId="27449" xr:uid="{00000000-0005-0000-0000-0000326B0000}"/>
    <cellStyle name="Normal 2 3 2 9 3 3" xfId="27450" xr:uid="{00000000-0005-0000-0000-0000336B0000}"/>
    <cellStyle name="Normal 2 3 2 9 3 4" xfId="27451" xr:uid="{00000000-0005-0000-0000-0000346B0000}"/>
    <cellStyle name="Normal 2 3 2 9 3 5" xfId="27452" xr:uid="{00000000-0005-0000-0000-0000356B0000}"/>
    <cellStyle name="Normal 2 3 2 9 3 6" xfId="27453" xr:uid="{00000000-0005-0000-0000-0000366B0000}"/>
    <cellStyle name="Normal 2 3 2 9 3 7" xfId="27454" xr:uid="{00000000-0005-0000-0000-0000376B0000}"/>
    <cellStyle name="Normal 2 3 2 9 3 8" xfId="27455" xr:uid="{00000000-0005-0000-0000-0000386B0000}"/>
    <cellStyle name="Normal 2 3 2 9 3 9" xfId="27456" xr:uid="{00000000-0005-0000-0000-0000396B0000}"/>
    <cellStyle name="Normal 2 3 2 9 4" xfId="27457" xr:uid="{00000000-0005-0000-0000-00003A6B0000}"/>
    <cellStyle name="Normal 2 3 2 9 4 10" xfId="27458" xr:uid="{00000000-0005-0000-0000-00003B6B0000}"/>
    <cellStyle name="Normal 2 3 2 9 4 2" xfId="27459" xr:uid="{00000000-0005-0000-0000-00003C6B0000}"/>
    <cellStyle name="Normal 2 3 2 9 4 3" xfId="27460" xr:uid="{00000000-0005-0000-0000-00003D6B0000}"/>
    <cellStyle name="Normal 2 3 2 9 4 4" xfId="27461" xr:uid="{00000000-0005-0000-0000-00003E6B0000}"/>
    <cellStyle name="Normal 2 3 2 9 4 5" xfId="27462" xr:uid="{00000000-0005-0000-0000-00003F6B0000}"/>
    <cellStyle name="Normal 2 3 2 9 4 6" xfId="27463" xr:uid="{00000000-0005-0000-0000-0000406B0000}"/>
    <cellStyle name="Normal 2 3 2 9 4 7" xfId="27464" xr:uid="{00000000-0005-0000-0000-0000416B0000}"/>
    <cellStyle name="Normal 2 3 2 9 4 8" xfId="27465" xr:uid="{00000000-0005-0000-0000-0000426B0000}"/>
    <cellStyle name="Normal 2 3 2 9 4 9" xfId="27466" xr:uid="{00000000-0005-0000-0000-0000436B0000}"/>
    <cellStyle name="Normal 2 3 2 9 5" xfId="27467" xr:uid="{00000000-0005-0000-0000-0000446B0000}"/>
    <cellStyle name="Normal 2 3 2 9 5 10" xfId="27468" xr:uid="{00000000-0005-0000-0000-0000456B0000}"/>
    <cellStyle name="Normal 2 3 2 9 5 2" xfId="27469" xr:uid="{00000000-0005-0000-0000-0000466B0000}"/>
    <cellStyle name="Normal 2 3 2 9 5 3" xfId="27470" xr:uid="{00000000-0005-0000-0000-0000476B0000}"/>
    <cellStyle name="Normal 2 3 2 9 5 4" xfId="27471" xr:uid="{00000000-0005-0000-0000-0000486B0000}"/>
    <cellStyle name="Normal 2 3 2 9 5 5" xfId="27472" xr:uid="{00000000-0005-0000-0000-0000496B0000}"/>
    <cellStyle name="Normal 2 3 2 9 5 6" xfId="27473" xr:uid="{00000000-0005-0000-0000-00004A6B0000}"/>
    <cellStyle name="Normal 2 3 2 9 5 7" xfId="27474" xr:uid="{00000000-0005-0000-0000-00004B6B0000}"/>
    <cellStyle name="Normal 2 3 2 9 5 8" xfId="27475" xr:uid="{00000000-0005-0000-0000-00004C6B0000}"/>
    <cellStyle name="Normal 2 3 2 9 5 9" xfId="27476" xr:uid="{00000000-0005-0000-0000-00004D6B0000}"/>
    <cellStyle name="Normal 2 3 2 9 6" xfId="27477" xr:uid="{00000000-0005-0000-0000-00004E6B0000}"/>
    <cellStyle name="Normal 2 3 2 9 7" xfId="27478" xr:uid="{00000000-0005-0000-0000-00004F6B0000}"/>
    <cellStyle name="Normal 2 3 2 9 8" xfId="27479" xr:uid="{00000000-0005-0000-0000-0000506B0000}"/>
    <cellStyle name="Normal 2 3 2 9 9" xfId="27480" xr:uid="{00000000-0005-0000-0000-0000516B0000}"/>
    <cellStyle name="Normal 2 3 20" xfId="27481" xr:uid="{00000000-0005-0000-0000-0000526B0000}"/>
    <cellStyle name="Normal 2 3 20 10" xfId="27482" xr:uid="{00000000-0005-0000-0000-0000536B0000}"/>
    <cellStyle name="Normal 2 3 20 11" xfId="27483" xr:uid="{00000000-0005-0000-0000-0000546B0000}"/>
    <cellStyle name="Normal 2 3 20 12" xfId="27484" xr:uid="{00000000-0005-0000-0000-0000556B0000}"/>
    <cellStyle name="Normal 2 3 20 13" xfId="27485" xr:uid="{00000000-0005-0000-0000-0000566B0000}"/>
    <cellStyle name="Normal 2 3 20 14" xfId="27486" xr:uid="{00000000-0005-0000-0000-0000576B0000}"/>
    <cellStyle name="Normal 2 3 20 2" xfId="27487" xr:uid="{00000000-0005-0000-0000-0000586B0000}"/>
    <cellStyle name="Normal 2 3 20 2 10" xfId="27488" xr:uid="{00000000-0005-0000-0000-0000596B0000}"/>
    <cellStyle name="Normal 2 3 20 2 2" xfId="27489" xr:uid="{00000000-0005-0000-0000-00005A6B0000}"/>
    <cellStyle name="Normal 2 3 20 2 3" xfId="27490" xr:uid="{00000000-0005-0000-0000-00005B6B0000}"/>
    <cellStyle name="Normal 2 3 20 2 4" xfId="27491" xr:uid="{00000000-0005-0000-0000-00005C6B0000}"/>
    <cellStyle name="Normal 2 3 20 2 5" xfId="27492" xr:uid="{00000000-0005-0000-0000-00005D6B0000}"/>
    <cellStyle name="Normal 2 3 20 2 6" xfId="27493" xr:uid="{00000000-0005-0000-0000-00005E6B0000}"/>
    <cellStyle name="Normal 2 3 20 2 7" xfId="27494" xr:uid="{00000000-0005-0000-0000-00005F6B0000}"/>
    <cellStyle name="Normal 2 3 20 2 8" xfId="27495" xr:uid="{00000000-0005-0000-0000-0000606B0000}"/>
    <cellStyle name="Normal 2 3 20 2 9" xfId="27496" xr:uid="{00000000-0005-0000-0000-0000616B0000}"/>
    <cellStyle name="Normal 2 3 20 3" xfId="27497" xr:uid="{00000000-0005-0000-0000-0000626B0000}"/>
    <cellStyle name="Normal 2 3 20 3 10" xfId="27498" xr:uid="{00000000-0005-0000-0000-0000636B0000}"/>
    <cellStyle name="Normal 2 3 20 3 2" xfId="27499" xr:uid="{00000000-0005-0000-0000-0000646B0000}"/>
    <cellStyle name="Normal 2 3 20 3 3" xfId="27500" xr:uid="{00000000-0005-0000-0000-0000656B0000}"/>
    <cellStyle name="Normal 2 3 20 3 4" xfId="27501" xr:uid="{00000000-0005-0000-0000-0000666B0000}"/>
    <cellStyle name="Normal 2 3 20 3 5" xfId="27502" xr:uid="{00000000-0005-0000-0000-0000676B0000}"/>
    <cellStyle name="Normal 2 3 20 3 6" xfId="27503" xr:uid="{00000000-0005-0000-0000-0000686B0000}"/>
    <cellStyle name="Normal 2 3 20 3 7" xfId="27504" xr:uid="{00000000-0005-0000-0000-0000696B0000}"/>
    <cellStyle name="Normal 2 3 20 3 8" xfId="27505" xr:uid="{00000000-0005-0000-0000-00006A6B0000}"/>
    <cellStyle name="Normal 2 3 20 3 9" xfId="27506" xr:uid="{00000000-0005-0000-0000-00006B6B0000}"/>
    <cellStyle name="Normal 2 3 20 4" xfId="27507" xr:uid="{00000000-0005-0000-0000-00006C6B0000}"/>
    <cellStyle name="Normal 2 3 20 4 10" xfId="27508" xr:uid="{00000000-0005-0000-0000-00006D6B0000}"/>
    <cellStyle name="Normal 2 3 20 4 2" xfId="27509" xr:uid="{00000000-0005-0000-0000-00006E6B0000}"/>
    <cellStyle name="Normal 2 3 20 4 3" xfId="27510" xr:uid="{00000000-0005-0000-0000-00006F6B0000}"/>
    <cellStyle name="Normal 2 3 20 4 4" xfId="27511" xr:uid="{00000000-0005-0000-0000-0000706B0000}"/>
    <cellStyle name="Normal 2 3 20 4 5" xfId="27512" xr:uid="{00000000-0005-0000-0000-0000716B0000}"/>
    <cellStyle name="Normal 2 3 20 4 6" xfId="27513" xr:uid="{00000000-0005-0000-0000-0000726B0000}"/>
    <cellStyle name="Normal 2 3 20 4 7" xfId="27514" xr:uid="{00000000-0005-0000-0000-0000736B0000}"/>
    <cellStyle name="Normal 2 3 20 4 8" xfId="27515" xr:uid="{00000000-0005-0000-0000-0000746B0000}"/>
    <cellStyle name="Normal 2 3 20 4 9" xfId="27516" xr:uid="{00000000-0005-0000-0000-0000756B0000}"/>
    <cellStyle name="Normal 2 3 20 5" xfId="27517" xr:uid="{00000000-0005-0000-0000-0000766B0000}"/>
    <cellStyle name="Normal 2 3 20 5 10" xfId="27518" xr:uid="{00000000-0005-0000-0000-0000776B0000}"/>
    <cellStyle name="Normal 2 3 20 5 2" xfId="27519" xr:uid="{00000000-0005-0000-0000-0000786B0000}"/>
    <cellStyle name="Normal 2 3 20 5 3" xfId="27520" xr:uid="{00000000-0005-0000-0000-0000796B0000}"/>
    <cellStyle name="Normal 2 3 20 5 4" xfId="27521" xr:uid="{00000000-0005-0000-0000-00007A6B0000}"/>
    <cellStyle name="Normal 2 3 20 5 5" xfId="27522" xr:uid="{00000000-0005-0000-0000-00007B6B0000}"/>
    <cellStyle name="Normal 2 3 20 5 6" xfId="27523" xr:uid="{00000000-0005-0000-0000-00007C6B0000}"/>
    <cellStyle name="Normal 2 3 20 5 7" xfId="27524" xr:uid="{00000000-0005-0000-0000-00007D6B0000}"/>
    <cellStyle name="Normal 2 3 20 5 8" xfId="27525" xr:uid="{00000000-0005-0000-0000-00007E6B0000}"/>
    <cellStyle name="Normal 2 3 20 5 9" xfId="27526" xr:uid="{00000000-0005-0000-0000-00007F6B0000}"/>
    <cellStyle name="Normal 2 3 20 6" xfId="27527" xr:uid="{00000000-0005-0000-0000-0000806B0000}"/>
    <cellStyle name="Normal 2 3 20 7" xfId="27528" xr:uid="{00000000-0005-0000-0000-0000816B0000}"/>
    <cellStyle name="Normal 2 3 20 8" xfId="27529" xr:uid="{00000000-0005-0000-0000-0000826B0000}"/>
    <cellStyle name="Normal 2 3 20 9" xfId="27530" xr:uid="{00000000-0005-0000-0000-0000836B0000}"/>
    <cellStyle name="Normal 2 3 21" xfId="27531" xr:uid="{00000000-0005-0000-0000-0000846B0000}"/>
    <cellStyle name="Normal 2 3 21 10" xfId="27532" xr:uid="{00000000-0005-0000-0000-0000856B0000}"/>
    <cellStyle name="Normal 2 3 21 11" xfId="27533" xr:uid="{00000000-0005-0000-0000-0000866B0000}"/>
    <cellStyle name="Normal 2 3 21 12" xfId="27534" xr:uid="{00000000-0005-0000-0000-0000876B0000}"/>
    <cellStyle name="Normal 2 3 21 13" xfId="27535" xr:uid="{00000000-0005-0000-0000-0000886B0000}"/>
    <cellStyle name="Normal 2 3 21 14" xfId="27536" xr:uid="{00000000-0005-0000-0000-0000896B0000}"/>
    <cellStyle name="Normal 2 3 21 2" xfId="27537" xr:uid="{00000000-0005-0000-0000-00008A6B0000}"/>
    <cellStyle name="Normal 2 3 21 2 10" xfId="27538" xr:uid="{00000000-0005-0000-0000-00008B6B0000}"/>
    <cellStyle name="Normal 2 3 21 2 2" xfId="27539" xr:uid="{00000000-0005-0000-0000-00008C6B0000}"/>
    <cellStyle name="Normal 2 3 21 2 3" xfId="27540" xr:uid="{00000000-0005-0000-0000-00008D6B0000}"/>
    <cellStyle name="Normal 2 3 21 2 4" xfId="27541" xr:uid="{00000000-0005-0000-0000-00008E6B0000}"/>
    <cellStyle name="Normal 2 3 21 2 5" xfId="27542" xr:uid="{00000000-0005-0000-0000-00008F6B0000}"/>
    <cellStyle name="Normal 2 3 21 2 6" xfId="27543" xr:uid="{00000000-0005-0000-0000-0000906B0000}"/>
    <cellStyle name="Normal 2 3 21 2 7" xfId="27544" xr:uid="{00000000-0005-0000-0000-0000916B0000}"/>
    <cellStyle name="Normal 2 3 21 2 8" xfId="27545" xr:uid="{00000000-0005-0000-0000-0000926B0000}"/>
    <cellStyle name="Normal 2 3 21 2 9" xfId="27546" xr:uid="{00000000-0005-0000-0000-0000936B0000}"/>
    <cellStyle name="Normal 2 3 21 3" xfId="27547" xr:uid="{00000000-0005-0000-0000-0000946B0000}"/>
    <cellStyle name="Normal 2 3 21 3 10" xfId="27548" xr:uid="{00000000-0005-0000-0000-0000956B0000}"/>
    <cellStyle name="Normal 2 3 21 3 2" xfId="27549" xr:uid="{00000000-0005-0000-0000-0000966B0000}"/>
    <cellStyle name="Normal 2 3 21 3 3" xfId="27550" xr:uid="{00000000-0005-0000-0000-0000976B0000}"/>
    <cellStyle name="Normal 2 3 21 3 4" xfId="27551" xr:uid="{00000000-0005-0000-0000-0000986B0000}"/>
    <cellStyle name="Normal 2 3 21 3 5" xfId="27552" xr:uid="{00000000-0005-0000-0000-0000996B0000}"/>
    <cellStyle name="Normal 2 3 21 3 6" xfId="27553" xr:uid="{00000000-0005-0000-0000-00009A6B0000}"/>
    <cellStyle name="Normal 2 3 21 3 7" xfId="27554" xr:uid="{00000000-0005-0000-0000-00009B6B0000}"/>
    <cellStyle name="Normal 2 3 21 3 8" xfId="27555" xr:uid="{00000000-0005-0000-0000-00009C6B0000}"/>
    <cellStyle name="Normal 2 3 21 3 9" xfId="27556" xr:uid="{00000000-0005-0000-0000-00009D6B0000}"/>
    <cellStyle name="Normal 2 3 21 4" xfId="27557" xr:uid="{00000000-0005-0000-0000-00009E6B0000}"/>
    <cellStyle name="Normal 2 3 21 4 10" xfId="27558" xr:uid="{00000000-0005-0000-0000-00009F6B0000}"/>
    <cellStyle name="Normal 2 3 21 4 2" xfId="27559" xr:uid="{00000000-0005-0000-0000-0000A06B0000}"/>
    <cellStyle name="Normal 2 3 21 4 3" xfId="27560" xr:uid="{00000000-0005-0000-0000-0000A16B0000}"/>
    <cellStyle name="Normal 2 3 21 4 4" xfId="27561" xr:uid="{00000000-0005-0000-0000-0000A26B0000}"/>
    <cellStyle name="Normal 2 3 21 4 5" xfId="27562" xr:uid="{00000000-0005-0000-0000-0000A36B0000}"/>
    <cellStyle name="Normal 2 3 21 4 6" xfId="27563" xr:uid="{00000000-0005-0000-0000-0000A46B0000}"/>
    <cellStyle name="Normal 2 3 21 4 7" xfId="27564" xr:uid="{00000000-0005-0000-0000-0000A56B0000}"/>
    <cellStyle name="Normal 2 3 21 4 8" xfId="27565" xr:uid="{00000000-0005-0000-0000-0000A66B0000}"/>
    <cellStyle name="Normal 2 3 21 4 9" xfId="27566" xr:uid="{00000000-0005-0000-0000-0000A76B0000}"/>
    <cellStyle name="Normal 2 3 21 5" xfId="27567" xr:uid="{00000000-0005-0000-0000-0000A86B0000}"/>
    <cellStyle name="Normal 2 3 21 5 10" xfId="27568" xr:uid="{00000000-0005-0000-0000-0000A96B0000}"/>
    <cellStyle name="Normal 2 3 21 5 2" xfId="27569" xr:uid="{00000000-0005-0000-0000-0000AA6B0000}"/>
    <cellStyle name="Normal 2 3 21 5 3" xfId="27570" xr:uid="{00000000-0005-0000-0000-0000AB6B0000}"/>
    <cellStyle name="Normal 2 3 21 5 4" xfId="27571" xr:uid="{00000000-0005-0000-0000-0000AC6B0000}"/>
    <cellStyle name="Normal 2 3 21 5 5" xfId="27572" xr:uid="{00000000-0005-0000-0000-0000AD6B0000}"/>
    <cellStyle name="Normal 2 3 21 5 6" xfId="27573" xr:uid="{00000000-0005-0000-0000-0000AE6B0000}"/>
    <cellStyle name="Normal 2 3 21 5 7" xfId="27574" xr:uid="{00000000-0005-0000-0000-0000AF6B0000}"/>
    <cellStyle name="Normal 2 3 21 5 8" xfId="27575" xr:uid="{00000000-0005-0000-0000-0000B06B0000}"/>
    <cellStyle name="Normal 2 3 21 5 9" xfId="27576" xr:uid="{00000000-0005-0000-0000-0000B16B0000}"/>
    <cellStyle name="Normal 2 3 21 6" xfId="27577" xr:uid="{00000000-0005-0000-0000-0000B26B0000}"/>
    <cellStyle name="Normal 2 3 21 7" xfId="27578" xr:uid="{00000000-0005-0000-0000-0000B36B0000}"/>
    <cellStyle name="Normal 2 3 21 8" xfId="27579" xr:uid="{00000000-0005-0000-0000-0000B46B0000}"/>
    <cellStyle name="Normal 2 3 21 9" xfId="27580" xr:uid="{00000000-0005-0000-0000-0000B56B0000}"/>
    <cellStyle name="Normal 2 3 22" xfId="27581" xr:uid="{00000000-0005-0000-0000-0000B66B0000}"/>
    <cellStyle name="Normal 2 3 22 10" xfId="27582" xr:uid="{00000000-0005-0000-0000-0000B76B0000}"/>
    <cellStyle name="Normal 2 3 22 11" xfId="27583" xr:uid="{00000000-0005-0000-0000-0000B86B0000}"/>
    <cellStyle name="Normal 2 3 22 12" xfId="27584" xr:uid="{00000000-0005-0000-0000-0000B96B0000}"/>
    <cellStyle name="Normal 2 3 22 13" xfId="27585" xr:uid="{00000000-0005-0000-0000-0000BA6B0000}"/>
    <cellStyle name="Normal 2 3 22 14" xfId="27586" xr:uid="{00000000-0005-0000-0000-0000BB6B0000}"/>
    <cellStyle name="Normal 2 3 22 2" xfId="27587" xr:uid="{00000000-0005-0000-0000-0000BC6B0000}"/>
    <cellStyle name="Normal 2 3 22 2 10" xfId="27588" xr:uid="{00000000-0005-0000-0000-0000BD6B0000}"/>
    <cellStyle name="Normal 2 3 22 2 2" xfId="27589" xr:uid="{00000000-0005-0000-0000-0000BE6B0000}"/>
    <cellStyle name="Normal 2 3 22 2 3" xfId="27590" xr:uid="{00000000-0005-0000-0000-0000BF6B0000}"/>
    <cellStyle name="Normal 2 3 22 2 4" xfId="27591" xr:uid="{00000000-0005-0000-0000-0000C06B0000}"/>
    <cellStyle name="Normal 2 3 22 2 5" xfId="27592" xr:uid="{00000000-0005-0000-0000-0000C16B0000}"/>
    <cellStyle name="Normal 2 3 22 2 6" xfId="27593" xr:uid="{00000000-0005-0000-0000-0000C26B0000}"/>
    <cellStyle name="Normal 2 3 22 2 7" xfId="27594" xr:uid="{00000000-0005-0000-0000-0000C36B0000}"/>
    <cellStyle name="Normal 2 3 22 2 8" xfId="27595" xr:uid="{00000000-0005-0000-0000-0000C46B0000}"/>
    <cellStyle name="Normal 2 3 22 2 9" xfId="27596" xr:uid="{00000000-0005-0000-0000-0000C56B0000}"/>
    <cellStyle name="Normal 2 3 22 3" xfId="27597" xr:uid="{00000000-0005-0000-0000-0000C66B0000}"/>
    <cellStyle name="Normal 2 3 22 3 10" xfId="27598" xr:uid="{00000000-0005-0000-0000-0000C76B0000}"/>
    <cellStyle name="Normal 2 3 22 3 2" xfId="27599" xr:uid="{00000000-0005-0000-0000-0000C86B0000}"/>
    <cellStyle name="Normal 2 3 22 3 3" xfId="27600" xr:uid="{00000000-0005-0000-0000-0000C96B0000}"/>
    <cellStyle name="Normal 2 3 22 3 4" xfId="27601" xr:uid="{00000000-0005-0000-0000-0000CA6B0000}"/>
    <cellStyle name="Normal 2 3 22 3 5" xfId="27602" xr:uid="{00000000-0005-0000-0000-0000CB6B0000}"/>
    <cellStyle name="Normal 2 3 22 3 6" xfId="27603" xr:uid="{00000000-0005-0000-0000-0000CC6B0000}"/>
    <cellStyle name="Normal 2 3 22 3 7" xfId="27604" xr:uid="{00000000-0005-0000-0000-0000CD6B0000}"/>
    <cellStyle name="Normal 2 3 22 3 8" xfId="27605" xr:uid="{00000000-0005-0000-0000-0000CE6B0000}"/>
    <cellStyle name="Normal 2 3 22 3 9" xfId="27606" xr:uid="{00000000-0005-0000-0000-0000CF6B0000}"/>
    <cellStyle name="Normal 2 3 22 4" xfId="27607" xr:uid="{00000000-0005-0000-0000-0000D06B0000}"/>
    <cellStyle name="Normal 2 3 22 4 10" xfId="27608" xr:uid="{00000000-0005-0000-0000-0000D16B0000}"/>
    <cellStyle name="Normal 2 3 22 4 2" xfId="27609" xr:uid="{00000000-0005-0000-0000-0000D26B0000}"/>
    <cellStyle name="Normal 2 3 22 4 3" xfId="27610" xr:uid="{00000000-0005-0000-0000-0000D36B0000}"/>
    <cellStyle name="Normal 2 3 22 4 4" xfId="27611" xr:uid="{00000000-0005-0000-0000-0000D46B0000}"/>
    <cellStyle name="Normal 2 3 22 4 5" xfId="27612" xr:uid="{00000000-0005-0000-0000-0000D56B0000}"/>
    <cellStyle name="Normal 2 3 22 4 6" xfId="27613" xr:uid="{00000000-0005-0000-0000-0000D66B0000}"/>
    <cellStyle name="Normal 2 3 22 4 7" xfId="27614" xr:uid="{00000000-0005-0000-0000-0000D76B0000}"/>
    <cellStyle name="Normal 2 3 22 4 8" xfId="27615" xr:uid="{00000000-0005-0000-0000-0000D86B0000}"/>
    <cellStyle name="Normal 2 3 22 4 9" xfId="27616" xr:uid="{00000000-0005-0000-0000-0000D96B0000}"/>
    <cellStyle name="Normal 2 3 22 5" xfId="27617" xr:uid="{00000000-0005-0000-0000-0000DA6B0000}"/>
    <cellStyle name="Normal 2 3 22 5 10" xfId="27618" xr:uid="{00000000-0005-0000-0000-0000DB6B0000}"/>
    <cellStyle name="Normal 2 3 22 5 2" xfId="27619" xr:uid="{00000000-0005-0000-0000-0000DC6B0000}"/>
    <cellStyle name="Normal 2 3 22 5 3" xfId="27620" xr:uid="{00000000-0005-0000-0000-0000DD6B0000}"/>
    <cellStyle name="Normal 2 3 22 5 4" xfId="27621" xr:uid="{00000000-0005-0000-0000-0000DE6B0000}"/>
    <cellStyle name="Normal 2 3 22 5 5" xfId="27622" xr:uid="{00000000-0005-0000-0000-0000DF6B0000}"/>
    <cellStyle name="Normal 2 3 22 5 6" xfId="27623" xr:uid="{00000000-0005-0000-0000-0000E06B0000}"/>
    <cellStyle name="Normal 2 3 22 5 7" xfId="27624" xr:uid="{00000000-0005-0000-0000-0000E16B0000}"/>
    <cellStyle name="Normal 2 3 22 5 8" xfId="27625" xr:uid="{00000000-0005-0000-0000-0000E26B0000}"/>
    <cellStyle name="Normal 2 3 22 5 9" xfId="27626" xr:uid="{00000000-0005-0000-0000-0000E36B0000}"/>
    <cellStyle name="Normal 2 3 22 6" xfId="27627" xr:uid="{00000000-0005-0000-0000-0000E46B0000}"/>
    <cellStyle name="Normal 2 3 22 7" xfId="27628" xr:uid="{00000000-0005-0000-0000-0000E56B0000}"/>
    <cellStyle name="Normal 2 3 22 8" xfId="27629" xr:uid="{00000000-0005-0000-0000-0000E66B0000}"/>
    <cellStyle name="Normal 2 3 22 9" xfId="27630" xr:uid="{00000000-0005-0000-0000-0000E76B0000}"/>
    <cellStyle name="Normal 2 3 23" xfId="27631" xr:uid="{00000000-0005-0000-0000-0000E86B0000}"/>
    <cellStyle name="Normal 2 3 23 10" xfId="27632" xr:uid="{00000000-0005-0000-0000-0000E96B0000}"/>
    <cellStyle name="Normal 2 3 23 11" xfId="27633" xr:uid="{00000000-0005-0000-0000-0000EA6B0000}"/>
    <cellStyle name="Normal 2 3 23 12" xfId="27634" xr:uid="{00000000-0005-0000-0000-0000EB6B0000}"/>
    <cellStyle name="Normal 2 3 23 13" xfId="27635" xr:uid="{00000000-0005-0000-0000-0000EC6B0000}"/>
    <cellStyle name="Normal 2 3 23 14" xfId="27636" xr:uid="{00000000-0005-0000-0000-0000ED6B0000}"/>
    <cellStyle name="Normal 2 3 23 2" xfId="27637" xr:uid="{00000000-0005-0000-0000-0000EE6B0000}"/>
    <cellStyle name="Normal 2 3 23 2 10" xfId="27638" xr:uid="{00000000-0005-0000-0000-0000EF6B0000}"/>
    <cellStyle name="Normal 2 3 23 2 2" xfId="27639" xr:uid="{00000000-0005-0000-0000-0000F06B0000}"/>
    <cellStyle name="Normal 2 3 23 2 3" xfId="27640" xr:uid="{00000000-0005-0000-0000-0000F16B0000}"/>
    <cellStyle name="Normal 2 3 23 2 4" xfId="27641" xr:uid="{00000000-0005-0000-0000-0000F26B0000}"/>
    <cellStyle name="Normal 2 3 23 2 5" xfId="27642" xr:uid="{00000000-0005-0000-0000-0000F36B0000}"/>
    <cellStyle name="Normal 2 3 23 2 6" xfId="27643" xr:uid="{00000000-0005-0000-0000-0000F46B0000}"/>
    <cellStyle name="Normal 2 3 23 2 7" xfId="27644" xr:uid="{00000000-0005-0000-0000-0000F56B0000}"/>
    <cellStyle name="Normal 2 3 23 2 8" xfId="27645" xr:uid="{00000000-0005-0000-0000-0000F66B0000}"/>
    <cellStyle name="Normal 2 3 23 2 9" xfId="27646" xr:uid="{00000000-0005-0000-0000-0000F76B0000}"/>
    <cellStyle name="Normal 2 3 23 3" xfId="27647" xr:uid="{00000000-0005-0000-0000-0000F86B0000}"/>
    <cellStyle name="Normal 2 3 23 3 10" xfId="27648" xr:uid="{00000000-0005-0000-0000-0000F96B0000}"/>
    <cellStyle name="Normal 2 3 23 3 2" xfId="27649" xr:uid="{00000000-0005-0000-0000-0000FA6B0000}"/>
    <cellStyle name="Normal 2 3 23 3 3" xfId="27650" xr:uid="{00000000-0005-0000-0000-0000FB6B0000}"/>
    <cellStyle name="Normal 2 3 23 3 4" xfId="27651" xr:uid="{00000000-0005-0000-0000-0000FC6B0000}"/>
    <cellStyle name="Normal 2 3 23 3 5" xfId="27652" xr:uid="{00000000-0005-0000-0000-0000FD6B0000}"/>
    <cellStyle name="Normal 2 3 23 3 6" xfId="27653" xr:uid="{00000000-0005-0000-0000-0000FE6B0000}"/>
    <cellStyle name="Normal 2 3 23 3 7" xfId="27654" xr:uid="{00000000-0005-0000-0000-0000FF6B0000}"/>
    <cellStyle name="Normal 2 3 23 3 8" xfId="27655" xr:uid="{00000000-0005-0000-0000-0000006C0000}"/>
    <cellStyle name="Normal 2 3 23 3 9" xfId="27656" xr:uid="{00000000-0005-0000-0000-0000016C0000}"/>
    <cellStyle name="Normal 2 3 23 4" xfId="27657" xr:uid="{00000000-0005-0000-0000-0000026C0000}"/>
    <cellStyle name="Normal 2 3 23 4 10" xfId="27658" xr:uid="{00000000-0005-0000-0000-0000036C0000}"/>
    <cellStyle name="Normal 2 3 23 4 2" xfId="27659" xr:uid="{00000000-0005-0000-0000-0000046C0000}"/>
    <cellStyle name="Normal 2 3 23 4 3" xfId="27660" xr:uid="{00000000-0005-0000-0000-0000056C0000}"/>
    <cellStyle name="Normal 2 3 23 4 4" xfId="27661" xr:uid="{00000000-0005-0000-0000-0000066C0000}"/>
    <cellStyle name="Normal 2 3 23 4 5" xfId="27662" xr:uid="{00000000-0005-0000-0000-0000076C0000}"/>
    <cellStyle name="Normal 2 3 23 4 6" xfId="27663" xr:uid="{00000000-0005-0000-0000-0000086C0000}"/>
    <cellStyle name="Normal 2 3 23 4 7" xfId="27664" xr:uid="{00000000-0005-0000-0000-0000096C0000}"/>
    <cellStyle name="Normal 2 3 23 4 8" xfId="27665" xr:uid="{00000000-0005-0000-0000-00000A6C0000}"/>
    <cellStyle name="Normal 2 3 23 4 9" xfId="27666" xr:uid="{00000000-0005-0000-0000-00000B6C0000}"/>
    <cellStyle name="Normal 2 3 23 5" xfId="27667" xr:uid="{00000000-0005-0000-0000-00000C6C0000}"/>
    <cellStyle name="Normal 2 3 23 5 10" xfId="27668" xr:uid="{00000000-0005-0000-0000-00000D6C0000}"/>
    <cellStyle name="Normal 2 3 23 5 2" xfId="27669" xr:uid="{00000000-0005-0000-0000-00000E6C0000}"/>
    <cellStyle name="Normal 2 3 23 5 3" xfId="27670" xr:uid="{00000000-0005-0000-0000-00000F6C0000}"/>
    <cellStyle name="Normal 2 3 23 5 4" xfId="27671" xr:uid="{00000000-0005-0000-0000-0000106C0000}"/>
    <cellStyle name="Normal 2 3 23 5 5" xfId="27672" xr:uid="{00000000-0005-0000-0000-0000116C0000}"/>
    <cellStyle name="Normal 2 3 23 5 6" xfId="27673" xr:uid="{00000000-0005-0000-0000-0000126C0000}"/>
    <cellStyle name="Normal 2 3 23 5 7" xfId="27674" xr:uid="{00000000-0005-0000-0000-0000136C0000}"/>
    <cellStyle name="Normal 2 3 23 5 8" xfId="27675" xr:uid="{00000000-0005-0000-0000-0000146C0000}"/>
    <cellStyle name="Normal 2 3 23 5 9" xfId="27676" xr:uid="{00000000-0005-0000-0000-0000156C0000}"/>
    <cellStyle name="Normal 2 3 23 6" xfId="27677" xr:uid="{00000000-0005-0000-0000-0000166C0000}"/>
    <cellStyle name="Normal 2 3 23 7" xfId="27678" xr:uid="{00000000-0005-0000-0000-0000176C0000}"/>
    <cellStyle name="Normal 2 3 23 8" xfId="27679" xr:uid="{00000000-0005-0000-0000-0000186C0000}"/>
    <cellStyle name="Normal 2 3 23 9" xfId="27680" xr:uid="{00000000-0005-0000-0000-0000196C0000}"/>
    <cellStyle name="Normal 2 3 24" xfId="27681" xr:uid="{00000000-0005-0000-0000-00001A6C0000}"/>
    <cellStyle name="Normal 2 3 24 10" xfId="27682" xr:uid="{00000000-0005-0000-0000-00001B6C0000}"/>
    <cellStyle name="Normal 2 3 24 11" xfId="27683" xr:uid="{00000000-0005-0000-0000-00001C6C0000}"/>
    <cellStyle name="Normal 2 3 24 12" xfId="27684" xr:uid="{00000000-0005-0000-0000-00001D6C0000}"/>
    <cellStyle name="Normal 2 3 24 13" xfId="27685" xr:uid="{00000000-0005-0000-0000-00001E6C0000}"/>
    <cellStyle name="Normal 2 3 24 14" xfId="27686" xr:uid="{00000000-0005-0000-0000-00001F6C0000}"/>
    <cellStyle name="Normal 2 3 24 2" xfId="27687" xr:uid="{00000000-0005-0000-0000-0000206C0000}"/>
    <cellStyle name="Normal 2 3 24 2 10" xfId="27688" xr:uid="{00000000-0005-0000-0000-0000216C0000}"/>
    <cellStyle name="Normal 2 3 24 2 2" xfId="27689" xr:uid="{00000000-0005-0000-0000-0000226C0000}"/>
    <cellStyle name="Normal 2 3 24 2 3" xfId="27690" xr:uid="{00000000-0005-0000-0000-0000236C0000}"/>
    <cellStyle name="Normal 2 3 24 2 4" xfId="27691" xr:uid="{00000000-0005-0000-0000-0000246C0000}"/>
    <cellStyle name="Normal 2 3 24 2 5" xfId="27692" xr:uid="{00000000-0005-0000-0000-0000256C0000}"/>
    <cellStyle name="Normal 2 3 24 2 6" xfId="27693" xr:uid="{00000000-0005-0000-0000-0000266C0000}"/>
    <cellStyle name="Normal 2 3 24 2 7" xfId="27694" xr:uid="{00000000-0005-0000-0000-0000276C0000}"/>
    <cellStyle name="Normal 2 3 24 2 8" xfId="27695" xr:uid="{00000000-0005-0000-0000-0000286C0000}"/>
    <cellStyle name="Normal 2 3 24 2 9" xfId="27696" xr:uid="{00000000-0005-0000-0000-0000296C0000}"/>
    <cellStyle name="Normal 2 3 24 3" xfId="27697" xr:uid="{00000000-0005-0000-0000-00002A6C0000}"/>
    <cellStyle name="Normal 2 3 24 3 10" xfId="27698" xr:uid="{00000000-0005-0000-0000-00002B6C0000}"/>
    <cellStyle name="Normal 2 3 24 3 2" xfId="27699" xr:uid="{00000000-0005-0000-0000-00002C6C0000}"/>
    <cellStyle name="Normal 2 3 24 3 3" xfId="27700" xr:uid="{00000000-0005-0000-0000-00002D6C0000}"/>
    <cellStyle name="Normal 2 3 24 3 4" xfId="27701" xr:uid="{00000000-0005-0000-0000-00002E6C0000}"/>
    <cellStyle name="Normal 2 3 24 3 5" xfId="27702" xr:uid="{00000000-0005-0000-0000-00002F6C0000}"/>
    <cellStyle name="Normal 2 3 24 3 6" xfId="27703" xr:uid="{00000000-0005-0000-0000-0000306C0000}"/>
    <cellStyle name="Normal 2 3 24 3 7" xfId="27704" xr:uid="{00000000-0005-0000-0000-0000316C0000}"/>
    <cellStyle name="Normal 2 3 24 3 8" xfId="27705" xr:uid="{00000000-0005-0000-0000-0000326C0000}"/>
    <cellStyle name="Normal 2 3 24 3 9" xfId="27706" xr:uid="{00000000-0005-0000-0000-0000336C0000}"/>
    <cellStyle name="Normal 2 3 24 4" xfId="27707" xr:uid="{00000000-0005-0000-0000-0000346C0000}"/>
    <cellStyle name="Normal 2 3 24 4 10" xfId="27708" xr:uid="{00000000-0005-0000-0000-0000356C0000}"/>
    <cellStyle name="Normal 2 3 24 4 2" xfId="27709" xr:uid="{00000000-0005-0000-0000-0000366C0000}"/>
    <cellStyle name="Normal 2 3 24 4 3" xfId="27710" xr:uid="{00000000-0005-0000-0000-0000376C0000}"/>
    <cellStyle name="Normal 2 3 24 4 4" xfId="27711" xr:uid="{00000000-0005-0000-0000-0000386C0000}"/>
    <cellStyle name="Normal 2 3 24 4 5" xfId="27712" xr:uid="{00000000-0005-0000-0000-0000396C0000}"/>
    <cellStyle name="Normal 2 3 24 4 6" xfId="27713" xr:uid="{00000000-0005-0000-0000-00003A6C0000}"/>
    <cellStyle name="Normal 2 3 24 4 7" xfId="27714" xr:uid="{00000000-0005-0000-0000-00003B6C0000}"/>
    <cellStyle name="Normal 2 3 24 4 8" xfId="27715" xr:uid="{00000000-0005-0000-0000-00003C6C0000}"/>
    <cellStyle name="Normal 2 3 24 4 9" xfId="27716" xr:uid="{00000000-0005-0000-0000-00003D6C0000}"/>
    <cellStyle name="Normal 2 3 24 5" xfId="27717" xr:uid="{00000000-0005-0000-0000-00003E6C0000}"/>
    <cellStyle name="Normal 2 3 24 5 10" xfId="27718" xr:uid="{00000000-0005-0000-0000-00003F6C0000}"/>
    <cellStyle name="Normal 2 3 24 5 2" xfId="27719" xr:uid="{00000000-0005-0000-0000-0000406C0000}"/>
    <cellStyle name="Normal 2 3 24 5 3" xfId="27720" xr:uid="{00000000-0005-0000-0000-0000416C0000}"/>
    <cellStyle name="Normal 2 3 24 5 4" xfId="27721" xr:uid="{00000000-0005-0000-0000-0000426C0000}"/>
    <cellStyle name="Normal 2 3 24 5 5" xfId="27722" xr:uid="{00000000-0005-0000-0000-0000436C0000}"/>
    <cellStyle name="Normal 2 3 24 5 6" xfId="27723" xr:uid="{00000000-0005-0000-0000-0000446C0000}"/>
    <cellStyle name="Normal 2 3 24 5 7" xfId="27724" xr:uid="{00000000-0005-0000-0000-0000456C0000}"/>
    <cellStyle name="Normal 2 3 24 5 8" xfId="27725" xr:uid="{00000000-0005-0000-0000-0000466C0000}"/>
    <cellStyle name="Normal 2 3 24 5 9" xfId="27726" xr:uid="{00000000-0005-0000-0000-0000476C0000}"/>
    <cellStyle name="Normal 2 3 24 6" xfId="27727" xr:uid="{00000000-0005-0000-0000-0000486C0000}"/>
    <cellStyle name="Normal 2 3 24 7" xfId="27728" xr:uid="{00000000-0005-0000-0000-0000496C0000}"/>
    <cellStyle name="Normal 2 3 24 8" xfId="27729" xr:uid="{00000000-0005-0000-0000-00004A6C0000}"/>
    <cellStyle name="Normal 2 3 24 9" xfId="27730" xr:uid="{00000000-0005-0000-0000-00004B6C0000}"/>
    <cellStyle name="Normal 2 3 25" xfId="27731" xr:uid="{00000000-0005-0000-0000-00004C6C0000}"/>
    <cellStyle name="Normal 2 3 25 10" xfId="27732" xr:uid="{00000000-0005-0000-0000-00004D6C0000}"/>
    <cellStyle name="Normal 2 3 25 11" xfId="27733" xr:uid="{00000000-0005-0000-0000-00004E6C0000}"/>
    <cellStyle name="Normal 2 3 25 12" xfId="27734" xr:uid="{00000000-0005-0000-0000-00004F6C0000}"/>
    <cellStyle name="Normal 2 3 25 13" xfId="27735" xr:uid="{00000000-0005-0000-0000-0000506C0000}"/>
    <cellStyle name="Normal 2 3 25 14" xfId="27736" xr:uid="{00000000-0005-0000-0000-0000516C0000}"/>
    <cellStyle name="Normal 2 3 25 2" xfId="27737" xr:uid="{00000000-0005-0000-0000-0000526C0000}"/>
    <cellStyle name="Normal 2 3 25 2 10" xfId="27738" xr:uid="{00000000-0005-0000-0000-0000536C0000}"/>
    <cellStyle name="Normal 2 3 25 2 2" xfId="27739" xr:uid="{00000000-0005-0000-0000-0000546C0000}"/>
    <cellStyle name="Normal 2 3 25 2 3" xfId="27740" xr:uid="{00000000-0005-0000-0000-0000556C0000}"/>
    <cellStyle name="Normal 2 3 25 2 4" xfId="27741" xr:uid="{00000000-0005-0000-0000-0000566C0000}"/>
    <cellStyle name="Normal 2 3 25 2 5" xfId="27742" xr:uid="{00000000-0005-0000-0000-0000576C0000}"/>
    <cellStyle name="Normal 2 3 25 2 6" xfId="27743" xr:uid="{00000000-0005-0000-0000-0000586C0000}"/>
    <cellStyle name="Normal 2 3 25 2 7" xfId="27744" xr:uid="{00000000-0005-0000-0000-0000596C0000}"/>
    <cellStyle name="Normal 2 3 25 2 8" xfId="27745" xr:uid="{00000000-0005-0000-0000-00005A6C0000}"/>
    <cellStyle name="Normal 2 3 25 2 9" xfId="27746" xr:uid="{00000000-0005-0000-0000-00005B6C0000}"/>
    <cellStyle name="Normal 2 3 25 3" xfId="27747" xr:uid="{00000000-0005-0000-0000-00005C6C0000}"/>
    <cellStyle name="Normal 2 3 25 3 10" xfId="27748" xr:uid="{00000000-0005-0000-0000-00005D6C0000}"/>
    <cellStyle name="Normal 2 3 25 3 2" xfId="27749" xr:uid="{00000000-0005-0000-0000-00005E6C0000}"/>
    <cellStyle name="Normal 2 3 25 3 3" xfId="27750" xr:uid="{00000000-0005-0000-0000-00005F6C0000}"/>
    <cellStyle name="Normal 2 3 25 3 4" xfId="27751" xr:uid="{00000000-0005-0000-0000-0000606C0000}"/>
    <cellStyle name="Normal 2 3 25 3 5" xfId="27752" xr:uid="{00000000-0005-0000-0000-0000616C0000}"/>
    <cellStyle name="Normal 2 3 25 3 6" xfId="27753" xr:uid="{00000000-0005-0000-0000-0000626C0000}"/>
    <cellStyle name="Normal 2 3 25 3 7" xfId="27754" xr:uid="{00000000-0005-0000-0000-0000636C0000}"/>
    <cellStyle name="Normal 2 3 25 3 8" xfId="27755" xr:uid="{00000000-0005-0000-0000-0000646C0000}"/>
    <cellStyle name="Normal 2 3 25 3 9" xfId="27756" xr:uid="{00000000-0005-0000-0000-0000656C0000}"/>
    <cellStyle name="Normal 2 3 25 4" xfId="27757" xr:uid="{00000000-0005-0000-0000-0000666C0000}"/>
    <cellStyle name="Normal 2 3 25 4 10" xfId="27758" xr:uid="{00000000-0005-0000-0000-0000676C0000}"/>
    <cellStyle name="Normal 2 3 25 4 2" xfId="27759" xr:uid="{00000000-0005-0000-0000-0000686C0000}"/>
    <cellStyle name="Normal 2 3 25 4 3" xfId="27760" xr:uid="{00000000-0005-0000-0000-0000696C0000}"/>
    <cellStyle name="Normal 2 3 25 4 4" xfId="27761" xr:uid="{00000000-0005-0000-0000-00006A6C0000}"/>
    <cellStyle name="Normal 2 3 25 4 5" xfId="27762" xr:uid="{00000000-0005-0000-0000-00006B6C0000}"/>
    <cellStyle name="Normal 2 3 25 4 6" xfId="27763" xr:uid="{00000000-0005-0000-0000-00006C6C0000}"/>
    <cellStyle name="Normal 2 3 25 4 7" xfId="27764" xr:uid="{00000000-0005-0000-0000-00006D6C0000}"/>
    <cellStyle name="Normal 2 3 25 4 8" xfId="27765" xr:uid="{00000000-0005-0000-0000-00006E6C0000}"/>
    <cellStyle name="Normal 2 3 25 4 9" xfId="27766" xr:uid="{00000000-0005-0000-0000-00006F6C0000}"/>
    <cellStyle name="Normal 2 3 25 5" xfId="27767" xr:uid="{00000000-0005-0000-0000-0000706C0000}"/>
    <cellStyle name="Normal 2 3 25 5 10" xfId="27768" xr:uid="{00000000-0005-0000-0000-0000716C0000}"/>
    <cellStyle name="Normal 2 3 25 5 2" xfId="27769" xr:uid="{00000000-0005-0000-0000-0000726C0000}"/>
    <cellStyle name="Normal 2 3 25 5 3" xfId="27770" xr:uid="{00000000-0005-0000-0000-0000736C0000}"/>
    <cellStyle name="Normal 2 3 25 5 4" xfId="27771" xr:uid="{00000000-0005-0000-0000-0000746C0000}"/>
    <cellStyle name="Normal 2 3 25 5 5" xfId="27772" xr:uid="{00000000-0005-0000-0000-0000756C0000}"/>
    <cellStyle name="Normal 2 3 25 5 6" xfId="27773" xr:uid="{00000000-0005-0000-0000-0000766C0000}"/>
    <cellStyle name="Normal 2 3 25 5 7" xfId="27774" xr:uid="{00000000-0005-0000-0000-0000776C0000}"/>
    <cellStyle name="Normal 2 3 25 5 8" xfId="27775" xr:uid="{00000000-0005-0000-0000-0000786C0000}"/>
    <cellStyle name="Normal 2 3 25 5 9" xfId="27776" xr:uid="{00000000-0005-0000-0000-0000796C0000}"/>
    <cellStyle name="Normal 2 3 25 6" xfId="27777" xr:uid="{00000000-0005-0000-0000-00007A6C0000}"/>
    <cellStyle name="Normal 2 3 25 7" xfId="27778" xr:uid="{00000000-0005-0000-0000-00007B6C0000}"/>
    <cellStyle name="Normal 2 3 25 8" xfId="27779" xr:uid="{00000000-0005-0000-0000-00007C6C0000}"/>
    <cellStyle name="Normal 2 3 25 9" xfId="27780" xr:uid="{00000000-0005-0000-0000-00007D6C0000}"/>
    <cellStyle name="Normal 2 3 26" xfId="27781" xr:uid="{00000000-0005-0000-0000-00007E6C0000}"/>
    <cellStyle name="Normal 2 3 26 10" xfId="27782" xr:uid="{00000000-0005-0000-0000-00007F6C0000}"/>
    <cellStyle name="Normal 2 3 26 11" xfId="27783" xr:uid="{00000000-0005-0000-0000-0000806C0000}"/>
    <cellStyle name="Normal 2 3 26 12" xfId="27784" xr:uid="{00000000-0005-0000-0000-0000816C0000}"/>
    <cellStyle name="Normal 2 3 26 13" xfId="27785" xr:uid="{00000000-0005-0000-0000-0000826C0000}"/>
    <cellStyle name="Normal 2 3 26 14" xfId="27786" xr:uid="{00000000-0005-0000-0000-0000836C0000}"/>
    <cellStyle name="Normal 2 3 26 2" xfId="27787" xr:uid="{00000000-0005-0000-0000-0000846C0000}"/>
    <cellStyle name="Normal 2 3 26 2 10" xfId="27788" xr:uid="{00000000-0005-0000-0000-0000856C0000}"/>
    <cellStyle name="Normal 2 3 26 2 2" xfId="27789" xr:uid="{00000000-0005-0000-0000-0000866C0000}"/>
    <cellStyle name="Normal 2 3 26 2 3" xfId="27790" xr:uid="{00000000-0005-0000-0000-0000876C0000}"/>
    <cellStyle name="Normal 2 3 26 2 4" xfId="27791" xr:uid="{00000000-0005-0000-0000-0000886C0000}"/>
    <cellStyle name="Normal 2 3 26 2 5" xfId="27792" xr:uid="{00000000-0005-0000-0000-0000896C0000}"/>
    <cellStyle name="Normal 2 3 26 2 6" xfId="27793" xr:uid="{00000000-0005-0000-0000-00008A6C0000}"/>
    <cellStyle name="Normal 2 3 26 2 7" xfId="27794" xr:uid="{00000000-0005-0000-0000-00008B6C0000}"/>
    <cellStyle name="Normal 2 3 26 2 8" xfId="27795" xr:uid="{00000000-0005-0000-0000-00008C6C0000}"/>
    <cellStyle name="Normal 2 3 26 2 9" xfId="27796" xr:uid="{00000000-0005-0000-0000-00008D6C0000}"/>
    <cellStyle name="Normal 2 3 26 3" xfId="27797" xr:uid="{00000000-0005-0000-0000-00008E6C0000}"/>
    <cellStyle name="Normal 2 3 26 3 10" xfId="27798" xr:uid="{00000000-0005-0000-0000-00008F6C0000}"/>
    <cellStyle name="Normal 2 3 26 3 2" xfId="27799" xr:uid="{00000000-0005-0000-0000-0000906C0000}"/>
    <cellStyle name="Normal 2 3 26 3 3" xfId="27800" xr:uid="{00000000-0005-0000-0000-0000916C0000}"/>
    <cellStyle name="Normal 2 3 26 3 4" xfId="27801" xr:uid="{00000000-0005-0000-0000-0000926C0000}"/>
    <cellStyle name="Normal 2 3 26 3 5" xfId="27802" xr:uid="{00000000-0005-0000-0000-0000936C0000}"/>
    <cellStyle name="Normal 2 3 26 3 6" xfId="27803" xr:uid="{00000000-0005-0000-0000-0000946C0000}"/>
    <cellStyle name="Normal 2 3 26 3 7" xfId="27804" xr:uid="{00000000-0005-0000-0000-0000956C0000}"/>
    <cellStyle name="Normal 2 3 26 3 8" xfId="27805" xr:uid="{00000000-0005-0000-0000-0000966C0000}"/>
    <cellStyle name="Normal 2 3 26 3 9" xfId="27806" xr:uid="{00000000-0005-0000-0000-0000976C0000}"/>
    <cellStyle name="Normal 2 3 26 4" xfId="27807" xr:uid="{00000000-0005-0000-0000-0000986C0000}"/>
    <cellStyle name="Normal 2 3 26 4 10" xfId="27808" xr:uid="{00000000-0005-0000-0000-0000996C0000}"/>
    <cellStyle name="Normal 2 3 26 4 2" xfId="27809" xr:uid="{00000000-0005-0000-0000-00009A6C0000}"/>
    <cellStyle name="Normal 2 3 26 4 3" xfId="27810" xr:uid="{00000000-0005-0000-0000-00009B6C0000}"/>
    <cellStyle name="Normal 2 3 26 4 4" xfId="27811" xr:uid="{00000000-0005-0000-0000-00009C6C0000}"/>
    <cellStyle name="Normal 2 3 26 4 5" xfId="27812" xr:uid="{00000000-0005-0000-0000-00009D6C0000}"/>
    <cellStyle name="Normal 2 3 26 4 6" xfId="27813" xr:uid="{00000000-0005-0000-0000-00009E6C0000}"/>
    <cellStyle name="Normal 2 3 26 4 7" xfId="27814" xr:uid="{00000000-0005-0000-0000-00009F6C0000}"/>
    <cellStyle name="Normal 2 3 26 4 8" xfId="27815" xr:uid="{00000000-0005-0000-0000-0000A06C0000}"/>
    <cellStyle name="Normal 2 3 26 4 9" xfId="27816" xr:uid="{00000000-0005-0000-0000-0000A16C0000}"/>
    <cellStyle name="Normal 2 3 26 5" xfId="27817" xr:uid="{00000000-0005-0000-0000-0000A26C0000}"/>
    <cellStyle name="Normal 2 3 26 5 10" xfId="27818" xr:uid="{00000000-0005-0000-0000-0000A36C0000}"/>
    <cellStyle name="Normal 2 3 26 5 2" xfId="27819" xr:uid="{00000000-0005-0000-0000-0000A46C0000}"/>
    <cellStyle name="Normal 2 3 26 5 3" xfId="27820" xr:uid="{00000000-0005-0000-0000-0000A56C0000}"/>
    <cellStyle name="Normal 2 3 26 5 4" xfId="27821" xr:uid="{00000000-0005-0000-0000-0000A66C0000}"/>
    <cellStyle name="Normal 2 3 26 5 5" xfId="27822" xr:uid="{00000000-0005-0000-0000-0000A76C0000}"/>
    <cellStyle name="Normal 2 3 26 5 6" xfId="27823" xr:uid="{00000000-0005-0000-0000-0000A86C0000}"/>
    <cellStyle name="Normal 2 3 26 5 7" xfId="27824" xr:uid="{00000000-0005-0000-0000-0000A96C0000}"/>
    <cellStyle name="Normal 2 3 26 5 8" xfId="27825" xr:uid="{00000000-0005-0000-0000-0000AA6C0000}"/>
    <cellStyle name="Normal 2 3 26 5 9" xfId="27826" xr:uid="{00000000-0005-0000-0000-0000AB6C0000}"/>
    <cellStyle name="Normal 2 3 26 6" xfId="27827" xr:uid="{00000000-0005-0000-0000-0000AC6C0000}"/>
    <cellStyle name="Normal 2 3 26 7" xfId="27828" xr:uid="{00000000-0005-0000-0000-0000AD6C0000}"/>
    <cellStyle name="Normal 2 3 26 8" xfId="27829" xr:uid="{00000000-0005-0000-0000-0000AE6C0000}"/>
    <cellStyle name="Normal 2 3 26 9" xfId="27830" xr:uid="{00000000-0005-0000-0000-0000AF6C0000}"/>
    <cellStyle name="Normal 2 3 27" xfId="27831" xr:uid="{00000000-0005-0000-0000-0000B06C0000}"/>
    <cellStyle name="Normal 2 3 27 10" xfId="27832" xr:uid="{00000000-0005-0000-0000-0000B16C0000}"/>
    <cellStyle name="Normal 2 3 27 11" xfId="27833" xr:uid="{00000000-0005-0000-0000-0000B26C0000}"/>
    <cellStyle name="Normal 2 3 27 12" xfId="27834" xr:uid="{00000000-0005-0000-0000-0000B36C0000}"/>
    <cellStyle name="Normal 2 3 27 13" xfId="27835" xr:uid="{00000000-0005-0000-0000-0000B46C0000}"/>
    <cellStyle name="Normal 2 3 27 14" xfId="27836" xr:uid="{00000000-0005-0000-0000-0000B56C0000}"/>
    <cellStyle name="Normal 2 3 27 2" xfId="27837" xr:uid="{00000000-0005-0000-0000-0000B66C0000}"/>
    <cellStyle name="Normal 2 3 27 2 10" xfId="27838" xr:uid="{00000000-0005-0000-0000-0000B76C0000}"/>
    <cellStyle name="Normal 2 3 27 2 2" xfId="27839" xr:uid="{00000000-0005-0000-0000-0000B86C0000}"/>
    <cellStyle name="Normal 2 3 27 2 3" xfId="27840" xr:uid="{00000000-0005-0000-0000-0000B96C0000}"/>
    <cellStyle name="Normal 2 3 27 2 4" xfId="27841" xr:uid="{00000000-0005-0000-0000-0000BA6C0000}"/>
    <cellStyle name="Normal 2 3 27 2 5" xfId="27842" xr:uid="{00000000-0005-0000-0000-0000BB6C0000}"/>
    <cellStyle name="Normal 2 3 27 2 6" xfId="27843" xr:uid="{00000000-0005-0000-0000-0000BC6C0000}"/>
    <cellStyle name="Normal 2 3 27 2 7" xfId="27844" xr:uid="{00000000-0005-0000-0000-0000BD6C0000}"/>
    <cellStyle name="Normal 2 3 27 2 8" xfId="27845" xr:uid="{00000000-0005-0000-0000-0000BE6C0000}"/>
    <cellStyle name="Normal 2 3 27 2 9" xfId="27846" xr:uid="{00000000-0005-0000-0000-0000BF6C0000}"/>
    <cellStyle name="Normal 2 3 27 3" xfId="27847" xr:uid="{00000000-0005-0000-0000-0000C06C0000}"/>
    <cellStyle name="Normal 2 3 27 3 10" xfId="27848" xr:uid="{00000000-0005-0000-0000-0000C16C0000}"/>
    <cellStyle name="Normal 2 3 27 3 2" xfId="27849" xr:uid="{00000000-0005-0000-0000-0000C26C0000}"/>
    <cellStyle name="Normal 2 3 27 3 3" xfId="27850" xr:uid="{00000000-0005-0000-0000-0000C36C0000}"/>
    <cellStyle name="Normal 2 3 27 3 4" xfId="27851" xr:uid="{00000000-0005-0000-0000-0000C46C0000}"/>
    <cellStyle name="Normal 2 3 27 3 5" xfId="27852" xr:uid="{00000000-0005-0000-0000-0000C56C0000}"/>
    <cellStyle name="Normal 2 3 27 3 6" xfId="27853" xr:uid="{00000000-0005-0000-0000-0000C66C0000}"/>
    <cellStyle name="Normal 2 3 27 3 7" xfId="27854" xr:uid="{00000000-0005-0000-0000-0000C76C0000}"/>
    <cellStyle name="Normal 2 3 27 3 8" xfId="27855" xr:uid="{00000000-0005-0000-0000-0000C86C0000}"/>
    <cellStyle name="Normal 2 3 27 3 9" xfId="27856" xr:uid="{00000000-0005-0000-0000-0000C96C0000}"/>
    <cellStyle name="Normal 2 3 27 4" xfId="27857" xr:uid="{00000000-0005-0000-0000-0000CA6C0000}"/>
    <cellStyle name="Normal 2 3 27 4 10" xfId="27858" xr:uid="{00000000-0005-0000-0000-0000CB6C0000}"/>
    <cellStyle name="Normal 2 3 27 4 2" xfId="27859" xr:uid="{00000000-0005-0000-0000-0000CC6C0000}"/>
    <cellStyle name="Normal 2 3 27 4 3" xfId="27860" xr:uid="{00000000-0005-0000-0000-0000CD6C0000}"/>
    <cellStyle name="Normal 2 3 27 4 4" xfId="27861" xr:uid="{00000000-0005-0000-0000-0000CE6C0000}"/>
    <cellStyle name="Normal 2 3 27 4 5" xfId="27862" xr:uid="{00000000-0005-0000-0000-0000CF6C0000}"/>
    <cellStyle name="Normal 2 3 27 4 6" xfId="27863" xr:uid="{00000000-0005-0000-0000-0000D06C0000}"/>
    <cellStyle name="Normal 2 3 27 4 7" xfId="27864" xr:uid="{00000000-0005-0000-0000-0000D16C0000}"/>
    <cellStyle name="Normal 2 3 27 4 8" xfId="27865" xr:uid="{00000000-0005-0000-0000-0000D26C0000}"/>
    <cellStyle name="Normal 2 3 27 4 9" xfId="27866" xr:uid="{00000000-0005-0000-0000-0000D36C0000}"/>
    <cellStyle name="Normal 2 3 27 5" xfId="27867" xr:uid="{00000000-0005-0000-0000-0000D46C0000}"/>
    <cellStyle name="Normal 2 3 27 5 10" xfId="27868" xr:uid="{00000000-0005-0000-0000-0000D56C0000}"/>
    <cellStyle name="Normal 2 3 27 5 2" xfId="27869" xr:uid="{00000000-0005-0000-0000-0000D66C0000}"/>
    <cellStyle name="Normal 2 3 27 5 3" xfId="27870" xr:uid="{00000000-0005-0000-0000-0000D76C0000}"/>
    <cellStyle name="Normal 2 3 27 5 4" xfId="27871" xr:uid="{00000000-0005-0000-0000-0000D86C0000}"/>
    <cellStyle name="Normal 2 3 27 5 5" xfId="27872" xr:uid="{00000000-0005-0000-0000-0000D96C0000}"/>
    <cellStyle name="Normal 2 3 27 5 6" xfId="27873" xr:uid="{00000000-0005-0000-0000-0000DA6C0000}"/>
    <cellStyle name="Normal 2 3 27 5 7" xfId="27874" xr:uid="{00000000-0005-0000-0000-0000DB6C0000}"/>
    <cellStyle name="Normal 2 3 27 5 8" xfId="27875" xr:uid="{00000000-0005-0000-0000-0000DC6C0000}"/>
    <cellStyle name="Normal 2 3 27 5 9" xfId="27876" xr:uid="{00000000-0005-0000-0000-0000DD6C0000}"/>
    <cellStyle name="Normal 2 3 27 6" xfId="27877" xr:uid="{00000000-0005-0000-0000-0000DE6C0000}"/>
    <cellStyle name="Normal 2 3 27 7" xfId="27878" xr:uid="{00000000-0005-0000-0000-0000DF6C0000}"/>
    <cellStyle name="Normal 2 3 27 8" xfId="27879" xr:uid="{00000000-0005-0000-0000-0000E06C0000}"/>
    <cellStyle name="Normal 2 3 27 9" xfId="27880" xr:uid="{00000000-0005-0000-0000-0000E16C0000}"/>
    <cellStyle name="Normal 2 3 28" xfId="27881" xr:uid="{00000000-0005-0000-0000-0000E26C0000}"/>
    <cellStyle name="Normal 2 3 28 10" xfId="27882" xr:uid="{00000000-0005-0000-0000-0000E36C0000}"/>
    <cellStyle name="Normal 2 3 28 11" xfId="27883" xr:uid="{00000000-0005-0000-0000-0000E46C0000}"/>
    <cellStyle name="Normal 2 3 28 12" xfId="27884" xr:uid="{00000000-0005-0000-0000-0000E56C0000}"/>
    <cellStyle name="Normal 2 3 28 13" xfId="27885" xr:uid="{00000000-0005-0000-0000-0000E66C0000}"/>
    <cellStyle name="Normal 2 3 28 14" xfId="27886" xr:uid="{00000000-0005-0000-0000-0000E76C0000}"/>
    <cellStyle name="Normal 2 3 28 2" xfId="27887" xr:uid="{00000000-0005-0000-0000-0000E86C0000}"/>
    <cellStyle name="Normal 2 3 28 2 10" xfId="27888" xr:uid="{00000000-0005-0000-0000-0000E96C0000}"/>
    <cellStyle name="Normal 2 3 28 2 2" xfId="27889" xr:uid="{00000000-0005-0000-0000-0000EA6C0000}"/>
    <cellStyle name="Normal 2 3 28 2 3" xfId="27890" xr:uid="{00000000-0005-0000-0000-0000EB6C0000}"/>
    <cellStyle name="Normal 2 3 28 2 4" xfId="27891" xr:uid="{00000000-0005-0000-0000-0000EC6C0000}"/>
    <cellStyle name="Normal 2 3 28 2 5" xfId="27892" xr:uid="{00000000-0005-0000-0000-0000ED6C0000}"/>
    <cellStyle name="Normal 2 3 28 2 6" xfId="27893" xr:uid="{00000000-0005-0000-0000-0000EE6C0000}"/>
    <cellStyle name="Normal 2 3 28 2 7" xfId="27894" xr:uid="{00000000-0005-0000-0000-0000EF6C0000}"/>
    <cellStyle name="Normal 2 3 28 2 8" xfId="27895" xr:uid="{00000000-0005-0000-0000-0000F06C0000}"/>
    <cellStyle name="Normal 2 3 28 2 9" xfId="27896" xr:uid="{00000000-0005-0000-0000-0000F16C0000}"/>
    <cellStyle name="Normal 2 3 28 3" xfId="27897" xr:uid="{00000000-0005-0000-0000-0000F26C0000}"/>
    <cellStyle name="Normal 2 3 28 3 10" xfId="27898" xr:uid="{00000000-0005-0000-0000-0000F36C0000}"/>
    <cellStyle name="Normal 2 3 28 3 2" xfId="27899" xr:uid="{00000000-0005-0000-0000-0000F46C0000}"/>
    <cellStyle name="Normal 2 3 28 3 3" xfId="27900" xr:uid="{00000000-0005-0000-0000-0000F56C0000}"/>
    <cellStyle name="Normal 2 3 28 3 4" xfId="27901" xr:uid="{00000000-0005-0000-0000-0000F66C0000}"/>
    <cellStyle name="Normal 2 3 28 3 5" xfId="27902" xr:uid="{00000000-0005-0000-0000-0000F76C0000}"/>
    <cellStyle name="Normal 2 3 28 3 6" xfId="27903" xr:uid="{00000000-0005-0000-0000-0000F86C0000}"/>
    <cellStyle name="Normal 2 3 28 3 7" xfId="27904" xr:uid="{00000000-0005-0000-0000-0000F96C0000}"/>
    <cellStyle name="Normal 2 3 28 3 8" xfId="27905" xr:uid="{00000000-0005-0000-0000-0000FA6C0000}"/>
    <cellStyle name="Normal 2 3 28 3 9" xfId="27906" xr:uid="{00000000-0005-0000-0000-0000FB6C0000}"/>
    <cellStyle name="Normal 2 3 28 4" xfId="27907" xr:uid="{00000000-0005-0000-0000-0000FC6C0000}"/>
    <cellStyle name="Normal 2 3 28 4 10" xfId="27908" xr:uid="{00000000-0005-0000-0000-0000FD6C0000}"/>
    <cellStyle name="Normal 2 3 28 4 2" xfId="27909" xr:uid="{00000000-0005-0000-0000-0000FE6C0000}"/>
    <cellStyle name="Normal 2 3 28 4 3" xfId="27910" xr:uid="{00000000-0005-0000-0000-0000FF6C0000}"/>
    <cellStyle name="Normal 2 3 28 4 4" xfId="27911" xr:uid="{00000000-0005-0000-0000-0000006D0000}"/>
    <cellStyle name="Normal 2 3 28 4 5" xfId="27912" xr:uid="{00000000-0005-0000-0000-0000016D0000}"/>
    <cellStyle name="Normal 2 3 28 4 6" xfId="27913" xr:uid="{00000000-0005-0000-0000-0000026D0000}"/>
    <cellStyle name="Normal 2 3 28 4 7" xfId="27914" xr:uid="{00000000-0005-0000-0000-0000036D0000}"/>
    <cellStyle name="Normal 2 3 28 4 8" xfId="27915" xr:uid="{00000000-0005-0000-0000-0000046D0000}"/>
    <cellStyle name="Normal 2 3 28 4 9" xfId="27916" xr:uid="{00000000-0005-0000-0000-0000056D0000}"/>
    <cellStyle name="Normal 2 3 28 5" xfId="27917" xr:uid="{00000000-0005-0000-0000-0000066D0000}"/>
    <cellStyle name="Normal 2 3 28 5 10" xfId="27918" xr:uid="{00000000-0005-0000-0000-0000076D0000}"/>
    <cellStyle name="Normal 2 3 28 5 2" xfId="27919" xr:uid="{00000000-0005-0000-0000-0000086D0000}"/>
    <cellStyle name="Normal 2 3 28 5 3" xfId="27920" xr:uid="{00000000-0005-0000-0000-0000096D0000}"/>
    <cellStyle name="Normal 2 3 28 5 4" xfId="27921" xr:uid="{00000000-0005-0000-0000-00000A6D0000}"/>
    <cellStyle name="Normal 2 3 28 5 5" xfId="27922" xr:uid="{00000000-0005-0000-0000-00000B6D0000}"/>
    <cellStyle name="Normal 2 3 28 5 6" xfId="27923" xr:uid="{00000000-0005-0000-0000-00000C6D0000}"/>
    <cellStyle name="Normal 2 3 28 5 7" xfId="27924" xr:uid="{00000000-0005-0000-0000-00000D6D0000}"/>
    <cellStyle name="Normal 2 3 28 5 8" xfId="27925" xr:uid="{00000000-0005-0000-0000-00000E6D0000}"/>
    <cellStyle name="Normal 2 3 28 5 9" xfId="27926" xr:uid="{00000000-0005-0000-0000-00000F6D0000}"/>
    <cellStyle name="Normal 2 3 28 6" xfId="27927" xr:uid="{00000000-0005-0000-0000-0000106D0000}"/>
    <cellStyle name="Normal 2 3 28 7" xfId="27928" xr:uid="{00000000-0005-0000-0000-0000116D0000}"/>
    <cellStyle name="Normal 2 3 28 8" xfId="27929" xr:uid="{00000000-0005-0000-0000-0000126D0000}"/>
    <cellStyle name="Normal 2 3 28 9" xfId="27930" xr:uid="{00000000-0005-0000-0000-0000136D0000}"/>
    <cellStyle name="Normal 2 3 29" xfId="27931" xr:uid="{00000000-0005-0000-0000-0000146D0000}"/>
    <cellStyle name="Normal 2 3 29 10" xfId="27932" xr:uid="{00000000-0005-0000-0000-0000156D0000}"/>
    <cellStyle name="Normal 2 3 29 11" xfId="27933" xr:uid="{00000000-0005-0000-0000-0000166D0000}"/>
    <cellStyle name="Normal 2 3 29 12" xfId="27934" xr:uid="{00000000-0005-0000-0000-0000176D0000}"/>
    <cellStyle name="Normal 2 3 29 13" xfId="27935" xr:uid="{00000000-0005-0000-0000-0000186D0000}"/>
    <cellStyle name="Normal 2 3 29 14" xfId="27936" xr:uid="{00000000-0005-0000-0000-0000196D0000}"/>
    <cellStyle name="Normal 2 3 29 2" xfId="27937" xr:uid="{00000000-0005-0000-0000-00001A6D0000}"/>
    <cellStyle name="Normal 2 3 29 2 10" xfId="27938" xr:uid="{00000000-0005-0000-0000-00001B6D0000}"/>
    <cellStyle name="Normal 2 3 29 2 2" xfId="27939" xr:uid="{00000000-0005-0000-0000-00001C6D0000}"/>
    <cellStyle name="Normal 2 3 29 2 3" xfId="27940" xr:uid="{00000000-0005-0000-0000-00001D6D0000}"/>
    <cellStyle name="Normal 2 3 29 2 4" xfId="27941" xr:uid="{00000000-0005-0000-0000-00001E6D0000}"/>
    <cellStyle name="Normal 2 3 29 2 5" xfId="27942" xr:uid="{00000000-0005-0000-0000-00001F6D0000}"/>
    <cellStyle name="Normal 2 3 29 2 6" xfId="27943" xr:uid="{00000000-0005-0000-0000-0000206D0000}"/>
    <cellStyle name="Normal 2 3 29 2 7" xfId="27944" xr:uid="{00000000-0005-0000-0000-0000216D0000}"/>
    <cellStyle name="Normal 2 3 29 2 8" xfId="27945" xr:uid="{00000000-0005-0000-0000-0000226D0000}"/>
    <cellStyle name="Normal 2 3 29 2 9" xfId="27946" xr:uid="{00000000-0005-0000-0000-0000236D0000}"/>
    <cellStyle name="Normal 2 3 29 3" xfId="27947" xr:uid="{00000000-0005-0000-0000-0000246D0000}"/>
    <cellStyle name="Normal 2 3 29 3 10" xfId="27948" xr:uid="{00000000-0005-0000-0000-0000256D0000}"/>
    <cellStyle name="Normal 2 3 29 3 2" xfId="27949" xr:uid="{00000000-0005-0000-0000-0000266D0000}"/>
    <cellStyle name="Normal 2 3 29 3 3" xfId="27950" xr:uid="{00000000-0005-0000-0000-0000276D0000}"/>
    <cellStyle name="Normal 2 3 29 3 4" xfId="27951" xr:uid="{00000000-0005-0000-0000-0000286D0000}"/>
    <cellStyle name="Normal 2 3 29 3 5" xfId="27952" xr:uid="{00000000-0005-0000-0000-0000296D0000}"/>
    <cellStyle name="Normal 2 3 29 3 6" xfId="27953" xr:uid="{00000000-0005-0000-0000-00002A6D0000}"/>
    <cellStyle name="Normal 2 3 29 3 7" xfId="27954" xr:uid="{00000000-0005-0000-0000-00002B6D0000}"/>
    <cellStyle name="Normal 2 3 29 3 8" xfId="27955" xr:uid="{00000000-0005-0000-0000-00002C6D0000}"/>
    <cellStyle name="Normal 2 3 29 3 9" xfId="27956" xr:uid="{00000000-0005-0000-0000-00002D6D0000}"/>
    <cellStyle name="Normal 2 3 29 4" xfId="27957" xr:uid="{00000000-0005-0000-0000-00002E6D0000}"/>
    <cellStyle name="Normal 2 3 29 4 10" xfId="27958" xr:uid="{00000000-0005-0000-0000-00002F6D0000}"/>
    <cellStyle name="Normal 2 3 29 4 2" xfId="27959" xr:uid="{00000000-0005-0000-0000-0000306D0000}"/>
    <cellStyle name="Normal 2 3 29 4 3" xfId="27960" xr:uid="{00000000-0005-0000-0000-0000316D0000}"/>
    <cellStyle name="Normal 2 3 29 4 4" xfId="27961" xr:uid="{00000000-0005-0000-0000-0000326D0000}"/>
    <cellStyle name="Normal 2 3 29 4 5" xfId="27962" xr:uid="{00000000-0005-0000-0000-0000336D0000}"/>
    <cellStyle name="Normal 2 3 29 4 6" xfId="27963" xr:uid="{00000000-0005-0000-0000-0000346D0000}"/>
    <cellStyle name="Normal 2 3 29 4 7" xfId="27964" xr:uid="{00000000-0005-0000-0000-0000356D0000}"/>
    <cellStyle name="Normal 2 3 29 4 8" xfId="27965" xr:uid="{00000000-0005-0000-0000-0000366D0000}"/>
    <cellStyle name="Normal 2 3 29 4 9" xfId="27966" xr:uid="{00000000-0005-0000-0000-0000376D0000}"/>
    <cellStyle name="Normal 2 3 29 5" xfId="27967" xr:uid="{00000000-0005-0000-0000-0000386D0000}"/>
    <cellStyle name="Normal 2 3 29 5 10" xfId="27968" xr:uid="{00000000-0005-0000-0000-0000396D0000}"/>
    <cellStyle name="Normal 2 3 29 5 2" xfId="27969" xr:uid="{00000000-0005-0000-0000-00003A6D0000}"/>
    <cellStyle name="Normal 2 3 29 5 3" xfId="27970" xr:uid="{00000000-0005-0000-0000-00003B6D0000}"/>
    <cellStyle name="Normal 2 3 29 5 4" xfId="27971" xr:uid="{00000000-0005-0000-0000-00003C6D0000}"/>
    <cellStyle name="Normal 2 3 29 5 5" xfId="27972" xr:uid="{00000000-0005-0000-0000-00003D6D0000}"/>
    <cellStyle name="Normal 2 3 29 5 6" xfId="27973" xr:uid="{00000000-0005-0000-0000-00003E6D0000}"/>
    <cellStyle name="Normal 2 3 29 5 7" xfId="27974" xr:uid="{00000000-0005-0000-0000-00003F6D0000}"/>
    <cellStyle name="Normal 2 3 29 5 8" xfId="27975" xr:uid="{00000000-0005-0000-0000-0000406D0000}"/>
    <cellStyle name="Normal 2 3 29 5 9" xfId="27976" xr:uid="{00000000-0005-0000-0000-0000416D0000}"/>
    <cellStyle name="Normal 2 3 29 6" xfId="27977" xr:uid="{00000000-0005-0000-0000-0000426D0000}"/>
    <cellStyle name="Normal 2 3 29 7" xfId="27978" xr:uid="{00000000-0005-0000-0000-0000436D0000}"/>
    <cellStyle name="Normal 2 3 29 8" xfId="27979" xr:uid="{00000000-0005-0000-0000-0000446D0000}"/>
    <cellStyle name="Normal 2 3 29 9" xfId="27980" xr:uid="{00000000-0005-0000-0000-0000456D0000}"/>
    <cellStyle name="Normal 2 3 3" xfId="27981" xr:uid="{00000000-0005-0000-0000-0000466D0000}"/>
    <cellStyle name="Normal 2 3 3 10" xfId="27982" xr:uid="{00000000-0005-0000-0000-0000476D0000}"/>
    <cellStyle name="Normal 2 3 3 11" xfId="27983" xr:uid="{00000000-0005-0000-0000-0000486D0000}"/>
    <cellStyle name="Normal 2 3 3 12" xfId="27984" xr:uid="{00000000-0005-0000-0000-0000496D0000}"/>
    <cellStyle name="Normal 2 3 3 13" xfId="27985" xr:uid="{00000000-0005-0000-0000-00004A6D0000}"/>
    <cellStyle name="Normal 2 3 3 14" xfId="27986" xr:uid="{00000000-0005-0000-0000-00004B6D0000}"/>
    <cellStyle name="Normal 2 3 3 15" xfId="27987" xr:uid="{00000000-0005-0000-0000-00004C6D0000}"/>
    <cellStyle name="Normal 2 3 3 16" xfId="27988" xr:uid="{00000000-0005-0000-0000-00004D6D0000}"/>
    <cellStyle name="Normal 2 3 3 2" xfId="27989" xr:uid="{00000000-0005-0000-0000-00004E6D0000}"/>
    <cellStyle name="Normal 2 3 3 2 10" xfId="27990" xr:uid="{00000000-0005-0000-0000-00004F6D0000}"/>
    <cellStyle name="Normal 2 3 3 2 2" xfId="27991" xr:uid="{00000000-0005-0000-0000-0000506D0000}"/>
    <cellStyle name="Normal 2 3 3 2 3" xfId="27992" xr:uid="{00000000-0005-0000-0000-0000516D0000}"/>
    <cellStyle name="Normal 2 3 3 2 4" xfId="27993" xr:uid="{00000000-0005-0000-0000-0000526D0000}"/>
    <cellStyle name="Normal 2 3 3 2 5" xfId="27994" xr:uid="{00000000-0005-0000-0000-0000536D0000}"/>
    <cellStyle name="Normal 2 3 3 2 6" xfId="27995" xr:uid="{00000000-0005-0000-0000-0000546D0000}"/>
    <cellStyle name="Normal 2 3 3 2 7" xfId="27996" xr:uid="{00000000-0005-0000-0000-0000556D0000}"/>
    <cellStyle name="Normal 2 3 3 2 8" xfId="27997" xr:uid="{00000000-0005-0000-0000-0000566D0000}"/>
    <cellStyle name="Normal 2 3 3 2 9" xfId="27998" xr:uid="{00000000-0005-0000-0000-0000576D0000}"/>
    <cellStyle name="Normal 2 3 3 3" xfId="27999" xr:uid="{00000000-0005-0000-0000-0000586D0000}"/>
    <cellStyle name="Normal 2 3 3 3 10" xfId="28000" xr:uid="{00000000-0005-0000-0000-0000596D0000}"/>
    <cellStyle name="Normal 2 3 3 3 2" xfId="28001" xr:uid="{00000000-0005-0000-0000-00005A6D0000}"/>
    <cellStyle name="Normal 2 3 3 3 3" xfId="28002" xr:uid="{00000000-0005-0000-0000-00005B6D0000}"/>
    <cellStyle name="Normal 2 3 3 3 4" xfId="28003" xr:uid="{00000000-0005-0000-0000-00005C6D0000}"/>
    <cellStyle name="Normal 2 3 3 3 5" xfId="28004" xr:uid="{00000000-0005-0000-0000-00005D6D0000}"/>
    <cellStyle name="Normal 2 3 3 3 6" xfId="28005" xr:uid="{00000000-0005-0000-0000-00005E6D0000}"/>
    <cellStyle name="Normal 2 3 3 3 7" xfId="28006" xr:uid="{00000000-0005-0000-0000-00005F6D0000}"/>
    <cellStyle name="Normal 2 3 3 3 8" xfId="28007" xr:uid="{00000000-0005-0000-0000-0000606D0000}"/>
    <cellStyle name="Normal 2 3 3 3 9" xfId="28008" xr:uid="{00000000-0005-0000-0000-0000616D0000}"/>
    <cellStyle name="Normal 2 3 3 4" xfId="28009" xr:uid="{00000000-0005-0000-0000-0000626D0000}"/>
    <cellStyle name="Normal 2 3 3 4 10" xfId="28010" xr:uid="{00000000-0005-0000-0000-0000636D0000}"/>
    <cellStyle name="Normal 2 3 3 4 2" xfId="28011" xr:uid="{00000000-0005-0000-0000-0000646D0000}"/>
    <cellStyle name="Normal 2 3 3 4 3" xfId="28012" xr:uid="{00000000-0005-0000-0000-0000656D0000}"/>
    <cellStyle name="Normal 2 3 3 4 4" xfId="28013" xr:uid="{00000000-0005-0000-0000-0000666D0000}"/>
    <cellStyle name="Normal 2 3 3 4 5" xfId="28014" xr:uid="{00000000-0005-0000-0000-0000676D0000}"/>
    <cellStyle name="Normal 2 3 3 4 6" xfId="28015" xr:uid="{00000000-0005-0000-0000-0000686D0000}"/>
    <cellStyle name="Normal 2 3 3 4 7" xfId="28016" xr:uid="{00000000-0005-0000-0000-0000696D0000}"/>
    <cellStyle name="Normal 2 3 3 4 8" xfId="28017" xr:uid="{00000000-0005-0000-0000-00006A6D0000}"/>
    <cellStyle name="Normal 2 3 3 4 9" xfId="28018" xr:uid="{00000000-0005-0000-0000-00006B6D0000}"/>
    <cellStyle name="Normal 2 3 3 5" xfId="28019" xr:uid="{00000000-0005-0000-0000-00006C6D0000}"/>
    <cellStyle name="Normal 2 3 3 5 10" xfId="28020" xr:uid="{00000000-0005-0000-0000-00006D6D0000}"/>
    <cellStyle name="Normal 2 3 3 5 2" xfId="28021" xr:uid="{00000000-0005-0000-0000-00006E6D0000}"/>
    <cellStyle name="Normal 2 3 3 5 3" xfId="28022" xr:uid="{00000000-0005-0000-0000-00006F6D0000}"/>
    <cellStyle name="Normal 2 3 3 5 4" xfId="28023" xr:uid="{00000000-0005-0000-0000-0000706D0000}"/>
    <cellStyle name="Normal 2 3 3 5 5" xfId="28024" xr:uid="{00000000-0005-0000-0000-0000716D0000}"/>
    <cellStyle name="Normal 2 3 3 5 6" xfId="28025" xr:uid="{00000000-0005-0000-0000-0000726D0000}"/>
    <cellStyle name="Normal 2 3 3 5 7" xfId="28026" xr:uid="{00000000-0005-0000-0000-0000736D0000}"/>
    <cellStyle name="Normal 2 3 3 5 8" xfId="28027" xr:uid="{00000000-0005-0000-0000-0000746D0000}"/>
    <cellStyle name="Normal 2 3 3 5 9" xfId="28028" xr:uid="{00000000-0005-0000-0000-0000756D0000}"/>
    <cellStyle name="Normal 2 3 3 6" xfId="28029" xr:uid="{00000000-0005-0000-0000-0000766D0000}"/>
    <cellStyle name="Normal 2 3 3 7" xfId="28030" xr:uid="{00000000-0005-0000-0000-0000776D0000}"/>
    <cellStyle name="Normal 2 3 3 8" xfId="28031" xr:uid="{00000000-0005-0000-0000-0000786D0000}"/>
    <cellStyle name="Normal 2 3 3 9" xfId="28032" xr:uid="{00000000-0005-0000-0000-0000796D0000}"/>
    <cellStyle name="Normal 2 3 30" xfId="28033" xr:uid="{00000000-0005-0000-0000-00007A6D0000}"/>
    <cellStyle name="Normal 2 3 30 10" xfId="28034" xr:uid="{00000000-0005-0000-0000-00007B6D0000}"/>
    <cellStyle name="Normal 2 3 30 11" xfId="28035" xr:uid="{00000000-0005-0000-0000-00007C6D0000}"/>
    <cellStyle name="Normal 2 3 30 12" xfId="28036" xr:uid="{00000000-0005-0000-0000-00007D6D0000}"/>
    <cellStyle name="Normal 2 3 30 13" xfId="28037" xr:uid="{00000000-0005-0000-0000-00007E6D0000}"/>
    <cellStyle name="Normal 2 3 30 14" xfId="28038" xr:uid="{00000000-0005-0000-0000-00007F6D0000}"/>
    <cellStyle name="Normal 2 3 30 2" xfId="28039" xr:uid="{00000000-0005-0000-0000-0000806D0000}"/>
    <cellStyle name="Normal 2 3 30 2 10" xfId="28040" xr:uid="{00000000-0005-0000-0000-0000816D0000}"/>
    <cellStyle name="Normal 2 3 30 2 2" xfId="28041" xr:uid="{00000000-0005-0000-0000-0000826D0000}"/>
    <cellStyle name="Normal 2 3 30 2 3" xfId="28042" xr:uid="{00000000-0005-0000-0000-0000836D0000}"/>
    <cellStyle name="Normal 2 3 30 2 4" xfId="28043" xr:uid="{00000000-0005-0000-0000-0000846D0000}"/>
    <cellStyle name="Normal 2 3 30 2 5" xfId="28044" xr:uid="{00000000-0005-0000-0000-0000856D0000}"/>
    <cellStyle name="Normal 2 3 30 2 6" xfId="28045" xr:uid="{00000000-0005-0000-0000-0000866D0000}"/>
    <cellStyle name="Normal 2 3 30 2 7" xfId="28046" xr:uid="{00000000-0005-0000-0000-0000876D0000}"/>
    <cellStyle name="Normal 2 3 30 2 8" xfId="28047" xr:uid="{00000000-0005-0000-0000-0000886D0000}"/>
    <cellStyle name="Normal 2 3 30 2 9" xfId="28048" xr:uid="{00000000-0005-0000-0000-0000896D0000}"/>
    <cellStyle name="Normal 2 3 30 3" xfId="28049" xr:uid="{00000000-0005-0000-0000-00008A6D0000}"/>
    <cellStyle name="Normal 2 3 30 3 10" xfId="28050" xr:uid="{00000000-0005-0000-0000-00008B6D0000}"/>
    <cellStyle name="Normal 2 3 30 3 2" xfId="28051" xr:uid="{00000000-0005-0000-0000-00008C6D0000}"/>
    <cellStyle name="Normal 2 3 30 3 3" xfId="28052" xr:uid="{00000000-0005-0000-0000-00008D6D0000}"/>
    <cellStyle name="Normal 2 3 30 3 4" xfId="28053" xr:uid="{00000000-0005-0000-0000-00008E6D0000}"/>
    <cellStyle name="Normal 2 3 30 3 5" xfId="28054" xr:uid="{00000000-0005-0000-0000-00008F6D0000}"/>
    <cellStyle name="Normal 2 3 30 3 6" xfId="28055" xr:uid="{00000000-0005-0000-0000-0000906D0000}"/>
    <cellStyle name="Normal 2 3 30 3 7" xfId="28056" xr:uid="{00000000-0005-0000-0000-0000916D0000}"/>
    <cellStyle name="Normal 2 3 30 3 8" xfId="28057" xr:uid="{00000000-0005-0000-0000-0000926D0000}"/>
    <cellStyle name="Normal 2 3 30 3 9" xfId="28058" xr:uid="{00000000-0005-0000-0000-0000936D0000}"/>
    <cellStyle name="Normal 2 3 30 4" xfId="28059" xr:uid="{00000000-0005-0000-0000-0000946D0000}"/>
    <cellStyle name="Normal 2 3 30 4 10" xfId="28060" xr:uid="{00000000-0005-0000-0000-0000956D0000}"/>
    <cellStyle name="Normal 2 3 30 4 2" xfId="28061" xr:uid="{00000000-0005-0000-0000-0000966D0000}"/>
    <cellStyle name="Normal 2 3 30 4 3" xfId="28062" xr:uid="{00000000-0005-0000-0000-0000976D0000}"/>
    <cellStyle name="Normal 2 3 30 4 4" xfId="28063" xr:uid="{00000000-0005-0000-0000-0000986D0000}"/>
    <cellStyle name="Normal 2 3 30 4 5" xfId="28064" xr:uid="{00000000-0005-0000-0000-0000996D0000}"/>
    <cellStyle name="Normal 2 3 30 4 6" xfId="28065" xr:uid="{00000000-0005-0000-0000-00009A6D0000}"/>
    <cellStyle name="Normal 2 3 30 4 7" xfId="28066" xr:uid="{00000000-0005-0000-0000-00009B6D0000}"/>
    <cellStyle name="Normal 2 3 30 4 8" xfId="28067" xr:uid="{00000000-0005-0000-0000-00009C6D0000}"/>
    <cellStyle name="Normal 2 3 30 4 9" xfId="28068" xr:uid="{00000000-0005-0000-0000-00009D6D0000}"/>
    <cellStyle name="Normal 2 3 30 5" xfId="28069" xr:uid="{00000000-0005-0000-0000-00009E6D0000}"/>
    <cellStyle name="Normal 2 3 30 5 10" xfId="28070" xr:uid="{00000000-0005-0000-0000-00009F6D0000}"/>
    <cellStyle name="Normal 2 3 30 5 2" xfId="28071" xr:uid="{00000000-0005-0000-0000-0000A06D0000}"/>
    <cellStyle name="Normal 2 3 30 5 3" xfId="28072" xr:uid="{00000000-0005-0000-0000-0000A16D0000}"/>
    <cellStyle name="Normal 2 3 30 5 4" xfId="28073" xr:uid="{00000000-0005-0000-0000-0000A26D0000}"/>
    <cellStyle name="Normal 2 3 30 5 5" xfId="28074" xr:uid="{00000000-0005-0000-0000-0000A36D0000}"/>
    <cellStyle name="Normal 2 3 30 5 6" xfId="28075" xr:uid="{00000000-0005-0000-0000-0000A46D0000}"/>
    <cellStyle name="Normal 2 3 30 5 7" xfId="28076" xr:uid="{00000000-0005-0000-0000-0000A56D0000}"/>
    <cellStyle name="Normal 2 3 30 5 8" xfId="28077" xr:uid="{00000000-0005-0000-0000-0000A66D0000}"/>
    <cellStyle name="Normal 2 3 30 5 9" xfId="28078" xr:uid="{00000000-0005-0000-0000-0000A76D0000}"/>
    <cellStyle name="Normal 2 3 30 6" xfId="28079" xr:uid="{00000000-0005-0000-0000-0000A86D0000}"/>
    <cellStyle name="Normal 2 3 30 7" xfId="28080" xr:uid="{00000000-0005-0000-0000-0000A96D0000}"/>
    <cellStyle name="Normal 2 3 30 8" xfId="28081" xr:uid="{00000000-0005-0000-0000-0000AA6D0000}"/>
    <cellStyle name="Normal 2 3 30 9" xfId="28082" xr:uid="{00000000-0005-0000-0000-0000AB6D0000}"/>
    <cellStyle name="Normal 2 3 31" xfId="28083" xr:uid="{00000000-0005-0000-0000-0000AC6D0000}"/>
    <cellStyle name="Normal 2 3 31 10" xfId="28084" xr:uid="{00000000-0005-0000-0000-0000AD6D0000}"/>
    <cellStyle name="Normal 2 3 31 11" xfId="28085" xr:uid="{00000000-0005-0000-0000-0000AE6D0000}"/>
    <cellStyle name="Normal 2 3 31 12" xfId="28086" xr:uid="{00000000-0005-0000-0000-0000AF6D0000}"/>
    <cellStyle name="Normal 2 3 31 13" xfId="28087" xr:uid="{00000000-0005-0000-0000-0000B06D0000}"/>
    <cellStyle name="Normal 2 3 31 14" xfId="28088" xr:uid="{00000000-0005-0000-0000-0000B16D0000}"/>
    <cellStyle name="Normal 2 3 31 2" xfId="28089" xr:uid="{00000000-0005-0000-0000-0000B26D0000}"/>
    <cellStyle name="Normal 2 3 31 2 10" xfId="28090" xr:uid="{00000000-0005-0000-0000-0000B36D0000}"/>
    <cellStyle name="Normal 2 3 31 2 2" xfId="28091" xr:uid="{00000000-0005-0000-0000-0000B46D0000}"/>
    <cellStyle name="Normal 2 3 31 2 3" xfId="28092" xr:uid="{00000000-0005-0000-0000-0000B56D0000}"/>
    <cellStyle name="Normal 2 3 31 2 4" xfId="28093" xr:uid="{00000000-0005-0000-0000-0000B66D0000}"/>
    <cellStyle name="Normal 2 3 31 2 5" xfId="28094" xr:uid="{00000000-0005-0000-0000-0000B76D0000}"/>
    <cellStyle name="Normal 2 3 31 2 6" xfId="28095" xr:uid="{00000000-0005-0000-0000-0000B86D0000}"/>
    <cellStyle name="Normal 2 3 31 2 7" xfId="28096" xr:uid="{00000000-0005-0000-0000-0000B96D0000}"/>
    <cellStyle name="Normal 2 3 31 2 8" xfId="28097" xr:uid="{00000000-0005-0000-0000-0000BA6D0000}"/>
    <cellStyle name="Normal 2 3 31 2 9" xfId="28098" xr:uid="{00000000-0005-0000-0000-0000BB6D0000}"/>
    <cellStyle name="Normal 2 3 31 3" xfId="28099" xr:uid="{00000000-0005-0000-0000-0000BC6D0000}"/>
    <cellStyle name="Normal 2 3 31 3 10" xfId="28100" xr:uid="{00000000-0005-0000-0000-0000BD6D0000}"/>
    <cellStyle name="Normal 2 3 31 3 2" xfId="28101" xr:uid="{00000000-0005-0000-0000-0000BE6D0000}"/>
    <cellStyle name="Normal 2 3 31 3 3" xfId="28102" xr:uid="{00000000-0005-0000-0000-0000BF6D0000}"/>
    <cellStyle name="Normal 2 3 31 3 4" xfId="28103" xr:uid="{00000000-0005-0000-0000-0000C06D0000}"/>
    <cellStyle name="Normal 2 3 31 3 5" xfId="28104" xr:uid="{00000000-0005-0000-0000-0000C16D0000}"/>
    <cellStyle name="Normal 2 3 31 3 6" xfId="28105" xr:uid="{00000000-0005-0000-0000-0000C26D0000}"/>
    <cellStyle name="Normal 2 3 31 3 7" xfId="28106" xr:uid="{00000000-0005-0000-0000-0000C36D0000}"/>
    <cellStyle name="Normal 2 3 31 3 8" xfId="28107" xr:uid="{00000000-0005-0000-0000-0000C46D0000}"/>
    <cellStyle name="Normal 2 3 31 3 9" xfId="28108" xr:uid="{00000000-0005-0000-0000-0000C56D0000}"/>
    <cellStyle name="Normal 2 3 31 4" xfId="28109" xr:uid="{00000000-0005-0000-0000-0000C66D0000}"/>
    <cellStyle name="Normal 2 3 31 4 10" xfId="28110" xr:uid="{00000000-0005-0000-0000-0000C76D0000}"/>
    <cellStyle name="Normal 2 3 31 4 2" xfId="28111" xr:uid="{00000000-0005-0000-0000-0000C86D0000}"/>
    <cellStyle name="Normal 2 3 31 4 3" xfId="28112" xr:uid="{00000000-0005-0000-0000-0000C96D0000}"/>
    <cellStyle name="Normal 2 3 31 4 4" xfId="28113" xr:uid="{00000000-0005-0000-0000-0000CA6D0000}"/>
    <cellStyle name="Normal 2 3 31 4 5" xfId="28114" xr:uid="{00000000-0005-0000-0000-0000CB6D0000}"/>
    <cellStyle name="Normal 2 3 31 4 6" xfId="28115" xr:uid="{00000000-0005-0000-0000-0000CC6D0000}"/>
    <cellStyle name="Normal 2 3 31 4 7" xfId="28116" xr:uid="{00000000-0005-0000-0000-0000CD6D0000}"/>
    <cellStyle name="Normal 2 3 31 4 8" xfId="28117" xr:uid="{00000000-0005-0000-0000-0000CE6D0000}"/>
    <cellStyle name="Normal 2 3 31 4 9" xfId="28118" xr:uid="{00000000-0005-0000-0000-0000CF6D0000}"/>
    <cellStyle name="Normal 2 3 31 5" xfId="28119" xr:uid="{00000000-0005-0000-0000-0000D06D0000}"/>
    <cellStyle name="Normal 2 3 31 5 10" xfId="28120" xr:uid="{00000000-0005-0000-0000-0000D16D0000}"/>
    <cellStyle name="Normal 2 3 31 5 2" xfId="28121" xr:uid="{00000000-0005-0000-0000-0000D26D0000}"/>
    <cellStyle name="Normal 2 3 31 5 3" xfId="28122" xr:uid="{00000000-0005-0000-0000-0000D36D0000}"/>
    <cellStyle name="Normal 2 3 31 5 4" xfId="28123" xr:uid="{00000000-0005-0000-0000-0000D46D0000}"/>
    <cellStyle name="Normal 2 3 31 5 5" xfId="28124" xr:uid="{00000000-0005-0000-0000-0000D56D0000}"/>
    <cellStyle name="Normal 2 3 31 5 6" xfId="28125" xr:uid="{00000000-0005-0000-0000-0000D66D0000}"/>
    <cellStyle name="Normal 2 3 31 5 7" xfId="28126" xr:uid="{00000000-0005-0000-0000-0000D76D0000}"/>
    <cellStyle name="Normal 2 3 31 5 8" xfId="28127" xr:uid="{00000000-0005-0000-0000-0000D86D0000}"/>
    <cellStyle name="Normal 2 3 31 5 9" xfId="28128" xr:uid="{00000000-0005-0000-0000-0000D96D0000}"/>
    <cellStyle name="Normal 2 3 31 6" xfId="28129" xr:uid="{00000000-0005-0000-0000-0000DA6D0000}"/>
    <cellStyle name="Normal 2 3 31 7" xfId="28130" xr:uid="{00000000-0005-0000-0000-0000DB6D0000}"/>
    <cellStyle name="Normal 2 3 31 8" xfId="28131" xr:uid="{00000000-0005-0000-0000-0000DC6D0000}"/>
    <cellStyle name="Normal 2 3 31 9" xfId="28132" xr:uid="{00000000-0005-0000-0000-0000DD6D0000}"/>
    <cellStyle name="Normal 2 3 32" xfId="28133" xr:uid="{00000000-0005-0000-0000-0000DE6D0000}"/>
    <cellStyle name="Normal 2 3 32 10" xfId="28134" xr:uid="{00000000-0005-0000-0000-0000DF6D0000}"/>
    <cellStyle name="Normal 2 3 32 11" xfId="28135" xr:uid="{00000000-0005-0000-0000-0000E06D0000}"/>
    <cellStyle name="Normal 2 3 32 12" xfId="28136" xr:uid="{00000000-0005-0000-0000-0000E16D0000}"/>
    <cellStyle name="Normal 2 3 32 13" xfId="28137" xr:uid="{00000000-0005-0000-0000-0000E26D0000}"/>
    <cellStyle name="Normal 2 3 32 14" xfId="28138" xr:uid="{00000000-0005-0000-0000-0000E36D0000}"/>
    <cellStyle name="Normal 2 3 32 2" xfId="28139" xr:uid="{00000000-0005-0000-0000-0000E46D0000}"/>
    <cellStyle name="Normal 2 3 32 2 10" xfId="28140" xr:uid="{00000000-0005-0000-0000-0000E56D0000}"/>
    <cellStyle name="Normal 2 3 32 2 2" xfId="28141" xr:uid="{00000000-0005-0000-0000-0000E66D0000}"/>
    <cellStyle name="Normal 2 3 32 2 3" xfId="28142" xr:uid="{00000000-0005-0000-0000-0000E76D0000}"/>
    <cellStyle name="Normal 2 3 32 2 4" xfId="28143" xr:uid="{00000000-0005-0000-0000-0000E86D0000}"/>
    <cellStyle name="Normal 2 3 32 2 5" xfId="28144" xr:uid="{00000000-0005-0000-0000-0000E96D0000}"/>
    <cellStyle name="Normal 2 3 32 2 6" xfId="28145" xr:uid="{00000000-0005-0000-0000-0000EA6D0000}"/>
    <cellStyle name="Normal 2 3 32 2 7" xfId="28146" xr:uid="{00000000-0005-0000-0000-0000EB6D0000}"/>
    <cellStyle name="Normal 2 3 32 2 8" xfId="28147" xr:uid="{00000000-0005-0000-0000-0000EC6D0000}"/>
    <cellStyle name="Normal 2 3 32 2 9" xfId="28148" xr:uid="{00000000-0005-0000-0000-0000ED6D0000}"/>
    <cellStyle name="Normal 2 3 32 3" xfId="28149" xr:uid="{00000000-0005-0000-0000-0000EE6D0000}"/>
    <cellStyle name="Normal 2 3 32 3 10" xfId="28150" xr:uid="{00000000-0005-0000-0000-0000EF6D0000}"/>
    <cellStyle name="Normal 2 3 32 3 2" xfId="28151" xr:uid="{00000000-0005-0000-0000-0000F06D0000}"/>
    <cellStyle name="Normal 2 3 32 3 3" xfId="28152" xr:uid="{00000000-0005-0000-0000-0000F16D0000}"/>
    <cellStyle name="Normal 2 3 32 3 4" xfId="28153" xr:uid="{00000000-0005-0000-0000-0000F26D0000}"/>
    <cellStyle name="Normal 2 3 32 3 5" xfId="28154" xr:uid="{00000000-0005-0000-0000-0000F36D0000}"/>
    <cellStyle name="Normal 2 3 32 3 6" xfId="28155" xr:uid="{00000000-0005-0000-0000-0000F46D0000}"/>
    <cellStyle name="Normal 2 3 32 3 7" xfId="28156" xr:uid="{00000000-0005-0000-0000-0000F56D0000}"/>
    <cellStyle name="Normal 2 3 32 3 8" xfId="28157" xr:uid="{00000000-0005-0000-0000-0000F66D0000}"/>
    <cellStyle name="Normal 2 3 32 3 9" xfId="28158" xr:uid="{00000000-0005-0000-0000-0000F76D0000}"/>
    <cellStyle name="Normal 2 3 32 4" xfId="28159" xr:uid="{00000000-0005-0000-0000-0000F86D0000}"/>
    <cellStyle name="Normal 2 3 32 4 10" xfId="28160" xr:uid="{00000000-0005-0000-0000-0000F96D0000}"/>
    <cellStyle name="Normal 2 3 32 4 2" xfId="28161" xr:uid="{00000000-0005-0000-0000-0000FA6D0000}"/>
    <cellStyle name="Normal 2 3 32 4 3" xfId="28162" xr:uid="{00000000-0005-0000-0000-0000FB6D0000}"/>
    <cellStyle name="Normal 2 3 32 4 4" xfId="28163" xr:uid="{00000000-0005-0000-0000-0000FC6D0000}"/>
    <cellStyle name="Normal 2 3 32 4 5" xfId="28164" xr:uid="{00000000-0005-0000-0000-0000FD6D0000}"/>
    <cellStyle name="Normal 2 3 32 4 6" xfId="28165" xr:uid="{00000000-0005-0000-0000-0000FE6D0000}"/>
    <cellStyle name="Normal 2 3 32 4 7" xfId="28166" xr:uid="{00000000-0005-0000-0000-0000FF6D0000}"/>
    <cellStyle name="Normal 2 3 32 4 8" xfId="28167" xr:uid="{00000000-0005-0000-0000-0000006E0000}"/>
    <cellStyle name="Normal 2 3 32 4 9" xfId="28168" xr:uid="{00000000-0005-0000-0000-0000016E0000}"/>
    <cellStyle name="Normal 2 3 32 5" xfId="28169" xr:uid="{00000000-0005-0000-0000-0000026E0000}"/>
    <cellStyle name="Normal 2 3 32 5 10" xfId="28170" xr:uid="{00000000-0005-0000-0000-0000036E0000}"/>
    <cellStyle name="Normal 2 3 32 5 2" xfId="28171" xr:uid="{00000000-0005-0000-0000-0000046E0000}"/>
    <cellStyle name="Normal 2 3 32 5 3" xfId="28172" xr:uid="{00000000-0005-0000-0000-0000056E0000}"/>
    <cellStyle name="Normal 2 3 32 5 4" xfId="28173" xr:uid="{00000000-0005-0000-0000-0000066E0000}"/>
    <cellStyle name="Normal 2 3 32 5 5" xfId="28174" xr:uid="{00000000-0005-0000-0000-0000076E0000}"/>
    <cellStyle name="Normal 2 3 32 5 6" xfId="28175" xr:uid="{00000000-0005-0000-0000-0000086E0000}"/>
    <cellStyle name="Normal 2 3 32 5 7" xfId="28176" xr:uid="{00000000-0005-0000-0000-0000096E0000}"/>
    <cellStyle name="Normal 2 3 32 5 8" xfId="28177" xr:uid="{00000000-0005-0000-0000-00000A6E0000}"/>
    <cellStyle name="Normal 2 3 32 5 9" xfId="28178" xr:uid="{00000000-0005-0000-0000-00000B6E0000}"/>
    <cellStyle name="Normal 2 3 32 6" xfId="28179" xr:uid="{00000000-0005-0000-0000-00000C6E0000}"/>
    <cellStyle name="Normal 2 3 32 7" xfId="28180" xr:uid="{00000000-0005-0000-0000-00000D6E0000}"/>
    <cellStyle name="Normal 2 3 32 8" xfId="28181" xr:uid="{00000000-0005-0000-0000-00000E6E0000}"/>
    <cellStyle name="Normal 2 3 32 9" xfId="28182" xr:uid="{00000000-0005-0000-0000-00000F6E0000}"/>
    <cellStyle name="Normal 2 3 33" xfId="28183" xr:uid="{00000000-0005-0000-0000-0000106E0000}"/>
    <cellStyle name="Normal 2 3 33 10" xfId="28184" xr:uid="{00000000-0005-0000-0000-0000116E0000}"/>
    <cellStyle name="Normal 2 3 33 11" xfId="28185" xr:uid="{00000000-0005-0000-0000-0000126E0000}"/>
    <cellStyle name="Normal 2 3 33 12" xfId="28186" xr:uid="{00000000-0005-0000-0000-0000136E0000}"/>
    <cellStyle name="Normal 2 3 33 13" xfId="28187" xr:uid="{00000000-0005-0000-0000-0000146E0000}"/>
    <cellStyle name="Normal 2 3 33 14" xfId="28188" xr:uid="{00000000-0005-0000-0000-0000156E0000}"/>
    <cellStyle name="Normal 2 3 33 2" xfId="28189" xr:uid="{00000000-0005-0000-0000-0000166E0000}"/>
    <cellStyle name="Normal 2 3 33 2 10" xfId="28190" xr:uid="{00000000-0005-0000-0000-0000176E0000}"/>
    <cellStyle name="Normal 2 3 33 2 2" xfId="28191" xr:uid="{00000000-0005-0000-0000-0000186E0000}"/>
    <cellStyle name="Normal 2 3 33 2 3" xfId="28192" xr:uid="{00000000-0005-0000-0000-0000196E0000}"/>
    <cellStyle name="Normal 2 3 33 2 4" xfId="28193" xr:uid="{00000000-0005-0000-0000-00001A6E0000}"/>
    <cellStyle name="Normal 2 3 33 2 5" xfId="28194" xr:uid="{00000000-0005-0000-0000-00001B6E0000}"/>
    <cellStyle name="Normal 2 3 33 2 6" xfId="28195" xr:uid="{00000000-0005-0000-0000-00001C6E0000}"/>
    <cellStyle name="Normal 2 3 33 2 7" xfId="28196" xr:uid="{00000000-0005-0000-0000-00001D6E0000}"/>
    <cellStyle name="Normal 2 3 33 2 8" xfId="28197" xr:uid="{00000000-0005-0000-0000-00001E6E0000}"/>
    <cellStyle name="Normal 2 3 33 2 9" xfId="28198" xr:uid="{00000000-0005-0000-0000-00001F6E0000}"/>
    <cellStyle name="Normal 2 3 33 3" xfId="28199" xr:uid="{00000000-0005-0000-0000-0000206E0000}"/>
    <cellStyle name="Normal 2 3 33 3 10" xfId="28200" xr:uid="{00000000-0005-0000-0000-0000216E0000}"/>
    <cellStyle name="Normal 2 3 33 3 2" xfId="28201" xr:uid="{00000000-0005-0000-0000-0000226E0000}"/>
    <cellStyle name="Normal 2 3 33 3 3" xfId="28202" xr:uid="{00000000-0005-0000-0000-0000236E0000}"/>
    <cellStyle name="Normal 2 3 33 3 4" xfId="28203" xr:uid="{00000000-0005-0000-0000-0000246E0000}"/>
    <cellStyle name="Normal 2 3 33 3 5" xfId="28204" xr:uid="{00000000-0005-0000-0000-0000256E0000}"/>
    <cellStyle name="Normal 2 3 33 3 6" xfId="28205" xr:uid="{00000000-0005-0000-0000-0000266E0000}"/>
    <cellStyle name="Normal 2 3 33 3 7" xfId="28206" xr:uid="{00000000-0005-0000-0000-0000276E0000}"/>
    <cellStyle name="Normal 2 3 33 3 8" xfId="28207" xr:uid="{00000000-0005-0000-0000-0000286E0000}"/>
    <cellStyle name="Normal 2 3 33 3 9" xfId="28208" xr:uid="{00000000-0005-0000-0000-0000296E0000}"/>
    <cellStyle name="Normal 2 3 33 4" xfId="28209" xr:uid="{00000000-0005-0000-0000-00002A6E0000}"/>
    <cellStyle name="Normal 2 3 33 4 10" xfId="28210" xr:uid="{00000000-0005-0000-0000-00002B6E0000}"/>
    <cellStyle name="Normal 2 3 33 4 2" xfId="28211" xr:uid="{00000000-0005-0000-0000-00002C6E0000}"/>
    <cellStyle name="Normal 2 3 33 4 3" xfId="28212" xr:uid="{00000000-0005-0000-0000-00002D6E0000}"/>
    <cellStyle name="Normal 2 3 33 4 4" xfId="28213" xr:uid="{00000000-0005-0000-0000-00002E6E0000}"/>
    <cellStyle name="Normal 2 3 33 4 5" xfId="28214" xr:uid="{00000000-0005-0000-0000-00002F6E0000}"/>
    <cellStyle name="Normal 2 3 33 4 6" xfId="28215" xr:uid="{00000000-0005-0000-0000-0000306E0000}"/>
    <cellStyle name="Normal 2 3 33 4 7" xfId="28216" xr:uid="{00000000-0005-0000-0000-0000316E0000}"/>
    <cellStyle name="Normal 2 3 33 4 8" xfId="28217" xr:uid="{00000000-0005-0000-0000-0000326E0000}"/>
    <cellStyle name="Normal 2 3 33 4 9" xfId="28218" xr:uid="{00000000-0005-0000-0000-0000336E0000}"/>
    <cellStyle name="Normal 2 3 33 5" xfId="28219" xr:uid="{00000000-0005-0000-0000-0000346E0000}"/>
    <cellStyle name="Normal 2 3 33 5 10" xfId="28220" xr:uid="{00000000-0005-0000-0000-0000356E0000}"/>
    <cellStyle name="Normal 2 3 33 5 2" xfId="28221" xr:uid="{00000000-0005-0000-0000-0000366E0000}"/>
    <cellStyle name="Normal 2 3 33 5 3" xfId="28222" xr:uid="{00000000-0005-0000-0000-0000376E0000}"/>
    <cellStyle name="Normal 2 3 33 5 4" xfId="28223" xr:uid="{00000000-0005-0000-0000-0000386E0000}"/>
    <cellStyle name="Normal 2 3 33 5 5" xfId="28224" xr:uid="{00000000-0005-0000-0000-0000396E0000}"/>
    <cellStyle name="Normal 2 3 33 5 6" xfId="28225" xr:uid="{00000000-0005-0000-0000-00003A6E0000}"/>
    <cellStyle name="Normal 2 3 33 5 7" xfId="28226" xr:uid="{00000000-0005-0000-0000-00003B6E0000}"/>
    <cellStyle name="Normal 2 3 33 5 8" xfId="28227" xr:uid="{00000000-0005-0000-0000-00003C6E0000}"/>
    <cellStyle name="Normal 2 3 33 5 9" xfId="28228" xr:uid="{00000000-0005-0000-0000-00003D6E0000}"/>
    <cellStyle name="Normal 2 3 33 6" xfId="28229" xr:uid="{00000000-0005-0000-0000-00003E6E0000}"/>
    <cellStyle name="Normal 2 3 33 7" xfId="28230" xr:uid="{00000000-0005-0000-0000-00003F6E0000}"/>
    <cellStyle name="Normal 2 3 33 8" xfId="28231" xr:uid="{00000000-0005-0000-0000-0000406E0000}"/>
    <cellStyle name="Normal 2 3 33 9" xfId="28232" xr:uid="{00000000-0005-0000-0000-0000416E0000}"/>
    <cellStyle name="Normal 2 3 34" xfId="28233" xr:uid="{00000000-0005-0000-0000-0000426E0000}"/>
    <cellStyle name="Normal 2 3 34 10" xfId="28234" xr:uid="{00000000-0005-0000-0000-0000436E0000}"/>
    <cellStyle name="Normal 2 3 34 11" xfId="28235" xr:uid="{00000000-0005-0000-0000-0000446E0000}"/>
    <cellStyle name="Normal 2 3 34 12" xfId="28236" xr:uid="{00000000-0005-0000-0000-0000456E0000}"/>
    <cellStyle name="Normal 2 3 34 13" xfId="28237" xr:uid="{00000000-0005-0000-0000-0000466E0000}"/>
    <cellStyle name="Normal 2 3 34 14" xfId="28238" xr:uid="{00000000-0005-0000-0000-0000476E0000}"/>
    <cellStyle name="Normal 2 3 34 2" xfId="28239" xr:uid="{00000000-0005-0000-0000-0000486E0000}"/>
    <cellStyle name="Normal 2 3 34 2 10" xfId="28240" xr:uid="{00000000-0005-0000-0000-0000496E0000}"/>
    <cellStyle name="Normal 2 3 34 2 2" xfId="28241" xr:uid="{00000000-0005-0000-0000-00004A6E0000}"/>
    <cellStyle name="Normal 2 3 34 2 3" xfId="28242" xr:uid="{00000000-0005-0000-0000-00004B6E0000}"/>
    <cellStyle name="Normal 2 3 34 2 4" xfId="28243" xr:uid="{00000000-0005-0000-0000-00004C6E0000}"/>
    <cellStyle name="Normal 2 3 34 2 5" xfId="28244" xr:uid="{00000000-0005-0000-0000-00004D6E0000}"/>
    <cellStyle name="Normal 2 3 34 2 6" xfId="28245" xr:uid="{00000000-0005-0000-0000-00004E6E0000}"/>
    <cellStyle name="Normal 2 3 34 2 7" xfId="28246" xr:uid="{00000000-0005-0000-0000-00004F6E0000}"/>
    <cellStyle name="Normal 2 3 34 2 8" xfId="28247" xr:uid="{00000000-0005-0000-0000-0000506E0000}"/>
    <cellStyle name="Normal 2 3 34 2 9" xfId="28248" xr:uid="{00000000-0005-0000-0000-0000516E0000}"/>
    <cellStyle name="Normal 2 3 34 3" xfId="28249" xr:uid="{00000000-0005-0000-0000-0000526E0000}"/>
    <cellStyle name="Normal 2 3 34 3 10" xfId="28250" xr:uid="{00000000-0005-0000-0000-0000536E0000}"/>
    <cellStyle name="Normal 2 3 34 3 2" xfId="28251" xr:uid="{00000000-0005-0000-0000-0000546E0000}"/>
    <cellStyle name="Normal 2 3 34 3 3" xfId="28252" xr:uid="{00000000-0005-0000-0000-0000556E0000}"/>
    <cellStyle name="Normal 2 3 34 3 4" xfId="28253" xr:uid="{00000000-0005-0000-0000-0000566E0000}"/>
    <cellStyle name="Normal 2 3 34 3 5" xfId="28254" xr:uid="{00000000-0005-0000-0000-0000576E0000}"/>
    <cellStyle name="Normal 2 3 34 3 6" xfId="28255" xr:uid="{00000000-0005-0000-0000-0000586E0000}"/>
    <cellStyle name="Normal 2 3 34 3 7" xfId="28256" xr:uid="{00000000-0005-0000-0000-0000596E0000}"/>
    <cellStyle name="Normal 2 3 34 3 8" xfId="28257" xr:uid="{00000000-0005-0000-0000-00005A6E0000}"/>
    <cellStyle name="Normal 2 3 34 3 9" xfId="28258" xr:uid="{00000000-0005-0000-0000-00005B6E0000}"/>
    <cellStyle name="Normal 2 3 34 4" xfId="28259" xr:uid="{00000000-0005-0000-0000-00005C6E0000}"/>
    <cellStyle name="Normal 2 3 34 4 10" xfId="28260" xr:uid="{00000000-0005-0000-0000-00005D6E0000}"/>
    <cellStyle name="Normal 2 3 34 4 2" xfId="28261" xr:uid="{00000000-0005-0000-0000-00005E6E0000}"/>
    <cellStyle name="Normal 2 3 34 4 3" xfId="28262" xr:uid="{00000000-0005-0000-0000-00005F6E0000}"/>
    <cellStyle name="Normal 2 3 34 4 4" xfId="28263" xr:uid="{00000000-0005-0000-0000-0000606E0000}"/>
    <cellStyle name="Normal 2 3 34 4 5" xfId="28264" xr:uid="{00000000-0005-0000-0000-0000616E0000}"/>
    <cellStyle name="Normal 2 3 34 4 6" xfId="28265" xr:uid="{00000000-0005-0000-0000-0000626E0000}"/>
    <cellStyle name="Normal 2 3 34 4 7" xfId="28266" xr:uid="{00000000-0005-0000-0000-0000636E0000}"/>
    <cellStyle name="Normal 2 3 34 4 8" xfId="28267" xr:uid="{00000000-0005-0000-0000-0000646E0000}"/>
    <cellStyle name="Normal 2 3 34 4 9" xfId="28268" xr:uid="{00000000-0005-0000-0000-0000656E0000}"/>
    <cellStyle name="Normal 2 3 34 5" xfId="28269" xr:uid="{00000000-0005-0000-0000-0000666E0000}"/>
    <cellStyle name="Normal 2 3 34 5 10" xfId="28270" xr:uid="{00000000-0005-0000-0000-0000676E0000}"/>
    <cellStyle name="Normal 2 3 34 5 2" xfId="28271" xr:uid="{00000000-0005-0000-0000-0000686E0000}"/>
    <cellStyle name="Normal 2 3 34 5 3" xfId="28272" xr:uid="{00000000-0005-0000-0000-0000696E0000}"/>
    <cellStyle name="Normal 2 3 34 5 4" xfId="28273" xr:uid="{00000000-0005-0000-0000-00006A6E0000}"/>
    <cellStyle name="Normal 2 3 34 5 5" xfId="28274" xr:uid="{00000000-0005-0000-0000-00006B6E0000}"/>
    <cellStyle name="Normal 2 3 34 5 6" xfId="28275" xr:uid="{00000000-0005-0000-0000-00006C6E0000}"/>
    <cellStyle name="Normal 2 3 34 5 7" xfId="28276" xr:uid="{00000000-0005-0000-0000-00006D6E0000}"/>
    <cellStyle name="Normal 2 3 34 5 8" xfId="28277" xr:uid="{00000000-0005-0000-0000-00006E6E0000}"/>
    <cellStyle name="Normal 2 3 34 5 9" xfId="28278" xr:uid="{00000000-0005-0000-0000-00006F6E0000}"/>
    <cellStyle name="Normal 2 3 34 6" xfId="28279" xr:uid="{00000000-0005-0000-0000-0000706E0000}"/>
    <cellStyle name="Normal 2 3 34 7" xfId="28280" xr:uid="{00000000-0005-0000-0000-0000716E0000}"/>
    <cellStyle name="Normal 2 3 34 8" xfId="28281" xr:uid="{00000000-0005-0000-0000-0000726E0000}"/>
    <cellStyle name="Normal 2 3 34 9" xfId="28282" xr:uid="{00000000-0005-0000-0000-0000736E0000}"/>
    <cellStyle name="Normal 2 3 35" xfId="28283" xr:uid="{00000000-0005-0000-0000-0000746E0000}"/>
    <cellStyle name="Normal 2 3 35 10" xfId="28284" xr:uid="{00000000-0005-0000-0000-0000756E0000}"/>
    <cellStyle name="Normal 2 3 35 2" xfId="28285" xr:uid="{00000000-0005-0000-0000-0000766E0000}"/>
    <cellStyle name="Normal 2 3 35 3" xfId="28286" xr:uid="{00000000-0005-0000-0000-0000776E0000}"/>
    <cellStyle name="Normal 2 3 35 4" xfId="28287" xr:uid="{00000000-0005-0000-0000-0000786E0000}"/>
    <cellStyle name="Normal 2 3 35 5" xfId="28288" xr:uid="{00000000-0005-0000-0000-0000796E0000}"/>
    <cellStyle name="Normal 2 3 35 6" xfId="28289" xr:uid="{00000000-0005-0000-0000-00007A6E0000}"/>
    <cellStyle name="Normal 2 3 35 7" xfId="28290" xr:uid="{00000000-0005-0000-0000-00007B6E0000}"/>
    <cellStyle name="Normal 2 3 35 8" xfId="28291" xr:uid="{00000000-0005-0000-0000-00007C6E0000}"/>
    <cellStyle name="Normal 2 3 35 9" xfId="28292" xr:uid="{00000000-0005-0000-0000-00007D6E0000}"/>
    <cellStyle name="Normal 2 3 36" xfId="28293" xr:uid="{00000000-0005-0000-0000-00007E6E0000}"/>
    <cellStyle name="Normal 2 3 36 10" xfId="28294" xr:uid="{00000000-0005-0000-0000-00007F6E0000}"/>
    <cellStyle name="Normal 2 3 36 2" xfId="28295" xr:uid="{00000000-0005-0000-0000-0000806E0000}"/>
    <cellStyle name="Normal 2 3 36 3" xfId="28296" xr:uid="{00000000-0005-0000-0000-0000816E0000}"/>
    <cellStyle name="Normal 2 3 36 4" xfId="28297" xr:uid="{00000000-0005-0000-0000-0000826E0000}"/>
    <cellStyle name="Normal 2 3 36 5" xfId="28298" xr:uid="{00000000-0005-0000-0000-0000836E0000}"/>
    <cellStyle name="Normal 2 3 36 6" xfId="28299" xr:uid="{00000000-0005-0000-0000-0000846E0000}"/>
    <cellStyle name="Normal 2 3 36 7" xfId="28300" xr:uid="{00000000-0005-0000-0000-0000856E0000}"/>
    <cellStyle name="Normal 2 3 36 8" xfId="28301" xr:uid="{00000000-0005-0000-0000-0000866E0000}"/>
    <cellStyle name="Normal 2 3 36 9" xfId="28302" xr:uid="{00000000-0005-0000-0000-0000876E0000}"/>
    <cellStyle name="Normal 2 3 37" xfId="28303" xr:uid="{00000000-0005-0000-0000-0000886E0000}"/>
    <cellStyle name="Normal 2 3 37 10" xfId="28304" xr:uid="{00000000-0005-0000-0000-0000896E0000}"/>
    <cellStyle name="Normal 2 3 37 2" xfId="28305" xr:uid="{00000000-0005-0000-0000-00008A6E0000}"/>
    <cellStyle name="Normal 2 3 37 3" xfId="28306" xr:uid="{00000000-0005-0000-0000-00008B6E0000}"/>
    <cellStyle name="Normal 2 3 37 4" xfId="28307" xr:uid="{00000000-0005-0000-0000-00008C6E0000}"/>
    <cellStyle name="Normal 2 3 37 5" xfId="28308" xr:uid="{00000000-0005-0000-0000-00008D6E0000}"/>
    <cellStyle name="Normal 2 3 37 6" xfId="28309" xr:uid="{00000000-0005-0000-0000-00008E6E0000}"/>
    <cellStyle name="Normal 2 3 37 7" xfId="28310" xr:uid="{00000000-0005-0000-0000-00008F6E0000}"/>
    <cellStyle name="Normal 2 3 37 8" xfId="28311" xr:uid="{00000000-0005-0000-0000-0000906E0000}"/>
    <cellStyle name="Normal 2 3 37 9" xfId="28312" xr:uid="{00000000-0005-0000-0000-0000916E0000}"/>
    <cellStyle name="Normal 2 3 38" xfId="28313" xr:uid="{00000000-0005-0000-0000-0000926E0000}"/>
    <cellStyle name="Normal 2 3 38 10" xfId="28314" xr:uid="{00000000-0005-0000-0000-0000936E0000}"/>
    <cellStyle name="Normal 2 3 38 2" xfId="28315" xr:uid="{00000000-0005-0000-0000-0000946E0000}"/>
    <cellStyle name="Normal 2 3 38 3" xfId="28316" xr:uid="{00000000-0005-0000-0000-0000956E0000}"/>
    <cellStyle name="Normal 2 3 38 4" xfId="28317" xr:uid="{00000000-0005-0000-0000-0000966E0000}"/>
    <cellStyle name="Normal 2 3 38 5" xfId="28318" xr:uid="{00000000-0005-0000-0000-0000976E0000}"/>
    <cellStyle name="Normal 2 3 38 6" xfId="28319" xr:uid="{00000000-0005-0000-0000-0000986E0000}"/>
    <cellStyle name="Normal 2 3 38 7" xfId="28320" xr:uid="{00000000-0005-0000-0000-0000996E0000}"/>
    <cellStyle name="Normal 2 3 38 8" xfId="28321" xr:uid="{00000000-0005-0000-0000-00009A6E0000}"/>
    <cellStyle name="Normal 2 3 38 9" xfId="28322" xr:uid="{00000000-0005-0000-0000-00009B6E0000}"/>
    <cellStyle name="Normal 2 3 39" xfId="28323" xr:uid="{00000000-0005-0000-0000-00009C6E0000}"/>
    <cellStyle name="Normal 2 3 4" xfId="28324" xr:uid="{00000000-0005-0000-0000-00009D6E0000}"/>
    <cellStyle name="Normal 2 3 4 10" xfId="28325" xr:uid="{00000000-0005-0000-0000-00009E6E0000}"/>
    <cellStyle name="Normal 2 3 4 11" xfId="28326" xr:uid="{00000000-0005-0000-0000-00009F6E0000}"/>
    <cellStyle name="Normal 2 3 4 12" xfId="28327" xr:uid="{00000000-0005-0000-0000-0000A06E0000}"/>
    <cellStyle name="Normal 2 3 4 13" xfId="28328" xr:uid="{00000000-0005-0000-0000-0000A16E0000}"/>
    <cellStyle name="Normal 2 3 4 14" xfId="28329" xr:uid="{00000000-0005-0000-0000-0000A26E0000}"/>
    <cellStyle name="Normal 2 3 4 15" xfId="28330" xr:uid="{00000000-0005-0000-0000-0000A36E0000}"/>
    <cellStyle name="Normal 2 3 4 16" xfId="28331" xr:uid="{00000000-0005-0000-0000-0000A46E0000}"/>
    <cellStyle name="Normal 2 3 4 2" xfId="28332" xr:uid="{00000000-0005-0000-0000-0000A56E0000}"/>
    <cellStyle name="Normal 2 3 4 2 10" xfId="28333" xr:uid="{00000000-0005-0000-0000-0000A66E0000}"/>
    <cellStyle name="Normal 2 3 4 2 2" xfId="28334" xr:uid="{00000000-0005-0000-0000-0000A76E0000}"/>
    <cellStyle name="Normal 2 3 4 2 3" xfId="28335" xr:uid="{00000000-0005-0000-0000-0000A86E0000}"/>
    <cellStyle name="Normal 2 3 4 2 4" xfId="28336" xr:uid="{00000000-0005-0000-0000-0000A96E0000}"/>
    <cellStyle name="Normal 2 3 4 2 5" xfId="28337" xr:uid="{00000000-0005-0000-0000-0000AA6E0000}"/>
    <cellStyle name="Normal 2 3 4 2 6" xfId="28338" xr:uid="{00000000-0005-0000-0000-0000AB6E0000}"/>
    <cellStyle name="Normal 2 3 4 2 7" xfId="28339" xr:uid="{00000000-0005-0000-0000-0000AC6E0000}"/>
    <cellStyle name="Normal 2 3 4 2 8" xfId="28340" xr:uid="{00000000-0005-0000-0000-0000AD6E0000}"/>
    <cellStyle name="Normal 2 3 4 2 9" xfId="28341" xr:uid="{00000000-0005-0000-0000-0000AE6E0000}"/>
    <cellStyle name="Normal 2 3 4 3" xfId="28342" xr:uid="{00000000-0005-0000-0000-0000AF6E0000}"/>
    <cellStyle name="Normal 2 3 4 3 10" xfId="28343" xr:uid="{00000000-0005-0000-0000-0000B06E0000}"/>
    <cellStyle name="Normal 2 3 4 3 2" xfId="28344" xr:uid="{00000000-0005-0000-0000-0000B16E0000}"/>
    <cellStyle name="Normal 2 3 4 3 3" xfId="28345" xr:uid="{00000000-0005-0000-0000-0000B26E0000}"/>
    <cellStyle name="Normal 2 3 4 3 4" xfId="28346" xr:uid="{00000000-0005-0000-0000-0000B36E0000}"/>
    <cellStyle name="Normal 2 3 4 3 5" xfId="28347" xr:uid="{00000000-0005-0000-0000-0000B46E0000}"/>
    <cellStyle name="Normal 2 3 4 3 6" xfId="28348" xr:uid="{00000000-0005-0000-0000-0000B56E0000}"/>
    <cellStyle name="Normal 2 3 4 3 7" xfId="28349" xr:uid="{00000000-0005-0000-0000-0000B66E0000}"/>
    <cellStyle name="Normal 2 3 4 3 8" xfId="28350" xr:uid="{00000000-0005-0000-0000-0000B76E0000}"/>
    <cellStyle name="Normal 2 3 4 3 9" xfId="28351" xr:uid="{00000000-0005-0000-0000-0000B86E0000}"/>
    <cellStyle name="Normal 2 3 4 4" xfId="28352" xr:uid="{00000000-0005-0000-0000-0000B96E0000}"/>
    <cellStyle name="Normal 2 3 4 4 10" xfId="28353" xr:uid="{00000000-0005-0000-0000-0000BA6E0000}"/>
    <cellStyle name="Normal 2 3 4 4 2" xfId="28354" xr:uid="{00000000-0005-0000-0000-0000BB6E0000}"/>
    <cellStyle name="Normal 2 3 4 4 3" xfId="28355" xr:uid="{00000000-0005-0000-0000-0000BC6E0000}"/>
    <cellStyle name="Normal 2 3 4 4 4" xfId="28356" xr:uid="{00000000-0005-0000-0000-0000BD6E0000}"/>
    <cellStyle name="Normal 2 3 4 4 5" xfId="28357" xr:uid="{00000000-0005-0000-0000-0000BE6E0000}"/>
    <cellStyle name="Normal 2 3 4 4 6" xfId="28358" xr:uid="{00000000-0005-0000-0000-0000BF6E0000}"/>
    <cellStyle name="Normal 2 3 4 4 7" xfId="28359" xr:uid="{00000000-0005-0000-0000-0000C06E0000}"/>
    <cellStyle name="Normal 2 3 4 4 8" xfId="28360" xr:uid="{00000000-0005-0000-0000-0000C16E0000}"/>
    <cellStyle name="Normal 2 3 4 4 9" xfId="28361" xr:uid="{00000000-0005-0000-0000-0000C26E0000}"/>
    <cellStyle name="Normal 2 3 4 5" xfId="28362" xr:uid="{00000000-0005-0000-0000-0000C36E0000}"/>
    <cellStyle name="Normal 2 3 4 5 10" xfId="28363" xr:uid="{00000000-0005-0000-0000-0000C46E0000}"/>
    <cellStyle name="Normal 2 3 4 5 2" xfId="28364" xr:uid="{00000000-0005-0000-0000-0000C56E0000}"/>
    <cellStyle name="Normal 2 3 4 5 3" xfId="28365" xr:uid="{00000000-0005-0000-0000-0000C66E0000}"/>
    <cellStyle name="Normal 2 3 4 5 4" xfId="28366" xr:uid="{00000000-0005-0000-0000-0000C76E0000}"/>
    <cellStyle name="Normal 2 3 4 5 5" xfId="28367" xr:uid="{00000000-0005-0000-0000-0000C86E0000}"/>
    <cellStyle name="Normal 2 3 4 5 6" xfId="28368" xr:uid="{00000000-0005-0000-0000-0000C96E0000}"/>
    <cellStyle name="Normal 2 3 4 5 7" xfId="28369" xr:uid="{00000000-0005-0000-0000-0000CA6E0000}"/>
    <cellStyle name="Normal 2 3 4 5 8" xfId="28370" xr:uid="{00000000-0005-0000-0000-0000CB6E0000}"/>
    <cellStyle name="Normal 2 3 4 5 9" xfId="28371" xr:uid="{00000000-0005-0000-0000-0000CC6E0000}"/>
    <cellStyle name="Normal 2 3 4 6" xfId="28372" xr:uid="{00000000-0005-0000-0000-0000CD6E0000}"/>
    <cellStyle name="Normal 2 3 4 7" xfId="28373" xr:uid="{00000000-0005-0000-0000-0000CE6E0000}"/>
    <cellStyle name="Normal 2 3 4 8" xfId="28374" xr:uid="{00000000-0005-0000-0000-0000CF6E0000}"/>
    <cellStyle name="Normal 2 3 4 9" xfId="28375" xr:uid="{00000000-0005-0000-0000-0000D06E0000}"/>
    <cellStyle name="Normal 2 3 40" xfId="28376" xr:uid="{00000000-0005-0000-0000-0000D16E0000}"/>
    <cellStyle name="Normal 2 3 41" xfId="28377" xr:uid="{00000000-0005-0000-0000-0000D26E0000}"/>
    <cellStyle name="Normal 2 3 42" xfId="28378" xr:uid="{00000000-0005-0000-0000-0000D36E0000}"/>
    <cellStyle name="Normal 2 3 43" xfId="28379" xr:uid="{00000000-0005-0000-0000-0000D46E0000}"/>
    <cellStyle name="Normal 2 3 44" xfId="28380" xr:uid="{00000000-0005-0000-0000-0000D56E0000}"/>
    <cellStyle name="Normal 2 3 45" xfId="28381" xr:uid="{00000000-0005-0000-0000-0000D66E0000}"/>
    <cellStyle name="Normal 2 3 46" xfId="28382" xr:uid="{00000000-0005-0000-0000-0000D76E0000}"/>
    <cellStyle name="Normal 2 3 47" xfId="28383" xr:uid="{00000000-0005-0000-0000-0000D86E0000}"/>
    <cellStyle name="Normal 2 3 48" xfId="28384" xr:uid="{00000000-0005-0000-0000-0000D96E0000}"/>
    <cellStyle name="Normal 2 3 49" xfId="28385" xr:uid="{00000000-0005-0000-0000-0000DA6E0000}"/>
    <cellStyle name="Normal 2 3 5" xfId="28386" xr:uid="{00000000-0005-0000-0000-0000DB6E0000}"/>
    <cellStyle name="Normal 2 3 5 10" xfId="28387" xr:uid="{00000000-0005-0000-0000-0000DC6E0000}"/>
    <cellStyle name="Normal 2 3 5 11" xfId="28388" xr:uid="{00000000-0005-0000-0000-0000DD6E0000}"/>
    <cellStyle name="Normal 2 3 5 12" xfId="28389" xr:uid="{00000000-0005-0000-0000-0000DE6E0000}"/>
    <cellStyle name="Normal 2 3 5 13" xfId="28390" xr:uid="{00000000-0005-0000-0000-0000DF6E0000}"/>
    <cellStyle name="Normal 2 3 5 14" xfId="28391" xr:uid="{00000000-0005-0000-0000-0000E06E0000}"/>
    <cellStyle name="Normal 2 3 5 15" xfId="28392" xr:uid="{00000000-0005-0000-0000-0000E16E0000}"/>
    <cellStyle name="Normal 2 3 5 16" xfId="28393" xr:uid="{00000000-0005-0000-0000-0000E26E0000}"/>
    <cellStyle name="Normal 2 3 5 2" xfId="28394" xr:uid="{00000000-0005-0000-0000-0000E36E0000}"/>
    <cellStyle name="Normal 2 3 5 2 10" xfId="28395" xr:uid="{00000000-0005-0000-0000-0000E46E0000}"/>
    <cellStyle name="Normal 2 3 5 2 11" xfId="28396" xr:uid="{00000000-0005-0000-0000-0000E56E0000}"/>
    <cellStyle name="Normal 2 3 5 2 12" xfId="28397" xr:uid="{00000000-0005-0000-0000-0000E66E0000}"/>
    <cellStyle name="Normal 2 3 5 2 2" xfId="28398" xr:uid="{00000000-0005-0000-0000-0000E76E0000}"/>
    <cellStyle name="Normal 2 3 5 2 3" xfId="28399" xr:uid="{00000000-0005-0000-0000-0000E86E0000}"/>
    <cellStyle name="Normal 2 3 5 2 4" xfId="28400" xr:uid="{00000000-0005-0000-0000-0000E96E0000}"/>
    <cellStyle name="Normal 2 3 5 2 5" xfId="28401" xr:uid="{00000000-0005-0000-0000-0000EA6E0000}"/>
    <cellStyle name="Normal 2 3 5 2 6" xfId="28402" xr:uid="{00000000-0005-0000-0000-0000EB6E0000}"/>
    <cellStyle name="Normal 2 3 5 2 7" xfId="28403" xr:uid="{00000000-0005-0000-0000-0000EC6E0000}"/>
    <cellStyle name="Normal 2 3 5 2 8" xfId="28404" xr:uid="{00000000-0005-0000-0000-0000ED6E0000}"/>
    <cellStyle name="Normal 2 3 5 2 9" xfId="28405" xr:uid="{00000000-0005-0000-0000-0000EE6E0000}"/>
    <cellStyle name="Normal 2 3 5 3" xfId="28406" xr:uid="{00000000-0005-0000-0000-0000EF6E0000}"/>
    <cellStyle name="Normal 2 3 5 3 10" xfId="28407" xr:uid="{00000000-0005-0000-0000-0000F06E0000}"/>
    <cellStyle name="Normal 2 3 5 3 2" xfId="28408" xr:uid="{00000000-0005-0000-0000-0000F16E0000}"/>
    <cellStyle name="Normal 2 3 5 3 3" xfId="28409" xr:uid="{00000000-0005-0000-0000-0000F26E0000}"/>
    <cellStyle name="Normal 2 3 5 3 4" xfId="28410" xr:uid="{00000000-0005-0000-0000-0000F36E0000}"/>
    <cellStyle name="Normal 2 3 5 3 5" xfId="28411" xr:uid="{00000000-0005-0000-0000-0000F46E0000}"/>
    <cellStyle name="Normal 2 3 5 3 6" xfId="28412" xr:uid="{00000000-0005-0000-0000-0000F56E0000}"/>
    <cellStyle name="Normal 2 3 5 3 7" xfId="28413" xr:uid="{00000000-0005-0000-0000-0000F66E0000}"/>
    <cellStyle name="Normal 2 3 5 3 8" xfId="28414" xr:uid="{00000000-0005-0000-0000-0000F76E0000}"/>
    <cellStyle name="Normal 2 3 5 3 9" xfId="28415" xr:uid="{00000000-0005-0000-0000-0000F86E0000}"/>
    <cellStyle name="Normal 2 3 5 4" xfId="28416" xr:uid="{00000000-0005-0000-0000-0000F96E0000}"/>
    <cellStyle name="Normal 2 3 5 4 10" xfId="28417" xr:uid="{00000000-0005-0000-0000-0000FA6E0000}"/>
    <cellStyle name="Normal 2 3 5 4 2" xfId="28418" xr:uid="{00000000-0005-0000-0000-0000FB6E0000}"/>
    <cellStyle name="Normal 2 3 5 4 3" xfId="28419" xr:uid="{00000000-0005-0000-0000-0000FC6E0000}"/>
    <cellStyle name="Normal 2 3 5 4 4" xfId="28420" xr:uid="{00000000-0005-0000-0000-0000FD6E0000}"/>
    <cellStyle name="Normal 2 3 5 4 5" xfId="28421" xr:uid="{00000000-0005-0000-0000-0000FE6E0000}"/>
    <cellStyle name="Normal 2 3 5 4 6" xfId="28422" xr:uid="{00000000-0005-0000-0000-0000FF6E0000}"/>
    <cellStyle name="Normal 2 3 5 4 7" xfId="28423" xr:uid="{00000000-0005-0000-0000-0000006F0000}"/>
    <cellStyle name="Normal 2 3 5 4 8" xfId="28424" xr:uid="{00000000-0005-0000-0000-0000016F0000}"/>
    <cellStyle name="Normal 2 3 5 4 9" xfId="28425" xr:uid="{00000000-0005-0000-0000-0000026F0000}"/>
    <cellStyle name="Normal 2 3 5 5" xfId="28426" xr:uid="{00000000-0005-0000-0000-0000036F0000}"/>
    <cellStyle name="Normal 2 3 5 5 10" xfId="28427" xr:uid="{00000000-0005-0000-0000-0000046F0000}"/>
    <cellStyle name="Normal 2 3 5 5 2" xfId="28428" xr:uid="{00000000-0005-0000-0000-0000056F0000}"/>
    <cellStyle name="Normal 2 3 5 5 3" xfId="28429" xr:uid="{00000000-0005-0000-0000-0000066F0000}"/>
    <cellStyle name="Normal 2 3 5 5 4" xfId="28430" xr:uid="{00000000-0005-0000-0000-0000076F0000}"/>
    <cellStyle name="Normal 2 3 5 5 5" xfId="28431" xr:uid="{00000000-0005-0000-0000-0000086F0000}"/>
    <cellStyle name="Normal 2 3 5 5 6" xfId="28432" xr:uid="{00000000-0005-0000-0000-0000096F0000}"/>
    <cellStyle name="Normal 2 3 5 5 7" xfId="28433" xr:uid="{00000000-0005-0000-0000-00000A6F0000}"/>
    <cellStyle name="Normal 2 3 5 5 8" xfId="28434" xr:uid="{00000000-0005-0000-0000-00000B6F0000}"/>
    <cellStyle name="Normal 2 3 5 5 9" xfId="28435" xr:uid="{00000000-0005-0000-0000-00000C6F0000}"/>
    <cellStyle name="Normal 2 3 5 6" xfId="28436" xr:uid="{00000000-0005-0000-0000-00000D6F0000}"/>
    <cellStyle name="Normal 2 3 5 7" xfId="28437" xr:uid="{00000000-0005-0000-0000-00000E6F0000}"/>
    <cellStyle name="Normal 2 3 5 8" xfId="28438" xr:uid="{00000000-0005-0000-0000-00000F6F0000}"/>
    <cellStyle name="Normal 2 3 5 9" xfId="28439" xr:uid="{00000000-0005-0000-0000-0000106F0000}"/>
    <cellStyle name="Normal 2 3 6" xfId="28440" xr:uid="{00000000-0005-0000-0000-0000116F0000}"/>
    <cellStyle name="Normal 2 3 6 10" xfId="28441" xr:uid="{00000000-0005-0000-0000-0000126F0000}"/>
    <cellStyle name="Normal 2 3 6 11" xfId="28442" xr:uid="{00000000-0005-0000-0000-0000136F0000}"/>
    <cellStyle name="Normal 2 3 6 12" xfId="28443" xr:uid="{00000000-0005-0000-0000-0000146F0000}"/>
    <cellStyle name="Normal 2 3 6 13" xfId="28444" xr:uid="{00000000-0005-0000-0000-0000156F0000}"/>
    <cellStyle name="Normal 2 3 6 14" xfId="28445" xr:uid="{00000000-0005-0000-0000-0000166F0000}"/>
    <cellStyle name="Normal 2 3 6 2" xfId="28446" xr:uid="{00000000-0005-0000-0000-0000176F0000}"/>
    <cellStyle name="Normal 2 3 6 2 10" xfId="28447" xr:uid="{00000000-0005-0000-0000-0000186F0000}"/>
    <cellStyle name="Normal 2 3 6 2 2" xfId="28448" xr:uid="{00000000-0005-0000-0000-0000196F0000}"/>
    <cellStyle name="Normal 2 3 6 2 3" xfId="28449" xr:uid="{00000000-0005-0000-0000-00001A6F0000}"/>
    <cellStyle name="Normal 2 3 6 2 4" xfId="28450" xr:uid="{00000000-0005-0000-0000-00001B6F0000}"/>
    <cellStyle name="Normal 2 3 6 2 5" xfId="28451" xr:uid="{00000000-0005-0000-0000-00001C6F0000}"/>
    <cellStyle name="Normal 2 3 6 2 6" xfId="28452" xr:uid="{00000000-0005-0000-0000-00001D6F0000}"/>
    <cellStyle name="Normal 2 3 6 2 7" xfId="28453" xr:uid="{00000000-0005-0000-0000-00001E6F0000}"/>
    <cellStyle name="Normal 2 3 6 2 8" xfId="28454" xr:uid="{00000000-0005-0000-0000-00001F6F0000}"/>
    <cellStyle name="Normal 2 3 6 2 9" xfId="28455" xr:uid="{00000000-0005-0000-0000-0000206F0000}"/>
    <cellStyle name="Normal 2 3 6 3" xfId="28456" xr:uid="{00000000-0005-0000-0000-0000216F0000}"/>
    <cellStyle name="Normal 2 3 6 3 10" xfId="28457" xr:uid="{00000000-0005-0000-0000-0000226F0000}"/>
    <cellStyle name="Normal 2 3 6 3 2" xfId="28458" xr:uid="{00000000-0005-0000-0000-0000236F0000}"/>
    <cellStyle name="Normal 2 3 6 3 3" xfId="28459" xr:uid="{00000000-0005-0000-0000-0000246F0000}"/>
    <cellStyle name="Normal 2 3 6 3 4" xfId="28460" xr:uid="{00000000-0005-0000-0000-0000256F0000}"/>
    <cellStyle name="Normal 2 3 6 3 5" xfId="28461" xr:uid="{00000000-0005-0000-0000-0000266F0000}"/>
    <cellStyle name="Normal 2 3 6 3 6" xfId="28462" xr:uid="{00000000-0005-0000-0000-0000276F0000}"/>
    <cellStyle name="Normal 2 3 6 3 7" xfId="28463" xr:uid="{00000000-0005-0000-0000-0000286F0000}"/>
    <cellStyle name="Normal 2 3 6 3 8" xfId="28464" xr:uid="{00000000-0005-0000-0000-0000296F0000}"/>
    <cellStyle name="Normal 2 3 6 3 9" xfId="28465" xr:uid="{00000000-0005-0000-0000-00002A6F0000}"/>
    <cellStyle name="Normal 2 3 6 4" xfId="28466" xr:uid="{00000000-0005-0000-0000-00002B6F0000}"/>
    <cellStyle name="Normal 2 3 6 4 10" xfId="28467" xr:uid="{00000000-0005-0000-0000-00002C6F0000}"/>
    <cellStyle name="Normal 2 3 6 4 2" xfId="28468" xr:uid="{00000000-0005-0000-0000-00002D6F0000}"/>
    <cellStyle name="Normal 2 3 6 4 3" xfId="28469" xr:uid="{00000000-0005-0000-0000-00002E6F0000}"/>
    <cellStyle name="Normal 2 3 6 4 4" xfId="28470" xr:uid="{00000000-0005-0000-0000-00002F6F0000}"/>
    <cellStyle name="Normal 2 3 6 4 5" xfId="28471" xr:uid="{00000000-0005-0000-0000-0000306F0000}"/>
    <cellStyle name="Normal 2 3 6 4 6" xfId="28472" xr:uid="{00000000-0005-0000-0000-0000316F0000}"/>
    <cellStyle name="Normal 2 3 6 4 7" xfId="28473" xr:uid="{00000000-0005-0000-0000-0000326F0000}"/>
    <cellStyle name="Normal 2 3 6 4 8" xfId="28474" xr:uid="{00000000-0005-0000-0000-0000336F0000}"/>
    <cellStyle name="Normal 2 3 6 4 9" xfId="28475" xr:uid="{00000000-0005-0000-0000-0000346F0000}"/>
    <cellStyle name="Normal 2 3 6 5" xfId="28476" xr:uid="{00000000-0005-0000-0000-0000356F0000}"/>
    <cellStyle name="Normal 2 3 6 5 10" xfId="28477" xr:uid="{00000000-0005-0000-0000-0000366F0000}"/>
    <cellStyle name="Normal 2 3 6 5 2" xfId="28478" xr:uid="{00000000-0005-0000-0000-0000376F0000}"/>
    <cellStyle name="Normal 2 3 6 5 3" xfId="28479" xr:uid="{00000000-0005-0000-0000-0000386F0000}"/>
    <cellStyle name="Normal 2 3 6 5 4" xfId="28480" xr:uid="{00000000-0005-0000-0000-0000396F0000}"/>
    <cellStyle name="Normal 2 3 6 5 5" xfId="28481" xr:uid="{00000000-0005-0000-0000-00003A6F0000}"/>
    <cellStyle name="Normal 2 3 6 5 6" xfId="28482" xr:uid="{00000000-0005-0000-0000-00003B6F0000}"/>
    <cellStyle name="Normal 2 3 6 5 7" xfId="28483" xr:uid="{00000000-0005-0000-0000-00003C6F0000}"/>
    <cellStyle name="Normal 2 3 6 5 8" xfId="28484" xr:uid="{00000000-0005-0000-0000-00003D6F0000}"/>
    <cellStyle name="Normal 2 3 6 5 9" xfId="28485" xr:uid="{00000000-0005-0000-0000-00003E6F0000}"/>
    <cellStyle name="Normal 2 3 6 6" xfId="28486" xr:uid="{00000000-0005-0000-0000-00003F6F0000}"/>
    <cellStyle name="Normal 2 3 6 7" xfId="28487" xr:uid="{00000000-0005-0000-0000-0000406F0000}"/>
    <cellStyle name="Normal 2 3 6 8" xfId="28488" xr:uid="{00000000-0005-0000-0000-0000416F0000}"/>
    <cellStyle name="Normal 2 3 6 9" xfId="28489" xr:uid="{00000000-0005-0000-0000-0000426F0000}"/>
    <cellStyle name="Normal 2 3 7" xfId="28490" xr:uid="{00000000-0005-0000-0000-0000436F0000}"/>
    <cellStyle name="Normal 2 3 7 10" xfId="28491" xr:uid="{00000000-0005-0000-0000-0000446F0000}"/>
    <cellStyle name="Normal 2 3 7 11" xfId="28492" xr:uid="{00000000-0005-0000-0000-0000456F0000}"/>
    <cellStyle name="Normal 2 3 7 12" xfId="28493" xr:uid="{00000000-0005-0000-0000-0000466F0000}"/>
    <cellStyle name="Normal 2 3 7 13" xfId="28494" xr:uid="{00000000-0005-0000-0000-0000476F0000}"/>
    <cellStyle name="Normal 2 3 7 14" xfId="28495" xr:uid="{00000000-0005-0000-0000-0000486F0000}"/>
    <cellStyle name="Normal 2 3 7 2" xfId="28496" xr:uid="{00000000-0005-0000-0000-0000496F0000}"/>
    <cellStyle name="Normal 2 3 7 2 10" xfId="28497" xr:uid="{00000000-0005-0000-0000-00004A6F0000}"/>
    <cellStyle name="Normal 2 3 7 2 2" xfId="28498" xr:uid="{00000000-0005-0000-0000-00004B6F0000}"/>
    <cellStyle name="Normal 2 3 7 2 3" xfId="28499" xr:uid="{00000000-0005-0000-0000-00004C6F0000}"/>
    <cellStyle name="Normal 2 3 7 2 4" xfId="28500" xr:uid="{00000000-0005-0000-0000-00004D6F0000}"/>
    <cellStyle name="Normal 2 3 7 2 5" xfId="28501" xr:uid="{00000000-0005-0000-0000-00004E6F0000}"/>
    <cellStyle name="Normal 2 3 7 2 6" xfId="28502" xr:uid="{00000000-0005-0000-0000-00004F6F0000}"/>
    <cellStyle name="Normal 2 3 7 2 7" xfId="28503" xr:uid="{00000000-0005-0000-0000-0000506F0000}"/>
    <cellStyle name="Normal 2 3 7 2 8" xfId="28504" xr:uid="{00000000-0005-0000-0000-0000516F0000}"/>
    <cellStyle name="Normal 2 3 7 2 9" xfId="28505" xr:uid="{00000000-0005-0000-0000-0000526F0000}"/>
    <cellStyle name="Normal 2 3 7 3" xfId="28506" xr:uid="{00000000-0005-0000-0000-0000536F0000}"/>
    <cellStyle name="Normal 2 3 7 3 10" xfId="28507" xr:uid="{00000000-0005-0000-0000-0000546F0000}"/>
    <cellStyle name="Normal 2 3 7 3 2" xfId="28508" xr:uid="{00000000-0005-0000-0000-0000556F0000}"/>
    <cellStyle name="Normal 2 3 7 3 3" xfId="28509" xr:uid="{00000000-0005-0000-0000-0000566F0000}"/>
    <cellStyle name="Normal 2 3 7 3 4" xfId="28510" xr:uid="{00000000-0005-0000-0000-0000576F0000}"/>
    <cellStyle name="Normal 2 3 7 3 5" xfId="28511" xr:uid="{00000000-0005-0000-0000-0000586F0000}"/>
    <cellStyle name="Normal 2 3 7 3 6" xfId="28512" xr:uid="{00000000-0005-0000-0000-0000596F0000}"/>
    <cellStyle name="Normal 2 3 7 3 7" xfId="28513" xr:uid="{00000000-0005-0000-0000-00005A6F0000}"/>
    <cellStyle name="Normal 2 3 7 3 8" xfId="28514" xr:uid="{00000000-0005-0000-0000-00005B6F0000}"/>
    <cellStyle name="Normal 2 3 7 3 9" xfId="28515" xr:uid="{00000000-0005-0000-0000-00005C6F0000}"/>
    <cellStyle name="Normal 2 3 7 4" xfId="28516" xr:uid="{00000000-0005-0000-0000-00005D6F0000}"/>
    <cellStyle name="Normal 2 3 7 4 10" xfId="28517" xr:uid="{00000000-0005-0000-0000-00005E6F0000}"/>
    <cellStyle name="Normal 2 3 7 4 2" xfId="28518" xr:uid="{00000000-0005-0000-0000-00005F6F0000}"/>
    <cellStyle name="Normal 2 3 7 4 3" xfId="28519" xr:uid="{00000000-0005-0000-0000-0000606F0000}"/>
    <cellStyle name="Normal 2 3 7 4 4" xfId="28520" xr:uid="{00000000-0005-0000-0000-0000616F0000}"/>
    <cellStyle name="Normal 2 3 7 4 5" xfId="28521" xr:uid="{00000000-0005-0000-0000-0000626F0000}"/>
    <cellStyle name="Normal 2 3 7 4 6" xfId="28522" xr:uid="{00000000-0005-0000-0000-0000636F0000}"/>
    <cellStyle name="Normal 2 3 7 4 7" xfId="28523" xr:uid="{00000000-0005-0000-0000-0000646F0000}"/>
    <cellStyle name="Normal 2 3 7 4 8" xfId="28524" xr:uid="{00000000-0005-0000-0000-0000656F0000}"/>
    <cellStyle name="Normal 2 3 7 4 9" xfId="28525" xr:uid="{00000000-0005-0000-0000-0000666F0000}"/>
    <cellStyle name="Normal 2 3 7 5" xfId="28526" xr:uid="{00000000-0005-0000-0000-0000676F0000}"/>
    <cellStyle name="Normal 2 3 7 5 10" xfId="28527" xr:uid="{00000000-0005-0000-0000-0000686F0000}"/>
    <cellStyle name="Normal 2 3 7 5 2" xfId="28528" xr:uid="{00000000-0005-0000-0000-0000696F0000}"/>
    <cellStyle name="Normal 2 3 7 5 3" xfId="28529" xr:uid="{00000000-0005-0000-0000-00006A6F0000}"/>
    <cellStyle name="Normal 2 3 7 5 4" xfId="28530" xr:uid="{00000000-0005-0000-0000-00006B6F0000}"/>
    <cellStyle name="Normal 2 3 7 5 5" xfId="28531" xr:uid="{00000000-0005-0000-0000-00006C6F0000}"/>
    <cellStyle name="Normal 2 3 7 5 6" xfId="28532" xr:uid="{00000000-0005-0000-0000-00006D6F0000}"/>
    <cellStyle name="Normal 2 3 7 5 7" xfId="28533" xr:uid="{00000000-0005-0000-0000-00006E6F0000}"/>
    <cellStyle name="Normal 2 3 7 5 8" xfId="28534" xr:uid="{00000000-0005-0000-0000-00006F6F0000}"/>
    <cellStyle name="Normal 2 3 7 5 9" xfId="28535" xr:uid="{00000000-0005-0000-0000-0000706F0000}"/>
    <cellStyle name="Normal 2 3 7 6" xfId="28536" xr:uid="{00000000-0005-0000-0000-0000716F0000}"/>
    <cellStyle name="Normal 2 3 7 7" xfId="28537" xr:uid="{00000000-0005-0000-0000-0000726F0000}"/>
    <cellStyle name="Normal 2 3 7 8" xfId="28538" xr:uid="{00000000-0005-0000-0000-0000736F0000}"/>
    <cellStyle name="Normal 2 3 7 9" xfId="28539" xr:uid="{00000000-0005-0000-0000-0000746F0000}"/>
    <cellStyle name="Normal 2 3 8" xfId="28540" xr:uid="{00000000-0005-0000-0000-0000756F0000}"/>
    <cellStyle name="Normal 2 3 8 10" xfId="28541" xr:uid="{00000000-0005-0000-0000-0000766F0000}"/>
    <cellStyle name="Normal 2 3 8 11" xfId="28542" xr:uid="{00000000-0005-0000-0000-0000776F0000}"/>
    <cellStyle name="Normal 2 3 8 12" xfId="28543" xr:uid="{00000000-0005-0000-0000-0000786F0000}"/>
    <cellStyle name="Normal 2 3 8 13" xfId="28544" xr:uid="{00000000-0005-0000-0000-0000796F0000}"/>
    <cellStyle name="Normal 2 3 8 14" xfId="28545" xr:uid="{00000000-0005-0000-0000-00007A6F0000}"/>
    <cellStyle name="Normal 2 3 8 2" xfId="28546" xr:uid="{00000000-0005-0000-0000-00007B6F0000}"/>
    <cellStyle name="Normal 2 3 8 2 10" xfId="28547" xr:uid="{00000000-0005-0000-0000-00007C6F0000}"/>
    <cellStyle name="Normal 2 3 8 2 2" xfId="28548" xr:uid="{00000000-0005-0000-0000-00007D6F0000}"/>
    <cellStyle name="Normal 2 3 8 2 3" xfId="28549" xr:uid="{00000000-0005-0000-0000-00007E6F0000}"/>
    <cellStyle name="Normal 2 3 8 2 4" xfId="28550" xr:uid="{00000000-0005-0000-0000-00007F6F0000}"/>
    <cellStyle name="Normal 2 3 8 2 5" xfId="28551" xr:uid="{00000000-0005-0000-0000-0000806F0000}"/>
    <cellStyle name="Normal 2 3 8 2 6" xfId="28552" xr:uid="{00000000-0005-0000-0000-0000816F0000}"/>
    <cellStyle name="Normal 2 3 8 2 7" xfId="28553" xr:uid="{00000000-0005-0000-0000-0000826F0000}"/>
    <cellStyle name="Normal 2 3 8 2 8" xfId="28554" xr:uid="{00000000-0005-0000-0000-0000836F0000}"/>
    <cellStyle name="Normal 2 3 8 2 9" xfId="28555" xr:uid="{00000000-0005-0000-0000-0000846F0000}"/>
    <cellStyle name="Normal 2 3 8 3" xfId="28556" xr:uid="{00000000-0005-0000-0000-0000856F0000}"/>
    <cellStyle name="Normal 2 3 8 3 10" xfId="28557" xr:uid="{00000000-0005-0000-0000-0000866F0000}"/>
    <cellStyle name="Normal 2 3 8 3 2" xfId="28558" xr:uid="{00000000-0005-0000-0000-0000876F0000}"/>
    <cellStyle name="Normal 2 3 8 3 3" xfId="28559" xr:uid="{00000000-0005-0000-0000-0000886F0000}"/>
    <cellStyle name="Normal 2 3 8 3 4" xfId="28560" xr:uid="{00000000-0005-0000-0000-0000896F0000}"/>
    <cellStyle name="Normal 2 3 8 3 5" xfId="28561" xr:uid="{00000000-0005-0000-0000-00008A6F0000}"/>
    <cellStyle name="Normal 2 3 8 3 6" xfId="28562" xr:uid="{00000000-0005-0000-0000-00008B6F0000}"/>
    <cellStyle name="Normal 2 3 8 3 7" xfId="28563" xr:uid="{00000000-0005-0000-0000-00008C6F0000}"/>
    <cellStyle name="Normal 2 3 8 3 8" xfId="28564" xr:uid="{00000000-0005-0000-0000-00008D6F0000}"/>
    <cellStyle name="Normal 2 3 8 3 9" xfId="28565" xr:uid="{00000000-0005-0000-0000-00008E6F0000}"/>
    <cellStyle name="Normal 2 3 8 4" xfId="28566" xr:uid="{00000000-0005-0000-0000-00008F6F0000}"/>
    <cellStyle name="Normal 2 3 8 4 10" xfId="28567" xr:uid="{00000000-0005-0000-0000-0000906F0000}"/>
    <cellStyle name="Normal 2 3 8 4 2" xfId="28568" xr:uid="{00000000-0005-0000-0000-0000916F0000}"/>
    <cellStyle name="Normal 2 3 8 4 3" xfId="28569" xr:uid="{00000000-0005-0000-0000-0000926F0000}"/>
    <cellStyle name="Normal 2 3 8 4 4" xfId="28570" xr:uid="{00000000-0005-0000-0000-0000936F0000}"/>
    <cellStyle name="Normal 2 3 8 4 5" xfId="28571" xr:uid="{00000000-0005-0000-0000-0000946F0000}"/>
    <cellStyle name="Normal 2 3 8 4 6" xfId="28572" xr:uid="{00000000-0005-0000-0000-0000956F0000}"/>
    <cellStyle name="Normal 2 3 8 4 7" xfId="28573" xr:uid="{00000000-0005-0000-0000-0000966F0000}"/>
    <cellStyle name="Normal 2 3 8 4 8" xfId="28574" xr:uid="{00000000-0005-0000-0000-0000976F0000}"/>
    <cellStyle name="Normal 2 3 8 4 9" xfId="28575" xr:uid="{00000000-0005-0000-0000-0000986F0000}"/>
    <cellStyle name="Normal 2 3 8 5" xfId="28576" xr:uid="{00000000-0005-0000-0000-0000996F0000}"/>
    <cellStyle name="Normal 2 3 8 5 10" xfId="28577" xr:uid="{00000000-0005-0000-0000-00009A6F0000}"/>
    <cellStyle name="Normal 2 3 8 5 2" xfId="28578" xr:uid="{00000000-0005-0000-0000-00009B6F0000}"/>
    <cellStyle name="Normal 2 3 8 5 3" xfId="28579" xr:uid="{00000000-0005-0000-0000-00009C6F0000}"/>
    <cellStyle name="Normal 2 3 8 5 4" xfId="28580" xr:uid="{00000000-0005-0000-0000-00009D6F0000}"/>
    <cellStyle name="Normal 2 3 8 5 5" xfId="28581" xr:uid="{00000000-0005-0000-0000-00009E6F0000}"/>
    <cellStyle name="Normal 2 3 8 5 6" xfId="28582" xr:uid="{00000000-0005-0000-0000-00009F6F0000}"/>
    <cellStyle name="Normal 2 3 8 5 7" xfId="28583" xr:uid="{00000000-0005-0000-0000-0000A06F0000}"/>
    <cellStyle name="Normal 2 3 8 5 8" xfId="28584" xr:uid="{00000000-0005-0000-0000-0000A16F0000}"/>
    <cellStyle name="Normal 2 3 8 5 9" xfId="28585" xr:uid="{00000000-0005-0000-0000-0000A26F0000}"/>
    <cellStyle name="Normal 2 3 8 6" xfId="28586" xr:uid="{00000000-0005-0000-0000-0000A36F0000}"/>
    <cellStyle name="Normal 2 3 8 7" xfId="28587" xr:uid="{00000000-0005-0000-0000-0000A46F0000}"/>
    <cellStyle name="Normal 2 3 8 8" xfId="28588" xr:uid="{00000000-0005-0000-0000-0000A56F0000}"/>
    <cellStyle name="Normal 2 3 8 9" xfId="28589" xr:uid="{00000000-0005-0000-0000-0000A66F0000}"/>
    <cellStyle name="Normal 2 3 9" xfId="28590" xr:uid="{00000000-0005-0000-0000-0000A76F0000}"/>
    <cellStyle name="Normal 2 3 9 10" xfId="28591" xr:uid="{00000000-0005-0000-0000-0000A86F0000}"/>
    <cellStyle name="Normal 2 3 9 11" xfId="28592" xr:uid="{00000000-0005-0000-0000-0000A96F0000}"/>
    <cellStyle name="Normal 2 3 9 12" xfId="28593" xr:uid="{00000000-0005-0000-0000-0000AA6F0000}"/>
    <cellStyle name="Normal 2 3 9 13" xfId="28594" xr:uid="{00000000-0005-0000-0000-0000AB6F0000}"/>
    <cellStyle name="Normal 2 3 9 14" xfId="28595" xr:uid="{00000000-0005-0000-0000-0000AC6F0000}"/>
    <cellStyle name="Normal 2 3 9 2" xfId="28596" xr:uid="{00000000-0005-0000-0000-0000AD6F0000}"/>
    <cellStyle name="Normal 2 3 9 2 10" xfId="28597" xr:uid="{00000000-0005-0000-0000-0000AE6F0000}"/>
    <cellStyle name="Normal 2 3 9 2 2" xfId="28598" xr:uid="{00000000-0005-0000-0000-0000AF6F0000}"/>
    <cellStyle name="Normal 2 3 9 2 3" xfId="28599" xr:uid="{00000000-0005-0000-0000-0000B06F0000}"/>
    <cellStyle name="Normal 2 3 9 2 4" xfId="28600" xr:uid="{00000000-0005-0000-0000-0000B16F0000}"/>
    <cellStyle name="Normal 2 3 9 2 5" xfId="28601" xr:uid="{00000000-0005-0000-0000-0000B26F0000}"/>
    <cellStyle name="Normal 2 3 9 2 6" xfId="28602" xr:uid="{00000000-0005-0000-0000-0000B36F0000}"/>
    <cellStyle name="Normal 2 3 9 2 7" xfId="28603" xr:uid="{00000000-0005-0000-0000-0000B46F0000}"/>
    <cellStyle name="Normal 2 3 9 2 8" xfId="28604" xr:uid="{00000000-0005-0000-0000-0000B56F0000}"/>
    <cellStyle name="Normal 2 3 9 2 9" xfId="28605" xr:uid="{00000000-0005-0000-0000-0000B66F0000}"/>
    <cellStyle name="Normal 2 3 9 3" xfId="28606" xr:uid="{00000000-0005-0000-0000-0000B76F0000}"/>
    <cellStyle name="Normal 2 3 9 3 10" xfId="28607" xr:uid="{00000000-0005-0000-0000-0000B86F0000}"/>
    <cellStyle name="Normal 2 3 9 3 2" xfId="28608" xr:uid="{00000000-0005-0000-0000-0000B96F0000}"/>
    <cellStyle name="Normal 2 3 9 3 3" xfId="28609" xr:uid="{00000000-0005-0000-0000-0000BA6F0000}"/>
    <cellStyle name="Normal 2 3 9 3 4" xfId="28610" xr:uid="{00000000-0005-0000-0000-0000BB6F0000}"/>
    <cellStyle name="Normal 2 3 9 3 5" xfId="28611" xr:uid="{00000000-0005-0000-0000-0000BC6F0000}"/>
    <cellStyle name="Normal 2 3 9 3 6" xfId="28612" xr:uid="{00000000-0005-0000-0000-0000BD6F0000}"/>
    <cellStyle name="Normal 2 3 9 3 7" xfId="28613" xr:uid="{00000000-0005-0000-0000-0000BE6F0000}"/>
    <cellStyle name="Normal 2 3 9 3 8" xfId="28614" xr:uid="{00000000-0005-0000-0000-0000BF6F0000}"/>
    <cellStyle name="Normal 2 3 9 3 9" xfId="28615" xr:uid="{00000000-0005-0000-0000-0000C06F0000}"/>
    <cellStyle name="Normal 2 3 9 4" xfId="28616" xr:uid="{00000000-0005-0000-0000-0000C16F0000}"/>
    <cellStyle name="Normal 2 3 9 4 10" xfId="28617" xr:uid="{00000000-0005-0000-0000-0000C26F0000}"/>
    <cellStyle name="Normal 2 3 9 4 2" xfId="28618" xr:uid="{00000000-0005-0000-0000-0000C36F0000}"/>
    <cellStyle name="Normal 2 3 9 4 3" xfId="28619" xr:uid="{00000000-0005-0000-0000-0000C46F0000}"/>
    <cellStyle name="Normal 2 3 9 4 4" xfId="28620" xr:uid="{00000000-0005-0000-0000-0000C56F0000}"/>
    <cellStyle name="Normal 2 3 9 4 5" xfId="28621" xr:uid="{00000000-0005-0000-0000-0000C66F0000}"/>
    <cellStyle name="Normal 2 3 9 4 6" xfId="28622" xr:uid="{00000000-0005-0000-0000-0000C76F0000}"/>
    <cellStyle name="Normal 2 3 9 4 7" xfId="28623" xr:uid="{00000000-0005-0000-0000-0000C86F0000}"/>
    <cellStyle name="Normal 2 3 9 4 8" xfId="28624" xr:uid="{00000000-0005-0000-0000-0000C96F0000}"/>
    <cellStyle name="Normal 2 3 9 4 9" xfId="28625" xr:uid="{00000000-0005-0000-0000-0000CA6F0000}"/>
    <cellStyle name="Normal 2 3 9 5" xfId="28626" xr:uid="{00000000-0005-0000-0000-0000CB6F0000}"/>
    <cellStyle name="Normal 2 3 9 5 10" xfId="28627" xr:uid="{00000000-0005-0000-0000-0000CC6F0000}"/>
    <cellStyle name="Normal 2 3 9 5 2" xfId="28628" xr:uid="{00000000-0005-0000-0000-0000CD6F0000}"/>
    <cellStyle name="Normal 2 3 9 5 3" xfId="28629" xr:uid="{00000000-0005-0000-0000-0000CE6F0000}"/>
    <cellStyle name="Normal 2 3 9 5 4" xfId="28630" xr:uid="{00000000-0005-0000-0000-0000CF6F0000}"/>
    <cellStyle name="Normal 2 3 9 5 5" xfId="28631" xr:uid="{00000000-0005-0000-0000-0000D06F0000}"/>
    <cellStyle name="Normal 2 3 9 5 6" xfId="28632" xr:uid="{00000000-0005-0000-0000-0000D16F0000}"/>
    <cellStyle name="Normal 2 3 9 5 7" xfId="28633" xr:uid="{00000000-0005-0000-0000-0000D26F0000}"/>
    <cellStyle name="Normal 2 3 9 5 8" xfId="28634" xr:uid="{00000000-0005-0000-0000-0000D36F0000}"/>
    <cellStyle name="Normal 2 3 9 5 9" xfId="28635" xr:uid="{00000000-0005-0000-0000-0000D46F0000}"/>
    <cellStyle name="Normal 2 3 9 6" xfId="28636" xr:uid="{00000000-0005-0000-0000-0000D56F0000}"/>
    <cellStyle name="Normal 2 3 9 7" xfId="28637" xr:uid="{00000000-0005-0000-0000-0000D66F0000}"/>
    <cellStyle name="Normal 2 3 9 8" xfId="28638" xr:uid="{00000000-0005-0000-0000-0000D76F0000}"/>
    <cellStyle name="Normal 2 3 9 9" xfId="28639" xr:uid="{00000000-0005-0000-0000-0000D86F0000}"/>
    <cellStyle name="Normal 2 30" xfId="28640" xr:uid="{00000000-0005-0000-0000-0000D96F0000}"/>
    <cellStyle name="Normal 2 30 2" xfId="28641" xr:uid="{00000000-0005-0000-0000-0000DA6F0000}"/>
    <cellStyle name="Normal 2 30 3" xfId="28642" xr:uid="{00000000-0005-0000-0000-0000DB6F0000}"/>
    <cellStyle name="Normal 2 31" xfId="28643" xr:uid="{00000000-0005-0000-0000-0000DC6F0000}"/>
    <cellStyle name="Normal 2 31 2" xfId="28644" xr:uid="{00000000-0005-0000-0000-0000DD6F0000}"/>
    <cellStyle name="Normal 2 31 2 2" xfId="28645" xr:uid="{00000000-0005-0000-0000-0000DE6F0000}"/>
    <cellStyle name="Normal 2 31 3" xfId="28646" xr:uid="{00000000-0005-0000-0000-0000DF6F0000}"/>
    <cellStyle name="Normal 2 32" xfId="28647" xr:uid="{00000000-0005-0000-0000-0000E06F0000}"/>
    <cellStyle name="Normal 2 32 2" xfId="28648" xr:uid="{00000000-0005-0000-0000-0000E16F0000}"/>
    <cellStyle name="Normal 2 32 2 2" xfId="28649" xr:uid="{00000000-0005-0000-0000-0000E26F0000}"/>
    <cellStyle name="Normal 2 32 3" xfId="28650" xr:uid="{00000000-0005-0000-0000-0000E36F0000}"/>
    <cellStyle name="Normal 2 33" xfId="28651" xr:uid="{00000000-0005-0000-0000-0000E46F0000}"/>
    <cellStyle name="Normal 2 33 2" xfId="28652" xr:uid="{00000000-0005-0000-0000-0000E56F0000}"/>
    <cellStyle name="Normal 2 33 2 2" xfId="28653" xr:uid="{00000000-0005-0000-0000-0000E66F0000}"/>
    <cellStyle name="Normal 2 33 2 2 2" xfId="28654" xr:uid="{00000000-0005-0000-0000-0000E76F0000}"/>
    <cellStyle name="Normal 2 33 2 2 2 2" xfId="28655" xr:uid="{00000000-0005-0000-0000-0000E86F0000}"/>
    <cellStyle name="Normal 2 33 2 3" xfId="28656" xr:uid="{00000000-0005-0000-0000-0000E96F0000}"/>
    <cellStyle name="Normal 2 33 2 4" xfId="28657" xr:uid="{00000000-0005-0000-0000-0000EA6F0000}"/>
    <cellStyle name="Normal 2 33 3" xfId="28658" xr:uid="{00000000-0005-0000-0000-0000EB6F0000}"/>
    <cellStyle name="Normal 2 33 3 2" xfId="28659" xr:uid="{00000000-0005-0000-0000-0000EC6F0000}"/>
    <cellStyle name="Normal 2 33 3 3" xfId="28660" xr:uid="{00000000-0005-0000-0000-0000ED6F0000}"/>
    <cellStyle name="Normal 2 33 4" xfId="28661" xr:uid="{00000000-0005-0000-0000-0000EE6F0000}"/>
    <cellStyle name="Normal 2 34" xfId="28662" xr:uid="{00000000-0005-0000-0000-0000EF6F0000}"/>
    <cellStyle name="Normal 2 34 2" xfId="28663" xr:uid="{00000000-0005-0000-0000-0000F06F0000}"/>
    <cellStyle name="Normal 2 34 2 2" xfId="28664" xr:uid="{00000000-0005-0000-0000-0000F16F0000}"/>
    <cellStyle name="Normal 2 34 3" xfId="28665" xr:uid="{00000000-0005-0000-0000-0000F26F0000}"/>
    <cellStyle name="Normal 2 35" xfId="28666" xr:uid="{00000000-0005-0000-0000-0000F36F0000}"/>
    <cellStyle name="Normal 2 35 2" xfId="28667" xr:uid="{00000000-0005-0000-0000-0000F46F0000}"/>
    <cellStyle name="Normal 2 35 2 2" xfId="28668" xr:uid="{00000000-0005-0000-0000-0000F56F0000}"/>
    <cellStyle name="Normal 2 35 3" xfId="28669" xr:uid="{00000000-0005-0000-0000-0000F66F0000}"/>
    <cellStyle name="Normal 2 36" xfId="28670" xr:uid="{00000000-0005-0000-0000-0000F76F0000}"/>
    <cellStyle name="Normal 2 36 2" xfId="28671" xr:uid="{00000000-0005-0000-0000-0000F86F0000}"/>
    <cellStyle name="Normal 2 36 2 2" xfId="28672" xr:uid="{00000000-0005-0000-0000-0000F96F0000}"/>
    <cellStyle name="Normal 2 36 3" xfId="28673" xr:uid="{00000000-0005-0000-0000-0000FA6F0000}"/>
    <cellStyle name="Normal 2 37" xfId="28674" xr:uid="{00000000-0005-0000-0000-0000FB6F0000}"/>
    <cellStyle name="Normal 2 37 2" xfId="28675" xr:uid="{00000000-0005-0000-0000-0000FC6F0000}"/>
    <cellStyle name="Normal 2 37 3" xfId="28676" xr:uid="{00000000-0005-0000-0000-0000FD6F0000}"/>
    <cellStyle name="Normal 2 38" xfId="28677" xr:uid="{00000000-0005-0000-0000-0000FE6F0000}"/>
    <cellStyle name="Normal 2 38 2" xfId="28678" xr:uid="{00000000-0005-0000-0000-0000FF6F0000}"/>
    <cellStyle name="Normal 2 38 3" xfId="28679" xr:uid="{00000000-0005-0000-0000-000000700000}"/>
    <cellStyle name="Normal 2 39" xfId="28680" xr:uid="{00000000-0005-0000-0000-000001700000}"/>
    <cellStyle name="Normal 2 39 2" xfId="28681" xr:uid="{00000000-0005-0000-0000-000002700000}"/>
    <cellStyle name="Normal 2 39 3" xfId="28682" xr:uid="{00000000-0005-0000-0000-000003700000}"/>
    <cellStyle name="Normal 2 4" xfId="18" xr:uid="{00000000-0005-0000-0000-000004700000}"/>
    <cellStyle name="Normal 2 4 10" xfId="28683" xr:uid="{00000000-0005-0000-0000-000005700000}"/>
    <cellStyle name="Normal 2 4 11" xfId="28684" xr:uid="{00000000-0005-0000-0000-000006700000}"/>
    <cellStyle name="Normal 2 4 12" xfId="28685" xr:uid="{00000000-0005-0000-0000-000007700000}"/>
    <cellStyle name="Normal 2 4 13" xfId="28686" xr:uid="{00000000-0005-0000-0000-000008700000}"/>
    <cellStyle name="Normal 2 4 14" xfId="28687" xr:uid="{00000000-0005-0000-0000-000009700000}"/>
    <cellStyle name="Normal 2 4 15" xfId="28688" xr:uid="{00000000-0005-0000-0000-00000A700000}"/>
    <cellStyle name="Normal 2 4 16" xfId="28689" xr:uid="{00000000-0005-0000-0000-00000B700000}"/>
    <cellStyle name="Normal 2 4 17" xfId="28690" xr:uid="{00000000-0005-0000-0000-00000C700000}"/>
    <cellStyle name="Normal 2 4 18" xfId="28691" xr:uid="{00000000-0005-0000-0000-00000D700000}"/>
    <cellStyle name="Normal 2 4 19" xfId="28692" xr:uid="{00000000-0005-0000-0000-00000E700000}"/>
    <cellStyle name="Normal 2 4 2" xfId="28693" xr:uid="{00000000-0005-0000-0000-00000F700000}"/>
    <cellStyle name="Normal 2 4 2 10" xfId="28694" xr:uid="{00000000-0005-0000-0000-000010700000}"/>
    <cellStyle name="Normal 2 4 2 11" xfId="28695" xr:uid="{00000000-0005-0000-0000-000011700000}"/>
    <cellStyle name="Normal 2 4 2 12" xfId="28696" xr:uid="{00000000-0005-0000-0000-000012700000}"/>
    <cellStyle name="Normal 2 4 2 13" xfId="28697" xr:uid="{00000000-0005-0000-0000-000013700000}"/>
    <cellStyle name="Normal 2 4 2 14" xfId="28698" xr:uid="{00000000-0005-0000-0000-000014700000}"/>
    <cellStyle name="Normal 2 4 2 15" xfId="28699" xr:uid="{00000000-0005-0000-0000-000015700000}"/>
    <cellStyle name="Normal 2 4 2 16" xfId="28700" xr:uid="{00000000-0005-0000-0000-000016700000}"/>
    <cellStyle name="Normal 2 4 2 17" xfId="28701" xr:uid="{00000000-0005-0000-0000-000017700000}"/>
    <cellStyle name="Normal 2 4 2 18" xfId="28702" xr:uid="{00000000-0005-0000-0000-000018700000}"/>
    <cellStyle name="Normal 2 4 2 18 2" xfId="28703" xr:uid="{00000000-0005-0000-0000-000019700000}"/>
    <cellStyle name="Normal 2 4 2 18 2 2" xfId="28704" xr:uid="{00000000-0005-0000-0000-00001A700000}"/>
    <cellStyle name="Normal 2 4 2 18 2 2 2" xfId="28705" xr:uid="{00000000-0005-0000-0000-00001B700000}"/>
    <cellStyle name="Normal 2 4 2 18 2 2 2 2" xfId="28706" xr:uid="{00000000-0005-0000-0000-00001C700000}"/>
    <cellStyle name="Normal 2 4 2 18 2 3" xfId="28707" xr:uid="{00000000-0005-0000-0000-00001D700000}"/>
    <cellStyle name="Normal 2 4 2 18 3" xfId="28708" xr:uid="{00000000-0005-0000-0000-00001E700000}"/>
    <cellStyle name="Normal 2 4 2 18 3 2" xfId="28709" xr:uid="{00000000-0005-0000-0000-00001F700000}"/>
    <cellStyle name="Normal 2 4 2 19" xfId="28710" xr:uid="{00000000-0005-0000-0000-000020700000}"/>
    <cellStyle name="Normal 2 4 2 2" xfId="28711" xr:uid="{00000000-0005-0000-0000-000021700000}"/>
    <cellStyle name="Normal 2 4 2 2 2" xfId="28712" xr:uid="{00000000-0005-0000-0000-000022700000}"/>
    <cellStyle name="Normal 2 4 2 20" xfId="28713" xr:uid="{00000000-0005-0000-0000-000023700000}"/>
    <cellStyle name="Normal 2 4 2 3" xfId="28714" xr:uid="{00000000-0005-0000-0000-000024700000}"/>
    <cellStyle name="Normal 2 4 2 4" xfId="28715" xr:uid="{00000000-0005-0000-0000-000025700000}"/>
    <cellStyle name="Normal 2 4 2 5" xfId="28716" xr:uid="{00000000-0005-0000-0000-000026700000}"/>
    <cellStyle name="Normal 2 4 2 6" xfId="28717" xr:uid="{00000000-0005-0000-0000-000027700000}"/>
    <cellStyle name="Normal 2 4 2 7" xfId="28718" xr:uid="{00000000-0005-0000-0000-000028700000}"/>
    <cellStyle name="Normal 2 4 2 8" xfId="28719" xr:uid="{00000000-0005-0000-0000-000029700000}"/>
    <cellStyle name="Normal 2 4 2 9" xfId="28720" xr:uid="{00000000-0005-0000-0000-00002A700000}"/>
    <cellStyle name="Normal 2 4 3" xfId="28721" xr:uid="{00000000-0005-0000-0000-00002B700000}"/>
    <cellStyle name="Normal 2 4 3 2" xfId="28722" xr:uid="{00000000-0005-0000-0000-00002C700000}"/>
    <cellStyle name="Normal 2 4 3 3" xfId="28723" xr:uid="{00000000-0005-0000-0000-00002D700000}"/>
    <cellStyle name="Normal 2 4 4" xfId="28724" xr:uid="{00000000-0005-0000-0000-00002E700000}"/>
    <cellStyle name="Normal 2 4 4 2" xfId="28725" xr:uid="{00000000-0005-0000-0000-00002F700000}"/>
    <cellStyle name="Normal 2 4 4 3" xfId="28726" xr:uid="{00000000-0005-0000-0000-000030700000}"/>
    <cellStyle name="Normal 2 4 5" xfId="28727" xr:uid="{00000000-0005-0000-0000-000031700000}"/>
    <cellStyle name="Normal 2 4 5 2" xfId="28728" xr:uid="{00000000-0005-0000-0000-000032700000}"/>
    <cellStyle name="Normal 2 4 6" xfId="28729" xr:uid="{00000000-0005-0000-0000-000033700000}"/>
    <cellStyle name="Normal 2 4 6 2" xfId="28730" xr:uid="{00000000-0005-0000-0000-000034700000}"/>
    <cellStyle name="Normal 2 4 7" xfId="28731" xr:uid="{00000000-0005-0000-0000-000035700000}"/>
    <cellStyle name="Normal 2 4 8" xfId="28732" xr:uid="{00000000-0005-0000-0000-000036700000}"/>
    <cellStyle name="Normal 2 4 9" xfId="28733" xr:uid="{00000000-0005-0000-0000-000037700000}"/>
    <cellStyle name="Normal 2 40" xfId="28734" xr:uid="{00000000-0005-0000-0000-000038700000}"/>
    <cellStyle name="Normal 2 40 2" xfId="28735" xr:uid="{00000000-0005-0000-0000-000039700000}"/>
    <cellStyle name="Normal 2 40 3" xfId="28736" xr:uid="{00000000-0005-0000-0000-00003A700000}"/>
    <cellStyle name="Normal 2 41" xfId="19" xr:uid="{00000000-0005-0000-0000-00003B700000}"/>
    <cellStyle name="Normal 2 41 2" xfId="28737" xr:uid="{00000000-0005-0000-0000-00003C700000}"/>
    <cellStyle name="Normal 2 41 2 2" xfId="28738" xr:uid="{00000000-0005-0000-0000-00003D700000}"/>
    <cellStyle name="Normal 2 41 3" xfId="28739" xr:uid="{00000000-0005-0000-0000-00003E700000}"/>
    <cellStyle name="Normal 2 41 4" xfId="28740" xr:uid="{00000000-0005-0000-0000-00003F700000}"/>
    <cellStyle name="Normal 2 41 5" xfId="28741" xr:uid="{00000000-0005-0000-0000-000040700000}"/>
    <cellStyle name="Normal 2 41 6" xfId="28742" xr:uid="{00000000-0005-0000-0000-000041700000}"/>
    <cellStyle name="Normal 2 41 7" xfId="28743" xr:uid="{00000000-0005-0000-0000-000042700000}"/>
    <cellStyle name="Normal 2 41 8" xfId="28744" xr:uid="{00000000-0005-0000-0000-000043700000}"/>
    <cellStyle name="Normal 2 41 8 2" xfId="28745" xr:uid="{00000000-0005-0000-0000-000044700000}"/>
    <cellStyle name="Normal 2 41 9" xfId="28746" xr:uid="{00000000-0005-0000-0000-000045700000}"/>
    <cellStyle name="Normal 2 42" xfId="28747" xr:uid="{00000000-0005-0000-0000-000046700000}"/>
    <cellStyle name="Normal 2 42 2" xfId="28748" xr:uid="{00000000-0005-0000-0000-000047700000}"/>
    <cellStyle name="Normal 2 42 3" xfId="28749" xr:uid="{00000000-0005-0000-0000-000048700000}"/>
    <cellStyle name="Normal 2 42 4" xfId="28750" xr:uid="{00000000-0005-0000-0000-000049700000}"/>
    <cellStyle name="Normal 2 42 5" xfId="28751" xr:uid="{00000000-0005-0000-0000-00004A700000}"/>
    <cellStyle name="Normal 2 42 6" xfId="28752" xr:uid="{00000000-0005-0000-0000-00004B700000}"/>
    <cellStyle name="Normal 2 42 7" xfId="28753" xr:uid="{00000000-0005-0000-0000-00004C700000}"/>
    <cellStyle name="Normal 2 42 8" xfId="28754" xr:uid="{00000000-0005-0000-0000-00004D700000}"/>
    <cellStyle name="Normal 2 43" xfId="28755" xr:uid="{00000000-0005-0000-0000-00004E700000}"/>
    <cellStyle name="Normal 2 43 2" xfId="28756" xr:uid="{00000000-0005-0000-0000-00004F700000}"/>
    <cellStyle name="Normal 2 43 3" xfId="28757" xr:uid="{00000000-0005-0000-0000-000050700000}"/>
    <cellStyle name="Normal 2 44" xfId="28758" xr:uid="{00000000-0005-0000-0000-000051700000}"/>
    <cellStyle name="Normal 2 44 2" xfId="28759" xr:uid="{00000000-0005-0000-0000-000052700000}"/>
    <cellStyle name="Normal 2 44 3" xfId="28760" xr:uid="{00000000-0005-0000-0000-000053700000}"/>
    <cellStyle name="Normal 2 45" xfId="28761" xr:uid="{00000000-0005-0000-0000-000054700000}"/>
    <cellStyle name="Normal 2 45 2" xfId="28762" xr:uid="{00000000-0005-0000-0000-000055700000}"/>
    <cellStyle name="Normal 2 45 3" xfId="28763" xr:uid="{00000000-0005-0000-0000-000056700000}"/>
    <cellStyle name="Normal 2 46" xfId="28764" xr:uid="{00000000-0005-0000-0000-000057700000}"/>
    <cellStyle name="Normal 2 46 2" xfId="28765" xr:uid="{00000000-0005-0000-0000-000058700000}"/>
    <cellStyle name="Normal 2 46 3" xfId="28766" xr:uid="{00000000-0005-0000-0000-000059700000}"/>
    <cellStyle name="Normal 2 47" xfId="28767" xr:uid="{00000000-0005-0000-0000-00005A700000}"/>
    <cellStyle name="Normal 2 47 2" xfId="28768" xr:uid="{00000000-0005-0000-0000-00005B700000}"/>
    <cellStyle name="Normal 2 47 3" xfId="28769" xr:uid="{00000000-0005-0000-0000-00005C700000}"/>
    <cellStyle name="Normal 2 48" xfId="28770" xr:uid="{00000000-0005-0000-0000-00005D700000}"/>
    <cellStyle name="Normal 2 48 2" xfId="28771" xr:uid="{00000000-0005-0000-0000-00005E700000}"/>
    <cellStyle name="Normal 2 48 3" xfId="28772" xr:uid="{00000000-0005-0000-0000-00005F700000}"/>
    <cellStyle name="Normal 2 49" xfId="28773" xr:uid="{00000000-0005-0000-0000-000060700000}"/>
    <cellStyle name="Normal 2 49 2" xfId="28774" xr:uid="{00000000-0005-0000-0000-000061700000}"/>
    <cellStyle name="Normal 2 49 3" xfId="28775" xr:uid="{00000000-0005-0000-0000-000062700000}"/>
    <cellStyle name="Normal 2 5" xfId="28776" xr:uid="{00000000-0005-0000-0000-000063700000}"/>
    <cellStyle name="Normal 2 5 10" xfId="28777" xr:uid="{00000000-0005-0000-0000-000064700000}"/>
    <cellStyle name="Normal 2 5 11" xfId="28778" xr:uid="{00000000-0005-0000-0000-000065700000}"/>
    <cellStyle name="Normal 2 5 12" xfId="28779" xr:uid="{00000000-0005-0000-0000-000066700000}"/>
    <cellStyle name="Normal 2 5 13" xfId="28780" xr:uid="{00000000-0005-0000-0000-000067700000}"/>
    <cellStyle name="Normal 2 5 14" xfId="28781" xr:uid="{00000000-0005-0000-0000-000068700000}"/>
    <cellStyle name="Normal 2 5 15" xfId="28782" xr:uid="{00000000-0005-0000-0000-000069700000}"/>
    <cellStyle name="Normal 2 5 16" xfId="28783" xr:uid="{00000000-0005-0000-0000-00006A700000}"/>
    <cellStyle name="Normal 2 5 17" xfId="28784" xr:uid="{00000000-0005-0000-0000-00006B700000}"/>
    <cellStyle name="Normal 2 5 18" xfId="28785" xr:uid="{00000000-0005-0000-0000-00006C700000}"/>
    <cellStyle name="Normal 2 5 19" xfId="28786" xr:uid="{00000000-0005-0000-0000-00006D700000}"/>
    <cellStyle name="Normal 2 5 2" xfId="28787" xr:uid="{00000000-0005-0000-0000-00006E700000}"/>
    <cellStyle name="Normal 2 5 2 10" xfId="28788" xr:uid="{00000000-0005-0000-0000-00006F700000}"/>
    <cellStyle name="Normal 2 5 2 11" xfId="28789" xr:uid="{00000000-0005-0000-0000-000070700000}"/>
    <cellStyle name="Normal 2 5 2 12" xfId="28790" xr:uid="{00000000-0005-0000-0000-000071700000}"/>
    <cellStyle name="Normal 2 5 2 13" xfId="28791" xr:uid="{00000000-0005-0000-0000-000072700000}"/>
    <cellStyle name="Normal 2 5 2 14" xfId="28792" xr:uid="{00000000-0005-0000-0000-000073700000}"/>
    <cellStyle name="Normal 2 5 2 15" xfId="28793" xr:uid="{00000000-0005-0000-0000-000074700000}"/>
    <cellStyle name="Normal 2 5 2 16" xfId="28794" xr:uid="{00000000-0005-0000-0000-000075700000}"/>
    <cellStyle name="Normal 2 5 2 17" xfId="28795" xr:uid="{00000000-0005-0000-0000-000076700000}"/>
    <cellStyle name="Normal 2 5 2 18" xfId="28796" xr:uid="{00000000-0005-0000-0000-000077700000}"/>
    <cellStyle name="Normal 2 5 2 19" xfId="28797" xr:uid="{00000000-0005-0000-0000-000078700000}"/>
    <cellStyle name="Normal 2 5 2 2" xfId="28798" xr:uid="{00000000-0005-0000-0000-000079700000}"/>
    <cellStyle name="Normal 2 5 2 2 10" xfId="28799" xr:uid="{00000000-0005-0000-0000-00007A700000}"/>
    <cellStyle name="Normal 2 5 2 2 11" xfId="28800" xr:uid="{00000000-0005-0000-0000-00007B700000}"/>
    <cellStyle name="Normal 2 5 2 2 12" xfId="28801" xr:uid="{00000000-0005-0000-0000-00007C700000}"/>
    <cellStyle name="Normal 2 5 2 2 13" xfId="28802" xr:uid="{00000000-0005-0000-0000-00007D700000}"/>
    <cellStyle name="Normal 2 5 2 2 14" xfId="28803" xr:uid="{00000000-0005-0000-0000-00007E700000}"/>
    <cellStyle name="Normal 2 5 2 2 15" xfId="28804" xr:uid="{00000000-0005-0000-0000-00007F700000}"/>
    <cellStyle name="Normal 2 5 2 2 16" xfId="28805" xr:uid="{00000000-0005-0000-0000-000080700000}"/>
    <cellStyle name="Normal 2 5 2 2 17" xfId="28806" xr:uid="{00000000-0005-0000-0000-000081700000}"/>
    <cellStyle name="Normal 2 5 2 2 18" xfId="28807" xr:uid="{00000000-0005-0000-0000-000082700000}"/>
    <cellStyle name="Normal 2 5 2 2 19" xfId="28808" xr:uid="{00000000-0005-0000-0000-000083700000}"/>
    <cellStyle name="Normal 2 5 2 2 2" xfId="28809" xr:uid="{00000000-0005-0000-0000-000084700000}"/>
    <cellStyle name="Normal 2 5 2 2 20" xfId="28810" xr:uid="{00000000-0005-0000-0000-000085700000}"/>
    <cellStyle name="Normal 2 5 2 2 3" xfId="28811" xr:uid="{00000000-0005-0000-0000-000086700000}"/>
    <cellStyle name="Normal 2 5 2 2 4" xfId="28812" xr:uid="{00000000-0005-0000-0000-000087700000}"/>
    <cellStyle name="Normal 2 5 2 2 5" xfId="28813" xr:uid="{00000000-0005-0000-0000-000088700000}"/>
    <cellStyle name="Normal 2 5 2 2 6" xfId="28814" xr:uid="{00000000-0005-0000-0000-000089700000}"/>
    <cellStyle name="Normal 2 5 2 2 7" xfId="28815" xr:uid="{00000000-0005-0000-0000-00008A700000}"/>
    <cellStyle name="Normal 2 5 2 2 8" xfId="28816" xr:uid="{00000000-0005-0000-0000-00008B700000}"/>
    <cellStyle name="Normal 2 5 2 2 9" xfId="28817" xr:uid="{00000000-0005-0000-0000-00008C700000}"/>
    <cellStyle name="Normal 2 5 2 20" xfId="28818" xr:uid="{00000000-0005-0000-0000-00008D700000}"/>
    <cellStyle name="Normal 2 5 2 21" xfId="28819" xr:uid="{00000000-0005-0000-0000-00008E700000}"/>
    <cellStyle name="Normal 2 5 2 22" xfId="28820" xr:uid="{00000000-0005-0000-0000-00008F700000}"/>
    <cellStyle name="Normal 2 5 2 23" xfId="28821" xr:uid="{00000000-0005-0000-0000-000090700000}"/>
    <cellStyle name="Normal 2 5 2 3" xfId="28822" xr:uid="{00000000-0005-0000-0000-000091700000}"/>
    <cellStyle name="Normal 2 5 2 4" xfId="28823" xr:uid="{00000000-0005-0000-0000-000092700000}"/>
    <cellStyle name="Normal 2 5 2 5" xfId="28824" xr:uid="{00000000-0005-0000-0000-000093700000}"/>
    <cellStyle name="Normal 2 5 2 6" xfId="28825" xr:uid="{00000000-0005-0000-0000-000094700000}"/>
    <cellStyle name="Normal 2 5 2 7" xfId="28826" xr:uid="{00000000-0005-0000-0000-000095700000}"/>
    <cellStyle name="Normal 2 5 2 8" xfId="28827" xr:uid="{00000000-0005-0000-0000-000096700000}"/>
    <cellStyle name="Normal 2 5 2 9" xfId="28828" xr:uid="{00000000-0005-0000-0000-000097700000}"/>
    <cellStyle name="Normal 2 5 20" xfId="28829" xr:uid="{00000000-0005-0000-0000-000098700000}"/>
    <cellStyle name="Normal 2 5 21" xfId="28830" xr:uid="{00000000-0005-0000-0000-000099700000}"/>
    <cellStyle name="Normal 2 5 22" xfId="28831" xr:uid="{00000000-0005-0000-0000-00009A700000}"/>
    <cellStyle name="Normal 2 5 23" xfId="28832" xr:uid="{00000000-0005-0000-0000-00009B700000}"/>
    <cellStyle name="Normal 2 5 24" xfId="28833" xr:uid="{00000000-0005-0000-0000-00009C700000}"/>
    <cellStyle name="Normal 2 5 25" xfId="28834" xr:uid="{00000000-0005-0000-0000-00009D700000}"/>
    <cellStyle name="Normal 2 5 26" xfId="28835" xr:uid="{00000000-0005-0000-0000-00009E700000}"/>
    <cellStyle name="Normal 2 5 27" xfId="28836" xr:uid="{00000000-0005-0000-0000-00009F700000}"/>
    <cellStyle name="Normal 2 5 28" xfId="28837" xr:uid="{00000000-0005-0000-0000-0000A0700000}"/>
    <cellStyle name="Normal 2 5 29" xfId="28838" xr:uid="{00000000-0005-0000-0000-0000A1700000}"/>
    <cellStyle name="Normal 2 5 3" xfId="28839" xr:uid="{00000000-0005-0000-0000-0000A2700000}"/>
    <cellStyle name="Normal 2 5 3 2" xfId="28840" xr:uid="{00000000-0005-0000-0000-0000A3700000}"/>
    <cellStyle name="Normal 2 5 3 3" xfId="28841" xr:uid="{00000000-0005-0000-0000-0000A4700000}"/>
    <cellStyle name="Normal 2 5 3 4" xfId="28842" xr:uid="{00000000-0005-0000-0000-0000A5700000}"/>
    <cellStyle name="Normal 2 5 30" xfId="28843" xr:uid="{00000000-0005-0000-0000-0000A6700000}"/>
    <cellStyle name="Normal 2 5 31" xfId="28844" xr:uid="{00000000-0005-0000-0000-0000A7700000}"/>
    <cellStyle name="Normal 2 5 32" xfId="28845" xr:uid="{00000000-0005-0000-0000-0000A8700000}"/>
    <cellStyle name="Normal 2 5 33" xfId="28846" xr:uid="{00000000-0005-0000-0000-0000A9700000}"/>
    <cellStyle name="Normal 2 5 34" xfId="28847" xr:uid="{00000000-0005-0000-0000-0000AA700000}"/>
    <cellStyle name="Normal 2 5 35" xfId="28848" xr:uid="{00000000-0005-0000-0000-0000AB700000}"/>
    <cellStyle name="Normal 2 5 4" xfId="28849" xr:uid="{00000000-0005-0000-0000-0000AC700000}"/>
    <cellStyle name="Normal 2 5 4 2" xfId="28850" xr:uid="{00000000-0005-0000-0000-0000AD700000}"/>
    <cellStyle name="Normal 2 5 5" xfId="28851" xr:uid="{00000000-0005-0000-0000-0000AE700000}"/>
    <cellStyle name="Normal 2 5 5 2" xfId="28852" xr:uid="{00000000-0005-0000-0000-0000AF700000}"/>
    <cellStyle name="Normal 2 5 6" xfId="28853" xr:uid="{00000000-0005-0000-0000-0000B0700000}"/>
    <cellStyle name="Normal 2 5 6 2" xfId="28854" xr:uid="{00000000-0005-0000-0000-0000B1700000}"/>
    <cellStyle name="Normal 2 5 7" xfId="28855" xr:uid="{00000000-0005-0000-0000-0000B2700000}"/>
    <cellStyle name="Normal 2 5 7 2" xfId="28856" xr:uid="{00000000-0005-0000-0000-0000B3700000}"/>
    <cellStyle name="Normal 2 5 8" xfId="28857" xr:uid="{00000000-0005-0000-0000-0000B4700000}"/>
    <cellStyle name="Normal 2 5 9" xfId="28858" xr:uid="{00000000-0005-0000-0000-0000B5700000}"/>
    <cellStyle name="Normal 2 50" xfId="28859" xr:uid="{00000000-0005-0000-0000-0000B6700000}"/>
    <cellStyle name="Normal 2 50 2" xfId="28860" xr:uid="{00000000-0005-0000-0000-0000B7700000}"/>
    <cellStyle name="Normal 2 50 3" xfId="28861" xr:uid="{00000000-0005-0000-0000-0000B8700000}"/>
    <cellStyle name="Normal 2 51" xfId="28862" xr:uid="{00000000-0005-0000-0000-0000B9700000}"/>
    <cellStyle name="Normal 2 51 2" xfId="28863" xr:uid="{00000000-0005-0000-0000-0000BA700000}"/>
    <cellStyle name="Normal 2 51 3" xfId="28864" xr:uid="{00000000-0005-0000-0000-0000BB700000}"/>
    <cellStyle name="Normal 2 51 4" xfId="28865" xr:uid="{00000000-0005-0000-0000-0000BC700000}"/>
    <cellStyle name="Normal 2 51 5" xfId="28866" xr:uid="{00000000-0005-0000-0000-0000BD700000}"/>
    <cellStyle name="Normal 2 52" xfId="28867" xr:uid="{00000000-0005-0000-0000-0000BE700000}"/>
    <cellStyle name="Normal 2 52 2" xfId="28868" xr:uid="{00000000-0005-0000-0000-0000BF700000}"/>
    <cellStyle name="Normal 2 52 3" xfId="28869" xr:uid="{00000000-0005-0000-0000-0000C0700000}"/>
    <cellStyle name="Normal 2 52 4" xfId="28870" xr:uid="{00000000-0005-0000-0000-0000C1700000}"/>
    <cellStyle name="Normal 2 52 5" xfId="28871" xr:uid="{00000000-0005-0000-0000-0000C2700000}"/>
    <cellStyle name="Normal 2 53" xfId="28872" xr:uid="{00000000-0005-0000-0000-0000C3700000}"/>
    <cellStyle name="Normal 2 53 2" xfId="28873" xr:uid="{00000000-0005-0000-0000-0000C4700000}"/>
    <cellStyle name="Normal 2 53 3" xfId="28874" xr:uid="{00000000-0005-0000-0000-0000C5700000}"/>
    <cellStyle name="Normal 2 53 4" xfId="28875" xr:uid="{00000000-0005-0000-0000-0000C6700000}"/>
    <cellStyle name="Normal 2 53 5" xfId="28876" xr:uid="{00000000-0005-0000-0000-0000C7700000}"/>
    <cellStyle name="Normal 2 54" xfId="28877" xr:uid="{00000000-0005-0000-0000-0000C8700000}"/>
    <cellStyle name="Normal 2 54 2" xfId="28878" xr:uid="{00000000-0005-0000-0000-0000C9700000}"/>
    <cellStyle name="Normal 2 54 3" xfId="28879" xr:uid="{00000000-0005-0000-0000-0000CA700000}"/>
    <cellStyle name="Normal 2 54 4" xfId="28880" xr:uid="{00000000-0005-0000-0000-0000CB700000}"/>
    <cellStyle name="Normal 2 54 5" xfId="28881" xr:uid="{00000000-0005-0000-0000-0000CC700000}"/>
    <cellStyle name="Normal 2 55" xfId="28882" xr:uid="{00000000-0005-0000-0000-0000CD700000}"/>
    <cellStyle name="Normal 2 55 2" xfId="28883" xr:uid="{00000000-0005-0000-0000-0000CE700000}"/>
    <cellStyle name="Normal 2 55 3" xfId="28884" xr:uid="{00000000-0005-0000-0000-0000CF700000}"/>
    <cellStyle name="Normal 2 55 4" xfId="28885" xr:uid="{00000000-0005-0000-0000-0000D0700000}"/>
    <cellStyle name="Normal 2 55 5" xfId="28886" xr:uid="{00000000-0005-0000-0000-0000D1700000}"/>
    <cellStyle name="Normal 2 56" xfId="28887" xr:uid="{00000000-0005-0000-0000-0000D2700000}"/>
    <cellStyle name="Normal 2 56 2" xfId="28888" xr:uid="{00000000-0005-0000-0000-0000D3700000}"/>
    <cellStyle name="Normal 2 56 3" xfId="28889" xr:uid="{00000000-0005-0000-0000-0000D4700000}"/>
    <cellStyle name="Normal 2 56 4" xfId="28890" xr:uid="{00000000-0005-0000-0000-0000D5700000}"/>
    <cellStyle name="Normal 2 56 5" xfId="28891" xr:uid="{00000000-0005-0000-0000-0000D6700000}"/>
    <cellStyle name="Normal 2 57" xfId="28892" xr:uid="{00000000-0005-0000-0000-0000D7700000}"/>
    <cellStyle name="Normal 2 57 2" xfId="28893" xr:uid="{00000000-0005-0000-0000-0000D8700000}"/>
    <cellStyle name="Normal 2 57 3" xfId="28894" xr:uid="{00000000-0005-0000-0000-0000D9700000}"/>
    <cellStyle name="Normal 2 57 4" xfId="28895" xr:uid="{00000000-0005-0000-0000-0000DA700000}"/>
    <cellStyle name="Normal 2 57 5" xfId="28896" xr:uid="{00000000-0005-0000-0000-0000DB700000}"/>
    <cellStyle name="Normal 2 58" xfId="28897" xr:uid="{00000000-0005-0000-0000-0000DC700000}"/>
    <cellStyle name="Normal 2 58 2" xfId="28898" xr:uid="{00000000-0005-0000-0000-0000DD700000}"/>
    <cellStyle name="Normal 2 58 3" xfId="28899" xr:uid="{00000000-0005-0000-0000-0000DE700000}"/>
    <cellStyle name="Normal 2 58 4" xfId="28900" xr:uid="{00000000-0005-0000-0000-0000DF700000}"/>
    <cellStyle name="Normal 2 58 5" xfId="28901" xr:uid="{00000000-0005-0000-0000-0000E0700000}"/>
    <cellStyle name="Normal 2 59" xfId="28902" xr:uid="{00000000-0005-0000-0000-0000E1700000}"/>
    <cellStyle name="Normal 2 59 2" xfId="28903" xr:uid="{00000000-0005-0000-0000-0000E2700000}"/>
    <cellStyle name="Normal 2 59 3" xfId="28904" xr:uid="{00000000-0005-0000-0000-0000E3700000}"/>
    <cellStyle name="Normal 2 59 4" xfId="28905" xr:uid="{00000000-0005-0000-0000-0000E4700000}"/>
    <cellStyle name="Normal 2 59 5" xfId="28906" xr:uid="{00000000-0005-0000-0000-0000E5700000}"/>
    <cellStyle name="Normal 2 6" xfId="28907" xr:uid="{00000000-0005-0000-0000-0000E6700000}"/>
    <cellStyle name="Normal 2 6 10" xfId="28908" xr:uid="{00000000-0005-0000-0000-0000E7700000}"/>
    <cellStyle name="Normal 2 6 11" xfId="28909" xr:uid="{00000000-0005-0000-0000-0000E8700000}"/>
    <cellStyle name="Normal 2 6 12" xfId="28910" xr:uid="{00000000-0005-0000-0000-0000E9700000}"/>
    <cellStyle name="Normal 2 6 13" xfId="28911" xr:uid="{00000000-0005-0000-0000-0000EA700000}"/>
    <cellStyle name="Normal 2 6 14" xfId="28912" xr:uid="{00000000-0005-0000-0000-0000EB700000}"/>
    <cellStyle name="Normal 2 6 15" xfId="28913" xr:uid="{00000000-0005-0000-0000-0000EC700000}"/>
    <cellStyle name="Normal 2 6 16" xfId="28914" xr:uid="{00000000-0005-0000-0000-0000ED700000}"/>
    <cellStyle name="Normal 2 6 17" xfId="28915" xr:uid="{00000000-0005-0000-0000-0000EE700000}"/>
    <cellStyle name="Normal 2 6 18" xfId="28916" xr:uid="{00000000-0005-0000-0000-0000EF700000}"/>
    <cellStyle name="Normal 2 6 19" xfId="28917" xr:uid="{00000000-0005-0000-0000-0000F0700000}"/>
    <cellStyle name="Normal 2 6 2" xfId="28918" xr:uid="{00000000-0005-0000-0000-0000F1700000}"/>
    <cellStyle name="Normal 2 6 2 10" xfId="28919" xr:uid="{00000000-0005-0000-0000-0000F2700000}"/>
    <cellStyle name="Normal 2 6 2 11" xfId="28920" xr:uid="{00000000-0005-0000-0000-0000F3700000}"/>
    <cellStyle name="Normal 2 6 2 12" xfId="28921" xr:uid="{00000000-0005-0000-0000-0000F4700000}"/>
    <cellStyle name="Normal 2 6 2 13" xfId="28922" xr:uid="{00000000-0005-0000-0000-0000F5700000}"/>
    <cellStyle name="Normal 2 6 2 14" xfId="28923" xr:uid="{00000000-0005-0000-0000-0000F6700000}"/>
    <cellStyle name="Normal 2 6 2 15" xfId="28924" xr:uid="{00000000-0005-0000-0000-0000F7700000}"/>
    <cellStyle name="Normal 2 6 2 16" xfId="28925" xr:uid="{00000000-0005-0000-0000-0000F8700000}"/>
    <cellStyle name="Normal 2 6 2 17" xfId="28926" xr:uid="{00000000-0005-0000-0000-0000F9700000}"/>
    <cellStyle name="Normal 2 6 2 18" xfId="28927" xr:uid="{00000000-0005-0000-0000-0000FA700000}"/>
    <cellStyle name="Normal 2 6 2 19" xfId="28928" xr:uid="{00000000-0005-0000-0000-0000FB700000}"/>
    <cellStyle name="Normal 2 6 2 2" xfId="28929" xr:uid="{00000000-0005-0000-0000-0000FC700000}"/>
    <cellStyle name="Normal 2 6 2 20" xfId="28930" xr:uid="{00000000-0005-0000-0000-0000FD700000}"/>
    <cellStyle name="Normal 2 6 2 21" xfId="28931" xr:uid="{00000000-0005-0000-0000-0000FE700000}"/>
    <cellStyle name="Normal 2 6 2 3" xfId="28932" xr:uid="{00000000-0005-0000-0000-0000FF700000}"/>
    <cellStyle name="Normal 2 6 2 4" xfId="28933" xr:uid="{00000000-0005-0000-0000-000000710000}"/>
    <cellStyle name="Normal 2 6 2 5" xfId="28934" xr:uid="{00000000-0005-0000-0000-000001710000}"/>
    <cellStyle name="Normal 2 6 2 6" xfId="28935" xr:uid="{00000000-0005-0000-0000-000002710000}"/>
    <cellStyle name="Normal 2 6 2 7" xfId="28936" xr:uid="{00000000-0005-0000-0000-000003710000}"/>
    <cellStyle name="Normal 2 6 2 8" xfId="28937" xr:uid="{00000000-0005-0000-0000-000004710000}"/>
    <cellStyle name="Normal 2 6 2 9" xfId="28938" xr:uid="{00000000-0005-0000-0000-000005710000}"/>
    <cellStyle name="Normal 2 6 20" xfId="28939" xr:uid="{00000000-0005-0000-0000-000006710000}"/>
    <cellStyle name="Normal 2 6 21" xfId="28940" xr:uid="{00000000-0005-0000-0000-000007710000}"/>
    <cellStyle name="Normal 2 6 22" xfId="28941" xr:uid="{00000000-0005-0000-0000-000008710000}"/>
    <cellStyle name="Normal 2 6 3" xfId="28942" xr:uid="{00000000-0005-0000-0000-000009710000}"/>
    <cellStyle name="Normal 2 6 4" xfId="28943" xr:uid="{00000000-0005-0000-0000-00000A710000}"/>
    <cellStyle name="Normal 2 6 5" xfId="28944" xr:uid="{00000000-0005-0000-0000-00000B710000}"/>
    <cellStyle name="Normal 2 6 6" xfId="28945" xr:uid="{00000000-0005-0000-0000-00000C710000}"/>
    <cellStyle name="Normal 2 6 7" xfId="28946" xr:uid="{00000000-0005-0000-0000-00000D710000}"/>
    <cellStyle name="Normal 2 6 8" xfId="28947" xr:uid="{00000000-0005-0000-0000-00000E710000}"/>
    <cellStyle name="Normal 2 6 9" xfId="28948" xr:uid="{00000000-0005-0000-0000-00000F710000}"/>
    <cellStyle name="Normal 2 60" xfId="28949" xr:uid="{00000000-0005-0000-0000-000010710000}"/>
    <cellStyle name="Normal 2 60 2" xfId="28950" xr:uid="{00000000-0005-0000-0000-000011710000}"/>
    <cellStyle name="Normal 2 60 3" xfId="28951" xr:uid="{00000000-0005-0000-0000-000012710000}"/>
    <cellStyle name="Normal 2 61" xfId="28952" xr:uid="{00000000-0005-0000-0000-000013710000}"/>
    <cellStyle name="Normal 2 61 2" xfId="28953" xr:uid="{00000000-0005-0000-0000-000014710000}"/>
    <cellStyle name="Normal 2 61 3" xfId="28954" xr:uid="{00000000-0005-0000-0000-000015710000}"/>
    <cellStyle name="Normal 2 62" xfId="28955" xr:uid="{00000000-0005-0000-0000-000016710000}"/>
    <cellStyle name="Normal 2 62 2" xfId="28956" xr:uid="{00000000-0005-0000-0000-000017710000}"/>
    <cellStyle name="Normal 2 62 3" xfId="28957" xr:uid="{00000000-0005-0000-0000-000018710000}"/>
    <cellStyle name="Normal 2 63" xfId="28958" xr:uid="{00000000-0005-0000-0000-000019710000}"/>
    <cellStyle name="Normal 2 63 2" xfId="28959" xr:uid="{00000000-0005-0000-0000-00001A710000}"/>
    <cellStyle name="Normal 2 63 3" xfId="28960" xr:uid="{00000000-0005-0000-0000-00001B710000}"/>
    <cellStyle name="Normal 2 64" xfId="28961" xr:uid="{00000000-0005-0000-0000-00001C710000}"/>
    <cellStyle name="Normal 2 64 2" xfId="28962" xr:uid="{00000000-0005-0000-0000-00001D710000}"/>
    <cellStyle name="Normal 2 64 3" xfId="28963" xr:uid="{00000000-0005-0000-0000-00001E710000}"/>
    <cellStyle name="Normal 2 65" xfId="28964" xr:uid="{00000000-0005-0000-0000-00001F710000}"/>
    <cellStyle name="Normal 2 65 2" xfId="28965" xr:uid="{00000000-0005-0000-0000-000020710000}"/>
    <cellStyle name="Normal 2 65 3" xfId="28966" xr:uid="{00000000-0005-0000-0000-000021710000}"/>
    <cellStyle name="Normal 2 66" xfId="28967" xr:uid="{00000000-0005-0000-0000-000022710000}"/>
    <cellStyle name="Normal 2 66 2" xfId="28968" xr:uid="{00000000-0005-0000-0000-000023710000}"/>
    <cellStyle name="Normal 2 66 3" xfId="28969" xr:uid="{00000000-0005-0000-0000-000024710000}"/>
    <cellStyle name="Normal 2 67" xfId="28970" xr:uid="{00000000-0005-0000-0000-000025710000}"/>
    <cellStyle name="Normal 2 67 2" xfId="28971" xr:uid="{00000000-0005-0000-0000-000026710000}"/>
    <cellStyle name="Normal 2 67 3" xfId="28972" xr:uid="{00000000-0005-0000-0000-000027710000}"/>
    <cellStyle name="Normal 2 68" xfId="28973" xr:uid="{00000000-0005-0000-0000-000028710000}"/>
    <cellStyle name="Normal 2 68 2" xfId="28974" xr:uid="{00000000-0005-0000-0000-000029710000}"/>
    <cellStyle name="Normal 2 68 3" xfId="28975" xr:uid="{00000000-0005-0000-0000-00002A710000}"/>
    <cellStyle name="Normal 2 69" xfId="28976" xr:uid="{00000000-0005-0000-0000-00002B710000}"/>
    <cellStyle name="Normal 2 69 2" xfId="28977" xr:uid="{00000000-0005-0000-0000-00002C710000}"/>
    <cellStyle name="Normal 2 69 3" xfId="28978" xr:uid="{00000000-0005-0000-0000-00002D710000}"/>
    <cellStyle name="Normal 2 7" xfId="28979" xr:uid="{00000000-0005-0000-0000-00002E710000}"/>
    <cellStyle name="Normal 2 7 2" xfId="28980" xr:uid="{00000000-0005-0000-0000-00002F710000}"/>
    <cellStyle name="Normal 2 7 3" xfId="28981" xr:uid="{00000000-0005-0000-0000-000030710000}"/>
    <cellStyle name="Normal 2 70" xfId="28982" xr:uid="{00000000-0005-0000-0000-000031710000}"/>
    <cellStyle name="Normal 2 70 2" xfId="28983" xr:uid="{00000000-0005-0000-0000-000032710000}"/>
    <cellStyle name="Normal 2 70 3" xfId="28984" xr:uid="{00000000-0005-0000-0000-000033710000}"/>
    <cellStyle name="Normal 2 71" xfId="28985" xr:uid="{00000000-0005-0000-0000-000034710000}"/>
    <cellStyle name="Normal 2 71 2" xfId="28986" xr:uid="{00000000-0005-0000-0000-000035710000}"/>
    <cellStyle name="Normal 2 71 3" xfId="28987" xr:uid="{00000000-0005-0000-0000-000036710000}"/>
    <cellStyle name="Normal 2 72" xfId="28988" xr:uid="{00000000-0005-0000-0000-000037710000}"/>
    <cellStyle name="Normal 2 72 2" xfId="28989" xr:uid="{00000000-0005-0000-0000-000038710000}"/>
    <cellStyle name="Normal 2 72 3" xfId="28990" xr:uid="{00000000-0005-0000-0000-000039710000}"/>
    <cellStyle name="Normal 2 73" xfId="28991" xr:uid="{00000000-0005-0000-0000-00003A710000}"/>
    <cellStyle name="Normal 2 73 2" xfId="28992" xr:uid="{00000000-0005-0000-0000-00003B710000}"/>
    <cellStyle name="Normal 2 73 3" xfId="28993" xr:uid="{00000000-0005-0000-0000-00003C710000}"/>
    <cellStyle name="Normal 2 74" xfId="28994" xr:uid="{00000000-0005-0000-0000-00003D710000}"/>
    <cellStyle name="Normal 2 74 2" xfId="28995" xr:uid="{00000000-0005-0000-0000-00003E710000}"/>
    <cellStyle name="Normal 2 74 3" xfId="28996" xr:uid="{00000000-0005-0000-0000-00003F710000}"/>
    <cellStyle name="Normal 2 75" xfId="28997" xr:uid="{00000000-0005-0000-0000-000040710000}"/>
    <cellStyle name="Normal 2 76" xfId="28998" xr:uid="{00000000-0005-0000-0000-000041710000}"/>
    <cellStyle name="Normal 2 77" xfId="28999" xr:uid="{00000000-0005-0000-0000-000042710000}"/>
    <cellStyle name="Normal 2 78" xfId="29000" xr:uid="{00000000-0005-0000-0000-000043710000}"/>
    <cellStyle name="Normal 2 79" xfId="29001" xr:uid="{00000000-0005-0000-0000-000044710000}"/>
    <cellStyle name="Normal 2 8" xfId="29002" xr:uid="{00000000-0005-0000-0000-000045710000}"/>
    <cellStyle name="Normal 2 8 2" xfId="29003" xr:uid="{00000000-0005-0000-0000-000046710000}"/>
    <cellStyle name="Normal 2 8 3" xfId="29004" xr:uid="{00000000-0005-0000-0000-000047710000}"/>
    <cellStyle name="Normal 2 80" xfId="29005" xr:uid="{00000000-0005-0000-0000-000048710000}"/>
    <cellStyle name="Normal 2 81" xfId="29006" xr:uid="{00000000-0005-0000-0000-000049710000}"/>
    <cellStyle name="Normal 2 82" xfId="29007" xr:uid="{00000000-0005-0000-0000-00004A710000}"/>
    <cellStyle name="Normal 2 82 2" xfId="29008" xr:uid="{00000000-0005-0000-0000-00004B710000}"/>
    <cellStyle name="Normal 2 82 2 2" xfId="29009" xr:uid="{00000000-0005-0000-0000-00004C710000}"/>
    <cellStyle name="Normal 2 82 2 3" xfId="29010" xr:uid="{00000000-0005-0000-0000-00004D710000}"/>
    <cellStyle name="Normal 2 82 3" xfId="29011" xr:uid="{00000000-0005-0000-0000-00004E710000}"/>
    <cellStyle name="Normal 2 82 4" xfId="29012" xr:uid="{00000000-0005-0000-0000-00004F710000}"/>
    <cellStyle name="Normal 2 83" xfId="29013" xr:uid="{00000000-0005-0000-0000-000050710000}"/>
    <cellStyle name="Normal 2 83 2" xfId="29014" xr:uid="{00000000-0005-0000-0000-000051710000}"/>
    <cellStyle name="Normal 2 84" xfId="29015" xr:uid="{00000000-0005-0000-0000-000052710000}"/>
    <cellStyle name="Normal 2 84 2" xfId="29016" xr:uid="{00000000-0005-0000-0000-000053710000}"/>
    <cellStyle name="Normal 2 85" xfId="29017" xr:uid="{00000000-0005-0000-0000-000054710000}"/>
    <cellStyle name="Normal 2 85 2" xfId="29018" xr:uid="{00000000-0005-0000-0000-000055710000}"/>
    <cellStyle name="Normal 2 85 2 2" xfId="29019" xr:uid="{00000000-0005-0000-0000-000056710000}"/>
    <cellStyle name="Normal 2 85 3" xfId="29020" xr:uid="{00000000-0005-0000-0000-000057710000}"/>
    <cellStyle name="Normal 2 85 4" xfId="29021" xr:uid="{00000000-0005-0000-0000-000058710000}"/>
    <cellStyle name="Normal 2 85 5" xfId="29022" xr:uid="{00000000-0005-0000-0000-000059710000}"/>
    <cellStyle name="Normal 2 86" xfId="29023" xr:uid="{00000000-0005-0000-0000-00005A710000}"/>
    <cellStyle name="Normal 2 86 2" xfId="29024" xr:uid="{00000000-0005-0000-0000-00005B710000}"/>
    <cellStyle name="Normal 2 86 2 2" xfId="29025" xr:uid="{00000000-0005-0000-0000-00005C710000}"/>
    <cellStyle name="Normal 2 86 3" xfId="29026" xr:uid="{00000000-0005-0000-0000-00005D710000}"/>
    <cellStyle name="Normal 2 87" xfId="29027" xr:uid="{00000000-0005-0000-0000-00005E710000}"/>
    <cellStyle name="Normal 2 87 2" xfId="29028" xr:uid="{00000000-0005-0000-0000-00005F710000}"/>
    <cellStyle name="Normal 2 87 3" xfId="29029" xr:uid="{00000000-0005-0000-0000-000060710000}"/>
    <cellStyle name="Normal 2 87 4" xfId="29030" xr:uid="{00000000-0005-0000-0000-000061710000}"/>
    <cellStyle name="Normal 2 87 5" xfId="29031" xr:uid="{00000000-0005-0000-0000-000062710000}"/>
    <cellStyle name="Normal 2 88" xfId="29032" xr:uid="{00000000-0005-0000-0000-000063710000}"/>
    <cellStyle name="Normal 2 88 2" xfId="29033" xr:uid="{00000000-0005-0000-0000-000064710000}"/>
    <cellStyle name="Normal 2 88 3" xfId="29034" xr:uid="{00000000-0005-0000-0000-000065710000}"/>
    <cellStyle name="Normal 2 88 4" xfId="29035" xr:uid="{00000000-0005-0000-0000-000066710000}"/>
    <cellStyle name="Normal 2 88 5" xfId="29036" xr:uid="{00000000-0005-0000-0000-000067710000}"/>
    <cellStyle name="Normal 2 89" xfId="29037" xr:uid="{00000000-0005-0000-0000-000068710000}"/>
    <cellStyle name="Normal 2 89 2" xfId="29038" xr:uid="{00000000-0005-0000-0000-000069710000}"/>
    <cellStyle name="Normal 2 9" xfId="29039" xr:uid="{00000000-0005-0000-0000-00006A710000}"/>
    <cellStyle name="Normal 2 9 2" xfId="29040" xr:uid="{00000000-0005-0000-0000-00006B710000}"/>
    <cellStyle name="Normal 2 9 3" xfId="29041" xr:uid="{00000000-0005-0000-0000-00006C710000}"/>
    <cellStyle name="Normal 2 9 4" xfId="29042" xr:uid="{00000000-0005-0000-0000-00006D710000}"/>
    <cellStyle name="Normal 2 9 5" xfId="29043" xr:uid="{00000000-0005-0000-0000-00006E710000}"/>
    <cellStyle name="Normal 2 9_Enlaces" xfId="29044" xr:uid="{00000000-0005-0000-0000-00006F710000}"/>
    <cellStyle name="Normal 2 90" xfId="29045" xr:uid="{00000000-0005-0000-0000-000070710000}"/>
    <cellStyle name="Normal 2 90 2" xfId="29046" xr:uid="{00000000-0005-0000-0000-000071710000}"/>
    <cellStyle name="Normal 2 91" xfId="29047" xr:uid="{00000000-0005-0000-0000-000072710000}"/>
    <cellStyle name="Normal 2 91 2" xfId="29048" xr:uid="{00000000-0005-0000-0000-000073710000}"/>
    <cellStyle name="Normal 2 92" xfId="29049" xr:uid="{00000000-0005-0000-0000-000074710000}"/>
    <cellStyle name="Normal 2 92 2" xfId="29050" xr:uid="{00000000-0005-0000-0000-000075710000}"/>
    <cellStyle name="Normal 2 93" xfId="29051" xr:uid="{00000000-0005-0000-0000-000076710000}"/>
    <cellStyle name="Normal 2 93 2" xfId="29052" xr:uid="{00000000-0005-0000-0000-000077710000}"/>
    <cellStyle name="Normal 2 94" xfId="29053" xr:uid="{00000000-0005-0000-0000-000078710000}"/>
    <cellStyle name="Normal 2 94 2" xfId="29054" xr:uid="{00000000-0005-0000-0000-000079710000}"/>
    <cellStyle name="Normal 2 95" xfId="29055" xr:uid="{00000000-0005-0000-0000-00007A710000}"/>
    <cellStyle name="Normal 2 95 2" xfId="29056" xr:uid="{00000000-0005-0000-0000-00007B710000}"/>
    <cellStyle name="Normal 2 96" xfId="29057" xr:uid="{00000000-0005-0000-0000-00007C710000}"/>
    <cellStyle name="Normal 2 96 2" xfId="29058" xr:uid="{00000000-0005-0000-0000-00007D710000}"/>
    <cellStyle name="Normal 2 97" xfId="29059" xr:uid="{00000000-0005-0000-0000-00007E710000}"/>
    <cellStyle name="Normal 2 97 2" xfId="29060" xr:uid="{00000000-0005-0000-0000-00007F710000}"/>
    <cellStyle name="Normal 2 98" xfId="29061" xr:uid="{00000000-0005-0000-0000-000080710000}"/>
    <cellStyle name="Normal 2 98 2" xfId="29062" xr:uid="{00000000-0005-0000-0000-000081710000}"/>
    <cellStyle name="Normal 2 99" xfId="29063" xr:uid="{00000000-0005-0000-0000-000082710000}"/>
    <cellStyle name="Normal 2 99 2" xfId="29064" xr:uid="{00000000-0005-0000-0000-000083710000}"/>
    <cellStyle name="Normal 20" xfId="29065" xr:uid="{00000000-0005-0000-0000-000084710000}"/>
    <cellStyle name="Normal 20 10" xfId="29066" xr:uid="{00000000-0005-0000-0000-000085710000}"/>
    <cellStyle name="Normal 20 11" xfId="29067" xr:uid="{00000000-0005-0000-0000-000086710000}"/>
    <cellStyle name="Normal 20 12" xfId="29068" xr:uid="{00000000-0005-0000-0000-000087710000}"/>
    <cellStyle name="Normal 20 13" xfId="29069" xr:uid="{00000000-0005-0000-0000-000088710000}"/>
    <cellStyle name="Normal 20 14" xfId="29070" xr:uid="{00000000-0005-0000-0000-000089710000}"/>
    <cellStyle name="Normal 20 15" xfId="29071" xr:uid="{00000000-0005-0000-0000-00008A710000}"/>
    <cellStyle name="Normal 20 16" xfId="29072" xr:uid="{00000000-0005-0000-0000-00008B710000}"/>
    <cellStyle name="Normal 20 17" xfId="29073" xr:uid="{00000000-0005-0000-0000-00008C710000}"/>
    <cellStyle name="Normal 20 18" xfId="29074" xr:uid="{00000000-0005-0000-0000-00008D710000}"/>
    <cellStyle name="Normal 20 19" xfId="29075" xr:uid="{00000000-0005-0000-0000-00008E710000}"/>
    <cellStyle name="Normal 20 2" xfId="29076" xr:uid="{00000000-0005-0000-0000-00008F710000}"/>
    <cellStyle name="Normal 20 2 2" xfId="29077" xr:uid="{00000000-0005-0000-0000-000090710000}"/>
    <cellStyle name="Normal 20 2 3" xfId="29078" xr:uid="{00000000-0005-0000-0000-000091710000}"/>
    <cellStyle name="Normal 20 2 4" xfId="29079" xr:uid="{00000000-0005-0000-0000-000092710000}"/>
    <cellStyle name="Normal 20 20" xfId="29080" xr:uid="{00000000-0005-0000-0000-000093710000}"/>
    <cellStyle name="Normal 20 21" xfId="29081" xr:uid="{00000000-0005-0000-0000-000094710000}"/>
    <cellStyle name="Normal 20 22" xfId="29082" xr:uid="{00000000-0005-0000-0000-000095710000}"/>
    <cellStyle name="Normal 20 23" xfId="29083" xr:uid="{00000000-0005-0000-0000-000096710000}"/>
    <cellStyle name="Normal 20 24" xfId="29084" xr:uid="{00000000-0005-0000-0000-000097710000}"/>
    <cellStyle name="Normal 20 25" xfId="29085" xr:uid="{00000000-0005-0000-0000-000098710000}"/>
    <cellStyle name="Normal 20 26" xfId="29086" xr:uid="{00000000-0005-0000-0000-000099710000}"/>
    <cellStyle name="Normal 20 3" xfId="29087" xr:uid="{00000000-0005-0000-0000-00009A710000}"/>
    <cellStyle name="Normal 20 4" xfId="29088" xr:uid="{00000000-0005-0000-0000-00009B710000}"/>
    <cellStyle name="Normal 20 5" xfId="29089" xr:uid="{00000000-0005-0000-0000-00009C710000}"/>
    <cellStyle name="Normal 20 6" xfId="29090" xr:uid="{00000000-0005-0000-0000-00009D710000}"/>
    <cellStyle name="Normal 20 7" xfId="29091" xr:uid="{00000000-0005-0000-0000-00009E710000}"/>
    <cellStyle name="Normal 20 8" xfId="29092" xr:uid="{00000000-0005-0000-0000-00009F710000}"/>
    <cellStyle name="Normal 20 9" xfId="29093" xr:uid="{00000000-0005-0000-0000-0000A0710000}"/>
    <cellStyle name="Normal 21" xfId="29094" xr:uid="{00000000-0005-0000-0000-0000A1710000}"/>
    <cellStyle name="Normal 21 10" xfId="29095" xr:uid="{00000000-0005-0000-0000-0000A2710000}"/>
    <cellStyle name="Normal 21 11" xfId="29096" xr:uid="{00000000-0005-0000-0000-0000A3710000}"/>
    <cellStyle name="Normal 21 12" xfId="29097" xr:uid="{00000000-0005-0000-0000-0000A4710000}"/>
    <cellStyle name="Normal 21 13" xfId="29098" xr:uid="{00000000-0005-0000-0000-0000A5710000}"/>
    <cellStyle name="Normal 21 14" xfId="29099" xr:uid="{00000000-0005-0000-0000-0000A6710000}"/>
    <cellStyle name="Normal 21 15" xfId="29100" xr:uid="{00000000-0005-0000-0000-0000A7710000}"/>
    <cellStyle name="Normal 21 16" xfId="29101" xr:uid="{00000000-0005-0000-0000-0000A8710000}"/>
    <cellStyle name="Normal 21 17" xfId="29102" xr:uid="{00000000-0005-0000-0000-0000A9710000}"/>
    <cellStyle name="Normal 21 18" xfId="29103" xr:uid="{00000000-0005-0000-0000-0000AA710000}"/>
    <cellStyle name="Normal 21 19" xfId="29104" xr:uid="{00000000-0005-0000-0000-0000AB710000}"/>
    <cellStyle name="Normal 21 2" xfId="29105" xr:uid="{00000000-0005-0000-0000-0000AC710000}"/>
    <cellStyle name="Normal 21 2 2" xfId="29106" xr:uid="{00000000-0005-0000-0000-0000AD710000}"/>
    <cellStyle name="Normal 21 2 3" xfId="29107" xr:uid="{00000000-0005-0000-0000-0000AE710000}"/>
    <cellStyle name="Normal 21 20" xfId="29108" xr:uid="{00000000-0005-0000-0000-0000AF710000}"/>
    <cellStyle name="Normal 21 21" xfId="29109" xr:uid="{00000000-0005-0000-0000-0000B0710000}"/>
    <cellStyle name="Normal 21 22" xfId="29110" xr:uid="{00000000-0005-0000-0000-0000B1710000}"/>
    <cellStyle name="Normal 21 23" xfId="29111" xr:uid="{00000000-0005-0000-0000-0000B2710000}"/>
    <cellStyle name="Normal 21 24" xfId="29112" xr:uid="{00000000-0005-0000-0000-0000B3710000}"/>
    <cellStyle name="Normal 21 25" xfId="29113" xr:uid="{00000000-0005-0000-0000-0000B4710000}"/>
    <cellStyle name="Normal 21 26" xfId="29114" xr:uid="{00000000-0005-0000-0000-0000B5710000}"/>
    <cellStyle name="Normal 21 3" xfId="29115" xr:uid="{00000000-0005-0000-0000-0000B6710000}"/>
    <cellStyle name="Normal 21 3 2" xfId="29116" xr:uid="{00000000-0005-0000-0000-0000B7710000}"/>
    <cellStyle name="Normal 21 3 3" xfId="29117" xr:uid="{00000000-0005-0000-0000-0000B8710000}"/>
    <cellStyle name="Normal 21 4" xfId="29118" xr:uid="{00000000-0005-0000-0000-0000B9710000}"/>
    <cellStyle name="Normal 21 5" xfId="29119" xr:uid="{00000000-0005-0000-0000-0000BA710000}"/>
    <cellStyle name="Normal 21 6" xfId="29120" xr:uid="{00000000-0005-0000-0000-0000BB710000}"/>
    <cellStyle name="Normal 21 7" xfId="29121" xr:uid="{00000000-0005-0000-0000-0000BC710000}"/>
    <cellStyle name="Normal 21 8" xfId="29122" xr:uid="{00000000-0005-0000-0000-0000BD710000}"/>
    <cellStyle name="Normal 21 9" xfId="29123" xr:uid="{00000000-0005-0000-0000-0000BE710000}"/>
    <cellStyle name="Normal 22" xfId="29124" xr:uid="{00000000-0005-0000-0000-0000BF710000}"/>
    <cellStyle name="Normal 22 10" xfId="29125" xr:uid="{00000000-0005-0000-0000-0000C0710000}"/>
    <cellStyle name="Normal 22 11" xfId="29126" xr:uid="{00000000-0005-0000-0000-0000C1710000}"/>
    <cellStyle name="Normal 22 12" xfId="29127" xr:uid="{00000000-0005-0000-0000-0000C2710000}"/>
    <cellStyle name="Normal 22 13" xfId="29128" xr:uid="{00000000-0005-0000-0000-0000C3710000}"/>
    <cellStyle name="Normal 22 14" xfId="29129" xr:uid="{00000000-0005-0000-0000-0000C4710000}"/>
    <cellStyle name="Normal 22 15" xfId="29130" xr:uid="{00000000-0005-0000-0000-0000C5710000}"/>
    <cellStyle name="Normal 22 16" xfId="29131" xr:uid="{00000000-0005-0000-0000-0000C6710000}"/>
    <cellStyle name="Normal 22 17" xfId="29132" xr:uid="{00000000-0005-0000-0000-0000C7710000}"/>
    <cellStyle name="Normal 22 18" xfId="29133" xr:uid="{00000000-0005-0000-0000-0000C8710000}"/>
    <cellStyle name="Normal 22 19" xfId="29134" xr:uid="{00000000-0005-0000-0000-0000C9710000}"/>
    <cellStyle name="Normal 22 2" xfId="29135" xr:uid="{00000000-0005-0000-0000-0000CA710000}"/>
    <cellStyle name="Normal 22 2 2" xfId="29136" xr:uid="{00000000-0005-0000-0000-0000CB710000}"/>
    <cellStyle name="Normal 22 2 3" xfId="29137" xr:uid="{00000000-0005-0000-0000-0000CC710000}"/>
    <cellStyle name="Normal 22 20" xfId="29138" xr:uid="{00000000-0005-0000-0000-0000CD710000}"/>
    <cellStyle name="Normal 22 21" xfId="29139" xr:uid="{00000000-0005-0000-0000-0000CE710000}"/>
    <cellStyle name="Normal 22 22" xfId="29140" xr:uid="{00000000-0005-0000-0000-0000CF710000}"/>
    <cellStyle name="Normal 22 23" xfId="29141" xr:uid="{00000000-0005-0000-0000-0000D0710000}"/>
    <cellStyle name="Normal 22 24" xfId="29142" xr:uid="{00000000-0005-0000-0000-0000D1710000}"/>
    <cellStyle name="Normal 22 25" xfId="29143" xr:uid="{00000000-0005-0000-0000-0000D2710000}"/>
    <cellStyle name="Normal 22 26" xfId="29144" xr:uid="{00000000-0005-0000-0000-0000D3710000}"/>
    <cellStyle name="Normal 22 3" xfId="29145" xr:uid="{00000000-0005-0000-0000-0000D4710000}"/>
    <cellStyle name="Normal 22 3 2" xfId="29146" xr:uid="{00000000-0005-0000-0000-0000D5710000}"/>
    <cellStyle name="Normal 22 3 3" xfId="29147" xr:uid="{00000000-0005-0000-0000-0000D6710000}"/>
    <cellStyle name="Normal 22 3 4" xfId="29148" xr:uid="{00000000-0005-0000-0000-0000D7710000}"/>
    <cellStyle name="Normal 22 3 5" xfId="29149" xr:uid="{00000000-0005-0000-0000-0000D8710000}"/>
    <cellStyle name="Normal 22 4" xfId="29150" xr:uid="{00000000-0005-0000-0000-0000D9710000}"/>
    <cellStyle name="Normal 22 5" xfId="29151" xr:uid="{00000000-0005-0000-0000-0000DA710000}"/>
    <cellStyle name="Normal 22 6" xfId="29152" xr:uid="{00000000-0005-0000-0000-0000DB710000}"/>
    <cellStyle name="Normal 22 7" xfId="29153" xr:uid="{00000000-0005-0000-0000-0000DC710000}"/>
    <cellStyle name="Normal 22 8" xfId="29154" xr:uid="{00000000-0005-0000-0000-0000DD710000}"/>
    <cellStyle name="Normal 22 9" xfId="29155" xr:uid="{00000000-0005-0000-0000-0000DE710000}"/>
    <cellStyle name="Normal 23" xfId="29156" xr:uid="{00000000-0005-0000-0000-0000DF710000}"/>
    <cellStyle name="Normal 23 10" xfId="29157" xr:uid="{00000000-0005-0000-0000-0000E0710000}"/>
    <cellStyle name="Normal 23 11" xfId="29158" xr:uid="{00000000-0005-0000-0000-0000E1710000}"/>
    <cellStyle name="Normal 23 12" xfId="29159" xr:uid="{00000000-0005-0000-0000-0000E2710000}"/>
    <cellStyle name="Normal 23 13" xfId="29160" xr:uid="{00000000-0005-0000-0000-0000E3710000}"/>
    <cellStyle name="Normal 23 14" xfId="29161" xr:uid="{00000000-0005-0000-0000-0000E4710000}"/>
    <cellStyle name="Normal 23 15" xfId="29162" xr:uid="{00000000-0005-0000-0000-0000E5710000}"/>
    <cellStyle name="Normal 23 16" xfId="29163" xr:uid="{00000000-0005-0000-0000-0000E6710000}"/>
    <cellStyle name="Normal 23 17" xfId="29164" xr:uid="{00000000-0005-0000-0000-0000E7710000}"/>
    <cellStyle name="Normal 23 18" xfId="29165" xr:uid="{00000000-0005-0000-0000-0000E8710000}"/>
    <cellStyle name="Normal 23 19" xfId="29166" xr:uid="{00000000-0005-0000-0000-0000E9710000}"/>
    <cellStyle name="Normal 23 2" xfId="29167" xr:uid="{00000000-0005-0000-0000-0000EA710000}"/>
    <cellStyle name="Normal 23 2 2" xfId="29168" xr:uid="{00000000-0005-0000-0000-0000EB710000}"/>
    <cellStyle name="Normal 23 2 3" xfId="29169" xr:uid="{00000000-0005-0000-0000-0000EC710000}"/>
    <cellStyle name="Normal 23 20" xfId="29170" xr:uid="{00000000-0005-0000-0000-0000ED710000}"/>
    <cellStyle name="Normal 23 21" xfId="29171" xr:uid="{00000000-0005-0000-0000-0000EE710000}"/>
    <cellStyle name="Normal 23 22" xfId="29172" xr:uid="{00000000-0005-0000-0000-0000EF710000}"/>
    <cellStyle name="Normal 23 23" xfId="29173" xr:uid="{00000000-0005-0000-0000-0000F0710000}"/>
    <cellStyle name="Normal 23 24" xfId="29174" xr:uid="{00000000-0005-0000-0000-0000F1710000}"/>
    <cellStyle name="Normal 23 25" xfId="29175" xr:uid="{00000000-0005-0000-0000-0000F2710000}"/>
    <cellStyle name="Normal 23 26" xfId="29176" xr:uid="{00000000-0005-0000-0000-0000F3710000}"/>
    <cellStyle name="Normal 23 3" xfId="29177" xr:uid="{00000000-0005-0000-0000-0000F4710000}"/>
    <cellStyle name="Normal 23 3 2" xfId="29178" xr:uid="{00000000-0005-0000-0000-0000F5710000}"/>
    <cellStyle name="Normal 23 3 3" xfId="29179" xr:uid="{00000000-0005-0000-0000-0000F6710000}"/>
    <cellStyle name="Normal 23 3 4" xfId="29180" xr:uid="{00000000-0005-0000-0000-0000F7710000}"/>
    <cellStyle name="Normal 23 3 5" xfId="29181" xr:uid="{00000000-0005-0000-0000-0000F8710000}"/>
    <cellStyle name="Normal 23 4" xfId="29182" xr:uid="{00000000-0005-0000-0000-0000F9710000}"/>
    <cellStyle name="Normal 23 5" xfId="29183" xr:uid="{00000000-0005-0000-0000-0000FA710000}"/>
    <cellStyle name="Normal 23 6" xfId="29184" xr:uid="{00000000-0005-0000-0000-0000FB710000}"/>
    <cellStyle name="Normal 23 7" xfId="29185" xr:uid="{00000000-0005-0000-0000-0000FC710000}"/>
    <cellStyle name="Normal 23 8" xfId="29186" xr:uid="{00000000-0005-0000-0000-0000FD710000}"/>
    <cellStyle name="Normal 23 9" xfId="29187" xr:uid="{00000000-0005-0000-0000-0000FE710000}"/>
    <cellStyle name="Normal 24" xfId="29188" xr:uid="{00000000-0005-0000-0000-0000FF710000}"/>
    <cellStyle name="Normal 24 10" xfId="29189" xr:uid="{00000000-0005-0000-0000-000000720000}"/>
    <cellStyle name="Normal 24 11" xfId="29190" xr:uid="{00000000-0005-0000-0000-000001720000}"/>
    <cellStyle name="Normal 24 12" xfId="29191" xr:uid="{00000000-0005-0000-0000-000002720000}"/>
    <cellStyle name="Normal 24 13" xfId="29192" xr:uid="{00000000-0005-0000-0000-000003720000}"/>
    <cellStyle name="Normal 24 14" xfId="29193" xr:uid="{00000000-0005-0000-0000-000004720000}"/>
    <cellStyle name="Normal 24 15" xfId="29194" xr:uid="{00000000-0005-0000-0000-000005720000}"/>
    <cellStyle name="Normal 24 16" xfId="29195" xr:uid="{00000000-0005-0000-0000-000006720000}"/>
    <cellStyle name="Normal 24 17" xfId="29196" xr:uid="{00000000-0005-0000-0000-000007720000}"/>
    <cellStyle name="Normal 24 18" xfId="29197" xr:uid="{00000000-0005-0000-0000-000008720000}"/>
    <cellStyle name="Normal 24 19" xfId="29198" xr:uid="{00000000-0005-0000-0000-000009720000}"/>
    <cellStyle name="Normal 24 2" xfId="29199" xr:uid="{00000000-0005-0000-0000-00000A720000}"/>
    <cellStyle name="Normal 24 20" xfId="29200" xr:uid="{00000000-0005-0000-0000-00000B720000}"/>
    <cellStyle name="Normal 24 21" xfId="29201" xr:uid="{00000000-0005-0000-0000-00000C720000}"/>
    <cellStyle name="Normal 24 22" xfId="29202" xr:uid="{00000000-0005-0000-0000-00000D720000}"/>
    <cellStyle name="Normal 24 23" xfId="29203" xr:uid="{00000000-0005-0000-0000-00000E720000}"/>
    <cellStyle name="Normal 24 24" xfId="29204" xr:uid="{00000000-0005-0000-0000-00000F720000}"/>
    <cellStyle name="Normal 24 25" xfId="29205" xr:uid="{00000000-0005-0000-0000-000010720000}"/>
    <cellStyle name="Normal 24 26" xfId="29206" xr:uid="{00000000-0005-0000-0000-000011720000}"/>
    <cellStyle name="Normal 24 27" xfId="29207" xr:uid="{00000000-0005-0000-0000-000012720000}"/>
    <cellStyle name="Normal 24 3" xfId="29208" xr:uid="{00000000-0005-0000-0000-000013720000}"/>
    <cellStyle name="Normal 24 4" xfId="29209" xr:uid="{00000000-0005-0000-0000-000014720000}"/>
    <cellStyle name="Normal 24 5" xfId="29210" xr:uid="{00000000-0005-0000-0000-000015720000}"/>
    <cellStyle name="Normal 24 6" xfId="29211" xr:uid="{00000000-0005-0000-0000-000016720000}"/>
    <cellStyle name="Normal 24 7" xfId="29212" xr:uid="{00000000-0005-0000-0000-000017720000}"/>
    <cellStyle name="Normal 24 8" xfId="29213" xr:uid="{00000000-0005-0000-0000-000018720000}"/>
    <cellStyle name="Normal 24 9" xfId="29214" xr:uid="{00000000-0005-0000-0000-000019720000}"/>
    <cellStyle name="Normal 25" xfId="29215" xr:uid="{00000000-0005-0000-0000-00001A720000}"/>
    <cellStyle name="Normal 25 10" xfId="29216" xr:uid="{00000000-0005-0000-0000-00001B720000}"/>
    <cellStyle name="Normal 25 11" xfId="29217" xr:uid="{00000000-0005-0000-0000-00001C720000}"/>
    <cellStyle name="Normal 25 12" xfId="29218" xr:uid="{00000000-0005-0000-0000-00001D720000}"/>
    <cellStyle name="Normal 25 13" xfId="29219" xr:uid="{00000000-0005-0000-0000-00001E720000}"/>
    <cellStyle name="Normal 25 14" xfId="29220" xr:uid="{00000000-0005-0000-0000-00001F720000}"/>
    <cellStyle name="Normal 25 15" xfId="29221" xr:uid="{00000000-0005-0000-0000-000020720000}"/>
    <cellStyle name="Normal 25 16" xfId="29222" xr:uid="{00000000-0005-0000-0000-000021720000}"/>
    <cellStyle name="Normal 25 17" xfId="29223" xr:uid="{00000000-0005-0000-0000-000022720000}"/>
    <cellStyle name="Normal 25 18" xfId="29224" xr:uid="{00000000-0005-0000-0000-000023720000}"/>
    <cellStyle name="Normal 25 19" xfId="29225" xr:uid="{00000000-0005-0000-0000-000024720000}"/>
    <cellStyle name="Normal 25 2" xfId="29226" xr:uid="{00000000-0005-0000-0000-000025720000}"/>
    <cellStyle name="Normal 25 20" xfId="29227" xr:uid="{00000000-0005-0000-0000-000026720000}"/>
    <cellStyle name="Normal 25 21" xfId="29228" xr:uid="{00000000-0005-0000-0000-000027720000}"/>
    <cellStyle name="Normal 25 22" xfId="29229" xr:uid="{00000000-0005-0000-0000-000028720000}"/>
    <cellStyle name="Normal 25 23" xfId="29230" xr:uid="{00000000-0005-0000-0000-000029720000}"/>
    <cellStyle name="Normal 25 24" xfId="29231" xr:uid="{00000000-0005-0000-0000-00002A720000}"/>
    <cellStyle name="Normal 25 25" xfId="29232" xr:uid="{00000000-0005-0000-0000-00002B720000}"/>
    <cellStyle name="Normal 25 3" xfId="29233" xr:uid="{00000000-0005-0000-0000-00002C720000}"/>
    <cellStyle name="Normal 25 4" xfId="29234" xr:uid="{00000000-0005-0000-0000-00002D720000}"/>
    <cellStyle name="Normal 25 5" xfId="29235" xr:uid="{00000000-0005-0000-0000-00002E720000}"/>
    <cellStyle name="Normal 25 6" xfId="29236" xr:uid="{00000000-0005-0000-0000-00002F720000}"/>
    <cellStyle name="Normal 25 7" xfId="29237" xr:uid="{00000000-0005-0000-0000-000030720000}"/>
    <cellStyle name="Normal 25 8" xfId="29238" xr:uid="{00000000-0005-0000-0000-000031720000}"/>
    <cellStyle name="Normal 25 9" xfId="29239" xr:uid="{00000000-0005-0000-0000-000032720000}"/>
    <cellStyle name="Normal 26" xfId="29240" xr:uid="{00000000-0005-0000-0000-000033720000}"/>
    <cellStyle name="Normal 26 10" xfId="29241" xr:uid="{00000000-0005-0000-0000-000034720000}"/>
    <cellStyle name="Normal 26 11" xfId="29242" xr:uid="{00000000-0005-0000-0000-000035720000}"/>
    <cellStyle name="Normal 26 12" xfId="29243" xr:uid="{00000000-0005-0000-0000-000036720000}"/>
    <cellStyle name="Normal 26 13" xfId="29244" xr:uid="{00000000-0005-0000-0000-000037720000}"/>
    <cellStyle name="Normal 26 14" xfId="29245" xr:uid="{00000000-0005-0000-0000-000038720000}"/>
    <cellStyle name="Normal 26 15" xfId="29246" xr:uid="{00000000-0005-0000-0000-000039720000}"/>
    <cellStyle name="Normal 26 16" xfId="29247" xr:uid="{00000000-0005-0000-0000-00003A720000}"/>
    <cellStyle name="Normal 26 17" xfId="29248" xr:uid="{00000000-0005-0000-0000-00003B720000}"/>
    <cellStyle name="Normal 26 18" xfId="29249" xr:uid="{00000000-0005-0000-0000-00003C720000}"/>
    <cellStyle name="Normal 26 19" xfId="29250" xr:uid="{00000000-0005-0000-0000-00003D720000}"/>
    <cellStyle name="Normal 26 2" xfId="29251" xr:uid="{00000000-0005-0000-0000-00003E720000}"/>
    <cellStyle name="Normal 26 20" xfId="29252" xr:uid="{00000000-0005-0000-0000-00003F720000}"/>
    <cellStyle name="Normal 26 21" xfId="29253" xr:uid="{00000000-0005-0000-0000-000040720000}"/>
    <cellStyle name="Normal 26 22" xfId="29254" xr:uid="{00000000-0005-0000-0000-000041720000}"/>
    <cellStyle name="Normal 26 23" xfId="29255" xr:uid="{00000000-0005-0000-0000-000042720000}"/>
    <cellStyle name="Normal 26 24" xfId="29256" xr:uid="{00000000-0005-0000-0000-000043720000}"/>
    <cellStyle name="Normal 26 25" xfId="29257" xr:uid="{00000000-0005-0000-0000-000044720000}"/>
    <cellStyle name="Normal 26 3" xfId="29258" xr:uid="{00000000-0005-0000-0000-000045720000}"/>
    <cellStyle name="Normal 26 4" xfId="29259" xr:uid="{00000000-0005-0000-0000-000046720000}"/>
    <cellStyle name="Normal 26 5" xfId="29260" xr:uid="{00000000-0005-0000-0000-000047720000}"/>
    <cellStyle name="Normal 26 6" xfId="29261" xr:uid="{00000000-0005-0000-0000-000048720000}"/>
    <cellStyle name="Normal 26 7" xfId="29262" xr:uid="{00000000-0005-0000-0000-000049720000}"/>
    <cellStyle name="Normal 26 8" xfId="29263" xr:uid="{00000000-0005-0000-0000-00004A720000}"/>
    <cellStyle name="Normal 26 9" xfId="29264" xr:uid="{00000000-0005-0000-0000-00004B720000}"/>
    <cellStyle name="Normal 27" xfId="29265" xr:uid="{00000000-0005-0000-0000-00004C720000}"/>
    <cellStyle name="Normal 27 2" xfId="29266" xr:uid="{00000000-0005-0000-0000-00004D720000}"/>
    <cellStyle name="Normal 28" xfId="29267" xr:uid="{00000000-0005-0000-0000-00004E720000}"/>
    <cellStyle name="Normal 28 10" xfId="29268" xr:uid="{00000000-0005-0000-0000-00004F720000}"/>
    <cellStyle name="Normal 28 11" xfId="29269" xr:uid="{00000000-0005-0000-0000-000050720000}"/>
    <cellStyle name="Normal 28 12" xfId="29270" xr:uid="{00000000-0005-0000-0000-000051720000}"/>
    <cellStyle name="Normal 28 13" xfId="29271" xr:uid="{00000000-0005-0000-0000-000052720000}"/>
    <cellStyle name="Normal 28 14" xfId="29272" xr:uid="{00000000-0005-0000-0000-000053720000}"/>
    <cellStyle name="Normal 28 15" xfId="29273" xr:uid="{00000000-0005-0000-0000-000054720000}"/>
    <cellStyle name="Normal 28 16" xfId="29274" xr:uid="{00000000-0005-0000-0000-000055720000}"/>
    <cellStyle name="Normal 28 17" xfId="29275" xr:uid="{00000000-0005-0000-0000-000056720000}"/>
    <cellStyle name="Normal 28 18" xfId="29276" xr:uid="{00000000-0005-0000-0000-000057720000}"/>
    <cellStyle name="Normal 28 19" xfId="29277" xr:uid="{00000000-0005-0000-0000-000058720000}"/>
    <cellStyle name="Normal 28 2" xfId="29278" xr:uid="{00000000-0005-0000-0000-000059720000}"/>
    <cellStyle name="Normal 28 2 2" xfId="29279" xr:uid="{00000000-0005-0000-0000-00005A720000}"/>
    <cellStyle name="Normal 28 2 3" xfId="29280" xr:uid="{00000000-0005-0000-0000-00005B720000}"/>
    <cellStyle name="Normal 28 20" xfId="29281" xr:uid="{00000000-0005-0000-0000-00005C720000}"/>
    <cellStyle name="Normal 28 21" xfId="29282" xr:uid="{00000000-0005-0000-0000-00005D720000}"/>
    <cellStyle name="Normal 28 22" xfId="29283" xr:uid="{00000000-0005-0000-0000-00005E720000}"/>
    <cellStyle name="Normal 28 23" xfId="29284" xr:uid="{00000000-0005-0000-0000-00005F720000}"/>
    <cellStyle name="Normal 28 24" xfId="29285" xr:uid="{00000000-0005-0000-0000-000060720000}"/>
    <cellStyle name="Normal 28 25" xfId="29286" xr:uid="{00000000-0005-0000-0000-000061720000}"/>
    <cellStyle name="Normal 28 26" xfId="29287" xr:uid="{00000000-0005-0000-0000-000062720000}"/>
    <cellStyle name="Normal 28 3" xfId="29288" xr:uid="{00000000-0005-0000-0000-000063720000}"/>
    <cellStyle name="Normal 28 3 2" xfId="29289" xr:uid="{00000000-0005-0000-0000-000064720000}"/>
    <cellStyle name="Normal 28 3 3" xfId="29290" xr:uid="{00000000-0005-0000-0000-000065720000}"/>
    <cellStyle name="Normal 28 4" xfId="29291" xr:uid="{00000000-0005-0000-0000-000066720000}"/>
    <cellStyle name="Normal 28 5" xfId="29292" xr:uid="{00000000-0005-0000-0000-000067720000}"/>
    <cellStyle name="Normal 28 6" xfId="29293" xr:uid="{00000000-0005-0000-0000-000068720000}"/>
    <cellStyle name="Normal 28 7" xfId="29294" xr:uid="{00000000-0005-0000-0000-000069720000}"/>
    <cellStyle name="Normal 28 8" xfId="29295" xr:uid="{00000000-0005-0000-0000-00006A720000}"/>
    <cellStyle name="Normal 28 9" xfId="29296" xr:uid="{00000000-0005-0000-0000-00006B720000}"/>
    <cellStyle name="Normal 29" xfId="29297" xr:uid="{00000000-0005-0000-0000-00006C720000}"/>
    <cellStyle name="Normal 29 10" xfId="29298" xr:uid="{00000000-0005-0000-0000-00006D720000}"/>
    <cellStyle name="Normal 29 11" xfId="29299" xr:uid="{00000000-0005-0000-0000-00006E720000}"/>
    <cellStyle name="Normal 29 12" xfId="29300" xr:uid="{00000000-0005-0000-0000-00006F720000}"/>
    <cellStyle name="Normal 29 13" xfId="29301" xr:uid="{00000000-0005-0000-0000-000070720000}"/>
    <cellStyle name="Normal 29 14" xfId="29302" xr:uid="{00000000-0005-0000-0000-000071720000}"/>
    <cellStyle name="Normal 29 15" xfId="29303" xr:uid="{00000000-0005-0000-0000-000072720000}"/>
    <cellStyle name="Normal 29 16" xfId="29304" xr:uid="{00000000-0005-0000-0000-000073720000}"/>
    <cellStyle name="Normal 29 17" xfId="29305" xr:uid="{00000000-0005-0000-0000-000074720000}"/>
    <cellStyle name="Normal 29 18" xfId="29306" xr:uid="{00000000-0005-0000-0000-000075720000}"/>
    <cellStyle name="Normal 29 19" xfId="29307" xr:uid="{00000000-0005-0000-0000-000076720000}"/>
    <cellStyle name="Normal 29 2" xfId="29308" xr:uid="{00000000-0005-0000-0000-000077720000}"/>
    <cellStyle name="Normal 29 2 2" xfId="29309" xr:uid="{00000000-0005-0000-0000-000078720000}"/>
    <cellStyle name="Normal 29 2 3" xfId="29310" xr:uid="{00000000-0005-0000-0000-000079720000}"/>
    <cellStyle name="Normal 29 20" xfId="29311" xr:uid="{00000000-0005-0000-0000-00007A720000}"/>
    <cellStyle name="Normal 29 21" xfId="29312" xr:uid="{00000000-0005-0000-0000-00007B720000}"/>
    <cellStyle name="Normal 29 22" xfId="29313" xr:uid="{00000000-0005-0000-0000-00007C720000}"/>
    <cellStyle name="Normal 29 23" xfId="29314" xr:uid="{00000000-0005-0000-0000-00007D720000}"/>
    <cellStyle name="Normal 29 24" xfId="29315" xr:uid="{00000000-0005-0000-0000-00007E720000}"/>
    <cellStyle name="Normal 29 25" xfId="29316" xr:uid="{00000000-0005-0000-0000-00007F720000}"/>
    <cellStyle name="Normal 29 26" xfId="29317" xr:uid="{00000000-0005-0000-0000-000080720000}"/>
    <cellStyle name="Normal 29 3" xfId="29318" xr:uid="{00000000-0005-0000-0000-000081720000}"/>
    <cellStyle name="Normal 29 3 2" xfId="29319" xr:uid="{00000000-0005-0000-0000-000082720000}"/>
    <cellStyle name="Normal 29 3 3" xfId="29320" xr:uid="{00000000-0005-0000-0000-000083720000}"/>
    <cellStyle name="Normal 29 4" xfId="29321" xr:uid="{00000000-0005-0000-0000-000084720000}"/>
    <cellStyle name="Normal 29 5" xfId="29322" xr:uid="{00000000-0005-0000-0000-000085720000}"/>
    <cellStyle name="Normal 29 6" xfId="29323" xr:uid="{00000000-0005-0000-0000-000086720000}"/>
    <cellStyle name="Normal 29 7" xfId="29324" xr:uid="{00000000-0005-0000-0000-000087720000}"/>
    <cellStyle name="Normal 29 8" xfId="29325" xr:uid="{00000000-0005-0000-0000-000088720000}"/>
    <cellStyle name="Normal 29 9" xfId="29326" xr:uid="{00000000-0005-0000-0000-000089720000}"/>
    <cellStyle name="Normal 3" xfId="20" xr:uid="{00000000-0005-0000-0000-00008A720000}"/>
    <cellStyle name="Normal 3 10" xfId="29327" xr:uid="{00000000-0005-0000-0000-00008B720000}"/>
    <cellStyle name="Normal 3 10 2" xfId="29328" xr:uid="{00000000-0005-0000-0000-00008C720000}"/>
    <cellStyle name="Normal 3 10 3" xfId="29329" xr:uid="{00000000-0005-0000-0000-00008D720000}"/>
    <cellStyle name="Normal 3 10 4" xfId="29330" xr:uid="{00000000-0005-0000-0000-00008E720000}"/>
    <cellStyle name="Normal 3 10 5" xfId="29331" xr:uid="{00000000-0005-0000-0000-00008F720000}"/>
    <cellStyle name="Normal 3 10 6" xfId="29332" xr:uid="{00000000-0005-0000-0000-000090720000}"/>
    <cellStyle name="Normal 3 10_Enlaces" xfId="29333" xr:uid="{00000000-0005-0000-0000-000091720000}"/>
    <cellStyle name="Normal 3 100" xfId="29334" xr:uid="{00000000-0005-0000-0000-000092720000}"/>
    <cellStyle name="Normal 3 100 2" xfId="29335" xr:uid="{00000000-0005-0000-0000-000093720000}"/>
    <cellStyle name="Normal 3 100 3" xfId="29336" xr:uid="{00000000-0005-0000-0000-000094720000}"/>
    <cellStyle name="Normal 3 101" xfId="29337" xr:uid="{00000000-0005-0000-0000-000095720000}"/>
    <cellStyle name="Normal 3 101 2" xfId="29338" xr:uid="{00000000-0005-0000-0000-000096720000}"/>
    <cellStyle name="Normal 3 101 3" xfId="29339" xr:uid="{00000000-0005-0000-0000-000097720000}"/>
    <cellStyle name="Normal 3 102" xfId="29340" xr:uid="{00000000-0005-0000-0000-000098720000}"/>
    <cellStyle name="Normal 3 102 2" xfId="29341" xr:uid="{00000000-0005-0000-0000-000099720000}"/>
    <cellStyle name="Normal 3 102 3" xfId="29342" xr:uid="{00000000-0005-0000-0000-00009A720000}"/>
    <cellStyle name="Normal 3 103" xfId="29343" xr:uid="{00000000-0005-0000-0000-00009B720000}"/>
    <cellStyle name="Normal 3 103 2" xfId="29344" xr:uid="{00000000-0005-0000-0000-00009C720000}"/>
    <cellStyle name="Normal 3 103 3" xfId="29345" xr:uid="{00000000-0005-0000-0000-00009D720000}"/>
    <cellStyle name="Normal 3 104" xfId="29346" xr:uid="{00000000-0005-0000-0000-00009E720000}"/>
    <cellStyle name="Normal 3 104 2" xfId="29347" xr:uid="{00000000-0005-0000-0000-00009F720000}"/>
    <cellStyle name="Normal 3 104 3" xfId="29348" xr:uid="{00000000-0005-0000-0000-0000A0720000}"/>
    <cellStyle name="Normal 3 105" xfId="29349" xr:uid="{00000000-0005-0000-0000-0000A1720000}"/>
    <cellStyle name="Normal 3 105 2" xfId="29350" xr:uid="{00000000-0005-0000-0000-0000A2720000}"/>
    <cellStyle name="Normal 3 105 3" xfId="29351" xr:uid="{00000000-0005-0000-0000-0000A3720000}"/>
    <cellStyle name="Normal 3 106" xfId="29352" xr:uid="{00000000-0005-0000-0000-0000A4720000}"/>
    <cellStyle name="Normal 3 106 2" xfId="29353" xr:uid="{00000000-0005-0000-0000-0000A5720000}"/>
    <cellStyle name="Normal 3 106 3" xfId="29354" xr:uid="{00000000-0005-0000-0000-0000A6720000}"/>
    <cellStyle name="Normal 3 107" xfId="29355" xr:uid="{00000000-0005-0000-0000-0000A7720000}"/>
    <cellStyle name="Normal 3 107 2" xfId="29356" xr:uid="{00000000-0005-0000-0000-0000A8720000}"/>
    <cellStyle name="Normal 3 107 3" xfId="29357" xr:uid="{00000000-0005-0000-0000-0000A9720000}"/>
    <cellStyle name="Normal 3 108" xfId="29358" xr:uid="{00000000-0005-0000-0000-0000AA720000}"/>
    <cellStyle name="Normal 3 108 2" xfId="29359" xr:uid="{00000000-0005-0000-0000-0000AB720000}"/>
    <cellStyle name="Normal 3 108 3" xfId="29360" xr:uid="{00000000-0005-0000-0000-0000AC720000}"/>
    <cellStyle name="Normal 3 109" xfId="29361" xr:uid="{00000000-0005-0000-0000-0000AD720000}"/>
    <cellStyle name="Normal 3 109 2" xfId="29362" xr:uid="{00000000-0005-0000-0000-0000AE720000}"/>
    <cellStyle name="Normal 3 109 3" xfId="29363" xr:uid="{00000000-0005-0000-0000-0000AF720000}"/>
    <cellStyle name="Normal 3 11" xfId="29364" xr:uid="{00000000-0005-0000-0000-0000B0720000}"/>
    <cellStyle name="Normal 3 11 2" xfId="29365" xr:uid="{00000000-0005-0000-0000-0000B1720000}"/>
    <cellStyle name="Normal 3 11 3" xfId="29366" xr:uid="{00000000-0005-0000-0000-0000B2720000}"/>
    <cellStyle name="Normal 3 11 4" xfId="29367" xr:uid="{00000000-0005-0000-0000-0000B3720000}"/>
    <cellStyle name="Normal 3 11_Enlaces" xfId="29368" xr:uid="{00000000-0005-0000-0000-0000B4720000}"/>
    <cellStyle name="Normal 3 110" xfId="29369" xr:uid="{00000000-0005-0000-0000-0000B5720000}"/>
    <cellStyle name="Normal 3 110 2" xfId="29370" xr:uid="{00000000-0005-0000-0000-0000B6720000}"/>
    <cellStyle name="Normal 3 110 3" xfId="29371" xr:uid="{00000000-0005-0000-0000-0000B7720000}"/>
    <cellStyle name="Normal 3 111" xfId="29372" xr:uid="{00000000-0005-0000-0000-0000B8720000}"/>
    <cellStyle name="Normal 3 111 2" xfId="29373" xr:uid="{00000000-0005-0000-0000-0000B9720000}"/>
    <cellStyle name="Normal 3 111 3" xfId="29374" xr:uid="{00000000-0005-0000-0000-0000BA720000}"/>
    <cellStyle name="Normal 3 112" xfId="29375" xr:uid="{00000000-0005-0000-0000-0000BB720000}"/>
    <cellStyle name="Normal 3 112 2" xfId="29376" xr:uid="{00000000-0005-0000-0000-0000BC720000}"/>
    <cellStyle name="Normal 3 112 3" xfId="29377" xr:uid="{00000000-0005-0000-0000-0000BD720000}"/>
    <cellStyle name="Normal 3 113" xfId="29378" xr:uid="{00000000-0005-0000-0000-0000BE720000}"/>
    <cellStyle name="Normal 3 113 2" xfId="29379" xr:uid="{00000000-0005-0000-0000-0000BF720000}"/>
    <cellStyle name="Normal 3 113 3" xfId="29380" xr:uid="{00000000-0005-0000-0000-0000C0720000}"/>
    <cellStyle name="Normal 3 114" xfId="29381" xr:uid="{00000000-0005-0000-0000-0000C1720000}"/>
    <cellStyle name="Normal 3 114 2" xfId="29382" xr:uid="{00000000-0005-0000-0000-0000C2720000}"/>
    <cellStyle name="Normal 3 114 3" xfId="29383" xr:uid="{00000000-0005-0000-0000-0000C3720000}"/>
    <cellStyle name="Normal 3 115" xfId="29384" xr:uid="{00000000-0005-0000-0000-0000C4720000}"/>
    <cellStyle name="Normal 3 115 2" xfId="29385" xr:uid="{00000000-0005-0000-0000-0000C5720000}"/>
    <cellStyle name="Normal 3 115 3" xfId="29386" xr:uid="{00000000-0005-0000-0000-0000C6720000}"/>
    <cellStyle name="Normal 3 116" xfId="29387" xr:uid="{00000000-0005-0000-0000-0000C7720000}"/>
    <cellStyle name="Normal 3 116 2" xfId="29388" xr:uid="{00000000-0005-0000-0000-0000C8720000}"/>
    <cellStyle name="Normal 3 116 3" xfId="29389" xr:uid="{00000000-0005-0000-0000-0000C9720000}"/>
    <cellStyle name="Normal 3 117" xfId="29390" xr:uid="{00000000-0005-0000-0000-0000CA720000}"/>
    <cellStyle name="Normal 3 117 2" xfId="29391" xr:uid="{00000000-0005-0000-0000-0000CB720000}"/>
    <cellStyle name="Normal 3 117 3" xfId="29392" xr:uid="{00000000-0005-0000-0000-0000CC720000}"/>
    <cellStyle name="Normal 3 118" xfId="29393" xr:uid="{00000000-0005-0000-0000-0000CD720000}"/>
    <cellStyle name="Normal 3 118 2" xfId="29394" xr:uid="{00000000-0005-0000-0000-0000CE720000}"/>
    <cellStyle name="Normal 3 118 3" xfId="29395" xr:uid="{00000000-0005-0000-0000-0000CF720000}"/>
    <cellStyle name="Normal 3 119" xfId="29396" xr:uid="{00000000-0005-0000-0000-0000D0720000}"/>
    <cellStyle name="Normal 3 119 2" xfId="29397" xr:uid="{00000000-0005-0000-0000-0000D1720000}"/>
    <cellStyle name="Normal 3 119 3" xfId="29398" xr:uid="{00000000-0005-0000-0000-0000D2720000}"/>
    <cellStyle name="Normal 3 12" xfId="29399" xr:uid="{00000000-0005-0000-0000-0000D3720000}"/>
    <cellStyle name="Normal 3 12 2" xfId="29400" xr:uid="{00000000-0005-0000-0000-0000D4720000}"/>
    <cellStyle name="Normal 3 12 3" xfId="29401" xr:uid="{00000000-0005-0000-0000-0000D5720000}"/>
    <cellStyle name="Normal 3 12_Enlaces" xfId="29402" xr:uid="{00000000-0005-0000-0000-0000D6720000}"/>
    <cellStyle name="Normal 3 120" xfId="29403" xr:uid="{00000000-0005-0000-0000-0000D7720000}"/>
    <cellStyle name="Normal 3 120 2" xfId="29404" xr:uid="{00000000-0005-0000-0000-0000D8720000}"/>
    <cellStyle name="Normal 3 120 3" xfId="29405" xr:uid="{00000000-0005-0000-0000-0000D9720000}"/>
    <cellStyle name="Normal 3 121" xfId="29406" xr:uid="{00000000-0005-0000-0000-0000DA720000}"/>
    <cellStyle name="Normal 3 121 2" xfId="29407" xr:uid="{00000000-0005-0000-0000-0000DB720000}"/>
    <cellStyle name="Normal 3 121 3" xfId="29408" xr:uid="{00000000-0005-0000-0000-0000DC720000}"/>
    <cellStyle name="Normal 3 122" xfId="29409" xr:uid="{00000000-0005-0000-0000-0000DD720000}"/>
    <cellStyle name="Normal 3 122 2" xfId="29410" xr:uid="{00000000-0005-0000-0000-0000DE720000}"/>
    <cellStyle name="Normal 3 122 3" xfId="29411" xr:uid="{00000000-0005-0000-0000-0000DF720000}"/>
    <cellStyle name="Normal 3 123" xfId="29412" xr:uid="{00000000-0005-0000-0000-0000E0720000}"/>
    <cellStyle name="Normal 3 123 2" xfId="29413" xr:uid="{00000000-0005-0000-0000-0000E1720000}"/>
    <cellStyle name="Normal 3 123 3" xfId="29414" xr:uid="{00000000-0005-0000-0000-0000E2720000}"/>
    <cellStyle name="Normal 3 124" xfId="29415" xr:uid="{00000000-0005-0000-0000-0000E3720000}"/>
    <cellStyle name="Normal 3 125" xfId="29416" xr:uid="{00000000-0005-0000-0000-0000E4720000}"/>
    <cellStyle name="Normal 3 126" xfId="29417" xr:uid="{00000000-0005-0000-0000-0000E5720000}"/>
    <cellStyle name="Normal 3 127" xfId="29418" xr:uid="{00000000-0005-0000-0000-0000E6720000}"/>
    <cellStyle name="Normal 3 128" xfId="29419" xr:uid="{00000000-0005-0000-0000-0000E7720000}"/>
    <cellStyle name="Normal 3 129" xfId="29420" xr:uid="{00000000-0005-0000-0000-0000E8720000}"/>
    <cellStyle name="Normal 3 13" xfId="29421" xr:uid="{00000000-0005-0000-0000-0000E9720000}"/>
    <cellStyle name="Normal 3 13 2" xfId="29422" xr:uid="{00000000-0005-0000-0000-0000EA720000}"/>
    <cellStyle name="Normal 3 13 3" xfId="29423" xr:uid="{00000000-0005-0000-0000-0000EB720000}"/>
    <cellStyle name="Normal 3 13_Enlaces" xfId="29424" xr:uid="{00000000-0005-0000-0000-0000EC720000}"/>
    <cellStyle name="Normal 3 130" xfId="29425" xr:uid="{00000000-0005-0000-0000-0000ED720000}"/>
    <cellStyle name="Normal 3 131" xfId="29426" xr:uid="{00000000-0005-0000-0000-0000EE720000}"/>
    <cellStyle name="Normal 3 131 2" xfId="29427" xr:uid="{00000000-0005-0000-0000-0000EF720000}"/>
    <cellStyle name="Normal 3 132" xfId="29428" xr:uid="{00000000-0005-0000-0000-0000F0720000}"/>
    <cellStyle name="Normal 3 132 2" xfId="29429" xr:uid="{00000000-0005-0000-0000-0000F1720000}"/>
    <cellStyle name="Normal 3 133" xfId="29430" xr:uid="{00000000-0005-0000-0000-0000F2720000}"/>
    <cellStyle name="Normal 3 133 2" xfId="29431" xr:uid="{00000000-0005-0000-0000-0000F3720000}"/>
    <cellStyle name="Normal 3 134" xfId="29432" xr:uid="{00000000-0005-0000-0000-0000F4720000}"/>
    <cellStyle name="Normal 3 134 2" xfId="29433" xr:uid="{00000000-0005-0000-0000-0000F5720000}"/>
    <cellStyle name="Normal 3 135" xfId="29434" xr:uid="{00000000-0005-0000-0000-0000F6720000}"/>
    <cellStyle name="Normal 3 135 2" xfId="29435" xr:uid="{00000000-0005-0000-0000-0000F7720000}"/>
    <cellStyle name="Normal 3 136" xfId="29436" xr:uid="{00000000-0005-0000-0000-0000F8720000}"/>
    <cellStyle name="Normal 3 136 2" xfId="29437" xr:uid="{00000000-0005-0000-0000-0000F9720000}"/>
    <cellStyle name="Normal 3 137" xfId="29438" xr:uid="{00000000-0005-0000-0000-0000FA720000}"/>
    <cellStyle name="Normal 3 137 2" xfId="29439" xr:uid="{00000000-0005-0000-0000-0000FB720000}"/>
    <cellStyle name="Normal 3 138" xfId="29440" xr:uid="{00000000-0005-0000-0000-0000FC720000}"/>
    <cellStyle name="Normal 3 138 2" xfId="29441" xr:uid="{00000000-0005-0000-0000-0000FD720000}"/>
    <cellStyle name="Normal 3 139" xfId="29442" xr:uid="{00000000-0005-0000-0000-0000FE720000}"/>
    <cellStyle name="Normal 3 139 2" xfId="29443" xr:uid="{00000000-0005-0000-0000-0000FF720000}"/>
    <cellStyle name="Normal 3 14" xfId="29444" xr:uid="{00000000-0005-0000-0000-000000730000}"/>
    <cellStyle name="Normal 3 14 2" xfId="29445" xr:uid="{00000000-0005-0000-0000-000001730000}"/>
    <cellStyle name="Normal 3 14 3" xfId="29446" xr:uid="{00000000-0005-0000-0000-000002730000}"/>
    <cellStyle name="Normal 3 14_Enlaces" xfId="29447" xr:uid="{00000000-0005-0000-0000-000003730000}"/>
    <cellStyle name="Normal 3 140" xfId="29448" xr:uid="{00000000-0005-0000-0000-000004730000}"/>
    <cellStyle name="Normal 3 140 2" xfId="29449" xr:uid="{00000000-0005-0000-0000-000005730000}"/>
    <cellStyle name="Normal 3 141" xfId="29450" xr:uid="{00000000-0005-0000-0000-000006730000}"/>
    <cellStyle name="Normal 3 141 2" xfId="29451" xr:uid="{00000000-0005-0000-0000-000007730000}"/>
    <cellStyle name="Normal 3 142" xfId="29452" xr:uid="{00000000-0005-0000-0000-000008730000}"/>
    <cellStyle name="Normal 3 143" xfId="29453" xr:uid="{00000000-0005-0000-0000-000009730000}"/>
    <cellStyle name="Normal 3 143 2" xfId="29454" xr:uid="{00000000-0005-0000-0000-00000A730000}"/>
    <cellStyle name="Normal 3 144" xfId="29455" xr:uid="{00000000-0005-0000-0000-00000B730000}"/>
    <cellStyle name="Normal 3 145" xfId="29456" xr:uid="{00000000-0005-0000-0000-00000C730000}"/>
    <cellStyle name="Normal 3 15" xfId="29457" xr:uid="{00000000-0005-0000-0000-00000D730000}"/>
    <cellStyle name="Normal 3 15 2" xfId="29458" xr:uid="{00000000-0005-0000-0000-00000E730000}"/>
    <cellStyle name="Normal 3 15 3" xfId="29459" xr:uid="{00000000-0005-0000-0000-00000F730000}"/>
    <cellStyle name="Normal 3 15_Enlaces" xfId="29460" xr:uid="{00000000-0005-0000-0000-000010730000}"/>
    <cellStyle name="Normal 3 16" xfId="29461" xr:uid="{00000000-0005-0000-0000-000011730000}"/>
    <cellStyle name="Normal 3 16 2" xfId="29462" xr:uid="{00000000-0005-0000-0000-000012730000}"/>
    <cellStyle name="Normal 3 16 3" xfId="29463" xr:uid="{00000000-0005-0000-0000-000013730000}"/>
    <cellStyle name="Normal 3 16_Enlaces" xfId="29464" xr:uid="{00000000-0005-0000-0000-000014730000}"/>
    <cellStyle name="Normal 3 17" xfId="29465" xr:uid="{00000000-0005-0000-0000-000015730000}"/>
    <cellStyle name="Normal 3 17 2" xfId="29466" xr:uid="{00000000-0005-0000-0000-000016730000}"/>
    <cellStyle name="Normal 3 17 3" xfId="29467" xr:uid="{00000000-0005-0000-0000-000017730000}"/>
    <cellStyle name="Normal 3 17_Enlaces" xfId="29468" xr:uid="{00000000-0005-0000-0000-000018730000}"/>
    <cellStyle name="Normal 3 18" xfId="29469" xr:uid="{00000000-0005-0000-0000-000019730000}"/>
    <cellStyle name="Normal 3 18 2" xfId="29470" xr:uid="{00000000-0005-0000-0000-00001A730000}"/>
    <cellStyle name="Normal 3 18 3" xfId="29471" xr:uid="{00000000-0005-0000-0000-00001B730000}"/>
    <cellStyle name="Normal 3 18_Enlaces" xfId="29472" xr:uid="{00000000-0005-0000-0000-00001C730000}"/>
    <cellStyle name="Normal 3 19" xfId="29473" xr:uid="{00000000-0005-0000-0000-00001D730000}"/>
    <cellStyle name="Normal 3 19 2" xfId="29474" xr:uid="{00000000-0005-0000-0000-00001E730000}"/>
    <cellStyle name="Normal 3 19 3" xfId="29475" xr:uid="{00000000-0005-0000-0000-00001F730000}"/>
    <cellStyle name="Normal 3 19_Enlaces" xfId="29476" xr:uid="{00000000-0005-0000-0000-000020730000}"/>
    <cellStyle name="Normal 3 2" xfId="29477" xr:uid="{00000000-0005-0000-0000-000021730000}"/>
    <cellStyle name="Normal 3 2 10" xfId="29478" xr:uid="{00000000-0005-0000-0000-000022730000}"/>
    <cellStyle name="Normal 3 2 10 2" xfId="29479" xr:uid="{00000000-0005-0000-0000-000023730000}"/>
    <cellStyle name="Normal 3 2 10 3" xfId="29480" xr:uid="{00000000-0005-0000-0000-000024730000}"/>
    <cellStyle name="Normal 3 2 11" xfId="29481" xr:uid="{00000000-0005-0000-0000-000025730000}"/>
    <cellStyle name="Normal 3 2 11 2" xfId="29482" xr:uid="{00000000-0005-0000-0000-000026730000}"/>
    <cellStyle name="Normal 3 2 12" xfId="29483" xr:uid="{00000000-0005-0000-0000-000027730000}"/>
    <cellStyle name="Normal 3 2 12 2" xfId="29484" xr:uid="{00000000-0005-0000-0000-000028730000}"/>
    <cellStyle name="Normal 3 2 13" xfId="29485" xr:uid="{00000000-0005-0000-0000-000029730000}"/>
    <cellStyle name="Normal 3 2 13 2" xfId="29486" xr:uid="{00000000-0005-0000-0000-00002A730000}"/>
    <cellStyle name="Normal 3 2 14" xfId="29487" xr:uid="{00000000-0005-0000-0000-00002B730000}"/>
    <cellStyle name="Normal 3 2 14 2" xfId="29488" xr:uid="{00000000-0005-0000-0000-00002C730000}"/>
    <cellStyle name="Normal 3 2 15" xfId="29489" xr:uid="{00000000-0005-0000-0000-00002D730000}"/>
    <cellStyle name="Normal 3 2 15 2" xfId="29490" xr:uid="{00000000-0005-0000-0000-00002E730000}"/>
    <cellStyle name="Normal 3 2 16" xfId="29491" xr:uid="{00000000-0005-0000-0000-00002F730000}"/>
    <cellStyle name="Normal 3 2 16 2" xfId="29492" xr:uid="{00000000-0005-0000-0000-000030730000}"/>
    <cellStyle name="Normal 3 2 17" xfId="29493" xr:uid="{00000000-0005-0000-0000-000031730000}"/>
    <cellStyle name="Normal 3 2 17 2" xfId="29494" xr:uid="{00000000-0005-0000-0000-000032730000}"/>
    <cellStyle name="Normal 3 2 18" xfId="29495" xr:uid="{00000000-0005-0000-0000-000033730000}"/>
    <cellStyle name="Normal 3 2 18 2" xfId="29496" xr:uid="{00000000-0005-0000-0000-000034730000}"/>
    <cellStyle name="Normal 3 2 19" xfId="29497" xr:uid="{00000000-0005-0000-0000-000035730000}"/>
    <cellStyle name="Normal 3 2 19 2" xfId="29498" xr:uid="{00000000-0005-0000-0000-000036730000}"/>
    <cellStyle name="Normal 3 2 2" xfId="29499" xr:uid="{00000000-0005-0000-0000-000037730000}"/>
    <cellStyle name="Normal 3 2 2 2" xfId="29500" xr:uid="{00000000-0005-0000-0000-000038730000}"/>
    <cellStyle name="Normal 3 2 2 2 2" xfId="29501" xr:uid="{00000000-0005-0000-0000-000039730000}"/>
    <cellStyle name="Normal 3 2 20" xfId="29502" xr:uid="{00000000-0005-0000-0000-00003A730000}"/>
    <cellStyle name="Normal 3 2 20 2" xfId="29503" xr:uid="{00000000-0005-0000-0000-00003B730000}"/>
    <cellStyle name="Normal 3 2 21" xfId="29504" xr:uid="{00000000-0005-0000-0000-00003C730000}"/>
    <cellStyle name="Normal 3 2 21 2" xfId="29505" xr:uid="{00000000-0005-0000-0000-00003D730000}"/>
    <cellStyle name="Normal 3 2 22" xfId="29506" xr:uid="{00000000-0005-0000-0000-00003E730000}"/>
    <cellStyle name="Normal 3 2 22 2" xfId="29507" xr:uid="{00000000-0005-0000-0000-00003F730000}"/>
    <cellStyle name="Normal 3 2 23" xfId="29508" xr:uid="{00000000-0005-0000-0000-000040730000}"/>
    <cellStyle name="Normal 3 2 23 2" xfId="29509" xr:uid="{00000000-0005-0000-0000-000041730000}"/>
    <cellStyle name="Normal 3 2 24" xfId="29510" xr:uid="{00000000-0005-0000-0000-000042730000}"/>
    <cellStyle name="Normal 3 2 24 2" xfId="29511" xr:uid="{00000000-0005-0000-0000-000043730000}"/>
    <cellStyle name="Normal 3 2 25" xfId="29512" xr:uid="{00000000-0005-0000-0000-000044730000}"/>
    <cellStyle name="Normal 3 2 25 2" xfId="29513" xr:uid="{00000000-0005-0000-0000-000045730000}"/>
    <cellStyle name="Normal 3 2 26" xfId="29514" xr:uid="{00000000-0005-0000-0000-000046730000}"/>
    <cellStyle name="Normal 3 2 27" xfId="29515" xr:uid="{00000000-0005-0000-0000-000047730000}"/>
    <cellStyle name="Normal 3 2 28" xfId="29516" xr:uid="{00000000-0005-0000-0000-000048730000}"/>
    <cellStyle name="Normal 3 2 29" xfId="29517" xr:uid="{00000000-0005-0000-0000-000049730000}"/>
    <cellStyle name="Normal 3 2 3" xfId="29518" xr:uid="{00000000-0005-0000-0000-00004A730000}"/>
    <cellStyle name="Normal 3 2 3 2" xfId="29519" xr:uid="{00000000-0005-0000-0000-00004B730000}"/>
    <cellStyle name="Normal 3 2 3 3" xfId="29520" xr:uid="{00000000-0005-0000-0000-00004C730000}"/>
    <cellStyle name="Normal 3 2 30" xfId="29521" xr:uid="{00000000-0005-0000-0000-00004D730000}"/>
    <cellStyle name="Normal 3 2 31" xfId="29522" xr:uid="{00000000-0005-0000-0000-00004E730000}"/>
    <cellStyle name="Normal 3 2 32" xfId="29523" xr:uid="{00000000-0005-0000-0000-00004F730000}"/>
    <cellStyle name="Normal 3 2 33" xfId="29524" xr:uid="{00000000-0005-0000-0000-000050730000}"/>
    <cellStyle name="Normal 3 2 34" xfId="29525" xr:uid="{00000000-0005-0000-0000-000051730000}"/>
    <cellStyle name="Normal 3 2 35" xfId="29526" xr:uid="{00000000-0005-0000-0000-000052730000}"/>
    <cellStyle name="Normal 3 2 36" xfId="29527" xr:uid="{00000000-0005-0000-0000-000053730000}"/>
    <cellStyle name="Normal 3 2 37" xfId="29528" xr:uid="{00000000-0005-0000-0000-000054730000}"/>
    <cellStyle name="Normal 3 2 38" xfId="29529" xr:uid="{00000000-0005-0000-0000-000055730000}"/>
    <cellStyle name="Normal 3 2 39" xfId="29530" xr:uid="{00000000-0005-0000-0000-000056730000}"/>
    <cellStyle name="Normal 3 2 4" xfId="29531" xr:uid="{00000000-0005-0000-0000-000057730000}"/>
    <cellStyle name="Normal 3 2 4 2" xfId="29532" xr:uid="{00000000-0005-0000-0000-000058730000}"/>
    <cellStyle name="Normal 3 2 4 3" xfId="29533" xr:uid="{00000000-0005-0000-0000-000059730000}"/>
    <cellStyle name="Normal 3 2 40" xfId="29534" xr:uid="{00000000-0005-0000-0000-00005A730000}"/>
    <cellStyle name="Normal 3 2 41" xfId="29535" xr:uid="{00000000-0005-0000-0000-00005B730000}"/>
    <cellStyle name="Normal 3 2 42" xfId="29536" xr:uid="{00000000-0005-0000-0000-00005C730000}"/>
    <cellStyle name="Normal 3 2 43" xfId="29537" xr:uid="{00000000-0005-0000-0000-00005D730000}"/>
    <cellStyle name="Normal 3 2 44" xfId="29538" xr:uid="{00000000-0005-0000-0000-00005E730000}"/>
    <cellStyle name="Normal 3 2 45" xfId="29539" xr:uid="{00000000-0005-0000-0000-00005F730000}"/>
    <cellStyle name="Normal 3 2 46" xfId="29540" xr:uid="{00000000-0005-0000-0000-000060730000}"/>
    <cellStyle name="Normal 3 2 47" xfId="29541" xr:uid="{00000000-0005-0000-0000-000061730000}"/>
    <cellStyle name="Normal 3 2 48" xfId="29542" xr:uid="{00000000-0005-0000-0000-000062730000}"/>
    <cellStyle name="Normal 3 2 49" xfId="29543" xr:uid="{00000000-0005-0000-0000-000063730000}"/>
    <cellStyle name="Normal 3 2 5" xfId="29544" xr:uid="{00000000-0005-0000-0000-000064730000}"/>
    <cellStyle name="Normal 3 2 5 2" xfId="29545" xr:uid="{00000000-0005-0000-0000-000065730000}"/>
    <cellStyle name="Normal 3 2 5 3" xfId="29546" xr:uid="{00000000-0005-0000-0000-000066730000}"/>
    <cellStyle name="Normal 3 2 50" xfId="29547" xr:uid="{00000000-0005-0000-0000-000067730000}"/>
    <cellStyle name="Normal 3 2 51" xfId="29548" xr:uid="{00000000-0005-0000-0000-000068730000}"/>
    <cellStyle name="Normal 3 2 52" xfId="29549" xr:uid="{00000000-0005-0000-0000-000069730000}"/>
    <cellStyle name="Normal 3 2 53" xfId="29550" xr:uid="{00000000-0005-0000-0000-00006A730000}"/>
    <cellStyle name="Normal 3 2 54" xfId="29551" xr:uid="{00000000-0005-0000-0000-00006B730000}"/>
    <cellStyle name="Normal 3 2 55" xfId="29552" xr:uid="{00000000-0005-0000-0000-00006C730000}"/>
    <cellStyle name="Normal 3 2 56" xfId="29553" xr:uid="{00000000-0005-0000-0000-00006D730000}"/>
    <cellStyle name="Normal 3 2 57" xfId="29554" xr:uid="{00000000-0005-0000-0000-00006E730000}"/>
    <cellStyle name="Normal 3 2 58" xfId="29555" xr:uid="{00000000-0005-0000-0000-00006F730000}"/>
    <cellStyle name="Normal 3 2 59" xfId="29556" xr:uid="{00000000-0005-0000-0000-000070730000}"/>
    <cellStyle name="Normal 3 2 6" xfId="29557" xr:uid="{00000000-0005-0000-0000-000071730000}"/>
    <cellStyle name="Normal 3 2 6 2" xfId="29558" xr:uid="{00000000-0005-0000-0000-000072730000}"/>
    <cellStyle name="Normal 3 2 6 3" xfId="29559" xr:uid="{00000000-0005-0000-0000-000073730000}"/>
    <cellStyle name="Normal 3 2 60" xfId="29560" xr:uid="{00000000-0005-0000-0000-000074730000}"/>
    <cellStyle name="Normal 3 2 61" xfId="29561" xr:uid="{00000000-0005-0000-0000-000075730000}"/>
    <cellStyle name="Normal 3 2 62" xfId="29562" xr:uid="{00000000-0005-0000-0000-000076730000}"/>
    <cellStyle name="Normal 3 2 63" xfId="29563" xr:uid="{00000000-0005-0000-0000-000077730000}"/>
    <cellStyle name="Normal 3 2 64" xfId="29564" xr:uid="{00000000-0005-0000-0000-000078730000}"/>
    <cellStyle name="Normal 3 2 65" xfId="29565" xr:uid="{00000000-0005-0000-0000-000079730000}"/>
    <cellStyle name="Normal 3 2 66" xfId="29566" xr:uid="{00000000-0005-0000-0000-00007A730000}"/>
    <cellStyle name="Normal 3 2 67" xfId="29567" xr:uid="{00000000-0005-0000-0000-00007B730000}"/>
    <cellStyle name="Normal 3 2 68" xfId="29568" xr:uid="{00000000-0005-0000-0000-00007C730000}"/>
    <cellStyle name="Normal 3 2 69" xfId="29569" xr:uid="{00000000-0005-0000-0000-00007D730000}"/>
    <cellStyle name="Normal 3 2 7" xfId="29570" xr:uid="{00000000-0005-0000-0000-00007E730000}"/>
    <cellStyle name="Normal 3 2 7 2" xfId="29571" xr:uid="{00000000-0005-0000-0000-00007F730000}"/>
    <cellStyle name="Normal 3 2 7 3" xfId="29572" xr:uid="{00000000-0005-0000-0000-000080730000}"/>
    <cellStyle name="Normal 3 2 70" xfId="29573" xr:uid="{00000000-0005-0000-0000-000081730000}"/>
    <cellStyle name="Normal 3 2 71" xfId="29574" xr:uid="{00000000-0005-0000-0000-000082730000}"/>
    <cellStyle name="Normal 3 2 72" xfId="29575" xr:uid="{00000000-0005-0000-0000-000083730000}"/>
    <cellStyle name="Normal 3 2 73" xfId="29576" xr:uid="{00000000-0005-0000-0000-000084730000}"/>
    <cellStyle name="Normal 3 2 74" xfId="29577" xr:uid="{00000000-0005-0000-0000-000085730000}"/>
    <cellStyle name="Normal 3 2 75" xfId="29578" xr:uid="{00000000-0005-0000-0000-000086730000}"/>
    <cellStyle name="Normal 3 2 76" xfId="29579" xr:uid="{00000000-0005-0000-0000-000087730000}"/>
    <cellStyle name="Normal 3 2 77" xfId="29580" xr:uid="{00000000-0005-0000-0000-000088730000}"/>
    <cellStyle name="Normal 3 2 78" xfId="29581" xr:uid="{00000000-0005-0000-0000-000089730000}"/>
    <cellStyle name="Normal 3 2 79" xfId="29582" xr:uid="{00000000-0005-0000-0000-00008A730000}"/>
    <cellStyle name="Normal 3 2 8" xfId="29583" xr:uid="{00000000-0005-0000-0000-00008B730000}"/>
    <cellStyle name="Normal 3 2 8 2" xfId="29584" xr:uid="{00000000-0005-0000-0000-00008C730000}"/>
    <cellStyle name="Normal 3 2 8 3" xfId="29585" xr:uid="{00000000-0005-0000-0000-00008D730000}"/>
    <cellStyle name="Normal 3 2 80" xfId="29586" xr:uid="{00000000-0005-0000-0000-00008E730000}"/>
    <cellStyle name="Normal 3 2 81" xfId="29587" xr:uid="{00000000-0005-0000-0000-00008F730000}"/>
    <cellStyle name="Normal 3 2 82" xfId="29588" xr:uid="{00000000-0005-0000-0000-000090730000}"/>
    <cellStyle name="Normal 3 2 83" xfId="29589" xr:uid="{00000000-0005-0000-0000-000091730000}"/>
    <cellStyle name="Normal 3 2 84" xfId="29590" xr:uid="{00000000-0005-0000-0000-000092730000}"/>
    <cellStyle name="Normal 3 2 85" xfId="29591" xr:uid="{00000000-0005-0000-0000-000093730000}"/>
    <cellStyle name="Normal 3 2 86" xfId="29592" xr:uid="{00000000-0005-0000-0000-000094730000}"/>
    <cellStyle name="Normal 3 2 87" xfId="29593" xr:uid="{00000000-0005-0000-0000-000095730000}"/>
    <cellStyle name="Normal 3 2 88" xfId="29594" xr:uid="{00000000-0005-0000-0000-000096730000}"/>
    <cellStyle name="Normal 3 2 89" xfId="29595" xr:uid="{00000000-0005-0000-0000-000097730000}"/>
    <cellStyle name="Normal 3 2 9" xfId="29596" xr:uid="{00000000-0005-0000-0000-000098730000}"/>
    <cellStyle name="Normal 3 2 9 2" xfId="29597" xr:uid="{00000000-0005-0000-0000-000099730000}"/>
    <cellStyle name="Normal 3 2 9 3" xfId="29598" xr:uid="{00000000-0005-0000-0000-00009A730000}"/>
    <cellStyle name="Normal 3 2 90" xfId="29599" xr:uid="{00000000-0005-0000-0000-00009B730000}"/>
    <cellStyle name="Normal 3 2 91" xfId="29600" xr:uid="{00000000-0005-0000-0000-00009C730000}"/>
    <cellStyle name="Normal 3 2 92" xfId="29601" xr:uid="{00000000-0005-0000-0000-00009D730000}"/>
    <cellStyle name="Normal 3 2 93" xfId="29602" xr:uid="{00000000-0005-0000-0000-00009E730000}"/>
    <cellStyle name="Normal 3 2 94" xfId="29603" xr:uid="{00000000-0005-0000-0000-00009F730000}"/>
    <cellStyle name="Normal 3 2_Xa Parametrización de Usuarios" xfId="29604" xr:uid="{00000000-0005-0000-0000-0000A0730000}"/>
    <cellStyle name="Normal 3 20" xfId="29605" xr:uid="{00000000-0005-0000-0000-0000A1730000}"/>
    <cellStyle name="Normal 3 20 2" xfId="29606" xr:uid="{00000000-0005-0000-0000-0000A2730000}"/>
    <cellStyle name="Normal 3 20 3" xfId="29607" xr:uid="{00000000-0005-0000-0000-0000A3730000}"/>
    <cellStyle name="Normal 3 20_Enlaces" xfId="29608" xr:uid="{00000000-0005-0000-0000-0000A4730000}"/>
    <cellStyle name="Normal 3 21" xfId="29609" xr:uid="{00000000-0005-0000-0000-0000A5730000}"/>
    <cellStyle name="Normal 3 21 2" xfId="29610" xr:uid="{00000000-0005-0000-0000-0000A6730000}"/>
    <cellStyle name="Normal 3 21_Enlaces" xfId="29611" xr:uid="{00000000-0005-0000-0000-0000A7730000}"/>
    <cellStyle name="Normal 3 22" xfId="29612" xr:uid="{00000000-0005-0000-0000-0000A8730000}"/>
    <cellStyle name="Normal 3 22 2" xfId="29613" xr:uid="{00000000-0005-0000-0000-0000A9730000}"/>
    <cellStyle name="Normal 3 22_Enlaces" xfId="29614" xr:uid="{00000000-0005-0000-0000-0000AA730000}"/>
    <cellStyle name="Normal 3 23" xfId="29615" xr:uid="{00000000-0005-0000-0000-0000AB730000}"/>
    <cellStyle name="Normal 3 23 2" xfId="29616" xr:uid="{00000000-0005-0000-0000-0000AC730000}"/>
    <cellStyle name="Normal 3 23_Enlaces" xfId="29617" xr:uid="{00000000-0005-0000-0000-0000AD730000}"/>
    <cellStyle name="Normal 3 24" xfId="29618" xr:uid="{00000000-0005-0000-0000-0000AE730000}"/>
    <cellStyle name="Normal 3 24 2" xfId="29619" xr:uid="{00000000-0005-0000-0000-0000AF730000}"/>
    <cellStyle name="Normal 3 24_Enlaces" xfId="29620" xr:uid="{00000000-0005-0000-0000-0000B0730000}"/>
    <cellStyle name="Normal 3 25" xfId="29621" xr:uid="{00000000-0005-0000-0000-0000B1730000}"/>
    <cellStyle name="Normal 3 25 2" xfId="29622" xr:uid="{00000000-0005-0000-0000-0000B2730000}"/>
    <cellStyle name="Normal 3 25_Enlaces" xfId="29623" xr:uid="{00000000-0005-0000-0000-0000B3730000}"/>
    <cellStyle name="Normal 3 26" xfId="29624" xr:uid="{00000000-0005-0000-0000-0000B4730000}"/>
    <cellStyle name="Normal 3 26 2" xfId="29625" xr:uid="{00000000-0005-0000-0000-0000B5730000}"/>
    <cellStyle name="Normal 3 26_Enlaces" xfId="29626" xr:uid="{00000000-0005-0000-0000-0000B6730000}"/>
    <cellStyle name="Normal 3 27" xfId="29627" xr:uid="{00000000-0005-0000-0000-0000B7730000}"/>
    <cellStyle name="Normal 3 27 2" xfId="29628" xr:uid="{00000000-0005-0000-0000-0000B8730000}"/>
    <cellStyle name="Normal 3 27_Enlaces" xfId="29629" xr:uid="{00000000-0005-0000-0000-0000B9730000}"/>
    <cellStyle name="Normal 3 28" xfId="29630" xr:uid="{00000000-0005-0000-0000-0000BA730000}"/>
    <cellStyle name="Normal 3 29" xfId="29631" xr:uid="{00000000-0005-0000-0000-0000BB730000}"/>
    <cellStyle name="Normal 3 3" xfId="29632" xr:uid="{00000000-0005-0000-0000-0000BC730000}"/>
    <cellStyle name="Normal 3 3 10" xfId="29633" xr:uid="{00000000-0005-0000-0000-0000BD730000}"/>
    <cellStyle name="Normal 3 3 11" xfId="29634" xr:uid="{00000000-0005-0000-0000-0000BE730000}"/>
    <cellStyle name="Normal 3 3 12" xfId="29635" xr:uid="{00000000-0005-0000-0000-0000BF730000}"/>
    <cellStyle name="Normal 3 3 13" xfId="29636" xr:uid="{00000000-0005-0000-0000-0000C0730000}"/>
    <cellStyle name="Normal 3 3 14" xfId="29637" xr:uid="{00000000-0005-0000-0000-0000C1730000}"/>
    <cellStyle name="Normal 3 3 15" xfId="29638" xr:uid="{00000000-0005-0000-0000-0000C2730000}"/>
    <cellStyle name="Normal 3 3 16" xfId="29639" xr:uid="{00000000-0005-0000-0000-0000C3730000}"/>
    <cellStyle name="Normal 3 3 17" xfId="29640" xr:uid="{00000000-0005-0000-0000-0000C4730000}"/>
    <cellStyle name="Normal 3 3 18" xfId="29641" xr:uid="{00000000-0005-0000-0000-0000C5730000}"/>
    <cellStyle name="Normal 3 3 19" xfId="29642" xr:uid="{00000000-0005-0000-0000-0000C6730000}"/>
    <cellStyle name="Normal 3 3 2" xfId="29643" xr:uid="{00000000-0005-0000-0000-0000C7730000}"/>
    <cellStyle name="Normal 3 3 2 2" xfId="29644" xr:uid="{00000000-0005-0000-0000-0000C8730000}"/>
    <cellStyle name="Normal 3 3 2 3" xfId="29645" xr:uid="{00000000-0005-0000-0000-0000C9730000}"/>
    <cellStyle name="Normal 3 3 20" xfId="29646" xr:uid="{00000000-0005-0000-0000-0000CA730000}"/>
    <cellStyle name="Normal 3 3 21" xfId="29647" xr:uid="{00000000-0005-0000-0000-0000CB730000}"/>
    <cellStyle name="Normal 3 3 22" xfId="29648" xr:uid="{00000000-0005-0000-0000-0000CC730000}"/>
    <cellStyle name="Normal 3 3 23" xfId="29649" xr:uid="{00000000-0005-0000-0000-0000CD730000}"/>
    <cellStyle name="Normal 3 3 24" xfId="29650" xr:uid="{00000000-0005-0000-0000-0000CE730000}"/>
    <cellStyle name="Normal 3 3 25" xfId="29651" xr:uid="{00000000-0005-0000-0000-0000CF730000}"/>
    <cellStyle name="Normal 3 3 26" xfId="29652" xr:uid="{00000000-0005-0000-0000-0000D0730000}"/>
    <cellStyle name="Normal 3 3 27" xfId="29653" xr:uid="{00000000-0005-0000-0000-0000D1730000}"/>
    <cellStyle name="Normal 3 3 28" xfId="29654" xr:uid="{00000000-0005-0000-0000-0000D2730000}"/>
    <cellStyle name="Normal 3 3 29" xfId="29655" xr:uid="{00000000-0005-0000-0000-0000D3730000}"/>
    <cellStyle name="Normal 3 3 3" xfId="29656" xr:uid="{00000000-0005-0000-0000-0000D4730000}"/>
    <cellStyle name="Normal 3 3 30" xfId="29657" xr:uid="{00000000-0005-0000-0000-0000D5730000}"/>
    <cellStyle name="Normal 3 3 4" xfId="29658" xr:uid="{00000000-0005-0000-0000-0000D6730000}"/>
    <cellStyle name="Normal 3 3 5" xfId="29659" xr:uid="{00000000-0005-0000-0000-0000D7730000}"/>
    <cellStyle name="Normal 3 3 6" xfId="29660" xr:uid="{00000000-0005-0000-0000-0000D8730000}"/>
    <cellStyle name="Normal 3 3 7" xfId="29661" xr:uid="{00000000-0005-0000-0000-0000D9730000}"/>
    <cellStyle name="Normal 3 3 8" xfId="29662" xr:uid="{00000000-0005-0000-0000-0000DA730000}"/>
    <cellStyle name="Normal 3 3 9" xfId="29663" xr:uid="{00000000-0005-0000-0000-0000DB730000}"/>
    <cellStyle name="Normal 3 3_Enlaces" xfId="29664" xr:uid="{00000000-0005-0000-0000-0000DC730000}"/>
    <cellStyle name="Normal 3 30" xfId="29665" xr:uid="{00000000-0005-0000-0000-0000DD730000}"/>
    <cellStyle name="Normal 3 31" xfId="29666" xr:uid="{00000000-0005-0000-0000-0000DE730000}"/>
    <cellStyle name="Normal 3 32" xfId="29667" xr:uid="{00000000-0005-0000-0000-0000DF730000}"/>
    <cellStyle name="Normal 3 33" xfId="29668" xr:uid="{00000000-0005-0000-0000-0000E0730000}"/>
    <cellStyle name="Normal 3 34" xfId="29669" xr:uid="{00000000-0005-0000-0000-0000E1730000}"/>
    <cellStyle name="Normal 3 35" xfId="29670" xr:uid="{00000000-0005-0000-0000-0000E2730000}"/>
    <cellStyle name="Normal 3 36" xfId="29671" xr:uid="{00000000-0005-0000-0000-0000E3730000}"/>
    <cellStyle name="Normal 3 37" xfId="29672" xr:uid="{00000000-0005-0000-0000-0000E4730000}"/>
    <cellStyle name="Normal 3 38" xfId="29673" xr:uid="{00000000-0005-0000-0000-0000E5730000}"/>
    <cellStyle name="Normal 3 39" xfId="29674" xr:uid="{00000000-0005-0000-0000-0000E6730000}"/>
    <cellStyle name="Normal 3 4" xfId="29675" xr:uid="{00000000-0005-0000-0000-0000E7730000}"/>
    <cellStyle name="Normal 3 4 10" xfId="29676" xr:uid="{00000000-0005-0000-0000-0000E8730000}"/>
    <cellStyle name="Normal 3 4 11" xfId="29677" xr:uid="{00000000-0005-0000-0000-0000E9730000}"/>
    <cellStyle name="Normal 3 4 12" xfId="29678" xr:uid="{00000000-0005-0000-0000-0000EA730000}"/>
    <cellStyle name="Normal 3 4 13" xfId="29679" xr:uid="{00000000-0005-0000-0000-0000EB730000}"/>
    <cellStyle name="Normal 3 4 14" xfId="29680" xr:uid="{00000000-0005-0000-0000-0000EC730000}"/>
    <cellStyle name="Normal 3 4 15" xfId="29681" xr:uid="{00000000-0005-0000-0000-0000ED730000}"/>
    <cellStyle name="Normal 3 4 16" xfId="29682" xr:uid="{00000000-0005-0000-0000-0000EE730000}"/>
    <cellStyle name="Normal 3 4 17" xfId="29683" xr:uid="{00000000-0005-0000-0000-0000EF730000}"/>
    <cellStyle name="Normal 3 4 18" xfId="29684" xr:uid="{00000000-0005-0000-0000-0000F0730000}"/>
    <cellStyle name="Normal 3 4 19" xfId="29685" xr:uid="{00000000-0005-0000-0000-0000F1730000}"/>
    <cellStyle name="Normal 3 4 2" xfId="29686" xr:uid="{00000000-0005-0000-0000-0000F2730000}"/>
    <cellStyle name="Normal 3 4 2 2" xfId="29687" xr:uid="{00000000-0005-0000-0000-0000F3730000}"/>
    <cellStyle name="Normal 3 4 20" xfId="29688" xr:uid="{00000000-0005-0000-0000-0000F4730000}"/>
    <cellStyle name="Normal 3 4 21" xfId="29689" xr:uid="{00000000-0005-0000-0000-0000F5730000}"/>
    <cellStyle name="Normal 3 4 22" xfId="29690" xr:uid="{00000000-0005-0000-0000-0000F6730000}"/>
    <cellStyle name="Normal 3 4 23" xfId="29691" xr:uid="{00000000-0005-0000-0000-0000F7730000}"/>
    <cellStyle name="Normal 3 4 24" xfId="29692" xr:uid="{00000000-0005-0000-0000-0000F8730000}"/>
    <cellStyle name="Normal 3 4 24 2" xfId="29693" xr:uid="{00000000-0005-0000-0000-0000F9730000}"/>
    <cellStyle name="Normal 3 4 3" xfId="29694" xr:uid="{00000000-0005-0000-0000-0000FA730000}"/>
    <cellStyle name="Normal 3 4 4" xfId="29695" xr:uid="{00000000-0005-0000-0000-0000FB730000}"/>
    <cellStyle name="Normal 3 4 5" xfId="29696" xr:uid="{00000000-0005-0000-0000-0000FC730000}"/>
    <cellStyle name="Normal 3 4 6" xfId="29697" xr:uid="{00000000-0005-0000-0000-0000FD730000}"/>
    <cellStyle name="Normal 3 4 7" xfId="29698" xr:uid="{00000000-0005-0000-0000-0000FE730000}"/>
    <cellStyle name="Normal 3 4 8" xfId="29699" xr:uid="{00000000-0005-0000-0000-0000FF730000}"/>
    <cellStyle name="Normal 3 4 9" xfId="29700" xr:uid="{00000000-0005-0000-0000-000000740000}"/>
    <cellStyle name="Normal 3 4_Enlaces" xfId="29701" xr:uid="{00000000-0005-0000-0000-000001740000}"/>
    <cellStyle name="Normal 3 40" xfId="29702" xr:uid="{00000000-0005-0000-0000-000002740000}"/>
    <cellStyle name="Normal 3 41" xfId="29703" xr:uid="{00000000-0005-0000-0000-000003740000}"/>
    <cellStyle name="Normal 3 42" xfId="29704" xr:uid="{00000000-0005-0000-0000-000004740000}"/>
    <cellStyle name="Normal 3 43" xfId="29705" xr:uid="{00000000-0005-0000-0000-000005740000}"/>
    <cellStyle name="Normal 3 44" xfId="29706" xr:uid="{00000000-0005-0000-0000-000006740000}"/>
    <cellStyle name="Normal 3 45" xfId="29707" xr:uid="{00000000-0005-0000-0000-000007740000}"/>
    <cellStyle name="Normal 3 46" xfId="29708" xr:uid="{00000000-0005-0000-0000-000008740000}"/>
    <cellStyle name="Normal 3 47" xfId="29709" xr:uid="{00000000-0005-0000-0000-000009740000}"/>
    <cellStyle name="Normal 3 48" xfId="29710" xr:uid="{00000000-0005-0000-0000-00000A740000}"/>
    <cellStyle name="Normal 3 49" xfId="29711" xr:uid="{00000000-0005-0000-0000-00000B740000}"/>
    <cellStyle name="Normal 3 5" xfId="29712" xr:uid="{00000000-0005-0000-0000-00000C740000}"/>
    <cellStyle name="Normal 3 5 2" xfId="29713" xr:uid="{00000000-0005-0000-0000-00000D740000}"/>
    <cellStyle name="Normal 3 5 3" xfId="29714" xr:uid="{00000000-0005-0000-0000-00000E740000}"/>
    <cellStyle name="Normal 3 5 4" xfId="29715" xr:uid="{00000000-0005-0000-0000-00000F740000}"/>
    <cellStyle name="Normal 3 5_Enlaces" xfId="29716" xr:uid="{00000000-0005-0000-0000-000010740000}"/>
    <cellStyle name="Normal 3 50" xfId="29717" xr:uid="{00000000-0005-0000-0000-000011740000}"/>
    <cellStyle name="Normal 3 51" xfId="29718" xr:uid="{00000000-0005-0000-0000-000012740000}"/>
    <cellStyle name="Normal 3 52" xfId="29719" xr:uid="{00000000-0005-0000-0000-000013740000}"/>
    <cellStyle name="Normal 3 53" xfId="29720" xr:uid="{00000000-0005-0000-0000-000014740000}"/>
    <cellStyle name="Normal 3 54" xfId="29721" xr:uid="{00000000-0005-0000-0000-000015740000}"/>
    <cellStyle name="Normal 3 55" xfId="29722" xr:uid="{00000000-0005-0000-0000-000016740000}"/>
    <cellStyle name="Normal 3 56" xfId="29723" xr:uid="{00000000-0005-0000-0000-000017740000}"/>
    <cellStyle name="Normal 3 57" xfId="29724" xr:uid="{00000000-0005-0000-0000-000018740000}"/>
    <cellStyle name="Normal 3 58" xfId="29725" xr:uid="{00000000-0005-0000-0000-000019740000}"/>
    <cellStyle name="Normal 3 59" xfId="29726" xr:uid="{00000000-0005-0000-0000-00001A740000}"/>
    <cellStyle name="Normal 3 6" xfId="29727" xr:uid="{00000000-0005-0000-0000-00001B740000}"/>
    <cellStyle name="Normal 3 6 2" xfId="29728" xr:uid="{00000000-0005-0000-0000-00001C740000}"/>
    <cellStyle name="Normal 3 6 3" xfId="29729" xr:uid="{00000000-0005-0000-0000-00001D740000}"/>
    <cellStyle name="Normal 3 6 4" xfId="29730" xr:uid="{00000000-0005-0000-0000-00001E740000}"/>
    <cellStyle name="Normal 3 6_Enlaces" xfId="29731" xr:uid="{00000000-0005-0000-0000-00001F740000}"/>
    <cellStyle name="Normal 3 60" xfId="29732" xr:uid="{00000000-0005-0000-0000-000020740000}"/>
    <cellStyle name="Normal 3 61" xfId="29733" xr:uid="{00000000-0005-0000-0000-000021740000}"/>
    <cellStyle name="Normal 3 62" xfId="29734" xr:uid="{00000000-0005-0000-0000-000022740000}"/>
    <cellStyle name="Normal 3 63" xfId="29735" xr:uid="{00000000-0005-0000-0000-000023740000}"/>
    <cellStyle name="Normal 3 64" xfId="29736" xr:uid="{00000000-0005-0000-0000-000024740000}"/>
    <cellStyle name="Normal 3 65" xfId="29737" xr:uid="{00000000-0005-0000-0000-000025740000}"/>
    <cellStyle name="Normal 3 66" xfId="29738" xr:uid="{00000000-0005-0000-0000-000026740000}"/>
    <cellStyle name="Normal 3 67" xfId="29739" xr:uid="{00000000-0005-0000-0000-000027740000}"/>
    <cellStyle name="Normal 3 68" xfId="29740" xr:uid="{00000000-0005-0000-0000-000028740000}"/>
    <cellStyle name="Normal 3 69" xfId="29741" xr:uid="{00000000-0005-0000-0000-000029740000}"/>
    <cellStyle name="Normal 3 7" xfId="29742" xr:uid="{00000000-0005-0000-0000-00002A740000}"/>
    <cellStyle name="Normal 3 7 2" xfId="29743" xr:uid="{00000000-0005-0000-0000-00002B740000}"/>
    <cellStyle name="Normal 3 7 3" xfId="29744" xr:uid="{00000000-0005-0000-0000-00002C740000}"/>
    <cellStyle name="Normal 3 7 4" xfId="29745" xr:uid="{00000000-0005-0000-0000-00002D740000}"/>
    <cellStyle name="Normal 3 7_Enlaces" xfId="29746" xr:uid="{00000000-0005-0000-0000-00002E740000}"/>
    <cellStyle name="Normal 3 70" xfId="29747" xr:uid="{00000000-0005-0000-0000-00002F740000}"/>
    <cellStyle name="Normal 3 71" xfId="29748" xr:uid="{00000000-0005-0000-0000-000030740000}"/>
    <cellStyle name="Normal 3 72" xfId="29749" xr:uid="{00000000-0005-0000-0000-000031740000}"/>
    <cellStyle name="Normal 3 73" xfId="29750" xr:uid="{00000000-0005-0000-0000-000032740000}"/>
    <cellStyle name="Normal 3 74" xfId="29751" xr:uid="{00000000-0005-0000-0000-000033740000}"/>
    <cellStyle name="Normal 3 75" xfId="29752" xr:uid="{00000000-0005-0000-0000-000034740000}"/>
    <cellStyle name="Normal 3 76" xfId="29753" xr:uid="{00000000-0005-0000-0000-000035740000}"/>
    <cellStyle name="Normal 3 77" xfId="29754" xr:uid="{00000000-0005-0000-0000-000036740000}"/>
    <cellStyle name="Normal 3 78" xfId="29755" xr:uid="{00000000-0005-0000-0000-000037740000}"/>
    <cellStyle name="Normal 3 79" xfId="29756" xr:uid="{00000000-0005-0000-0000-000038740000}"/>
    <cellStyle name="Normal 3 8" xfId="29757" xr:uid="{00000000-0005-0000-0000-000039740000}"/>
    <cellStyle name="Normal 3 8 2" xfId="29758" xr:uid="{00000000-0005-0000-0000-00003A740000}"/>
    <cellStyle name="Normal 3 8 3" xfId="29759" xr:uid="{00000000-0005-0000-0000-00003B740000}"/>
    <cellStyle name="Normal 3 8 4" xfId="29760" xr:uid="{00000000-0005-0000-0000-00003C740000}"/>
    <cellStyle name="Normal 3 8_Enlaces" xfId="29761" xr:uid="{00000000-0005-0000-0000-00003D740000}"/>
    <cellStyle name="Normal 3 80" xfId="29762" xr:uid="{00000000-0005-0000-0000-00003E740000}"/>
    <cellStyle name="Normal 3 81" xfId="29763" xr:uid="{00000000-0005-0000-0000-00003F740000}"/>
    <cellStyle name="Normal 3 82" xfId="29764" xr:uid="{00000000-0005-0000-0000-000040740000}"/>
    <cellStyle name="Normal 3 83" xfId="29765" xr:uid="{00000000-0005-0000-0000-000041740000}"/>
    <cellStyle name="Normal 3 84" xfId="29766" xr:uid="{00000000-0005-0000-0000-000042740000}"/>
    <cellStyle name="Normal 3 85" xfId="29767" xr:uid="{00000000-0005-0000-0000-000043740000}"/>
    <cellStyle name="Normal 3 86" xfId="29768" xr:uid="{00000000-0005-0000-0000-000044740000}"/>
    <cellStyle name="Normal 3 87" xfId="29769" xr:uid="{00000000-0005-0000-0000-000045740000}"/>
    <cellStyle name="Normal 3 88" xfId="29770" xr:uid="{00000000-0005-0000-0000-000046740000}"/>
    <cellStyle name="Normal 3 89" xfId="29771" xr:uid="{00000000-0005-0000-0000-000047740000}"/>
    <cellStyle name="Normal 3 9" xfId="29772" xr:uid="{00000000-0005-0000-0000-000048740000}"/>
    <cellStyle name="Normal 3 9 2" xfId="29773" xr:uid="{00000000-0005-0000-0000-000049740000}"/>
    <cellStyle name="Normal 3 9 3" xfId="29774" xr:uid="{00000000-0005-0000-0000-00004A740000}"/>
    <cellStyle name="Normal 3 9 4" xfId="29775" xr:uid="{00000000-0005-0000-0000-00004B740000}"/>
    <cellStyle name="Normal 3 9_Enlaces" xfId="29776" xr:uid="{00000000-0005-0000-0000-00004C740000}"/>
    <cellStyle name="Normal 3 90" xfId="29777" xr:uid="{00000000-0005-0000-0000-00004D740000}"/>
    <cellStyle name="Normal 3 91" xfId="29778" xr:uid="{00000000-0005-0000-0000-00004E740000}"/>
    <cellStyle name="Normal 3 92" xfId="29779" xr:uid="{00000000-0005-0000-0000-00004F740000}"/>
    <cellStyle name="Normal 3 93" xfId="29780" xr:uid="{00000000-0005-0000-0000-000050740000}"/>
    <cellStyle name="Normal 3 94" xfId="29781" xr:uid="{00000000-0005-0000-0000-000051740000}"/>
    <cellStyle name="Normal 3 95" xfId="29782" xr:uid="{00000000-0005-0000-0000-000052740000}"/>
    <cellStyle name="Normal 3 96" xfId="29783" xr:uid="{00000000-0005-0000-0000-000053740000}"/>
    <cellStyle name="Normal 3 97" xfId="29784" xr:uid="{00000000-0005-0000-0000-000054740000}"/>
    <cellStyle name="Normal 3 98" xfId="29785" xr:uid="{00000000-0005-0000-0000-000055740000}"/>
    <cellStyle name="Normal 3 98 2" xfId="29786" xr:uid="{00000000-0005-0000-0000-000056740000}"/>
    <cellStyle name="Normal 3 98 3" xfId="29787" xr:uid="{00000000-0005-0000-0000-000057740000}"/>
    <cellStyle name="Normal 3 98 4" xfId="29788" xr:uid="{00000000-0005-0000-0000-000058740000}"/>
    <cellStyle name="Normal 3 98 5" xfId="29789" xr:uid="{00000000-0005-0000-0000-000059740000}"/>
    <cellStyle name="Normal 3 98 6" xfId="29790" xr:uid="{00000000-0005-0000-0000-00005A740000}"/>
    <cellStyle name="Normal 3 99" xfId="29791" xr:uid="{00000000-0005-0000-0000-00005B740000}"/>
    <cellStyle name="Normal 3 99 2" xfId="29792" xr:uid="{00000000-0005-0000-0000-00005C740000}"/>
    <cellStyle name="Normal 3 99 3" xfId="29793" xr:uid="{00000000-0005-0000-0000-00005D740000}"/>
    <cellStyle name="Normal 3 99 4" xfId="29794" xr:uid="{00000000-0005-0000-0000-00005E740000}"/>
    <cellStyle name="Normal 3 99 5" xfId="29795" xr:uid="{00000000-0005-0000-0000-00005F740000}"/>
    <cellStyle name="Normal 3 99 6" xfId="29796" xr:uid="{00000000-0005-0000-0000-000060740000}"/>
    <cellStyle name="Normal 3_Enlaces" xfId="29797" xr:uid="{00000000-0005-0000-0000-000061740000}"/>
    <cellStyle name="Normal 30" xfId="29798" xr:uid="{00000000-0005-0000-0000-000062740000}"/>
    <cellStyle name="Normal 30 10" xfId="29799" xr:uid="{00000000-0005-0000-0000-000063740000}"/>
    <cellStyle name="Normal 30 11" xfId="29800" xr:uid="{00000000-0005-0000-0000-000064740000}"/>
    <cellStyle name="Normal 30 12" xfId="29801" xr:uid="{00000000-0005-0000-0000-000065740000}"/>
    <cellStyle name="Normal 30 13" xfId="29802" xr:uid="{00000000-0005-0000-0000-000066740000}"/>
    <cellStyle name="Normal 30 14" xfId="29803" xr:uid="{00000000-0005-0000-0000-000067740000}"/>
    <cellStyle name="Normal 30 15" xfId="29804" xr:uid="{00000000-0005-0000-0000-000068740000}"/>
    <cellStyle name="Normal 30 16" xfId="29805" xr:uid="{00000000-0005-0000-0000-000069740000}"/>
    <cellStyle name="Normal 30 17" xfId="29806" xr:uid="{00000000-0005-0000-0000-00006A740000}"/>
    <cellStyle name="Normal 30 18" xfId="29807" xr:uid="{00000000-0005-0000-0000-00006B740000}"/>
    <cellStyle name="Normal 30 19" xfId="29808" xr:uid="{00000000-0005-0000-0000-00006C740000}"/>
    <cellStyle name="Normal 30 2" xfId="29809" xr:uid="{00000000-0005-0000-0000-00006D740000}"/>
    <cellStyle name="Normal 30 2 2" xfId="29810" xr:uid="{00000000-0005-0000-0000-00006E740000}"/>
    <cellStyle name="Normal 30 2 3" xfId="29811" xr:uid="{00000000-0005-0000-0000-00006F740000}"/>
    <cellStyle name="Normal 30 20" xfId="29812" xr:uid="{00000000-0005-0000-0000-000070740000}"/>
    <cellStyle name="Normal 30 21" xfId="29813" xr:uid="{00000000-0005-0000-0000-000071740000}"/>
    <cellStyle name="Normal 30 22" xfId="29814" xr:uid="{00000000-0005-0000-0000-000072740000}"/>
    <cellStyle name="Normal 30 23" xfId="29815" xr:uid="{00000000-0005-0000-0000-000073740000}"/>
    <cellStyle name="Normal 30 24" xfId="29816" xr:uid="{00000000-0005-0000-0000-000074740000}"/>
    <cellStyle name="Normal 30 25" xfId="29817" xr:uid="{00000000-0005-0000-0000-000075740000}"/>
    <cellStyle name="Normal 30 26" xfId="29818" xr:uid="{00000000-0005-0000-0000-000076740000}"/>
    <cellStyle name="Normal 30 3" xfId="29819" xr:uid="{00000000-0005-0000-0000-000077740000}"/>
    <cellStyle name="Normal 30 3 2" xfId="29820" xr:uid="{00000000-0005-0000-0000-000078740000}"/>
    <cellStyle name="Normal 30 3 3" xfId="29821" xr:uid="{00000000-0005-0000-0000-000079740000}"/>
    <cellStyle name="Normal 30 3 4" xfId="29822" xr:uid="{00000000-0005-0000-0000-00007A740000}"/>
    <cellStyle name="Normal 30 3 5" xfId="29823" xr:uid="{00000000-0005-0000-0000-00007B740000}"/>
    <cellStyle name="Normal 30 4" xfId="29824" xr:uid="{00000000-0005-0000-0000-00007C740000}"/>
    <cellStyle name="Normal 30 5" xfId="29825" xr:uid="{00000000-0005-0000-0000-00007D740000}"/>
    <cellStyle name="Normal 30 6" xfId="29826" xr:uid="{00000000-0005-0000-0000-00007E740000}"/>
    <cellStyle name="Normal 30 7" xfId="29827" xr:uid="{00000000-0005-0000-0000-00007F740000}"/>
    <cellStyle name="Normal 30 8" xfId="29828" xr:uid="{00000000-0005-0000-0000-000080740000}"/>
    <cellStyle name="Normal 30 9" xfId="29829" xr:uid="{00000000-0005-0000-0000-000081740000}"/>
    <cellStyle name="Normal 31" xfId="29830" xr:uid="{00000000-0005-0000-0000-000082740000}"/>
    <cellStyle name="Normal 31 10" xfId="29831" xr:uid="{00000000-0005-0000-0000-000083740000}"/>
    <cellStyle name="Normal 31 11" xfId="29832" xr:uid="{00000000-0005-0000-0000-000084740000}"/>
    <cellStyle name="Normal 31 12" xfId="29833" xr:uid="{00000000-0005-0000-0000-000085740000}"/>
    <cellStyle name="Normal 31 13" xfId="29834" xr:uid="{00000000-0005-0000-0000-000086740000}"/>
    <cellStyle name="Normal 31 14" xfId="29835" xr:uid="{00000000-0005-0000-0000-000087740000}"/>
    <cellStyle name="Normal 31 15" xfId="29836" xr:uid="{00000000-0005-0000-0000-000088740000}"/>
    <cellStyle name="Normal 31 16" xfId="29837" xr:uid="{00000000-0005-0000-0000-000089740000}"/>
    <cellStyle name="Normal 31 17" xfId="29838" xr:uid="{00000000-0005-0000-0000-00008A740000}"/>
    <cellStyle name="Normal 31 18" xfId="29839" xr:uid="{00000000-0005-0000-0000-00008B740000}"/>
    <cellStyle name="Normal 31 19" xfId="29840" xr:uid="{00000000-0005-0000-0000-00008C740000}"/>
    <cellStyle name="Normal 31 2" xfId="29841" xr:uid="{00000000-0005-0000-0000-00008D740000}"/>
    <cellStyle name="Normal 31 2 2" xfId="29842" xr:uid="{00000000-0005-0000-0000-00008E740000}"/>
    <cellStyle name="Normal 31 2 3" xfId="29843" xr:uid="{00000000-0005-0000-0000-00008F740000}"/>
    <cellStyle name="Normal 31 20" xfId="29844" xr:uid="{00000000-0005-0000-0000-000090740000}"/>
    <cellStyle name="Normal 31 21" xfId="29845" xr:uid="{00000000-0005-0000-0000-000091740000}"/>
    <cellStyle name="Normal 31 22" xfId="29846" xr:uid="{00000000-0005-0000-0000-000092740000}"/>
    <cellStyle name="Normal 31 23" xfId="29847" xr:uid="{00000000-0005-0000-0000-000093740000}"/>
    <cellStyle name="Normal 31 24" xfId="29848" xr:uid="{00000000-0005-0000-0000-000094740000}"/>
    <cellStyle name="Normal 31 25" xfId="29849" xr:uid="{00000000-0005-0000-0000-000095740000}"/>
    <cellStyle name="Normal 31 26" xfId="29850" xr:uid="{00000000-0005-0000-0000-000096740000}"/>
    <cellStyle name="Normal 31 3" xfId="29851" xr:uid="{00000000-0005-0000-0000-000097740000}"/>
    <cellStyle name="Normal 31 3 2" xfId="29852" xr:uid="{00000000-0005-0000-0000-000098740000}"/>
    <cellStyle name="Normal 31 3 3" xfId="29853" xr:uid="{00000000-0005-0000-0000-000099740000}"/>
    <cellStyle name="Normal 31 4" xfId="29854" xr:uid="{00000000-0005-0000-0000-00009A740000}"/>
    <cellStyle name="Normal 31 5" xfId="29855" xr:uid="{00000000-0005-0000-0000-00009B740000}"/>
    <cellStyle name="Normal 31 6" xfId="29856" xr:uid="{00000000-0005-0000-0000-00009C740000}"/>
    <cellStyle name="Normal 31 7" xfId="29857" xr:uid="{00000000-0005-0000-0000-00009D740000}"/>
    <cellStyle name="Normal 31 8" xfId="29858" xr:uid="{00000000-0005-0000-0000-00009E740000}"/>
    <cellStyle name="Normal 31 9" xfId="29859" xr:uid="{00000000-0005-0000-0000-00009F740000}"/>
    <cellStyle name="Normal 32" xfId="29860" xr:uid="{00000000-0005-0000-0000-0000A0740000}"/>
    <cellStyle name="Normal 32 2" xfId="29861" xr:uid="{00000000-0005-0000-0000-0000A1740000}"/>
    <cellStyle name="Normal 32 3" xfId="29862" xr:uid="{00000000-0005-0000-0000-0000A2740000}"/>
    <cellStyle name="Normal 32 4" xfId="29863" xr:uid="{00000000-0005-0000-0000-0000A3740000}"/>
    <cellStyle name="Normal 32 5" xfId="29864" xr:uid="{00000000-0005-0000-0000-0000A4740000}"/>
    <cellStyle name="Normal 33" xfId="29865" xr:uid="{00000000-0005-0000-0000-0000A5740000}"/>
    <cellStyle name="Normal 33 2" xfId="29866" xr:uid="{00000000-0005-0000-0000-0000A6740000}"/>
    <cellStyle name="Normal 33 3" xfId="29867" xr:uid="{00000000-0005-0000-0000-0000A7740000}"/>
    <cellStyle name="Normal 33 4" xfId="29868" xr:uid="{00000000-0005-0000-0000-0000A8740000}"/>
    <cellStyle name="Normal 33 5" xfId="29869" xr:uid="{00000000-0005-0000-0000-0000A9740000}"/>
    <cellStyle name="Normal 34" xfId="29870" xr:uid="{00000000-0005-0000-0000-0000AA740000}"/>
    <cellStyle name="Normal 34 10" xfId="29871" xr:uid="{00000000-0005-0000-0000-0000AB740000}"/>
    <cellStyle name="Normal 34 11" xfId="29872" xr:uid="{00000000-0005-0000-0000-0000AC740000}"/>
    <cellStyle name="Normal 34 12" xfId="29873" xr:uid="{00000000-0005-0000-0000-0000AD740000}"/>
    <cellStyle name="Normal 34 13" xfId="29874" xr:uid="{00000000-0005-0000-0000-0000AE740000}"/>
    <cellStyle name="Normal 34 14" xfId="29875" xr:uid="{00000000-0005-0000-0000-0000AF740000}"/>
    <cellStyle name="Normal 34 15" xfId="29876" xr:uid="{00000000-0005-0000-0000-0000B0740000}"/>
    <cellStyle name="Normal 34 16" xfId="29877" xr:uid="{00000000-0005-0000-0000-0000B1740000}"/>
    <cellStyle name="Normal 34 17" xfId="29878" xr:uid="{00000000-0005-0000-0000-0000B2740000}"/>
    <cellStyle name="Normal 34 18" xfId="29879" xr:uid="{00000000-0005-0000-0000-0000B3740000}"/>
    <cellStyle name="Normal 34 19" xfId="29880" xr:uid="{00000000-0005-0000-0000-0000B4740000}"/>
    <cellStyle name="Normal 34 2" xfId="29881" xr:uid="{00000000-0005-0000-0000-0000B5740000}"/>
    <cellStyle name="Normal 34 2 2" xfId="29882" xr:uid="{00000000-0005-0000-0000-0000B6740000}"/>
    <cellStyle name="Normal 34 2 3" xfId="29883" xr:uid="{00000000-0005-0000-0000-0000B7740000}"/>
    <cellStyle name="Normal 34 20" xfId="29884" xr:uid="{00000000-0005-0000-0000-0000B8740000}"/>
    <cellStyle name="Normal 34 21" xfId="29885" xr:uid="{00000000-0005-0000-0000-0000B9740000}"/>
    <cellStyle name="Normal 34 22" xfId="29886" xr:uid="{00000000-0005-0000-0000-0000BA740000}"/>
    <cellStyle name="Normal 34 23" xfId="29887" xr:uid="{00000000-0005-0000-0000-0000BB740000}"/>
    <cellStyle name="Normal 34 24" xfId="29888" xr:uid="{00000000-0005-0000-0000-0000BC740000}"/>
    <cellStyle name="Normal 34 25" xfId="29889" xr:uid="{00000000-0005-0000-0000-0000BD740000}"/>
    <cellStyle name="Normal 34 26" xfId="29890" xr:uid="{00000000-0005-0000-0000-0000BE740000}"/>
    <cellStyle name="Normal 34 3" xfId="29891" xr:uid="{00000000-0005-0000-0000-0000BF740000}"/>
    <cellStyle name="Normal 34 3 2" xfId="29892" xr:uid="{00000000-0005-0000-0000-0000C0740000}"/>
    <cellStyle name="Normal 34 3 3" xfId="29893" xr:uid="{00000000-0005-0000-0000-0000C1740000}"/>
    <cellStyle name="Normal 34 3 4" xfId="29894" xr:uid="{00000000-0005-0000-0000-0000C2740000}"/>
    <cellStyle name="Normal 34 3 5" xfId="29895" xr:uid="{00000000-0005-0000-0000-0000C3740000}"/>
    <cellStyle name="Normal 34 4" xfId="29896" xr:uid="{00000000-0005-0000-0000-0000C4740000}"/>
    <cellStyle name="Normal 34 5" xfId="29897" xr:uid="{00000000-0005-0000-0000-0000C5740000}"/>
    <cellStyle name="Normal 34 6" xfId="29898" xr:uid="{00000000-0005-0000-0000-0000C6740000}"/>
    <cellStyle name="Normal 34 7" xfId="29899" xr:uid="{00000000-0005-0000-0000-0000C7740000}"/>
    <cellStyle name="Normal 34 8" xfId="29900" xr:uid="{00000000-0005-0000-0000-0000C8740000}"/>
    <cellStyle name="Normal 34 9" xfId="29901" xr:uid="{00000000-0005-0000-0000-0000C9740000}"/>
    <cellStyle name="Normal 35" xfId="29902" xr:uid="{00000000-0005-0000-0000-0000CA740000}"/>
    <cellStyle name="Normal 35 10" xfId="29903" xr:uid="{00000000-0005-0000-0000-0000CB740000}"/>
    <cellStyle name="Normal 35 11" xfId="29904" xr:uid="{00000000-0005-0000-0000-0000CC740000}"/>
    <cellStyle name="Normal 35 12" xfId="29905" xr:uid="{00000000-0005-0000-0000-0000CD740000}"/>
    <cellStyle name="Normal 35 13" xfId="29906" xr:uid="{00000000-0005-0000-0000-0000CE740000}"/>
    <cellStyle name="Normal 35 14" xfId="29907" xr:uid="{00000000-0005-0000-0000-0000CF740000}"/>
    <cellStyle name="Normal 35 15" xfId="29908" xr:uid="{00000000-0005-0000-0000-0000D0740000}"/>
    <cellStyle name="Normal 35 16" xfId="29909" xr:uid="{00000000-0005-0000-0000-0000D1740000}"/>
    <cellStyle name="Normal 35 17" xfId="29910" xr:uid="{00000000-0005-0000-0000-0000D2740000}"/>
    <cellStyle name="Normal 35 18" xfId="29911" xr:uid="{00000000-0005-0000-0000-0000D3740000}"/>
    <cellStyle name="Normal 35 19" xfId="29912" xr:uid="{00000000-0005-0000-0000-0000D4740000}"/>
    <cellStyle name="Normal 35 2" xfId="29913" xr:uid="{00000000-0005-0000-0000-0000D5740000}"/>
    <cellStyle name="Normal 35 2 2" xfId="29914" xr:uid="{00000000-0005-0000-0000-0000D6740000}"/>
    <cellStyle name="Normal 35 2 3" xfId="29915" xr:uid="{00000000-0005-0000-0000-0000D7740000}"/>
    <cellStyle name="Normal 35 20" xfId="29916" xr:uid="{00000000-0005-0000-0000-0000D8740000}"/>
    <cellStyle name="Normal 35 21" xfId="29917" xr:uid="{00000000-0005-0000-0000-0000D9740000}"/>
    <cellStyle name="Normal 35 22" xfId="29918" xr:uid="{00000000-0005-0000-0000-0000DA740000}"/>
    <cellStyle name="Normal 35 23" xfId="29919" xr:uid="{00000000-0005-0000-0000-0000DB740000}"/>
    <cellStyle name="Normal 35 24" xfId="29920" xr:uid="{00000000-0005-0000-0000-0000DC740000}"/>
    <cellStyle name="Normal 35 25" xfId="29921" xr:uid="{00000000-0005-0000-0000-0000DD740000}"/>
    <cellStyle name="Normal 35 3" xfId="29922" xr:uid="{00000000-0005-0000-0000-0000DE740000}"/>
    <cellStyle name="Normal 35 3 2" xfId="29923" xr:uid="{00000000-0005-0000-0000-0000DF740000}"/>
    <cellStyle name="Normal 35 3 3" xfId="29924" xr:uid="{00000000-0005-0000-0000-0000E0740000}"/>
    <cellStyle name="Normal 35 3 4" xfId="29925" xr:uid="{00000000-0005-0000-0000-0000E1740000}"/>
    <cellStyle name="Normal 35 3 5" xfId="29926" xr:uid="{00000000-0005-0000-0000-0000E2740000}"/>
    <cellStyle name="Normal 35 4" xfId="29927" xr:uid="{00000000-0005-0000-0000-0000E3740000}"/>
    <cellStyle name="Normal 35 5" xfId="29928" xr:uid="{00000000-0005-0000-0000-0000E4740000}"/>
    <cellStyle name="Normal 35 6" xfId="29929" xr:uid="{00000000-0005-0000-0000-0000E5740000}"/>
    <cellStyle name="Normal 35 7" xfId="29930" xr:uid="{00000000-0005-0000-0000-0000E6740000}"/>
    <cellStyle name="Normal 35 8" xfId="29931" xr:uid="{00000000-0005-0000-0000-0000E7740000}"/>
    <cellStyle name="Normal 35 9" xfId="29932" xr:uid="{00000000-0005-0000-0000-0000E8740000}"/>
    <cellStyle name="Normal 36" xfId="29933" xr:uid="{00000000-0005-0000-0000-0000E9740000}"/>
    <cellStyle name="Normal 36 2" xfId="29934" xr:uid="{00000000-0005-0000-0000-0000EA740000}"/>
    <cellStyle name="Normal 36 3" xfId="29935" xr:uid="{00000000-0005-0000-0000-0000EB740000}"/>
    <cellStyle name="Normal 36 4" xfId="29936" xr:uid="{00000000-0005-0000-0000-0000EC740000}"/>
    <cellStyle name="Normal 37" xfId="29937" xr:uid="{00000000-0005-0000-0000-0000ED740000}"/>
    <cellStyle name="Normal 37 10" xfId="29938" xr:uid="{00000000-0005-0000-0000-0000EE740000}"/>
    <cellStyle name="Normal 37 11" xfId="29939" xr:uid="{00000000-0005-0000-0000-0000EF740000}"/>
    <cellStyle name="Normal 37 12" xfId="29940" xr:uid="{00000000-0005-0000-0000-0000F0740000}"/>
    <cellStyle name="Normal 37 13" xfId="29941" xr:uid="{00000000-0005-0000-0000-0000F1740000}"/>
    <cellStyle name="Normal 37 14" xfId="29942" xr:uid="{00000000-0005-0000-0000-0000F2740000}"/>
    <cellStyle name="Normal 37 15" xfId="29943" xr:uid="{00000000-0005-0000-0000-0000F3740000}"/>
    <cellStyle name="Normal 37 16" xfId="29944" xr:uid="{00000000-0005-0000-0000-0000F4740000}"/>
    <cellStyle name="Normal 37 17" xfId="29945" xr:uid="{00000000-0005-0000-0000-0000F5740000}"/>
    <cellStyle name="Normal 37 18" xfId="29946" xr:uid="{00000000-0005-0000-0000-0000F6740000}"/>
    <cellStyle name="Normal 37 19" xfId="29947" xr:uid="{00000000-0005-0000-0000-0000F7740000}"/>
    <cellStyle name="Normal 37 2" xfId="29948" xr:uid="{00000000-0005-0000-0000-0000F8740000}"/>
    <cellStyle name="Normal 37 2 2" xfId="29949" xr:uid="{00000000-0005-0000-0000-0000F9740000}"/>
    <cellStyle name="Normal 37 20" xfId="29950" xr:uid="{00000000-0005-0000-0000-0000FA740000}"/>
    <cellStyle name="Normal 37 21" xfId="29951" xr:uid="{00000000-0005-0000-0000-0000FB740000}"/>
    <cellStyle name="Normal 37 22" xfId="29952" xr:uid="{00000000-0005-0000-0000-0000FC740000}"/>
    <cellStyle name="Normal 37 23" xfId="29953" xr:uid="{00000000-0005-0000-0000-0000FD740000}"/>
    <cellStyle name="Normal 37 24" xfId="29954" xr:uid="{00000000-0005-0000-0000-0000FE740000}"/>
    <cellStyle name="Normal 37 25" xfId="29955" xr:uid="{00000000-0005-0000-0000-0000FF740000}"/>
    <cellStyle name="Normal 37 26" xfId="29956" xr:uid="{00000000-0005-0000-0000-000000750000}"/>
    <cellStyle name="Normal 37 3" xfId="29957" xr:uid="{00000000-0005-0000-0000-000001750000}"/>
    <cellStyle name="Normal 37 3 2" xfId="29958" xr:uid="{00000000-0005-0000-0000-000002750000}"/>
    <cellStyle name="Normal 37 4" xfId="29959" xr:uid="{00000000-0005-0000-0000-000003750000}"/>
    <cellStyle name="Normal 37 4 2" xfId="29960" xr:uid="{00000000-0005-0000-0000-000004750000}"/>
    <cellStyle name="Normal 37 5" xfId="29961" xr:uid="{00000000-0005-0000-0000-000005750000}"/>
    <cellStyle name="Normal 37 5 2" xfId="29962" xr:uid="{00000000-0005-0000-0000-000006750000}"/>
    <cellStyle name="Normal 37 6" xfId="29963" xr:uid="{00000000-0005-0000-0000-000007750000}"/>
    <cellStyle name="Normal 37 7" xfId="29964" xr:uid="{00000000-0005-0000-0000-000008750000}"/>
    <cellStyle name="Normal 37 8" xfId="29965" xr:uid="{00000000-0005-0000-0000-000009750000}"/>
    <cellStyle name="Normal 37 9" xfId="29966" xr:uid="{00000000-0005-0000-0000-00000A750000}"/>
    <cellStyle name="Normal 38" xfId="29967" xr:uid="{00000000-0005-0000-0000-00000B750000}"/>
    <cellStyle name="Normal 38 10" xfId="29968" xr:uid="{00000000-0005-0000-0000-00000C750000}"/>
    <cellStyle name="Normal 38 11" xfId="29969" xr:uid="{00000000-0005-0000-0000-00000D750000}"/>
    <cellStyle name="Normal 38 12" xfId="29970" xr:uid="{00000000-0005-0000-0000-00000E750000}"/>
    <cellStyle name="Normal 38 13" xfId="29971" xr:uid="{00000000-0005-0000-0000-00000F750000}"/>
    <cellStyle name="Normal 38 14" xfId="29972" xr:uid="{00000000-0005-0000-0000-000010750000}"/>
    <cellStyle name="Normal 38 15" xfId="29973" xr:uid="{00000000-0005-0000-0000-000011750000}"/>
    <cellStyle name="Normal 38 16" xfId="29974" xr:uid="{00000000-0005-0000-0000-000012750000}"/>
    <cellStyle name="Normal 38 17" xfId="29975" xr:uid="{00000000-0005-0000-0000-000013750000}"/>
    <cellStyle name="Normal 38 18" xfId="29976" xr:uid="{00000000-0005-0000-0000-000014750000}"/>
    <cellStyle name="Normal 38 19" xfId="29977" xr:uid="{00000000-0005-0000-0000-000015750000}"/>
    <cellStyle name="Normal 38 2" xfId="29978" xr:uid="{00000000-0005-0000-0000-000016750000}"/>
    <cellStyle name="Normal 38 2 2" xfId="29979" xr:uid="{00000000-0005-0000-0000-000017750000}"/>
    <cellStyle name="Normal 38 20" xfId="29980" xr:uid="{00000000-0005-0000-0000-000018750000}"/>
    <cellStyle name="Normal 38 21" xfId="29981" xr:uid="{00000000-0005-0000-0000-000019750000}"/>
    <cellStyle name="Normal 38 22" xfId="29982" xr:uid="{00000000-0005-0000-0000-00001A750000}"/>
    <cellStyle name="Normal 38 23" xfId="29983" xr:uid="{00000000-0005-0000-0000-00001B750000}"/>
    <cellStyle name="Normal 38 24" xfId="29984" xr:uid="{00000000-0005-0000-0000-00001C750000}"/>
    <cellStyle name="Normal 38 25" xfId="29985" xr:uid="{00000000-0005-0000-0000-00001D750000}"/>
    <cellStyle name="Normal 38 26" xfId="29986" xr:uid="{00000000-0005-0000-0000-00001E750000}"/>
    <cellStyle name="Normal 38 3" xfId="29987" xr:uid="{00000000-0005-0000-0000-00001F750000}"/>
    <cellStyle name="Normal 38 3 2" xfId="29988" xr:uid="{00000000-0005-0000-0000-000020750000}"/>
    <cellStyle name="Normal 38 4" xfId="29989" xr:uid="{00000000-0005-0000-0000-000021750000}"/>
    <cellStyle name="Normal 38 4 2" xfId="29990" xr:uid="{00000000-0005-0000-0000-000022750000}"/>
    <cellStyle name="Normal 38 5" xfId="29991" xr:uid="{00000000-0005-0000-0000-000023750000}"/>
    <cellStyle name="Normal 38 5 2" xfId="29992" xr:uid="{00000000-0005-0000-0000-000024750000}"/>
    <cellStyle name="Normal 38 6" xfId="29993" xr:uid="{00000000-0005-0000-0000-000025750000}"/>
    <cellStyle name="Normal 38 7" xfId="29994" xr:uid="{00000000-0005-0000-0000-000026750000}"/>
    <cellStyle name="Normal 38 8" xfId="29995" xr:uid="{00000000-0005-0000-0000-000027750000}"/>
    <cellStyle name="Normal 38 9" xfId="29996" xr:uid="{00000000-0005-0000-0000-000028750000}"/>
    <cellStyle name="Normal 39" xfId="29997" xr:uid="{00000000-0005-0000-0000-000029750000}"/>
    <cellStyle name="Normal 39 10" xfId="29998" xr:uid="{00000000-0005-0000-0000-00002A750000}"/>
    <cellStyle name="Normal 39 11" xfId="29999" xr:uid="{00000000-0005-0000-0000-00002B750000}"/>
    <cellStyle name="Normal 39 12" xfId="30000" xr:uid="{00000000-0005-0000-0000-00002C750000}"/>
    <cellStyle name="Normal 39 13" xfId="30001" xr:uid="{00000000-0005-0000-0000-00002D750000}"/>
    <cellStyle name="Normal 39 14" xfId="30002" xr:uid="{00000000-0005-0000-0000-00002E750000}"/>
    <cellStyle name="Normal 39 15" xfId="30003" xr:uid="{00000000-0005-0000-0000-00002F750000}"/>
    <cellStyle name="Normal 39 16" xfId="30004" xr:uid="{00000000-0005-0000-0000-000030750000}"/>
    <cellStyle name="Normal 39 17" xfId="30005" xr:uid="{00000000-0005-0000-0000-000031750000}"/>
    <cellStyle name="Normal 39 18" xfId="30006" xr:uid="{00000000-0005-0000-0000-000032750000}"/>
    <cellStyle name="Normal 39 19" xfId="30007" xr:uid="{00000000-0005-0000-0000-000033750000}"/>
    <cellStyle name="Normal 39 2" xfId="30008" xr:uid="{00000000-0005-0000-0000-000034750000}"/>
    <cellStyle name="Normal 39 2 2" xfId="30009" xr:uid="{00000000-0005-0000-0000-000035750000}"/>
    <cellStyle name="Normal 39 20" xfId="30010" xr:uid="{00000000-0005-0000-0000-000036750000}"/>
    <cellStyle name="Normal 39 21" xfId="30011" xr:uid="{00000000-0005-0000-0000-000037750000}"/>
    <cellStyle name="Normal 39 22" xfId="30012" xr:uid="{00000000-0005-0000-0000-000038750000}"/>
    <cellStyle name="Normal 39 23" xfId="30013" xr:uid="{00000000-0005-0000-0000-000039750000}"/>
    <cellStyle name="Normal 39 24" xfId="30014" xr:uid="{00000000-0005-0000-0000-00003A750000}"/>
    <cellStyle name="Normal 39 25" xfId="30015" xr:uid="{00000000-0005-0000-0000-00003B750000}"/>
    <cellStyle name="Normal 39 26" xfId="30016" xr:uid="{00000000-0005-0000-0000-00003C750000}"/>
    <cellStyle name="Normal 39 3" xfId="30017" xr:uid="{00000000-0005-0000-0000-00003D750000}"/>
    <cellStyle name="Normal 39 3 2" xfId="30018" xr:uid="{00000000-0005-0000-0000-00003E750000}"/>
    <cellStyle name="Normal 39 4" xfId="30019" xr:uid="{00000000-0005-0000-0000-00003F750000}"/>
    <cellStyle name="Normal 39 4 2" xfId="30020" xr:uid="{00000000-0005-0000-0000-000040750000}"/>
    <cellStyle name="Normal 39 5" xfId="30021" xr:uid="{00000000-0005-0000-0000-000041750000}"/>
    <cellStyle name="Normal 39 5 2" xfId="30022" xr:uid="{00000000-0005-0000-0000-000042750000}"/>
    <cellStyle name="Normal 39 6" xfId="30023" xr:uid="{00000000-0005-0000-0000-000043750000}"/>
    <cellStyle name="Normal 39 7" xfId="30024" xr:uid="{00000000-0005-0000-0000-000044750000}"/>
    <cellStyle name="Normal 39 8" xfId="30025" xr:uid="{00000000-0005-0000-0000-000045750000}"/>
    <cellStyle name="Normal 39 9" xfId="30026" xr:uid="{00000000-0005-0000-0000-000046750000}"/>
    <cellStyle name="Normal 4" xfId="21" xr:uid="{00000000-0005-0000-0000-000047750000}"/>
    <cellStyle name="Normal 4 10" xfId="30027" xr:uid="{00000000-0005-0000-0000-000048750000}"/>
    <cellStyle name="Normal 4 10 2" xfId="30028" xr:uid="{00000000-0005-0000-0000-000049750000}"/>
    <cellStyle name="Normal 4 10 3" xfId="30029" xr:uid="{00000000-0005-0000-0000-00004A750000}"/>
    <cellStyle name="Normal 4 10 4" xfId="30030" xr:uid="{00000000-0005-0000-0000-00004B750000}"/>
    <cellStyle name="Normal 4 10 5" xfId="30031" xr:uid="{00000000-0005-0000-0000-00004C750000}"/>
    <cellStyle name="Normal 4 10_Enlaces" xfId="30032" xr:uid="{00000000-0005-0000-0000-00004D750000}"/>
    <cellStyle name="Normal 4 100" xfId="30033" xr:uid="{00000000-0005-0000-0000-00004E750000}"/>
    <cellStyle name="Normal 4 100 2" xfId="30034" xr:uid="{00000000-0005-0000-0000-00004F750000}"/>
    <cellStyle name="Normal 4 100 3" xfId="30035" xr:uid="{00000000-0005-0000-0000-000050750000}"/>
    <cellStyle name="Normal 4 101" xfId="30036" xr:uid="{00000000-0005-0000-0000-000051750000}"/>
    <cellStyle name="Normal 4 101 2" xfId="30037" xr:uid="{00000000-0005-0000-0000-000052750000}"/>
    <cellStyle name="Normal 4 101 3" xfId="30038" xr:uid="{00000000-0005-0000-0000-000053750000}"/>
    <cellStyle name="Normal 4 102" xfId="30039" xr:uid="{00000000-0005-0000-0000-000054750000}"/>
    <cellStyle name="Normal 4 102 2" xfId="30040" xr:uid="{00000000-0005-0000-0000-000055750000}"/>
    <cellStyle name="Normal 4 102 3" xfId="30041" xr:uid="{00000000-0005-0000-0000-000056750000}"/>
    <cellStyle name="Normal 4 103" xfId="30042" xr:uid="{00000000-0005-0000-0000-000057750000}"/>
    <cellStyle name="Normal 4 103 2" xfId="30043" xr:uid="{00000000-0005-0000-0000-000058750000}"/>
    <cellStyle name="Normal 4 103 3" xfId="30044" xr:uid="{00000000-0005-0000-0000-000059750000}"/>
    <cellStyle name="Normal 4 104" xfId="30045" xr:uid="{00000000-0005-0000-0000-00005A750000}"/>
    <cellStyle name="Normal 4 104 2" xfId="30046" xr:uid="{00000000-0005-0000-0000-00005B750000}"/>
    <cellStyle name="Normal 4 104 3" xfId="30047" xr:uid="{00000000-0005-0000-0000-00005C750000}"/>
    <cellStyle name="Normal 4 105" xfId="30048" xr:uid="{00000000-0005-0000-0000-00005D750000}"/>
    <cellStyle name="Normal 4 105 2" xfId="30049" xr:uid="{00000000-0005-0000-0000-00005E750000}"/>
    <cellStyle name="Normal 4 105 3" xfId="30050" xr:uid="{00000000-0005-0000-0000-00005F750000}"/>
    <cellStyle name="Normal 4 106" xfId="30051" xr:uid="{00000000-0005-0000-0000-000060750000}"/>
    <cellStyle name="Normal 4 106 2" xfId="30052" xr:uid="{00000000-0005-0000-0000-000061750000}"/>
    <cellStyle name="Normal 4 106 3" xfId="30053" xr:uid="{00000000-0005-0000-0000-000062750000}"/>
    <cellStyle name="Normal 4 107" xfId="30054" xr:uid="{00000000-0005-0000-0000-000063750000}"/>
    <cellStyle name="Normal 4 107 2" xfId="30055" xr:uid="{00000000-0005-0000-0000-000064750000}"/>
    <cellStyle name="Normal 4 107 3" xfId="30056" xr:uid="{00000000-0005-0000-0000-000065750000}"/>
    <cellStyle name="Normal 4 108" xfId="30057" xr:uid="{00000000-0005-0000-0000-000066750000}"/>
    <cellStyle name="Normal 4 108 2" xfId="30058" xr:uid="{00000000-0005-0000-0000-000067750000}"/>
    <cellStyle name="Normal 4 108 3" xfId="30059" xr:uid="{00000000-0005-0000-0000-000068750000}"/>
    <cellStyle name="Normal 4 109" xfId="30060" xr:uid="{00000000-0005-0000-0000-000069750000}"/>
    <cellStyle name="Normal 4 109 2" xfId="30061" xr:uid="{00000000-0005-0000-0000-00006A750000}"/>
    <cellStyle name="Normal 4 109 3" xfId="30062" xr:uid="{00000000-0005-0000-0000-00006B750000}"/>
    <cellStyle name="Normal 4 11" xfId="30063" xr:uid="{00000000-0005-0000-0000-00006C750000}"/>
    <cellStyle name="Normal 4 11 2" xfId="30064" xr:uid="{00000000-0005-0000-0000-00006D750000}"/>
    <cellStyle name="Normal 4 11 3" xfId="30065" xr:uid="{00000000-0005-0000-0000-00006E750000}"/>
    <cellStyle name="Normal 4 11 4" xfId="30066" xr:uid="{00000000-0005-0000-0000-00006F750000}"/>
    <cellStyle name="Normal 4 11 5" xfId="30067" xr:uid="{00000000-0005-0000-0000-000070750000}"/>
    <cellStyle name="Normal 4 11_Enlaces" xfId="30068" xr:uid="{00000000-0005-0000-0000-000071750000}"/>
    <cellStyle name="Normal 4 110" xfId="30069" xr:uid="{00000000-0005-0000-0000-000072750000}"/>
    <cellStyle name="Normal 4 110 2" xfId="30070" xr:uid="{00000000-0005-0000-0000-000073750000}"/>
    <cellStyle name="Normal 4 110 3" xfId="30071" xr:uid="{00000000-0005-0000-0000-000074750000}"/>
    <cellStyle name="Normal 4 111" xfId="30072" xr:uid="{00000000-0005-0000-0000-000075750000}"/>
    <cellStyle name="Normal 4 111 2" xfId="30073" xr:uid="{00000000-0005-0000-0000-000076750000}"/>
    <cellStyle name="Normal 4 111 3" xfId="30074" xr:uid="{00000000-0005-0000-0000-000077750000}"/>
    <cellStyle name="Normal 4 112" xfId="30075" xr:uid="{00000000-0005-0000-0000-000078750000}"/>
    <cellStyle name="Normal 4 112 2" xfId="30076" xr:uid="{00000000-0005-0000-0000-000079750000}"/>
    <cellStyle name="Normal 4 112 3" xfId="30077" xr:uid="{00000000-0005-0000-0000-00007A750000}"/>
    <cellStyle name="Normal 4 113" xfId="30078" xr:uid="{00000000-0005-0000-0000-00007B750000}"/>
    <cellStyle name="Normal 4 113 2" xfId="30079" xr:uid="{00000000-0005-0000-0000-00007C750000}"/>
    <cellStyle name="Normal 4 113 3" xfId="30080" xr:uid="{00000000-0005-0000-0000-00007D750000}"/>
    <cellStyle name="Normal 4 114" xfId="30081" xr:uid="{00000000-0005-0000-0000-00007E750000}"/>
    <cellStyle name="Normal 4 114 2" xfId="30082" xr:uid="{00000000-0005-0000-0000-00007F750000}"/>
    <cellStyle name="Normal 4 114 3" xfId="30083" xr:uid="{00000000-0005-0000-0000-000080750000}"/>
    <cellStyle name="Normal 4 115" xfId="30084" xr:uid="{00000000-0005-0000-0000-000081750000}"/>
    <cellStyle name="Normal 4 115 2" xfId="30085" xr:uid="{00000000-0005-0000-0000-000082750000}"/>
    <cellStyle name="Normal 4 115 3" xfId="30086" xr:uid="{00000000-0005-0000-0000-000083750000}"/>
    <cellStyle name="Normal 4 116" xfId="30087" xr:uid="{00000000-0005-0000-0000-000084750000}"/>
    <cellStyle name="Normal 4 116 2" xfId="30088" xr:uid="{00000000-0005-0000-0000-000085750000}"/>
    <cellStyle name="Normal 4 116 3" xfId="30089" xr:uid="{00000000-0005-0000-0000-000086750000}"/>
    <cellStyle name="Normal 4 117" xfId="30090" xr:uid="{00000000-0005-0000-0000-000087750000}"/>
    <cellStyle name="Normal 4 117 2" xfId="30091" xr:uid="{00000000-0005-0000-0000-000088750000}"/>
    <cellStyle name="Normal 4 117 3" xfId="30092" xr:uid="{00000000-0005-0000-0000-000089750000}"/>
    <cellStyle name="Normal 4 118" xfId="30093" xr:uid="{00000000-0005-0000-0000-00008A750000}"/>
    <cellStyle name="Normal 4 118 2" xfId="30094" xr:uid="{00000000-0005-0000-0000-00008B750000}"/>
    <cellStyle name="Normal 4 118 3" xfId="30095" xr:uid="{00000000-0005-0000-0000-00008C750000}"/>
    <cellStyle name="Normal 4 119" xfId="30096" xr:uid="{00000000-0005-0000-0000-00008D750000}"/>
    <cellStyle name="Normal 4 119 2" xfId="30097" xr:uid="{00000000-0005-0000-0000-00008E750000}"/>
    <cellStyle name="Normal 4 119 3" xfId="30098" xr:uid="{00000000-0005-0000-0000-00008F750000}"/>
    <cellStyle name="Normal 4 12" xfId="30099" xr:uid="{00000000-0005-0000-0000-000090750000}"/>
    <cellStyle name="Normal 4 12 2" xfId="30100" xr:uid="{00000000-0005-0000-0000-000091750000}"/>
    <cellStyle name="Normal 4 12 3" xfId="30101" xr:uid="{00000000-0005-0000-0000-000092750000}"/>
    <cellStyle name="Normal 4 12 4" xfId="30102" xr:uid="{00000000-0005-0000-0000-000093750000}"/>
    <cellStyle name="Normal 4 12 5" xfId="30103" xr:uid="{00000000-0005-0000-0000-000094750000}"/>
    <cellStyle name="Normal 4 12_Enlaces" xfId="30104" xr:uid="{00000000-0005-0000-0000-000095750000}"/>
    <cellStyle name="Normal 4 120" xfId="30105" xr:uid="{00000000-0005-0000-0000-000096750000}"/>
    <cellStyle name="Normal 4 120 2" xfId="30106" xr:uid="{00000000-0005-0000-0000-000097750000}"/>
    <cellStyle name="Normal 4 120 3" xfId="30107" xr:uid="{00000000-0005-0000-0000-000098750000}"/>
    <cellStyle name="Normal 4 121" xfId="30108" xr:uid="{00000000-0005-0000-0000-000099750000}"/>
    <cellStyle name="Normal 4 121 2" xfId="30109" xr:uid="{00000000-0005-0000-0000-00009A750000}"/>
    <cellStyle name="Normal 4 121 3" xfId="30110" xr:uid="{00000000-0005-0000-0000-00009B750000}"/>
    <cellStyle name="Normal 4 122" xfId="30111" xr:uid="{00000000-0005-0000-0000-00009C750000}"/>
    <cellStyle name="Normal 4 122 2" xfId="30112" xr:uid="{00000000-0005-0000-0000-00009D750000}"/>
    <cellStyle name="Normal 4 122 3" xfId="30113" xr:uid="{00000000-0005-0000-0000-00009E750000}"/>
    <cellStyle name="Normal 4 123" xfId="30114" xr:uid="{00000000-0005-0000-0000-00009F750000}"/>
    <cellStyle name="Normal 4 123 2" xfId="30115" xr:uid="{00000000-0005-0000-0000-0000A0750000}"/>
    <cellStyle name="Normal 4 123 3" xfId="30116" xr:uid="{00000000-0005-0000-0000-0000A1750000}"/>
    <cellStyle name="Normal 4 124" xfId="30117" xr:uid="{00000000-0005-0000-0000-0000A2750000}"/>
    <cellStyle name="Normal 4 125" xfId="30118" xr:uid="{00000000-0005-0000-0000-0000A3750000}"/>
    <cellStyle name="Normal 4 126" xfId="30119" xr:uid="{00000000-0005-0000-0000-0000A4750000}"/>
    <cellStyle name="Normal 4 127" xfId="30120" xr:uid="{00000000-0005-0000-0000-0000A5750000}"/>
    <cellStyle name="Normal 4 128" xfId="30121" xr:uid="{00000000-0005-0000-0000-0000A6750000}"/>
    <cellStyle name="Normal 4 129" xfId="30122" xr:uid="{00000000-0005-0000-0000-0000A7750000}"/>
    <cellStyle name="Normal 4 13" xfId="30123" xr:uid="{00000000-0005-0000-0000-0000A8750000}"/>
    <cellStyle name="Normal 4 13 2" xfId="30124" xr:uid="{00000000-0005-0000-0000-0000A9750000}"/>
    <cellStyle name="Normal 4 13 3" xfId="30125" xr:uid="{00000000-0005-0000-0000-0000AA750000}"/>
    <cellStyle name="Normal 4 13 4" xfId="30126" xr:uid="{00000000-0005-0000-0000-0000AB750000}"/>
    <cellStyle name="Normal 4 13 5" xfId="30127" xr:uid="{00000000-0005-0000-0000-0000AC750000}"/>
    <cellStyle name="Normal 4 13_Enlaces" xfId="30128" xr:uid="{00000000-0005-0000-0000-0000AD750000}"/>
    <cellStyle name="Normal 4 130" xfId="30129" xr:uid="{00000000-0005-0000-0000-0000AE750000}"/>
    <cellStyle name="Normal 4 131" xfId="30130" xr:uid="{00000000-0005-0000-0000-0000AF750000}"/>
    <cellStyle name="Normal 4 131 2" xfId="30131" xr:uid="{00000000-0005-0000-0000-0000B0750000}"/>
    <cellStyle name="Normal 4 132" xfId="30132" xr:uid="{00000000-0005-0000-0000-0000B1750000}"/>
    <cellStyle name="Normal 4 132 2" xfId="30133" xr:uid="{00000000-0005-0000-0000-0000B2750000}"/>
    <cellStyle name="Normal 4 133" xfId="30134" xr:uid="{00000000-0005-0000-0000-0000B3750000}"/>
    <cellStyle name="Normal 4 133 2" xfId="30135" xr:uid="{00000000-0005-0000-0000-0000B4750000}"/>
    <cellStyle name="Normal 4 134" xfId="30136" xr:uid="{00000000-0005-0000-0000-0000B5750000}"/>
    <cellStyle name="Normal 4 134 2" xfId="30137" xr:uid="{00000000-0005-0000-0000-0000B6750000}"/>
    <cellStyle name="Normal 4 135" xfId="30138" xr:uid="{00000000-0005-0000-0000-0000B7750000}"/>
    <cellStyle name="Normal 4 135 2" xfId="30139" xr:uid="{00000000-0005-0000-0000-0000B8750000}"/>
    <cellStyle name="Normal 4 136" xfId="30140" xr:uid="{00000000-0005-0000-0000-0000B9750000}"/>
    <cellStyle name="Normal 4 136 2" xfId="30141" xr:uid="{00000000-0005-0000-0000-0000BA750000}"/>
    <cellStyle name="Normal 4 137" xfId="30142" xr:uid="{00000000-0005-0000-0000-0000BB750000}"/>
    <cellStyle name="Normal 4 137 2" xfId="30143" xr:uid="{00000000-0005-0000-0000-0000BC750000}"/>
    <cellStyle name="Normal 4 138" xfId="30144" xr:uid="{00000000-0005-0000-0000-0000BD750000}"/>
    <cellStyle name="Normal 4 138 2" xfId="30145" xr:uid="{00000000-0005-0000-0000-0000BE750000}"/>
    <cellStyle name="Normal 4 139" xfId="30146" xr:uid="{00000000-0005-0000-0000-0000BF750000}"/>
    <cellStyle name="Normal 4 139 2" xfId="30147" xr:uid="{00000000-0005-0000-0000-0000C0750000}"/>
    <cellStyle name="Normal 4 14" xfId="30148" xr:uid="{00000000-0005-0000-0000-0000C1750000}"/>
    <cellStyle name="Normal 4 14 2" xfId="30149" xr:uid="{00000000-0005-0000-0000-0000C2750000}"/>
    <cellStyle name="Normal 4 14 3" xfId="30150" xr:uid="{00000000-0005-0000-0000-0000C3750000}"/>
    <cellStyle name="Normal 4 14 4" xfId="30151" xr:uid="{00000000-0005-0000-0000-0000C4750000}"/>
    <cellStyle name="Normal 4 14 5" xfId="30152" xr:uid="{00000000-0005-0000-0000-0000C5750000}"/>
    <cellStyle name="Normal 4 14_Enlaces" xfId="30153" xr:uid="{00000000-0005-0000-0000-0000C6750000}"/>
    <cellStyle name="Normal 4 140" xfId="30154" xr:uid="{00000000-0005-0000-0000-0000C7750000}"/>
    <cellStyle name="Normal 4 140 2" xfId="30155" xr:uid="{00000000-0005-0000-0000-0000C8750000}"/>
    <cellStyle name="Normal 4 141" xfId="30156" xr:uid="{00000000-0005-0000-0000-0000C9750000}"/>
    <cellStyle name="Normal 4 141 2" xfId="30157" xr:uid="{00000000-0005-0000-0000-0000CA750000}"/>
    <cellStyle name="Normal 4 142" xfId="30158" xr:uid="{00000000-0005-0000-0000-0000CB750000}"/>
    <cellStyle name="Normal 4 142 2" xfId="30159" xr:uid="{00000000-0005-0000-0000-0000CC750000}"/>
    <cellStyle name="Normal 4 143" xfId="30160" xr:uid="{00000000-0005-0000-0000-0000CD750000}"/>
    <cellStyle name="Normal 4 143 2" xfId="30161" xr:uid="{00000000-0005-0000-0000-0000CE750000}"/>
    <cellStyle name="Normal 4 144" xfId="30162" xr:uid="{00000000-0005-0000-0000-0000CF750000}"/>
    <cellStyle name="Normal 4 144 2" xfId="30163" xr:uid="{00000000-0005-0000-0000-0000D0750000}"/>
    <cellStyle name="Normal 4 145" xfId="30164" xr:uid="{00000000-0005-0000-0000-0000D1750000}"/>
    <cellStyle name="Normal 4 145 2" xfId="30165" xr:uid="{00000000-0005-0000-0000-0000D2750000}"/>
    <cellStyle name="Normal 4 146" xfId="30166" xr:uid="{00000000-0005-0000-0000-0000D3750000}"/>
    <cellStyle name="Normal 4 146 2" xfId="30167" xr:uid="{00000000-0005-0000-0000-0000D4750000}"/>
    <cellStyle name="Normal 4 147" xfId="30168" xr:uid="{00000000-0005-0000-0000-0000D5750000}"/>
    <cellStyle name="Normal 4 147 2" xfId="30169" xr:uid="{00000000-0005-0000-0000-0000D6750000}"/>
    <cellStyle name="Normal 4 148" xfId="30170" xr:uid="{00000000-0005-0000-0000-0000D7750000}"/>
    <cellStyle name="Normal 4 148 2" xfId="30171" xr:uid="{00000000-0005-0000-0000-0000D8750000}"/>
    <cellStyle name="Normal 4 148 3" xfId="30172" xr:uid="{00000000-0005-0000-0000-0000D9750000}"/>
    <cellStyle name="Normal 4 149" xfId="30173" xr:uid="{00000000-0005-0000-0000-0000DA750000}"/>
    <cellStyle name="Normal 4 149 2" xfId="30174" xr:uid="{00000000-0005-0000-0000-0000DB750000}"/>
    <cellStyle name="Normal 4 149 3" xfId="30175" xr:uid="{00000000-0005-0000-0000-0000DC750000}"/>
    <cellStyle name="Normal 4 15" xfId="30176" xr:uid="{00000000-0005-0000-0000-0000DD750000}"/>
    <cellStyle name="Normal 4 15 2" xfId="30177" xr:uid="{00000000-0005-0000-0000-0000DE750000}"/>
    <cellStyle name="Normal 4 15 3" xfId="30178" xr:uid="{00000000-0005-0000-0000-0000DF750000}"/>
    <cellStyle name="Normal 4 15 4" xfId="30179" xr:uid="{00000000-0005-0000-0000-0000E0750000}"/>
    <cellStyle name="Normal 4 15 5" xfId="30180" xr:uid="{00000000-0005-0000-0000-0000E1750000}"/>
    <cellStyle name="Normal 4 15_Enlaces" xfId="30181" xr:uid="{00000000-0005-0000-0000-0000E2750000}"/>
    <cellStyle name="Normal 4 150" xfId="30182" xr:uid="{00000000-0005-0000-0000-0000E3750000}"/>
    <cellStyle name="Normal 4 150 2" xfId="30183" xr:uid="{00000000-0005-0000-0000-0000E4750000}"/>
    <cellStyle name="Normal 4 150 3" xfId="30184" xr:uid="{00000000-0005-0000-0000-0000E5750000}"/>
    <cellStyle name="Normal 4 151" xfId="30185" xr:uid="{00000000-0005-0000-0000-0000E6750000}"/>
    <cellStyle name="Normal 4 151 2" xfId="30186" xr:uid="{00000000-0005-0000-0000-0000E7750000}"/>
    <cellStyle name="Normal 4 151 3" xfId="30187" xr:uid="{00000000-0005-0000-0000-0000E8750000}"/>
    <cellStyle name="Normal 4 152" xfId="30188" xr:uid="{00000000-0005-0000-0000-0000E9750000}"/>
    <cellStyle name="Normal 4 152 2" xfId="30189" xr:uid="{00000000-0005-0000-0000-0000EA750000}"/>
    <cellStyle name="Normal 4 152 3" xfId="30190" xr:uid="{00000000-0005-0000-0000-0000EB750000}"/>
    <cellStyle name="Normal 4 153" xfId="30191" xr:uid="{00000000-0005-0000-0000-0000EC750000}"/>
    <cellStyle name="Normal 4 153 2" xfId="30192" xr:uid="{00000000-0005-0000-0000-0000ED750000}"/>
    <cellStyle name="Normal 4 154" xfId="30193" xr:uid="{00000000-0005-0000-0000-0000EE750000}"/>
    <cellStyle name="Normal 4 155" xfId="30194" xr:uid="{00000000-0005-0000-0000-0000EF750000}"/>
    <cellStyle name="Normal 4 156" xfId="30195" xr:uid="{00000000-0005-0000-0000-0000F0750000}"/>
    <cellStyle name="Normal 4 157" xfId="30196" xr:uid="{00000000-0005-0000-0000-0000F1750000}"/>
    <cellStyle name="Normal 4 158" xfId="30197" xr:uid="{00000000-0005-0000-0000-0000F2750000}"/>
    <cellStyle name="Normal 4 159" xfId="30198" xr:uid="{00000000-0005-0000-0000-0000F3750000}"/>
    <cellStyle name="Normal 4 16" xfId="30199" xr:uid="{00000000-0005-0000-0000-0000F4750000}"/>
    <cellStyle name="Normal 4 16 2" xfId="30200" xr:uid="{00000000-0005-0000-0000-0000F5750000}"/>
    <cellStyle name="Normal 4 16 3" xfId="30201" xr:uid="{00000000-0005-0000-0000-0000F6750000}"/>
    <cellStyle name="Normal 4 16 4" xfId="30202" xr:uid="{00000000-0005-0000-0000-0000F7750000}"/>
    <cellStyle name="Normal 4 16 5" xfId="30203" xr:uid="{00000000-0005-0000-0000-0000F8750000}"/>
    <cellStyle name="Normal 4 16_Enlaces" xfId="30204" xr:uid="{00000000-0005-0000-0000-0000F9750000}"/>
    <cellStyle name="Normal 4 160" xfId="30205" xr:uid="{00000000-0005-0000-0000-0000FA750000}"/>
    <cellStyle name="Normal 4 161" xfId="30206" xr:uid="{00000000-0005-0000-0000-0000FB750000}"/>
    <cellStyle name="Normal 4 162" xfId="30207" xr:uid="{00000000-0005-0000-0000-0000FC750000}"/>
    <cellStyle name="Normal 4 163" xfId="30208" xr:uid="{00000000-0005-0000-0000-0000FD750000}"/>
    <cellStyle name="Normal 4 164" xfId="30209" xr:uid="{00000000-0005-0000-0000-0000FE750000}"/>
    <cellStyle name="Normal 4 165" xfId="30210" xr:uid="{00000000-0005-0000-0000-0000FF750000}"/>
    <cellStyle name="Normal 4 166" xfId="30211" xr:uid="{00000000-0005-0000-0000-000000760000}"/>
    <cellStyle name="Normal 4 167" xfId="30212" xr:uid="{00000000-0005-0000-0000-000001760000}"/>
    <cellStyle name="Normal 4 168" xfId="30213" xr:uid="{00000000-0005-0000-0000-000002760000}"/>
    <cellStyle name="Normal 4 169" xfId="30214" xr:uid="{00000000-0005-0000-0000-000003760000}"/>
    <cellStyle name="Normal 4 17" xfId="30215" xr:uid="{00000000-0005-0000-0000-000004760000}"/>
    <cellStyle name="Normal 4 17 2" xfId="30216" xr:uid="{00000000-0005-0000-0000-000005760000}"/>
    <cellStyle name="Normal 4 17 3" xfId="30217" xr:uid="{00000000-0005-0000-0000-000006760000}"/>
    <cellStyle name="Normal 4 17 4" xfId="30218" xr:uid="{00000000-0005-0000-0000-000007760000}"/>
    <cellStyle name="Normal 4 17 5" xfId="30219" xr:uid="{00000000-0005-0000-0000-000008760000}"/>
    <cellStyle name="Normal 4 17_Enlaces" xfId="30220" xr:uid="{00000000-0005-0000-0000-000009760000}"/>
    <cellStyle name="Normal 4 170" xfId="30221" xr:uid="{00000000-0005-0000-0000-00000A760000}"/>
    <cellStyle name="Normal 4 171" xfId="30222" xr:uid="{00000000-0005-0000-0000-00000B760000}"/>
    <cellStyle name="Normal 4 18" xfId="30223" xr:uid="{00000000-0005-0000-0000-00000C760000}"/>
    <cellStyle name="Normal 4 18 2" xfId="30224" xr:uid="{00000000-0005-0000-0000-00000D760000}"/>
    <cellStyle name="Normal 4 18 3" xfId="30225" xr:uid="{00000000-0005-0000-0000-00000E760000}"/>
    <cellStyle name="Normal 4 18 4" xfId="30226" xr:uid="{00000000-0005-0000-0000-00000F760000}"/>
    <cellStyle name="Normal 4 18 5" xfId="30227" xr:uid="{00000000-0005-0000-0000-000010760000}"/>
    <cellStyle name="Normal 4 18_Enlaces" xfId="30228" xr:uid="{00000000-0005-0000-0000-000011760000}"/>
    <cellStyle name="Normal 4 19" xfId="30229" xr:uid="{00000000-0005-0000-0000-000012760000}"/>
    <cellStyle name="Normal 4 19 2" xfId="30230" xr:uid="{00000000-0005-0000-0000-000013760000}"/>
    <cellStyle name="Normal 4 19 3" xfId="30231" xr:uid="{00000000-0005-0000-0000-000014760000}"/>
    <cellStyle name="Normal 4 19 4" xfId="30232" xr:uid="{00000000-0005-0000-0000-000015760000}"/>
    <cellStyle name="Normal 4 19 5" xfId="30233" xr:uid="{00000000-0005-0000-0000-000016760000}"/>
    <cellStyle name="Normal 4 19_Enlaces" xfId="30234" xr:uid="{00000000-0005-0000-0000-000017760000}"/>
    <cellStyle name="Normal 4 2" xfId="30235" xr:uid="{00000000-0005-0000-0000-000018760000}"/>
    <cellStyle name="Normal 4 2 10" xfId="30236" xr:uid="{00000000-0005-0000-0000-000019760000}"/>
    <cellStyle name="Normal 4 2 10 2" xfId="30237" xr:uid="{00000000-0005-0000-0000-00001A760000}"/>
    <cellStyle name="Normal 4 2 11" xfId="30238" xr:uid="{00000000-0005-0000-0000-00001B760000}"/>
    <cellStyle name="Normal 4 2 11 2" xfId="30239" xr:uid="{00000000-0005-0000-0000-00001C760000}"/>
    <cellStyle name="Normal 4 2 12" xfId="30240" xr:uid="{00000000-0005-0000-0000-00001D760000}"/>
    <cellStyle name="Normal 4 2 12 2" xfId="30241" xr:uid="{00000000-0005-0000-0000-00001E760000}"/>
    <cellStyle name="Normal 4 2 13" xfId="30242" xr:uid="{00000000-0005-0000-0000-00001F760000}"/>
    <cellStyle name="Normal 4 2 13 2" xfId="30243" xr:uid="{00000000-0005-0000-0000-000020760000}"/>
    <cellStyle name="Normal 4 2 14" xfId="30244" xr:uid="{00000000-0005-0000-0000-000021760000}"/>
    <cellStyle name="Normal 4 2 14 2" xfId="30245" xr:uid="{00000000-0005-0000-0000-000022760000}"/>
    <cellStyle name="Normal 4 2 15" xfId="30246" xr:uid="{00000000-0005-0000-0000-000023760000}"/>
    <cellStyle name="Normal 4 2 15 2" xfId="30247" xr:uid="{00000000-0005-0000-0000-000024760000}"/>
    <cellStyle name="Normal 4 2 16" xfId="30248" xr:uid="{00000000-0005-0000-0000-000025760000}"/>
    <cellStyle name="Normal 4 2 16 2" xfId="30249" xr:uid="{00000000-0005-0000-0000-000026760000}"/>
    <cellStyle name="Normal 4 2 17" xfId="30250" xr:uid="{00000000-0005-0000-0000-000027760000}"/>
    <cellStyle name="Normal 4 2 17 2" xfId="30251" xr:uid="{00000000-0005-0000-0000-000028760000}"/>
    <cellStyle name="Normal 4 2 18" xfId="30252" xr:uid="{00000000-0005-0000-0000-000029760000}"/>
    <cellStyle name="Normal 4 2 18 2" xfId="30253" xr:uid="{00000000-0005-0000-0000-00002A760000}"/>
    <cellStyle name="Normal 4 2 19" xfId="30254" xr:uid="{00000000-0005-0000-0000-00002B760000}"/>
    <cellStyle name="Normal 4 2 19 2" xfId="30255" xr:uid="{00000000-0005-0000-0000-00002C760000}"/>
    <cellStyle name="Normal 4 2 2" xfId="30256" xr:uid="{00000000-0005-0000-0000-00002D760000}"/>
    <cellStyle name="Normal 4 2 2 2" xfId="30257" xr:uid="{00000000-0005-0000-0000-00002E760000}"/>
    <cellStyle name="Normal 4 2 20" xfId="30258" xr:uid="{00000000-0005-0000-0000-00002F760000}"/>
    <cellStyle name="Normal 4 2 20 2" xfId="30259" xr:uid="{00000000-0005-0000-0000-000030760000}"/>
    <cellStyle name="Normal 4 2 21" xfId="30260" xr:uid="{00000000-0005-0000-0000-000031760000}"/>
    <cellStyle name="Normal 4 2 21 2" xfId="30261" xr:uid="{00000000-0005-0000-0000-000032760000}"/>
    <cellStyle name="Normal 4 2 22" xfId="30262" xr:uid="{00000000-0005-0000-0000-000033760000}"/>
    <cellStyle name="Normal 4 2 22 2" xfId="30263" xr:uid="{00000000-0005-0000-0000-000034760000}"/>
    <cellStyle name="Normal 4 2 23" xfId="30264" xr:uid="{00000000-0005-0000-0000-000035760000}"/>
    <cellStyle name="Normal 4 2 23 2" xfId="30265" xr:uid="{00000000-0005-0000-0000-000036760000}"/>
    <cellStyle name="Normal 4 2 24" xfId="30266" xr:uid="{00000000-0005-0000-0000-000037760000}"/>
    <cellStyle name="Normal 4 2 25" xfId="30267" xr:uid="{00000000-0005-0000-0000-000038760000}"/>
    <cellStyle name="Normal 4 2 26" xfId="30268" xr:uid="{00000000-0005-0000-0000-000039760000}"/>
    <cellStyle name="Normal 4 2 27" xfId="30269" xr:uid="{00000000-0005-0000-0000-00003A760000}"/>
    <cellStyle name="Normal 4 2 28" xfId="30270" xr:uid="{00000000-0005-0000-0000-00003B760000}"/>
    <cellStyle name="Normal 4 2 29" xfId="30271" xr:uid="{00000000-0005-0000-0000-00003C760000}"/>
    <cellStyle name="Normal 4 2 3" xfId="30272" xr:uid="{00000000-0005-0000-0000-00003D760000}"/>
    <cellStyle name="Normal 4 2 3 2" xfId="30273" xr:uid="{00000000-0005-0000-0000-00003E760000}"/>
    <cellStyle name="Normal 4 2 30" xfId="30274" xr:uid="{00000000-0005-0000-0000-00003F760000}"/>
    <cellStyle name="Normal 4 2 31" xfId="30275" xr:uid="{00000000-0005-0000-0000-000040760000}"/>
    <cellStyle name="Normal 4 2 32" xfId="30276" xr:uid="{00000000-0005-0000-0000-000041760000}"/>
    <cellStyle name="Normal 4 2 33" xfId="30277" xr:uid="{00000000-0005-0000-0000-000042760000}"/>
    <cellStyle name="Normal 4 2 34" xfId="30278" xr:uid="{00000000-0005-0000-0000-000043760000}"/>
    <cellStyle name="Normal 4 2 35" xfId="30279" xr:uid="{00000000-0005-0000-0000-000044760000}"/>
    <cellStyle name="Normal 4 2 36" xfId="30280" xr:uid="{00000000-0005-0000-0000-000045760000}"/>
    <cellStyle name="Normal 4 2 37" xfId="30281" xr:uid="{00000000-0005-0000-0000-000046760000}"/>
    <cellStyle name="Normal 4 2 38" xfId="30282" xr:uid="{00000000-0005-0000-0000-000047760000}"/>
    <cellStyle name="Normal 4 2 39" xfId="30283" xr:uid="{00000000-0005-0000-0000-000048760000}"/>
    <cellStyle name="Normal 4 2 4" xfId="30284" xr:uid="{00000000-0005-0000-0000-000049760000}"/>
    <cellStyle name="Normal 4 2 4 2" xfId="30285" xr:uid="{00000000-0005-0000-0000-00004A760000}"/>
    <cellStyle name="Normal 4 2 40" xfId="30286" xr:uid="{00000000-0005-0000-0000-00004B760000}"/>
    <cellStyle name="Normal 4 2 41" xfId="30287" xr:uid="{00000000-0005-0000-0000-00004C760000}"/>
    <cellStyle name="Normal 4 2 42" xfId="30288" xr:uid="{00000000-0005-0000-0000-00004D760000}"/>
    <cellStyle name="Normal 4 2 43" xfId="30289" xr:uid="{00000000-0005-0000-0000-00004E760000}"/>
    <cellStyle name="Normal 4 2 44" xfId="30290" xr:uid="{00000000-0005-0000-0000-00004F760000}"/>
    <cellStyle name="Normal 4 2 45" xfId="30291" xr:uid="{00000000-0005-0000-0000-000050760000}"/>
    <cellStyle name="Normal 4 2 46" xfId="30292" xr:uid="{00000000-0005-0000-0000-000051760000}"/>
    <cellStyle name="Normal 4 2 47" xfId="30293" xr:uid="{00000000-0005-0000-0000-000052760000}"/>
    <cellStyle name="Normal 4 2 48" xfId="30294" xr:uid="{00000000-0005-0000-0000-000053760000}"/>
    <cellStyle name="Normal 4 2 49" xfId="30295" xr:uid="{00000000-0005-0000-0000-000054760000}"/>
    <cellStyle name="Normal 4 2 5" xfId="30296" xr:uid="{00000000-0005-0000-0000-000055760000}"/>
    <cellStyle name="Normal 4 2 5 2" xfId="30297" xr:uid="{00000000-0005-0000-0000-000056760000}"/>
    <cellStyle name="Normal 4 2 50" xfId="30298" xr:uid="{00000000-0005-0000-0000-000057760000}"/>
    <cellStyle name="Normal 4 2 51" xfId="30299" xr:uid="{00000000-0005-0000-0000-000058760000}"/>
    <cellStyle name="Normal 4 2 52" xfId="30300" xr:uid="{00000000-0005-0000-0000-000059760000}"/>
    <cellStyle name="Normal 4 2 53" xfId="30301" xr:uid="{00000000-0005-0000-0000-00005A760000}"/>
    <cellStyle name="Normal 4 2 54" xfId="30302" xr:uid="{00000000-0005-0000-0000-00005B760000}"/>
    <cellStyle name="Normal 4 2 55" xfId="30303" xr:uid="{00000000-0005-0000-0000-00005C760000}"/>
    <cellStyle name="Normal 4 2 56" xfId="30304" xr:uid="{00000000-0005-0000-0000-00005D760000}"/>
    <cellStyle name="Normal 4 2 57" xfId="30305" xr:uid="{00000000-0005-0000-0000-00005E760000}"/>
    <cellStyle name="Normal 4 2 58" xfId="30306" xr:uid="{00000000-0005-0000-0000-00005F760000}"/>
    <cellStyle name="Normal 4 2 59" xfId="30307" xr:uid="{00000000-0005-0000-0000-000060760000}"/>
    <cellStyle name="Normal 4 2 6" xfId="30308" xr:uid="{00000000-0005-0000-0000-000061760000}"/>
    <cellStyle name="Normal 4 2 6 2" xfId="30309" xr:uid="{00000000-0005-0000-0000-000062760000}"/>
    <cellStyle name="Normal 4 2 60" xfId="30310" xr:uid="{00000000-0005-0000-0000-000063760000}"/>
    <cellStyle name="Normal 4 2 61" xfId="30311" xr:uid="{00000000-0005-0000-0000-000064760000}"/>
    <cellStyle name="Normal 4 2 62" xfId="30312" xr:uid="{00000000-0005-0000-0000-000065760000}"/>
    <cellStyle name="Normal 4 2 63" xfId="30313" xr:uid="{00000000-0005-0000-0000-000066760000}"/>
    <cellStyle name="Normal 4 2 64" xfId="30314" xr:uid="{00000000-0005-0000-0000-000067760000}"/>
    <cellStyle name="Normal 4 2 65" xfId="30315" xr:uid="{00000000-0005-0000-0000-000068760000}"/>
    <cellStyle name="Normal 4 2 66" xfId="30316" xr:uid="{00000000-0005-0000-0000-000069760000}"/>
    <cellStyle name="Normal 4 2 67" xfId="30317" xr:uid="{00000000-0005-0000-0000-00006A760000}"/>
    <cellStyle name="Normal 4 2 68" xfId="30318" xr:uid="{00000000-0005-0000-0000-00006B760000}"/>
    <cellStyle name="Normal 4 2 69" xfId="30319" xr:uid="{00000000-0005-0000-0000-00006C760000}"/>
    <cellStyle name="Normal 4 2 7" xfId="30320" xr:uid="{00000000-0005-0000-0000-00006D760000}"/>
    <cellStyle name="Normal 4 2 7 2" xfId="30321" xr:uid="{00000000-0005-0000-0000-00006E760000}"/>
    <cellStyle name="Normal 4 2 70" xfId="30322" xr:uid="{00000000-0005-0000-0000-00006F760000}"/>
    <cellStyle name="Normal 4 2 71" xfId="30323" xr:uid="{00000000-0005-0000-0000-000070760000}"/>
    <cellStyle name="Normal 4 2 72" xfId="30324" xr:uid="{00000000-0005-0000-0000-000071760000}"/>
    <cellStyle name="Normal 4 2 73" xfId="30325" xr:uid="{00000000-0005-0000-0000-000072760000}"/>
    <cellStyle name="Normal 4 2 74" xfId="30326" xr:uid="{00000000-0005-0000-0000-000073760000}"/>
    <cellStyle name="Normal 4 2 75" xfId="30327" xr:uid="{00000000-0005-0000-0000-000074760000}"/>
    <cellStyle name="Normal 4 2 76" xfId="30328" xr:uid="{00000000-0005-0000-0000-000075760000}"/>
    <cellStyle name="Normal 4 2 77" xfId="30329" xr:uid="{00000000-0005-0000-0000-000076760000}"/>
    <cellStyle name="Normal 4 2 78" xfId="30330" xr:uid="{00000000-0005-0000-0000-000077760000}"/>
    <cellStyle name="Normal 4 2 79" xfId="30331" xr:uid="{00000000-0005-0000-0000-000078760000}"/>
    <cellStyle name="Normal 4 2 8" xfId="30332" xr:uid="{00000000-0005-0000-0000-000079760000}"/>
    <cellStyle name="Normal 4 2 8 2" xfId="30333" xr:uid="{00000000-0005-0000-0000-00007A760000}"/>
    <cellStyle name="Normal 4 2 80" xfId="30334" xr:uid="{00000000-0005-0000-0000-00007B760000}"/>
    <cellStyle name="Normal 4 2 81" xfId="30335" xr:uid="{00000000-0005-0000-0000-00007C760000}"/>
    <cellStyle name="Normal 4 2 82" xfId="30336" xr:uid="{00000000-0005-0000-0000-00007D760000}"/>
    <cellStyle name="Normal 4 2 83" xfId="30337" xr:uid="{00000000-0005-0000-0000-00007E760000}"/>
    <cellStyle name="Normal 4 2 84" xfId="30338" xr:uid="{00000000-0005-0000-0000-00007F760000}"/>
    <cellStyle name="Normal 4 2 85" xfId="30339" xr:uid="{00000000-0005-0000-0000-000080760000}"/>
    <cellStyle name="Normal 4 2 86" xfId="30340" xr:uid="{00000000-0005-0000-0000-000081760000}"/>
    <cellStyle name="Normal 4 2 87" xfId="30341" xr:uid="{00000000-0005-0000-0000-000082760000}"/>
    <cellStyle name="Normal 4 2 87 2" xfId="30342" xr:uid="{00000000-0005-0000-0000-000083760000}"/>
    <cellStyle name="Normal 4 2 9" xfId="30343" xr:uid="{00000000-0005-0000-0000-000084760000}"/>
    <cellStyle name="Normal 4 2 9 2" xfId="30344" xr:uid="{00000000-0005-0000-0000-000085760000}"/>
    <cellStyle name="Normal 4 2_Xa Parametrización de Usuarios" xfId="30345" xr:uid="{00000000-0005-0000-0000-000086760000}"/>
    <cellStyle name="Normal 4 20" xfId="30346" xr:uid="{00000000-0005-0000-0000-000087760000}"/>
    <cellStyle name="Normal 4 20 2" xfId="30347" xr:uid="{00000000-0005-0000-0000-000088760000}"/>
    <cellStyle name="Normal 4 20 3" xfId="30348" xr:uid="{00000000-0005-0000-0000-000089760000}"/>
    <cellStyle name="Normal 4 20 4" xfId="30349" xr:uid="{00000000-0005-0000-0000-00008A760000}"/>
    <cellStyle name="Normal 4 20_Enlaces" xfId="30350" xr:uid="{00000000-0005-0000-0000-00008B760000}"/>
    <cellStyle name="Normal 4 21" xfId="30351" xr:uid="{00000000-0005-0000-0000-00008C760000}"/>
    <cellStyle name="Normal 4 21 2" xfId="30352" xr:uid="{00000000-0005-0000-0000-00008D760000}"/>
    <cellStyle name="Normal 4 21 3" xfId="30353" xr:uid="{00000000-0005-0000-0000-00008E760000}"/>
    <cellStyle name="Normal 4 21 4" xfId="30354" xr:uid="{00000000-0005-0000-0000-00008F760000}"/>
    <cellStyle name="Normal 4 21_Enlaces" xfId="30355" xr:uid="{00000000-0005-0000-0000-000090760000}"/>
    <cellStyle name="Normal 4 22" xfId="30356" xr:uid="{00000000-0005-0000-0000-000091760000}"/>
    <cellStyle name="Normal 4 22 2" xfId="30357" xr:uid="{00000000-0005-0000-0000-000092760000}"/>
    <cellStyle name="Normal 4 22 3" xfId="30358" xr:uid="{00000000-0005-0000-0000-000093760000}"/>
    <cellStyle name="Normal 4 22 4" xfId="30359" xr:uid="{00000000-0005-0000-0000-000094760000}"/>
    <cellStyle name="Normal 4 22_Enlaces" xfId="30360" xr:uid="{00000000-0005-0000-0000-000095760000}"/>
    <cellStyle name="Normal 4 23" xfId="30361" xr:uid="{00000000-0005-0000-0000-000096760000}"/>
    <cellStyle name="Normal 4 23 2" xfId="30362" xr:uid="{00000000-0005-0000-0000-000097760000}"/>
    <cellStyle name="Normal 4 23 3" xfId="30363" xr:uid="{00000000-0005-0000-0000-000098760000}"/>
    <cellStyle name="Normal 4 23 4" xfId="30364" xr:uid="{00000000-0005-0000-0000-000099760000}"/>
    <cellStyle name="Normal 4 23_Enlaces" xfId="30365" xr:uid="{00000000-0005-0000-0000-00009A760000}"/>
    <cellStyle name="Normal 4 24" xfId="30366" xr:uid="{00000000-0005-0000-0000-00009B760000}"/>
    <cellStyle name="Normal 4 24 2" xfId="30367" xr:uid="{00000000-0005-0000-0000-00009C760000}"/>
    <cellStyle name="Normal 4 24 3" xfId="30368" xr:uid="{00000000-0005-0000-0000-00009D760000}"/>
    <cellStyle name="Normal 4 24 4" xfId="30369" xr:uid="{00000000-0005-0000-0000-00009E760000}"/>
    <cellStyle name="Normal 4 24_Enlaces" xfId="30370" xr:uid="{00000000-0005-0000-0000-00009F760000}"/>
    <cellStyle name="Normal 4 25" xfId="30371" xr:uid="{00000000-0005-0000-0000-0000A0760000}"/>
    <cellStyle name="Normal 4 25 2" xfId="30372" xr:uid="{00000000-0005-0000-0000-0000A1760000}"/>
    <cellStyle name="Normal 4 25 3" xfId="30373" xr:uid="{00000000-0005-0000-0000-0000A2760000}"/>
    <cellStyle name="Normal 4 25 4" xfId="30374" xr:uid="{00000000-0005-0000-0000-0000A3760000}"/>
    <cellStyle name="Normal 4 25_Enlaces" xfId="30375" xr:uid="{00000000-0005-0000-0000-0000A4760000}"/>
    <cellStyle name="Normal 4 26" xfId="30376" xr:uid="{00000000-0005-0000-0000-0000A5760000}"/>
    <cellStyle name="Normal 4 26 2" xfId="30377" xr:uid="{00000000-0005-0000-0000-0000A6760000}"/>
    <cellStyle name="Normal 4 26 3" xfId="30378" xr:uid="{00000000-0005-0000-0000-0000A7760000}"/>
    <cellStyle name="Normal 4 26 4" xfId="30379" xr:uid="{00000000-0005-0000-0000-0000A8760000}"/>
    <cellStyle name="Normal 4 26_Enlaces" xfId="30380" xr:uid="{00000000-0005-0000-0000-0000A9760000}"/>
    <cellStyle name="Normal 4 27" xfId="30381" xr:uid="{00000000-0005-0000-0000-0000AA760000}"/>
    <cellStyle name="Normal 4 27 2" xfId="30382" xr:uid="{00000000-0005-0000-0000-0000AB760000}"/>
    <cellStyle name="Normal 4 27 3" xfId="30383" xr:uid="{00000000-0005-0000-0000-0000AC760000}"/>
    <cellStyle name="Normal 4 28" xfId="30384" xr:uid="{00000000-0005-0000-0000-0000AD760000}"/>
    <cellStyle name="Normal 4 28 2" xfId="30385" xr:uid="{00000000-0005-0000-0000-0000AE760000}"/>
    <cellStyle name="Normal 4 28 3" xfId="30386" xr:uid="{00000000-0005-0000-0000-0000AF760000}"/>
    <cellStyle name="Normal 4 29" xfId="30387" xr:uid="{00000000-0005-0000-0000-0000B0760000}"/>
    <cellStyle name="Normal 4 29 2" xfId="30388" xr:uid="{00000000-0005-0000-0000-0000B1760000}"/>
    <cellStyle name="Normal 4 29 3" xfId="30389" xr:uid="{00000000-0005-0000-0000-0000B2760000}"/>
    <cellStyle name="Normal 4 3" xfId="30390" xr:uid="{00000000-0005-0000-0000-0000B3760000}"/>
    <cellStyle name="Normal 4 3 10" xfId="30391" xr:uid="{00000000-0005-0000-0000-0000B4760000}"/>
    <cellStyle name="Normal 4 3 11" xfId="30392" xr:uid="{00000000-0005-0000-0000-0000B5760000}"/>
    <cellStyle name="Normal 4 3 12" xfId="30393" xr:uid="{00000000-0005-0000-0000-0000B6760000}"/>
    <cellStyle name="Normal 4 3 13" xfId="30394" xr:uid="{00000000-0005-0000-0000-0000B7760000}"/>
    <cellStyle name="Normal 4 3 14" xfId="30395" xr:uid="{00000000-0005-0000-0000-0000B8760000}"/>
    <cellStyle name="Normal 4 3 15" xfId="30396" xr:uid="{00000000-0005-0000-0000-0000B9760000}"/>
    <cellStyle name="Normal 4 3 16" xfId="30397" xr:uid="{00000000-0005-0000-0000-0000BA760000}"/>
    <cellStyle name="Normal 4 3 17" xfId="30398" xr:uid="{00000000-0005-0000-0000-0000BB760000}"/>
    <cellStyle name="Normal 4 3 18" xfId="30399" xr:uid="{00000000-0005-0000-0000-0000BC760000}"/>
    <cellStyle name="Normal 4 3 19" xfId="30400" xr:uid="{00000000-0005-0000-0000-0000BD760000}"/>
    <cellStyle name="Normal 4 3 2" xfId="30401" xr:uid="{00000000-0005-0000-0000-0000BE760000}"/>
    <cellStyle name="Normal 4 3 2 2" xfId="30402" xr:uid="{00000000-0005-0000-0000-0000BF760000}"/>
    <cellStyle name="Normal 4 3 20" xfId="30403" xr:uid="{00000000-0005-0000-0000-0000C0760000}"/>
    <cellStyle name="Normal 4 3 21" xfId="30404" xr:uid="{00000000-0005-0000-0000-0000C1760000}"/>
    <cellStyle name="Normal 4 3 22" xfId="30405" xr:uid="{00000000-0005-0000-0000-0000C2760000}"/>
    <cellStyle name="Normal 4 3 23" xfId="30406" xr:uid="{00000000-0005-0000-0000-0000C3760000}"/>
    <cellStyle name="Normal 4 3 24" xfId="30407" xr:uid="{00000000-0005-0000-0000-0000C4760000}"/>
    <cellStyle name="Normal 4 3 25" xfId="30408" xr:uid="{00000000-0005-0000-0000-0000C5760000}"/>
    <cellStyle name="Normal 4 3 26" xfId="30409" xr:uid="{00000000-0005-0000-0000-0000C6760000}"/>
    <cellStyle name="Normal 4 3 27" xfId="30410" xr:uid="{00000000-0005-0000-0000-0000C7760000}"/>
    <cellStyle name="Normal 4 3 28" xfId="30411" xr:uid="{00000000-0005-0000-0000-0000C8760000}"/>
    <cellStyle name="Normal 4 3 29" xfId="30412" xr:uid="{00000000-0005-0000-0000-0000C9760000}"/>
    <cellStyle name="Normal 4 3 3" xfId="30413" xr:uid="{00000000-0005-0000-0000-0000CA760000}"/>
    <cellStyle name="Normal 4 3 30" xfId="30414" xr:uid="{00000000-0005-0000-0000-0000CB760000}"/>
    <cellStyle name="Normal 4 3 31" xfId="30415" xr:uid="{00000000-0005-0000-0000-0000CC760000}"/>
    <cellStyle name="Normal 4 3 32" xfId="30416" xr:uid="{00000000-0005-0000-0000-0000CD760000}"/>
    <cellStyle name="Normal 4 3 33" xfId="30417" xr:uid="{00000000-0005-0000-0000-0000CE760000}"/>
    <cellStyle name="Normal 4 3 34" xfId="30418" xr:uid="{00000000-0005-0000-0000-0000CF760000}"/>
    <cellStyle name="Normal 4 3 4" xfId="30419" xr:uid="{00000000-0005-0000-0000-0000D0760000}"/>
    <cellStyle name="Normal 4 3 5" xfId="30420" xr:uid="{00000000-0005-0000-0000-0000D1760000}"/>
    <cellStyle name="Normal 4 3 6" xfId="30421" xr:uid="{00000000-0005-0000-0000-0000D2760000}"/>
    <cellStyle name="Normal 4 3 7" xfId="30422" xr:uid="{00000000-0005-0000-0000-0000D3760000}"/>
    <cellStyle name="Normal 4 3 8" xfId="30423" xr:uid="{00000000-0005-0000-0000-0000D4760000}"/>
    <cellStyle name="Normal 4 3 9" xfId="30424" xr:uid="{00000000-0005-0000-0000-0000D5760000}"/>
    <cellStyle name="Normal 4 3_Enlaces" xfId="30425" xr:uid="{00000000-0005-0000-0000-0000D6760000}"/>
    <cellStyle name="Normal 4 30" xfId="30426" xr:uid="{00000000-0005-0000-0000-0000D7760000}"/>
    <cellStyle name="Normal 4 30 2" xfId="30427" xr:uid="{00000000-0005-0000-0000-0000D8760000}"/>
    <cellStyle name="Normal 4 30 3" xfId="30428" xr:uid="{00000000-0005-0000-0000-0000D9760000}"/>
    <cellStyle name="Normal 4 31" xfId="30429" xr:uid="{00000000-0005-0000-0000-0000DA760000}"/>
    <cellStyle name="Normal 4 31 2" xfId="30430" xr:uid="{00000000-0005-0000-0000-0000DB760000}"/>
    <cellStyle name="Normal 4 31 3" xfId="30431" xr:uid="{00000000-0005-0000-0000-0000DC760000}"/>
    <cellStyle name="Normal 4 32" xfId="30432" xr:uid="{00000000-0005-0000-0000-0000DD760000}"/>
    <cellStyle name="Normal 4 32 2" xfId="30433" xr:uid="{00000000-0005-0000-0000-0000DE760000}"/>
    <cellStyle name="Normal 4 32 3" xfId="30434" xr:uid="{00000000-0005-0000-0000-0000DF760000}"/>
    <cellStyle name="Normal 4 33" xfId="30435" xr:uid="{00000000-0005-0000-0000-0000E0760000}"/>
    <cellStyle name="Normal 4 33 2" xfId="30436" xr:uid="{00000000-0005-0000-0000-0000E1760000}"/>
    <cellStyle name="Normal 4 33 3" xfId="30437" xr:uid="{00000000-0005-0000-0000-0000E2760000}"/>
    <cellStyle name="Normal 4 34" xfId="30438" xr:uid="{00000000-0005-0000-0000-0000E3760000}"/>
    <cellStyle name="Normal 4 34 2" xfId="30439" xr:uid="{00000000-0005-0000-0000-0000E4760000}"/>
    <cellStyle name="Normal 4 34 3" xfId="30440" xr:uid="{00000000-0005-0000-0000-0000E5760000}"/>
    <cellStyle name="Normal 4 35" xfId="30441" xr:uid="{00000000-0005-0000-0000-0000E6760000}"/>
    <cellStyle name="Normal 4 35 2" xfId="30442" xr:uid="{00000000-0005-0000-0000-0000E7760000}"/>
    <cellStyle name="Normal 4 35 3" xfId="30443" xr:uid="{00000000-0005-0000-0000-0000E8760000}"/>
    <cellStyle name="Normal 4 36" xfId="30444" xr:uid="{00000000-0005-0000-0000-0000E9760000}"/>
    <cellStyle name="Normal 4 36 2" xfId="30445" xr:uid="{00000000-0005-0000-0000-0000EA760000}"/>
    <cellStyle name="Normal 4 36 3" xfId="30446" xr:uid="{00000000-0005-0000-0000-0000EB760000}"/>
    <cellStyle name="Normal 4 37" xfId="30447" xr:uid="{00000000-0005-0000-0000-0000EC760000}"/>
    <cellStyle name="Normal 4 37 2" xfId="30448" xr:uid="{00000000-0005-0000-0000-0000ED760000}"/>
    <cellStyle name="Normal 4 37 3" xfId="30449" xr:uid="{00000000-0005-0000-0000-0000EE760000}"/>
    <cellStyle name="Normal 4 38" xfId="30450" xr:uid="{00000000-0005-0000-0000-0000EF760000}"/>
    <cellStyle name="Normal 4 38 2" xfId="30451" xr:uid="{00000000-0005-0000-0000-0000F0760000}"/>
    <cellStyle name="Normal 4 38 3" xfId="30452" xr:uid="{00000000-0005-0000-0000-0000F1760000}"/>
    <cellStyle name="Normal 4 39" xfId="30453" xr:uid="{00000000-0005-0000-0000-0000F2760000}"/>
    <cellStyle name="Normal 4 39 2" xfId="30454" xr:uid="{00000000-0005-0000-0000-0000F3760000}"/>
    <cellStyle name="Normal 4 39 3" xfId="30455" xr:uid="{00000000-0005-0000-0000-0000F4760000}"/>
    <cellStyle name="Normal 4 4" xfId="30456" xr:uid="{00000000-0005-0000-0000-0000F5760000}"/>
    <cellStyle name="Normal 4 4 2" xfId="30457" xr:uid="{00000000-0005-0000-0000-0000F6760000}"/>
    <cellStyle name="Normal 4 4 3" xfId="30458" xr:uid="{00000000-0005-0000-0000-0000F7760000}"/>
    <cellStyle name="Normal 4 4 4" xfId="30459" xr:uid="{00000000-0005-0000-0000-0000F8760000}"/>
    <cellStyle name="Normal 4 4 5" xfId="30460" xr:uid="{00000000-0005-0000-0000-0000F9760000}"/>
    <cellStyle name="Normal 4 4_Enlaces" xfId="30461" xr:uid="{00000000-0005-0000-0000-0000FA760000}"/>
    <cellStyle name="Normal 4 40" xfId="30462" xr:uid="{00000000-0005-0000-0000-0000FB760000}"/>
    <cellStyle name="Normal 4 40 2" xfId="30463" xr:uid="{00000000-0005-0000-0000-0000FC760000}"/>
    <cellStyle name="Normal 4 40 3" xfId="30464" xr:uid="{00000000-0005-0000-0000-0000FD760000}"/>
    <cellStyle name="Normal 4 41" xfId="30465" xr:uid="{00000000-0005-0000-0000-0000FE760000}"/>
    <cellStyle name="Normal 4 41 2" xfId="30466" xr:uid="{00000000-0005-0000-0000-0000FF760000}"/>
    <cellStyle name="Normal 4 41 3" xfId="30467" xr:uid="{00000000-0005-0000-0000-000000770000}"/>
    <cellStyle name="Normal 4 42" xfId="30468" xr:uid="{00000000-0005-0000-0000-000001770000}"/>
    <cellStyle name="Normal 4 42 2" xfId="30469" xr:uid="{00000000-0005-0000-0000-000002770000}"/>
    <cellStyle name="Normal 4 42 3" xfId="30470" xr:uid="{00000000-0005-0000-0000-000003770000}"/>
    <cellStyle name="Normal 4 43" xfId="30471" xr:uid="{00000000-0005-0000-0000-000004770000}"/>
    <cellStyle name="Normal 4 43 2" xfId="30472" xr:uid="{00000000-0005-0000-0000-000005770000}"/>
    <cellStyle name="Normal 4 43 3" xfId="30473" xr:uid="{00000000-0005-0000-0000-000006770000}"/>
    <cellStyle name="Normal 4 44" xfId="30474" xr:uid="{00000000-0005-0000-0000-000007770000}"/>
    <cellStyle name="Normal 4 44 2" xfId="30475" xr:uid="{00000000-0005-0000-0000-000008770000}"/>
    <cellStyle name="Normal 4 44 3" xfId="30476" xr:uid="{00000000-0005-0000-0000-000009770000}"/>
    <cellStyle name="Normal 4 45" xfId="30477" xr:uid="{00000000-0005-0000-0000-00000A770000}"/>
    <cellStyle name="Normal 4 45 2" xfId="30478" xr:uid="{00000000-0005-0000-0000-00000B770000}"/>
    <cellStyle name="Normal 4 45 3" xfId="30479" xr:uid="{00000000-0005-0000-0000-00000C770000}"/>
    <cellStyle name="Normal 4 46" xfId="30480" xr:uid="{00000000-0005-0000-0000-00000D770000}"/>
    <cellStyle name="Normal 4 46 2" xfId="30481" xr:uid="{00000000-0005-0000-0000-00000E770000}"/>
    <cellStyle name="Normal 4 46 3" xfId="30482" xr:uid="{00000000-0005-0000-0000-00000F770000}"/>
    <cellStyle name="Normal 4 47" xfId="30483" xr:uid="{00000000-0005-0000-0000-000010770000}"/>
    <cellStyle name="Normal 4 48" xfId="30484" xr:uid="{00000000-0005-0000-0000-000011770000}"/>
    <cellStyle name="Normal 4 49" xfId="30485" xr:uid="{00000000-0005-0000-0000-000012770000}"/>
    <cellStyle name="Normal 4 5" xfId="30486" xr:uid="{00000000-0005-0000-0000-000013770000}"/>
    <cellStyle name="Normal 4 5 2" xfId="30487" xr:uid="{00000000-0005-0000-0000-000014770000}"/>
    <cellStyle name="Normal 4 5 3" xfId="30488" xr:uid="{00000000-0005-0000-0000-000015770000}"/>
    <cellStyle name="Normal 4 5 4" xfId="30489" xr:uid="{00000000-0005-0000-0000-000016770000}"/>
    <cellStyle name="Normal 4 5 5" xfId="30490" xr:uid="{00000000-0005-0000-0000-000017770000}"/>
    <cellStyle name="Normal 4 5_Enlaces" xfId="30491" xr:uid="{00000000-0005-0000-0000-000018770000}"/>
    <cellStyle name="Normal 4 50" xfId="30492" xr:uid="{00000000-0005-0000-0000-000019770000}"/>
    <cellStyle name="Normal 4 51" xfId="30493" xr:uid="{00000000-0005-0000-0000-00001A770000}"/>
    <cellStyle name="Normal 4 52" xfId="30494" xr:uid="{00000000-0005-0000-0000-00001B770000}"/>
    <cellStyle name="Normal 4 53" xfId="30495" xr:uid="{00000000-0005-0000-0000-00001C770000}"/>
    <cellStyle name="Normal 4 54" xfId="30496" xr:uid="{00000000-0005-0000-0000-00001D770000}"/>
    <cellStyle name="Normal 4 55" xfId="30497" xr:uid="{00000000-0005-0000-0000-00001E770000}"/>
    <cellStyle name="Normal 4 56" xfId="30498" xr:uid="{00000000-0005-0000-0000-00001F770000}"/>
    <cellStyle name="Normal 4 57" xfId="30499" xr:uid="{00000000-0005-0000-0000-000020770000}"/>
    <cellStyle name="Normal 4 58" xfId="30500" xr:uid="{00000000-0005-0000-0000-000021770000}"/>
    <cellStyle name="Normal 4 59" xfId="30501" xr:uid="{00000000-0005-0000-0000-000022770000}"/>
    <cellStyle name="Normal 4 6" xfId="30502" xr:uid="{00000000-0005-0000-0000-000023770000}"/>
    <cellStyle name="Normal 4 6 2" xfId="30503" xr:uid="{00000000-0005-0000-0000-000024770000}"/>
    <cellStyle name="Normal 4 6 3" xfId="30504" xr:uid="{00000000-0005-0000-0000-000025770000}"/>
    <cellStyle name="Normal 4 6 4" xfId="30505" xr:uid="{00000000-0005-0000-0000-000026770000}"/>
    <cellStyle name="Normal 4 6 5" xfId="30506" xr:uid="{00000000-0005-0000-0000-000027770000}"/>
    <cellStyle name="Normal 4 6_Enlaces" xfId="30507" xr:uid="{00000000-0005-0000-0000-000028770000}"/>
    <cellStyle name="Normal 4 60" xfId="30508" xr:uid="{00000000-0005-0000-0000-000029770000}"/>
    <cellStyle name="Normal 4 61" xfId="30509" xr:uid="{00000000-0005-0000-0000-00002A770000}"/>
    <cellStyle name="Normal 4 62" xfId="30510" xr:uid="{00000000-0005-0000-0000-00002B770000}"/>
    <cellStyle name="Normal 4 63" xfId="30511" xr:uid="{00000000-0005-0000-0000-00002C770000}"/>
    <cellStyle name="Normal 4 64" xfId="30512" xr:uid="{00000000-0005-0000-0000-00002D770000}"/>
    <cellStyle name="Normal 4 65" xfId="30513" xr:uid="{00000000-0005-0000-0000-00002E770000}"/>
    <cellStyle name="Normal 4 66" xfId="30514" xr:uid="{00000000-0005-0000-0000-00002F770000}"/>
    <cellStyle name="Normal 4 67" xfId="30515" xr:uid="{00000000-0005-0000-0000-000030770000}"/>
    <cellStyle name="Normal 4 68" xfId="30516" xr:uid="{00000000-0005-0000-0000-000031770000}"/>
    <cellStyle name="Normal 4 69" xfId="30517" xr:uid="{00000000-0005-0000-0000-000032770000}"/>
    <cellStyle name="Normal 4 7" xfId="30518" xr:uid="{00000000-0005-0000-0000-000033770000}"/>
    <cellStyle name="Normal 4 7 2" xfId="30519" xr:uid="{00000000-0005-0000-0000-000034770000}"/>
    <cellStyle name="Normal 4 7 3" xfId="30520" xr:uid="{00000000-0005-0000-0000-000035770000}"/>
    <cellStyle name="Normal 4 7 4" xfId="30521" xr:uid="{00000000-0005-0000-0000-000036770000}"/>
    <cellStyle name="Normal 4 7 5" xfId="30522" xr:uid="{00000000-0005-0000-0000-000037770000}"/>
    <cellStyle name="Normal 4 7_Enlaces" xfId="30523" xr:uid="{00000000-0005-0000-0000-000038770000}"/>
    <cellStyle name="Normal 4 70" xfId="30524" xr:uid="{00000000-0005-0000-0000-000039770000}"/>
    <cellStyle name="Normal 4 71" xfId="30525" xr:uid="{00000000-0005-0000-0000-00003A770000}"/>
    <cellStyle name="Normal 4 72" xfId="30526" xr:uid="{00000000-0005-0000-0000-00003B770000}"/>
    <cellStyle name="Normal 4 73" xfId="30527" xr:uid="{00000000-0005-0000-0000-00003C770000}"/>
    <cellStyle name="Normal 4 74" xfId="30528" xr:uid="{00000000-0005-0000-0000-00003D770000}"/>
    <cellStyle name="Normal 4 75" xfId="30529" xr:uid="{00000000-0005-0000-0000-00003E770000}"/>
    <cellStyle name="Normal 4 76" xfId="30530" xr:uid="{00000000-0005-0000-0000-00003F770000}"/>
    <cellStyle name="Normal 4 77" xfId="30531" xr:uid="{00000000-0005-0000-0000-000040770000}"/>
    <cellStyle name="Normal 4 78" xfId="30532" xr:uid="{00000000-0005-0000-0000-000041770000}"/>
    <cellStyle name="Normal 4 79" xfId="30533" xr:uid="{00000000-0005-0000-0000-000042770000}"/>
    <cellStyle name="Normal 4 8" xfId="30534" xr:uid="{00000000-0005-0000-0000-000043770000}"/>
    <cellStyle name="Normal 4 8 2" xfId="30535" xr:uid="{00000000-0005-0000-0000-000044770000}"/>
    <cellStyle name="Normal 4 8 3" xfId="30536" xr:uid="{00000000-0005-0000-0000-000045770000}"/>
    <cellStyle name="Normal 4 8 4" xfId="30537" xr:uid="{00000000-0005-0000-0000-000046770000}"/>
    <cellStyle name="Normal 4 8 5" xfId="30538" xr:uid="{00000000-0005-0000-0000-000047770000}"/>
    <cellStyle name="Normal 4 8_Enlaces" xfId="30539" xr:uid="{00000000-0005-0000-0000-000048770000}"/>
    <cellStyle name="Normal 4 80" xfId="30540" xr:uid="{00000000-0005-0000-0000-000049770000}"/>
    <cellStyle name="Normal 4 81" xfId="30541" xr:uid="{00000000-0005-0000-0000-00004A770000}"/>
    <cellStyle name="Normal 4 82" xfId="30542" xr:uid="{00000000-0005-0000-0000-00004B770000}"/>
    <cellStyle name="Normal 4 83" xfId="30543" xr:uid="{00000000-0005-0000-0000-00004C770000}"/>
    <cellStyle name="Normal 4 84" xfId="30544" xr:uid="{00000000-0005-0000-0000-00004D770000}"/>
    <cellStyle name="Normal 4 85" xfId="30545" xr:uid="{00000000-0005-0000-0000-00004E770000}"/>
    <cellStyle name="Normal 4 86" xfId="30546" xr:uid="{00000000-0005-0000-0000-00004F770000}"/>
    <cellStyle name="Normal 4 87" xfId="30547" xr:uid="{00000000-0005-0000-0000-000050770000}"/>
    <cellStyle name="Normal 4 88" xfId="30548" xr:uid="{00000000-0005-0000-0000-000051770000}"/>
    <cellStyle name="Normal 4 89" xfId="30549" xr:uid="{00000000-0005-0000-0000-000052770000}"/>
    <cellStyle name="Normal 4 9" xfId="30550" xr:uid="{00000000-0005-0000-0000-000053770000}"/>
    <cellStyle name="Normal 4 9 2" xfId="30551" xr:uid="{00000000-0005-0000-0000-000054770000}"/>
    <cellStyle name="Normal 4 9 3" xfId="30552" xr:uid="{00000000-0005-0000-0000-000055770000}"/>
    <cellStyle name="Normal 4 9 4" xfId="30553" xr:uid="{00000000-0005-0000-0000-000056770000}"/>
    <cellStyle name="Normal 4 9 5" xfId="30554" xr:uid="{00000000-0005-0000-0000-000057770000}"/>
    <cellStyle name="Normal 4 9_Enlaces" xfId="30555" xr:uid="{00000000-0005-0000-0000-000058770000}"/>
    <cellStyle name="Normal 4 90" xfId="30556" xr:uid="{00000000-0005-0000-0000-000059770000}"/>
    <cellStyle name="Normal 4 91" xfId="30557" xr:uid="{00000000-0005-0000-0000-00005A770000}"/>
    <cellStyle name="Normal 4 92" xfId="30558" xr:uid="{00000000-0005-0000-0000-00005B770000}"/>
    <cellStyle name="Normal 4 93" xfId="30559" xr:uid="{00000000-0005-0000-0000-00005C770000}"/>
    <cellStyle name="Normal 4 94" xfId="30560" xr:uid="{00000000-0005-0000-0000-00005D770000}"/>
    <cellStyle name="Normal 4 95" xfId="30561" xr:uid="{00000000-0005-0000-0000-00005E770000}"/>
    <cellStyle name="Normal 4 96" xfId="30562" xr:uid="{00000000-0005-0000-0000-00005F770000}"/>
    <cellStyle name="Normal 4 97" xfId="30563" xr:uid="{00000000-0005-0000-0000-000060770000}"/>
    <cellStyle name="Normal 4 98" xfId="30564" xr:uid="{00000000-0005-0000-0000-000061770000}"/>
    <cellStyle name="Normal 4 98 2" xfId="30565" xr:uid="{00000000-0005-0000-0000-000062770000}"/>
    <cellStyle name="Normal 4 98 3" xfId="30566" xr:uid="{00000000-0005-0000-0000-000063770000}"/>
    <cellStyle name="Normal 4 98 4" xfId="30567" xr:uid="{00000000-0005-0000-0000-000064770000}"/>
    <cellStyle name="Normal 4 98 5" xfId="30568" xr:uid="{00000000-0005-0000-0000-000065770000}"/>
    <cellStyle name="Normal 4 98 6" xfId="30569" xr:uid="{00000000-0005-0000-0000-000066770000}"/>
    <cellStyle name="Normal 4 99" xfId="30570" xr:uid="{00000000-0005-0000-0000-000067770000}"/>
    <cellStyle name="Normal 4 99 2" xfId="30571" xr:uid="{00000000-0005-0000-0000-000068770000}"/>
    <cellStyle name="Normal 4 99 3" xfId="30572" xr:uid="{00000000-0005-0000-0000-000069770000}"/>
    <cellStyle name="Normal 4 99 4" xfId="30573" xr:uid="{00000000-0005-0000-0000-00006A770000}"/>
    <cellStyle name="Normal 4 99 5" xfId="30574" xr:uid="{00000000-0005-0000-0000-00006B770000}"/>
    <cellStyle name="Normal 4 99 6" xfId="30575" xr:uid="{00000000-0005-0000-0000-00006C770000}"/>
    <cellStyle name="Normal 4_Enlaces" xfId="30576" xr:uid="{00000000-0005-0000-0000-00006D770000}"/>
    <cellStyle name="Normal 40" xfId="30577" xr:uid="{00000000-0005-0000-0000-00006E770000}"/>
    <cellStyle name="Normal 40 10" xfId="30578" xr:uid="{00000000-0005-0000-0000-00006F770000}"/>
    <cellStyle name="Normal 40 11" xfId="30579" xr:uid="{00000000-0005-0000-0000-000070770000}"/>
    <cellStyle name="Normal 40 12" xfId="30580" xr:uid="{00000000-0005-0000-0000-000071770000}"/>
    <cellStyle name="Normal 40 13" xfId="30581" xr:uid="{00000000-0005-0000-0000-000072770000}"/>
    <cellStyle name="Normal 40 14" xfId="30582" xr:uid="{00000000-0005-0000-0000-000073770000}"/>
    <cellStyle name="Normal 40 15" xfId="30583" xr:uid="{00000000-0005-0000-0000-000074770000}"/>
    <cellStyle name="Normal 40 16" xfId="30584" xr:uid="{00000000-0005-0000-0000-000075770000}"/>
    <cellStyle name="Normal 40 17" xfId="30585" xr:uid="{00000000-0005-0000-0000-000076770000}"/>
    <cellStyle name="Normal 40 18" xfId="30586" xr:uid="{00000000-0005-0000-0000-000077770000}"/>
    <cellStyle name="Normal 40 19" xfId="30587" xr:uid="{00000000-0005-0000-0000-000078770000}"/>
    <cellStyle name="Normal 40 2" xfId="30588" xr:uid="{00000000-0005-0000-0000-000079770000}"/>
    <cellStyle name="Normal 40 2 2" xfId="30589" xr:uid="{00000000-0005-0000-0000-00007A770000}"/>
    <cellStyle name="Normal 40 20" xfId="30590" xr:uid="{00000000-0005-0000-0000-00007B770000}"/>
    <cellStyle name="Normal 40 21" xfId="30591" xr:uid="{00000000-0005-0000-0000-00007C770000}"/>
    <cellStyle name="Normal 40 22" xfId="30592" xr:uid="{00000000-0005-0000-0000-00007D770000}"/>
    <cellStyle name="Normal 40 23" xfId="30593" xr:uid="{00000000-0005-0000-0000-00007E770000}"/>
    <cellStyle name="Normal 40 24" xfId="30594" xr:uid="{00000000-0005-0000-0000-00007F770000}"/>
    <cellStyle name="Normal 40 25" xfId="30595" xr:uid="{00000000-0005-0000-0000-000080770000}"/>
    <cellStyle name="Normal 40 26" xfId="30596" xr:uid="{00000000-0005-0000-0000-000081770000}"/>
    <cellStyle name="Normal 40 3" xfId="30597" xr:uid="{00000000-0005-0000-0000-000082770000}"/>
    <cellStyle name="Normal 40 3 2" xfId="30598" xr:uid="{00000000-0005-0000-0000-000083770000}"/>
    <cellStyle name="Normal 40 4" xfId="30599" xr:uid="{00000000-0005-0000-0000-000084770000}"/>
    <cellStyle name="Normal 40 4 2" xfId="30600" xr:uid="{00000000-0005-0000-0000-000085770000}"/>
    <cellStyle name="Normal 40 5" xfId="30601" xr:uid="{00000000-0005-0000-0000-000086770000}"/>
    <cellStyle name="Normal 40 5 2" xfId="30602" xr:uid="{00000000-0005-0000-0000-000087770000}"/>
    <cellStyle name="Normal 40 6" xfId="30603" xr:uid="{00000000-0005-0000-0000-000088770000}"/>
    <cellStyle name="Normal 40 7" xfId="30604" xr:uid="{00000000-0005-0000-0000-000089770000}"/>
    <cellStyle name="Normal 40 8" xfId="30605" xr:uid="{00000000-0005-0000-0000-00008A770000}"/>
    <cellStyle name="Normal 40 9" xfId="30606" xr:uid="{00000000-0005-0000-0000-00008B770000}"/>
    <cellStyle name="Normal 41" xfId="30607" xr:uid="{00000000-0005-0000-0000-00008C770000}"/>
    <cellStyle name="Normal 41 10" xfId="30608" xr:uid="{00000000-0005-0000-0000-00008D770000}"/>
    <cellStyle name="Normal 41 11" xfId="30609" xr:uid="{00000000-0005-0000-0000-00008E770000}"/>
    <cellStyle name="Normal 41 12" xfId="30610" xr:uid="{00000000-0005-0000-0000-00008F770000}"/>
    <cellStyle name="Normal 41 13" xfId="30611" xr:uid="{00000000-0005-0000-0000-000090770000}"/>
    <cellStyle name="Normal 41 14" xfId="30612" xr:uid="{00000000-0005-0000-0000-000091770000}"/>
    <cellStyle name="Normal 41 15" xfId="30613" xr:uid="{00000000-0005-0000-0000-000092770000}"/>
    <cellStyle name="Normal 41 16" xfId="30614" xr:uid="{00000000-0005-0000-0000-000093770000}"/>
    <cellStyle name="Normal 41 17" xfId="30615" xr:uid="{00000000-0005-0000-0000-000094770000}"/>
    <cellStyle name="Normal 41 18" xfId="30616" xr:uid="{00000000-0005-0000-0000-000095770000}"/>
    <cellStyle name="Normal 41 19" xfId="30617" xr:uid="{00000000-0005-0000-0000-000096770000}"/>
    <cellStyle name="Normal 41 2" xfId="30618" xr:uid="{00000000-0005-0000-0000-000097770000}"/>
    <cellStyle name="Normal 41 2 2" xfId="30619" xr:uid="{00000000-0005-0000-0000-000098770000}"/>
    <cellStyle name="Normal 41 20" xfId="30620" xr:uid="{00000000-0005-0000-0000-000099770000}"/>
    <cellStyle name="Normal 41 21" xfId="30621" xr:uid="{00000000-0005-0000-0000-00009A770000}"/>
    <cellStyle name="Normal 41 22" xfId="30622" xr:uid="{00000000-0005-0000-0000-00009B770000}"/>
    <cellStyle name="Normal 41 23" xfId="30623" xr:uid="{00000000-0005-0000-0000-00009C770000}"/>
    <cellStyle name="Normal 41 24" xfId="30624" xr:uid="{00000000-0005-0000-0000-00009D770000}"/>
    <cellStyle name="Normal 41 25" xfId="30625" xr:uid="{00000000-0005-0000-0000-00009E770000}"/>
    <cellStyle name="Normal 41 26" xfId="30626" xr:uid="{00000000-0005-0000-0000-00009F770000}"/>
    <cellStyle name="Normal 41 3" xfId="30627" xr:uid="{00000000-0005-0000-0000-0000A0770000}"/>
    <cellStyle name="Normal 41 3 2" xfId="30628" xr:uid="{00000000-0005-0000-0000-0000A1770000}"/>
    <cellStyle name="Normal 41 4" xfId="30629" xr:uid="{00000000-0005-0000-0000-0000A2770000}"/>
    <cellStyle name="Normal 41 4 2" xfId="30630" xr:uid="{00000000-0005-0000-0000-0000A3770000}"/>
    <cellStyle name="Normal 41 5" xfId="30631" xr:uid="{00000000-0005-0000-0000-0000A4770000}"/>
    <cellStyle name="Normal 41 5 2" xfId="30632" xr:uid="{00000000-0005-0000-0000-0000A5770000}"/>
    <cellStyle name="Normal 41 6" xfId="30633" xr:uid="{00000000-0005-0000-0000-0000A6770000}"/>
    <cellStyle name="Normal 41 7" xfId="30634" xr:uid="{00000000-0005-0000-0000-0000A7770000}"/>
    <cellStyle name="Normal 41 8" xfId="30635" xr:uid="{00000000-0005-0000-0000-0000A8770000}"/>
    <cellStyle name="Normal 41 9" xfId="30636" xr:uid="{00000000-0005-0000-0000-0000A9770000}"/>
    <cellStyle name="Normal 42" xfId="30637" xr:uid="{00000000-0005-0000-0000-0000AA770000}"/>
    <cellStyle name="Normal 43" xfId="30638" xr:uid="{00000000-0005-0000-0000-0000AB770000}"/>
    <cellStyle name="Normal 43 10" xfId="30639" xr:uid="{00000000-0005-0000-0000-0000AC770000}"/>
    <cellStyle name="Normal 43 11" xfId="30640" xr:uid="{00000000-0005-0000-0000-0000AD770000}"/>
    <cellStyle name="Normal 43 12" xfId="30641" xr:uid="{00000000-0005-0000-0000-0000AE770000}"/>
    <cellStyle name="Normal 43 13" xfId="30642" xr:uid="{00000000-0005-0000-0000-0000AF770000}"/>
    <cellStyle name="Normal 43 14" xfId="30643" xr:uid="{00000000-0005-0000-0000-0000B0770000}"/>
    <cellStyle name="Normal 43 15" xfId="30644" xr:uid="{00000000-0005-0000-0000-0000B1770000}"/>
    <cellStyle name="Normal 43 16" xfId="30645" xr:uid="{00000000-0005-0000-0000-0000B2770000}"/>
    <cellStyle name="Normal 43 17" xfId="30646" xr:uid="{00000000-0005-0000-0000-0000B3770000}"/>
    <cellStyle name="Normal 43 18" xfId="30647" xr:uid="{00000000-0005-0000-0000-0000B4770000}"/>
    <cellStyle name="Normal 43 19" xfId="30648" xr:uid="{00000000-0005-0000-0000-0000B5770000}"/>
    <cellStyle name="Normal 43 2" xfId="30649" xr:uid="{00000000-0005-0000-0000-0000B6770000}"/>
    <cellStyle name="Normal 43 2 2" xfId="30650" xr:uid="{00000000-0005-0000-0000-0000B7770000}"/>
    <cellStyle name="Normal 43 20" xfId="30651" xr:uid="{00000000-0005-0000-0000-0000B8770000}"/>
    <cellStyle name="Normal 43 21" xfId="30652" xr:uid="{00000000-0005-0000-0000-0000B9770000}"/>
    <cellStyle name="Normal 43 22" xfId="30653" xr:uid="{00000000-0005-0000-0000-0000BA770000}"/>
    <cellStyle name="Normal 43 23" xfId="30654" xr:uid="{00000000-0005-0000-0000-0000BB770000}"/>
    <cellStyle name="Normal 43 24" xfId="30655" xr:uid="{00000000-0005-0000-0000-0000BC770000}"/>
    <cellStyle name="Normal 43 25" xfId="30656" xr:uid="{00000000-0005-0000-0000-0000BD770000}"/>
    <cellStyle name="Normal 43 26" xfId="30657" xr:uid="{00000000-0005-0000-0000-0000BE770000}"/>
    <cellStyle name="Normal 43 27" xfId="30658" xr:uid="{00000000-0005-0000-0000-0000BF770000}"/>
    <cellStyle name="Normal 43 28" xfId="30659" xr:uid="{00000000-0005-0000-0000-0000C0770000}"/>
    <cellStyle name="Normal 43 3" xfId="30660" xr:uid="{00000000-0005-0000-0000-0000C1770000}"/>
    <cellStyle name="Normal 43 3 2" xfId="30661" xr:uid="{00000000-0005-0000-0000-0000C2770000}"/>
    <cellStyle name="Normal 43 4" xfId="30662" xr:uid="{00000000-0005-0000-0000-0000C3770000}"/>
    <cellStyle name="Normal 43 4 2" xfId="30663" xr:uid="{00000000-0005-0000-0000-0000C4770000}"/>
    <cellStyle name="Normal 43 5" xfId="30664" xr:uid="{00000000-0005-0000-0000-0000C5770000}"/>
    <cellStyle name="Normal 43 5 2" xfId="30665" xr:uid="{00000000-0005-0000-0000-0000C6770000}"/>
    <cellStyle name="Normal 43 6" xfId="30666" xr:uid="{00000000-0005-0000-0000-0000C7770000}"/>
    <cellStyle name="Normal 43 7" xfId="30667" xr:uid="{00000000-0005-0000-0000-0000C8770000}"/>
    <cellStyle name="Normal 43 8" xfId="30668" xr:uid="{00000000-0005-0000-0000-0000C9770000}"/>
    <cellStyle name="Normal 43 9" xfId="30669" xr:uid="{00000000-0005-0000-0000-0000CA770000}"/>
    <cellStyle name="Normal 44" xfId="30670" xr:uid="{00000000-0005-0000-0000-0000CB770000}"/>
    <cellStyle name="Normal 44 10" xfId="30671" xr:uid="{00000000-0005-0000-0000-0000CC770000}"/>
    <cellStyle name="Normal 44 11" xfId="30672" xr:uid="{00000000-0005-0000-0000-0000CD770000}"/>
    <cellStyle name="Normal 44 12" xfId="30673" xr:uid="{00000000-0005-0000-0000-0000CE770000}"/>
    <cellStyle name="Normal 44 13" xfId="30674" xr:uid="{00000000-0005-0000-0000-0000CF770000}"/>
    <cellStyle name="Normal 44 14" xfId="30675" xr:uid="{00000000-0005-0000-0000-0000D0770000}"/>
    <cellStyle name="Normal 44 15" xfId="30676" xr:uid="{00000000-0005-0000-0000-0000D1770000}"/>
    <cellStyle name="Normal 44 16" xfId="30677" xr:uid="{00000000-0005-0000-0000-0000D2770000}"/>
    <cellStyle name="Normal 44 17" xfId="30678" xr:uid="{00000000-0005-0000-0000-0000D3770000}"/>
    <cellStyle name="Normal 44 18" xfId="30679" xr:uid="{00000000-0005-0000-0000-0000D4770000}"/>
    <cellStyle name="Normal 44 19" xfId="30680" xr:uid="{00000000-0005-0000-0000-0000D5770000}"/>
    <cellStyle name="Normal 44 2" xfId="30681" xr:uid="{00000000-0005-0000-0000-0000D6770000}"/>
    <cellStyle name="Normal 44 2 2" xfId="30682" xr:uid="{00000000-0005-0000-0000-0000D7770000}"/>
    <cellStyle name="Normal 44 20" xfId="30683" xr:uid="{00000000-0005-0000-0000-0000D8770000}"/>
    <cellStyle name="Normal 44 21" xfId="30684" xr:uid="{00000000-0005-0000-0000-0000D9770000}"/>
    <cellStyle name="Normal 44 22" xfId="30685" xr:uid="{00000000-0005-0000-0000-0000DA770000}"/>
    <cellStyle name="Normal 44 23" xfId="30686" xr:uid="{00000000-0005-0000-0000-0000DB770000}"/>
    <cellStyle name="Normal 44 24" xfId="30687" xr:uid="{00000000-0005-0000-0000-0000DC770000}"/>
    <cellStyle name="Normal 44 25" xfId="30688" xr:uid="{00000000-0005-0000-0000-0000DD770000}"/>
    <cellStyle name="Normal 44 26" xfId="30689" xr:uid="{00000000-0005-0000-0000-0000DE770000}"/>
    <cellStyle name="Normal 44 3" xfId="30690" xr:uid="{00000000-0005-0000-0000-0000DF770000}"/>
    <cellStyle name="Normal 44 3 2" xfId="30691" xr:uid="{00000000-0005-0000-0000-0000E0770000}"/>
    <cellStyle name="Normal 44 4" xfId="30692" xr:uid="{00000000-0005-0000-0000-0000E1770000}"/>
    <cellStyle name="Normal 44 4 2" xfId="30693" xr:uid="{00000000-0005-0000-0000-0000E2770000}"/>
    <cellStyle name="Normal 44 5" xfId="30694" xr:uid="{00000000-0005-0000-0000-0000E3770000}"/>
    <cellStyle name="Normal 44 5 2" xfId="30695" xr:uid="{00000000-0005-0000-0000-0000E4770000}"/>
    <cellStyle name="Normal 44 6" xfId="30696" xr:uid="{00000000-0005-0000-0000-0000E5770000}"/>
    <cellStyle name="Normal 44 7" xfId="30697" xr:uid="{00000000-0005-0000-0000-0000E6770000}"/>
    <cellStyle name="Normal 44 8" xfId="30698" xr:uid="{00000000-0005-0000-0000-0000E7770000}"/>
    <cellStyle name="Normal 44 9" xfId="30699" xr:uid="{00000000-0005-0000-0000-0000E8770000}"/>
    <cellStyle name="Normal 45" xfId="30700" xr:uid="{00000000-0005-0000-0000-0000E9770000}"/>
    <cellStyle name="Normal 46" xfId="30701" xr:uid="{00000000-0005-0000-0000-0000EA770000}"/>
    <cellStyle name="Normal 47" xfId="30702" xr:uid="{00000000-0005-0000-0000-0000EB770000}"/>
    <cellStyle name="Normal 48" xfId="30703" xr:uid="{00000000-0005-0000-0000-0000EC770000}"/>
    <cellStyle name="Normal 49" xfId="30704" xr:uid="{00000000-0005-0000-0000-0000ED770000}"/>
    <cellStyle name="Normal 49 10" xfId="30705" xr:uid="{00000000-0005-0000-0000-0000EE770000}"/>
    <cellStyle name="Normal 49 11" xfId="30706" xr:uid="{00000000-0005-0000-0000-0000EF770000}"/>
    <cellStyle name="Normal 49 12" xfId="30707" xr:uid="{00000000-0005-0000-0000-0000F0770000}"/>
    <cellStyle name="Normal 49 13" xfId="30708" xr:uid="{00000000-0005-0000-0000-0000F1770000}"/>
    <cellStyle name="Normal 49 14" xfId="30709" xr:uid="{00000000-0005-0000-0000-0000F2770000}"/>
    <cellStyle name="Normal 49 15" xfId="30710" xr:uid="{00000000-0005-0000-0000-0000F3770000}"/>
    <cellStyle name="Normal 49 16" xfId="30711" xr:uid="{00000000-0005-0000-0000-0000F4770000}"/>
    <cellStyle name="Normal 49 17" xfId="30712" xr:uid="{00000000-0005-0000-0000-0000F5770000}"/>
    <cellStyle name="Normal 49 18" xfId="30713" xr:uid="{00000000-0005-0000-0000-0000F6770000}"/>
    <cellStyle name="Normal 49 19" xfId="30714" xr:uid="{00000000-0005-0000-0000-0000F7770000}"/>
    <cellStyle name="Normal 49 2" xfId="30715" xr:uid="{00000000-0005-0000-0000-0000F8770000}"/>
    <cellStyle name="Normal 49 2 2" xfId="30716" xr:uid="{00000000-0005-0000-0000-0000F9770000}"/>
    <cellStyle name="Normal 49 20" xfId="30717" xr:uid="{00000000-0005-0000-0000-0000FA770000}"/>
    <cellStyle name="Normal 49 21" xfId="30718" xr:uid="{00000000-0005-0000-0000-0000FB770000}"/>
    <cellStyle name="Normal 49 22" xfId="30719" xr:uid="{00000000-0005-0000-0000-0000FC770000}"/>
    <cellStyle name="Normal 49 23" xfId="30720" xr:uid="{00000000-0005-0000-0000-0000FD770000}"/>
    <cellStyle name="Normal 49 24" xfId="30721" xr:uid="{00000000-0005-0000-0000-0000FE770000}"/>
    <cellStyle name="Normal 49 25" xfId="30722" xr:uid="{00000000-0005-0000-0000-0000FF770000}"/>
    <cellStyle name="Normal 49 26" xfId="30723" xr:uid="{00000000-0005-0000-0000-000000780000}"/>
    <cellStyle name="Normal 49 3" xfId="30724" xr:uid="{00000000-0005-0000-0000-000001780000}"/>
    <cellStyle name="Normal 49 3 2" xfId="30725" xr:uid="{00000000-0005-0000-0000-000002780000}"/>
    <cellStyle name="Normal 49 4" xfId="30726" xr:uid="{00000000-0005-0000-0000-000003780000}"/>
    <cellStyle name="Normal 49 4 2" xfId="30727" xr:uid="{00000000-0005-0000-0000-000004780000}"/>
    <cellStyle name="Normal 49 5" xfId="30728" xr:uid="{00000000-0005-0000-0000-000005780000}"/>
    <cellStyle name="Normal 49 5 2" xfId="30729" xr:uid="{00000000-0005-0000-0000-000006780000}"/>
    <cellStyle name="Normal 49 6" xfId="30730" xr:uid="{00000000-0005-0000-0000-000007780000}"/>
    <cellStyle name="Normal 49 7" xfId="30731" xr:uid="{00000000-0005-0000-0000-000008780000}"/>
    <cellStyle name="Normal 49 8" xfId="30732" xr:uid="{00000000-0005-0000-0000-000009780000}"/>
    <cellStyle name="Normal 49 9" xfId="30733" xr:uid="{00000000-0005-0000-0000-00000A780000}"/>
    <cellStyle name="Normal 5" xfId="2" xr:uid="{00000000-0005-0000-0000-00000B780000}"/>
    <cellStyle name="Normal 5 10" xfId="30734" xr:uid="{00000000-0005-0000-0000-00000C780000}"/>
    <cellStyle name="Normal 5 10 10" xfId="30735" xr:uid="{00000000-0005-0000-0000-00000D780000}"/>
    <cellStyle name="Normal 5 10 10 10" xfId="30736" xr:uid="{00000000-0005-0000-0000-00000E780000}"/>
    <cellStyle name="Normal 5 10 10 11" xfId="30737" xr:uid="{00000000-0005-0000-0000-00000F780000}"/>
    <cellStyle name="Normal 5 10 10 12" xfId="30738" xr:uid="{00000000-0005-0000-0000-000010780000}"/>
    <cellStyle name="Normal 5 10 10 13" xfId="30739" xr:uid="{00000000-0005-0000-0000-000011780000}"/>
    <cellStyle name="Normal 5 10 10 14" xfId="30740" xr:uid="{00000000-0005-0000-0000-000012780000}"/>
    <cellStyle name="Normal 5 10 10 2" xfId="30741" xr:uid="{00000000-0005-0000-0000-000013780000}"/>
    <cellStyle name="Normal 5 10 10 2 10" xfId="30742" xr:uid="{00000000-0005-0000-0000-000014780000}"/>
    <cellStyle name="Normal 5 10 10 2 2" xfId="30743" xr:uid="{00000000-0005-0000-0000-000015780000}"/>
    <cellStyle name="Normal 5 10 10 2 3" xfId="30744" xr:uid="{00000000-0005-0000-0000-000016780000}"/>
    <cellStyle name="Normal 5 10 10 2 4" xfId="30745" xr:uid="{00000000-0005-0000-0000-000017780000}"/>
    <cellStyle name="Normal 5 10 10 2 5" xfId="30746" xr:uid="{00000000-0005-0000-0000-000018780000}"/>
    <cellStyle name="Normal 5 10 10 2 6" xfId="30747" xr:uid="{00000000-0005-0000-0000-000019780000}"/>
    <cellStyle name="Normal 5 10 10 2 7" xfId="30748" xr:uid="{00000000-0005-0000-0000-00001A780000}"/>
    <cellStyle name="Normal 5 10 10 2 8" xfId="30749" xr:uid="{00000000-0005-0000-0000-00001B780000}"/>
    <cellStyle name="Normal 5 10 10 2 9" xfId="30750" xr:uid="{00000000-0005-0000-0000-00001C780000}"/>
    <cellStyle name="Normal 5 10 10 3" xfId="30751" xr:uid="{00000000-0005-0000-0000-00001D780000}"/>
    <cellStyle name="Normal 5 10 10 3 10" xfId="30752" xr:uid="{00000000-0005-0000-0000-00001E780000}"/>
    <cellStyle name="Normal 5 10 10 3 2" xfId="30753" xr:uid="{00000000-0005-0000-0000-00001F780000}"/>
    <cellStyle name="Normal 5 10 10 3 3" xfId="30754" xr:uid="{00000000-0005-0000-0000-000020780000}"/>
    <cellStyle name="Normal 5 10 10 3 4" xfId="30755" xr:uid="{00000000-0005-0000-0000-000021780000}"/>
    <cellStyle name="Normal 5 10 10 3 5" xfId="30756" xr:uid="{00000000-0005-0000-0000-000022780000}"/>
    <cellStyle name="Normal 5 10 10 3 6" xfId="30757" xr:uid="{00000000-0005-0000-0000-000023780000}"/>
    <cellStyle name="Normal 5 10 10 3 7" xfId="30758" xr:uid="{00000000-0005-0000-0000-000024780000}"/>
    <cellStyle name="Normal 5 10 10 3 8" xfId="30759" xr:uid="{00000000-0005-0000-0000-000025780000}"/>
    <cellStyle name="Normal 5 10 10 3 9" xfId="30760" xr:uid="{00000000-0005-0000-0000-000026780000}"/>
    <cellStyle name="Normal 5 10 10 4" xfId="30761" xr:uid="{00000000-0005-0000-0000-000027780000}"/>
    <cellStyle name="Normal 5 10 10 4 10" xfId="30762" xr:uid="{00000000-0005-0000-0000-000028780000}"/>
    <cellStyle name="Normal 5 10 10 4 2" xfId="30763" xr:uid="{00000000-0005-0000-0000-000029780000}"/>
    <cellStyle name="Normal 5 10 10 4 3" xfId="30764" xr:uid="{00000000-0005-0000-0000-00002A780000}"/>
    <cellStyle name="Normal 5 10 10 4 4" xfId="30765" xr:uid="{00000000-0005-0000-0000-00002B780000}"/>
    <cellStyle name="Normal 5 10 10 4 5" xfId="30766" xr:uid="{00000000-0005-0000-0000-00002C780000}"/>
    <cellStyle name="Normal 5 10 10 4 6" xfId="30767" xr:uid="{00000000-0005-0000-0000-00002D780000}"/>
    <cellStyle name="Normal 5 10 10 4 7" xfId="30768" xr:uid="{00000000-0005-0000-0000-00002E780000}"/>
    <cellStyle name="Normal 5 10 10 4 8" xfId="30769" xr:uid="{00000000-0005-0000-0000-00002F780000}"/>
    <cellStyle name="Normal 5 10 10 4 9" xfId="30770" xr:uid="{00000000-0005-0000-0000-000030780000}"/>
    <cellStyle name="Normal 5 10 10 5" xfId="30771" xr:uid="{00000000-0005-0000-0000-000031780000}"/>
    <cellStyle name="Normal 5 10 10 5 10" xfId="30772" xr:uid="{00000000-0005-0000-0000-000032780000}"/>
    <cellStyle name="Normal 5 10 10 5 2" xfId="30773" xr:uid="{00000000-0005-0000-0000-000033780000}"/>
    <cellStyle name="Normal 5 10 10 5 3" xfId="30774" xr:uid="{00000000-0005-0000-0000-000034780000}"/>
    <cellStyle name="Normal 5 10 10 5 4" xfId="30775" xr:uid="{00000000-0005-0000-0000-000035780000}"/>
    <cellStyle name="Normal 5 10 10 5 5" xfId="30776" xr:uid="{00000000-0005-0000-0000-000036780000}"/>
    <cellStyle name="Normal 5 10 10 5 6" xfId="30777" xr:uid="{00000000-0005-0000-0000-000037780000}"/>
    <cellStyle name="Normal 5 10 10 5 7" xfId="30778" xr:uid="{00000000-0005-0000-0000-000038780000}"/>
    <cellStyle name="Normal 5 10 10 5 8" xfId="30779" xr:uid="{00000000-0005-0000-0000-000039780000}"/>
    <cellStyle name="Normal 5 10 10 5 9" xfId="30780" xr:uid="{00000000-0005-0000-0000-00003A780000}"/>
    <cellStyle name="Normal 5 10 10 6" xfId="30781" xr:uid="{00000000-0005-0000-0000-00003B780000}"/>
    <cellStyle name="Normal 5 10 10 7" xfId="30782" xr:uid="{00000000-0005-0000-0000-00003C780000}"/>
    <cellStyle name="Normal 5 10 10 8" xfId="30783" xr:uid="{00000000-0005-0000-0000-00003D780000}"/>
    <cellStyle name="Normal 5 10 10 9" xfId="30784" xr:uid="{00000000-0005-0000-0000-00003E780000}"/>
    <cellStyle name="Normal 5 10 11" xfId="30785" xr:uid="{00000000-0005-0000-0000-00003F780000}"/>
    <cellStyle name="Normal 5 10 11 10" xfId="30786" xr:uid="{00000000-0005-0000-0000-000040780000}"/>
    <cellStyle name="Normal 5 10 11 11" xfId="30787" xr:uid="{00000000-0005-0000-0000-000041780000}"/>
    <cellStyle name="Normal 5 10 11 12" xfId="30788" xr:uid="{00000000-0005-0000-0000-000042780000}"/>
    <cellStyle name="Normal 5 10 11 13" xfId="30789" xr:uid="{00000000-0005-0000-0000-000043780000}"/>
    <cellStyle name="Normal 5 10 11 14" xfId="30790" xr:uid="{00000000-0005-0000-0000-000044780000}"/>
    <cellStyle name="Normal 5 10 11 2" xfId="30791" xr:uid="{00000000-0005-0000-0000-000045780000}"/>
    <cellStyle name="Normal 5 10 11 2 10" xfId="30792" xr:uid="{00000000-0005-0000-0000-000046780000}"/>
    <cellStyle name="Normal 5 10 11 2 2" xfId="30793" xr:uid="{00000000-0005-0000-0000-000047780000}"/>
    <cellStyle name="Normal 5 10 11 2 3" xfId="30794" xr:uid="{00000000-0005-0000-0000-000048780000}"/>
    <cellStyle name="Normal 5 10 11 2 4" xfId="30795" xr:uid="{00000000-0005-0000-0000-000049780000}"/>
    <cellStyle name="Normal 5 10 11 2 5" xfId="30796" xr:uid="{00000000-0005-0000-0000-00004A780000}"/>
    <cellStyle name="Normal 5 10 11 2 6" xfId="30797" xr:uid="{00000000-0005-0000-0000-00004B780000}"/>
    <cellStyle name="Normal 5 10 11 2 7" xfId="30798" xr:uid="{00000000-0005-0000-0000-00004C780000}"/>
    <cellStyle name="Normal 5 10 11 2 8" xfId="30799" xr:uid="{00000000-0005-0000-0000-00004D780000}"/>
    <cellStyle name="Normal 5 10 11 2 9" xfId="30800" xr:uid="{00000000-0005-0000-0000-00004E780000}"/>
    <cellStyle name="Normal 5 10 11 3" xfId="30801" xr:uid="{00000000-0005-0000-0000-00004F780000}"/>
    <cellStyle name="Normal 5 10 11 3 10" xfId="30802" xr:uid="{00000000-0005-0000-0000-000050780000}"/>
    <cellStyle name="Normal 5 10 11 3 2" xfId="30803" xr:uid="{00000000-0005-0000-0000-000051780000}"/>
    <cellStyle name="Normal 5 10 11 3 3" xfId="30804" xr:uid="{00000000-0005-0000-0000-000052780000}"/>
    <cellStyle name="Normal 5 10 11 3 4" xfId="30805" xr:uid="{00000000-0005-0000-0000-000053780000}"/>
    <cellStyle name="Normal 5 10 11 3 5" xfId="30806" xr:uid="{00000000-0005-0000-0000-000054780000}"/>
    <cellStyle name="Normal 5 10 11 3 6" xfId="30807" xr:uid="{00000000-0005-0000-0000-000055780000}"/>
    <cellStyle name="Normal 5 10 11 3 7" xfId="30808" xr:uid="{00000000-0005-0000-0000-000056780000}"/>
    <cellStyle name="Normal 5 10 11 3 8" xfId="30809" xr:uid="{00000000-0005-0000-0000-000057780000}"/>
    <cellStyle name="Normal 5 10 11 3 9" xfId="30810" xr:uid="{00000000-0005-0000-0000-000058780000}"/>
    <cellStyle name="Normal 5 10 11 4" xfId="30811" xr:uid="{00000000-0005-0000-0000-000059780000}"/>
    <cellStyle name="Normal 5 10 11 4 10" xfId="30812" xr:uid="{00000000-0005-0000-0000-00005A780000}"/>
    <cellStyle name="Normal 5 10 11 4 2" xfId="30813" xr:uid="{00000000-0005-0000-0000-00005B780000}"/>
    <cellStyle name="Normal 5 10 11 4 3" xfId="30814" xr:uid="{00000000-0005-0000-0000-00005C780000}"/>
    <cellStyle name="Normal 5 10 11 4 4" xfId="30815" xr:uid="{00000000-0005-0000-0000-00005D780000}"/>
    <cellStyle name="Normal 5 10 11 4 5" xfId="30816" xr:uid="{00000000-0005-0000-0000-00005E780000}"/>
    <cellStyle name="Normal 5 10 11 4 6" xfId="30817" xr:uid="{00000000-0005-0000-0000-00005F780000}"/>
    <cellStyle name="Normal 5 10 11 4 7" xfId="30818" xr:uid="{00000000-0005-0000-0000-000060780000}"/>
    <cellStyle name="Normal 5 10 11 4 8" xfId="30819" xr:uid="{00000000-0005-0000-0000-000061780000}"/>
    <cellStyle name="Normal 5 10 11 4 9" xfId="30820" xr:uid="{00000000-0005-0000-0000-000062780000}"/>
    <cellStyle name="Normal 5 10 11 5" xfId="30821" xr:uid="{00000000-0005-0000-0000-000063780000}"/>
    <cellStyle name="Normal 5 10 11 5 10" xfId="30822" xr:uid="{00000000-0005-0000-0000-000064780000}"/>
    <cellStyle name="Normal 5 10 11 5 2" xfId="30823" xr:uid="{00000000-0005-0000-0000-000065780000}"/>
    <cellStyle name="Normal 5 10 11 5 3" xfId="30824" xr:uid="{00000000-0005-0000-0000-000066780000}"/>
    <cellStyle name="Normal 5 10 11 5 4" xfId="30825" xr:uid="{00000000-0005-0000-0000-000067780000}"/>
    <cellStyle name="Normal 5 10 11 5 5" xfId="30826" xr:uid="{00000000-0005-0000-0000-000068780000}"/>
    <cellStyle name="Normal 5 10 11 5 6" xfId="30827" xr:uid="{00000000-0005-0000-0000-000069780000}"/>
    <cellStyle name="Normal 5 10 11 5 7" xfId="30828" xr:uid="{00000000-0005-0000-0000-00006A780000}"/>
    <cellStyle name="Normal 5 10 11 5 8" xfId="30829" xr:uid="{00000000-0005-0000-0000-00006B780000}"/>
    <cellStyle name="Normal 5 10 11 5 9" xfId="30830" xr:uid="{00000000-0005-0000-0000-00006C780000}"/>
    <cellStyle name="Normal 5 10 11 6" xfId="30831" xr:uid="{00000000-0005-0000-0000-00006D780000}"/>
    <cellStyle name="Normal 5 10 11 7" xfId="30832" xr:uid="{00000000-0005-0000-0000-00006E780000}"/>
    <cellStyle name="Normal 5 10 11 8" xfId="30833" xr:uid="{00000000-0005-0000-0000-00006F780000}"/>
    <cellStyle name="Normal 5 10 11 9" xfId="30834" xr:uid="{00000000-0005-0000-0000-000070780000}"/>
    <cellStyle name="Normal 5 10 12" xfId="30835" xr:uid="{00000000-0005-0000-0000-000071780000}"/>
    <cellStyle name="Normal 5 10 12 10" xfId="30836" xr:uid="{00000000-0005-0000-0000-000072780000}"/>
    <cellStyle name="Normal 5 10 12 11" xfId="30837" xr:uid="{00000000-0005-0000-0000-000073780000}"/>
    <cellStyle name="Normal 5 10 12 12" xfId="30838" xr:uid="{00000000-0005-0000-0000-000074780000}"/>
    <cellStyle name="Normal 5 10 12 13" xfId="30839" xr:uid="{00000000-0005-0000-0000-000075780000}"/>
    <cellStyle name="Normal 5 10 12 14" xfId="30840" xr:uid="{00000000-0005-0000-0000-000076780000}"/>
    <cellStyle name="Normal 5 10 12 2" xfId="30841" xr:uid="{00000000-0005-0000-0000-000077780000}"/>
    <cellStyle name="Normal 5 10 12 2 10" xfId="30842" xr:uid="{00000000-0005-0000-0000-000078780000}"/>
    <cellStyle name="Normal 5 10 12 2 2" xfId="30843" xr:uid="{00000000-0005-0000-0000-000079780000}"/>
    <cellStyle name="Normal 5 10 12 2 3" xfId="30844" xr:uid="{00000000-0005-0000-0000-00007A780000}"/>
    <cellStyle name="Normal 5 10 12 2 4" xfId="30845" xr:uid="{00000000-0005-0000-0000-00007B780000}"/>
    <cellStyle name="Normal 5 10 12 2 5" xfId="30846" xr:uid="{00000000-0005-0000-0000-00007C780000}"/>
    <cellStyle name="Normal 5 10 12 2 6" xfId="30847" xr:uid="{00000000-0005-0000-0000-00007D780000}"/>
    <cellStyle name="Normal 5 10 12 2 7" xfId="30848" xr:uid="{00000000-0005-0000-0000-00007E780000}"/>
    <cellStyle name="Normal 5 10 12 2 8" xfId="30849" xr:uid="{00000000-0005-0000-0000-00007F780000}"/>
    <cellStyle name="Normal 5 10 12 2 9" xfId="30850" xr:uid="{00000000-0005-0000-0000-000080780000}"/>
    <cellStyle name="Normal 5 10 12 3" xfId="30851" xr:uid="{00000000-0005-0000-0000-000081780000}"/>
    <cellStyle name="Normal 5 10 12 3 10" xfId="30852" xr:uid="{00000000-0005-0000-0000-000082780000}"/>
    <cellStyle name="Normal 5 10 12 3 2" xfId="30853" xr:uid="{00000000-0005-0000-0000-000083780000}"/>
    <cellStyle name="Normal 5 10 12 3 3" xfId="30854" xr:uid="{00000000-0005-0000-0000-000084780000}"/>
    <cellStyle name="Normal 5 10 12 3 4" xfId="30855" xr:uid="{00000000-0005-0000-0000-000085780000}"/>
    <cellStyle name="Normal 5 10 12 3 5" xfId="30856" xr:uid="{00000000-0005-0000-0000-000086780000}"/>
    <cellStyle name="Normal 5 10 12 3 6" xfId="30857" xr:uid="{00000000-0005-0000-0000-000087780000}"/>
    <cellStyle name="Normal 5 10 12 3 7" xfId="30858" xr:uid="{00000000-0005-0000-0000-000088780000}"/>
    <cellStyle name="Normal 5 10 12 3 8" xfId="30859" xr:uid="{00000000-0005-0000-0000-000089780000}"/>
    <cellStyle name="Normal 5 10 12 3 9" xfId="30860" xr:uid="{00000000-0005-0000-0000-00008A780000}"/>
    <cellStyle name="Normal 5 10 12 4" xfId="30861" xr:uid="{00000000-0005-0000-0000-00008B780000}"/>
    <cellStyle name="Normal 5 10 12 4 10" xfId="30862" xr:uid="{00000000-0005-0000-0000-00008C780000}"/>
    <cellStyle name="Normal 5 10 12 4 2" xfId="30863" xr:uid="{00000000-0005-0000-0000-00008D780000}"/>
    <cellStyle name="Normal 5 10 12 4 3" xfId="30864" xr:uid="{00000000-0005-0000-0000-00008E780000}"/>
    <cellStyle name="Normal 5 10 12 4 4" xfId="30865" xr:uid="{00000000-0005-0000-0000-00008F780000}"/>
    <cellStyle name="Normal 5 10 12 4 5" xfId="30866" xr:uid="{00000000-0005-0000-0000-000090780000}"/>
    <cellStyle name="Normal 5 10 12 4 6" xfId="30867" xr:uid="{00000000-0005-0000-0000-000091780000}"/>
    <cellStyle name="Normal 5 10 12 4 7" xfId="30868" xr:uid="{00000000-0005-0000-0000-000092780000}"/>
    <cellStyle name="Normal 5 10 12 4 8" xfId="30869" xr:uid="{00000000-0005-0000-0000-000093780000}"/>
    <cellStyle name="Normal 5 10 12 4 9" xfId="30870" xr:uid="{00000000-0005-0000-0000-000094780000}"/>
    <cellStyle name="Normal 5 10 12 5" xfId="30871" xr:uid="{00000000-0005-0000-0000-000095780000}"/>
    <cellStyle name="Normal 5 10 12 5 10" xfId="30872" xr:uid="{00000000-0005-0000-0000-000096780000}"/>
    <cellStyle name="Normal 5 10 12 5 2" xfId="30873" xr:uid="{00000000-0005-0000-0000-000097780000}"/>
    <cellStyle name="Normal 5 10 12 5 3" xfId="30874" xr:uid="{00000000-0005-0000-0000-000098780000}"/>
    <cellStyle name="Normal 5 10 12 5 4" xfId="30875" xr:uid="{00000000-0005-0000-0000-000099780000}"/>
    <cellStyle name="Normal 5 10 12 5 5" xfId="30876" xr:uid="{00000000-0005-0000-0000-00009A780000}"/>
    <cellStyle name="Normal 5 10 12 5 6" xfId="30877" xr:uid="{00000000-0005-0000-0000-00009B780000}"/>
    <cellStyle name="Normal 5 10 12 5 7" xfId="30878" xr:uid="{00000000-0005-0000-0000-00009C780000}"/>
    <cellStyle name="Normal 5 10 12 5 8" xfId="30879" xr:uid="{00000000-0005-0000-0000-00009D780000}"/>
    <cellStyle name="Normal 5 10 12 5 9" xfId="30880" xr:uid="{00000000-0005-0000-0000-00009E780000}"/>
    <cellStyle name="Normal 5 10 12 6" xfId="30881" xr:uid="{00000000-0005-0000-0000-00009F780000}"/>
    <cellStyle name="Normal 5 10 12 7" xfId="30882" xr:uid="{00000000-0005-0000-0000-0000A0780000}"/>
    <cellStyle name="Normal 5 10 12 8" xfId="30883" xr:uid="{00000000-0005-0000-0000-0000A1780000}"/>
    <cellStyle name="Normal 5 10 12 9" xfId="30884" xr:uid="{00000000-0005-0000-0000-0000A2780000}"/>
    <cellStyle name="Normal 5 10 13" xfId="30885" xr:uid="{00000000-0005-0000-0000-0000A3780000}"/>
    <cellStyle name="Normal 5 10 13 10" xfId="30886" xr:uid="{00000000-0005-0000-0000-0000A4780000}"/>
    <cellStyle name="Normal 5 10 13 11" xfId="30887" xr:uid="{00000000-0005-0000-0000-0000A5780000}"/>
    <cellStyle name="Normal 5 10 13 12" xfId="30888" xr:uid="{00000000-0005-0000-0000-0000A6780000}"/>
    <cellStyle name="Normal 5 10 13 13" xfId="30889" xr:uid="{00000000-0005-0000-0000-0000A7780000}"/>
    <cellStyle name="Normal 5 10 13 14" xfId="30890" xr:uid="{00000000-0005-0000-0000-0000A8780000}"/>
    <cellStyle name="Normal 5 10 13 2" xfId="30891" xr:uid="{00000000-0005-0000-0000-0000A9780000}"/>
    <cellStyle name="Normal 5 10 13 2 10" xfId="30892" xr:uid="{00000000-0005-0000-0000-0000AA780000}"/>
    <cellStyle name="Normal 5 10 13 2 2" xfId="30893" xr:uid="{00000000-0005-0000-0000-0000AB780000}"/>
    <cellStyle name="Normal 5 10 13 2 3" xfId="30894" xr:uid="{00000000-0005-0000-0000-0000AC780000}"/>
    <cellStyle name="Normal 5 10 13 2 4" xfId="30895" xr:uid="{00000000-0005-0000-0000-0000AD780000}"/>
    <cellStyle name="Normal 5 10 13 2 5" xfId="30896" xr:uid="{00000000-0005-0000-0000-0000AE780000}"/>
    <cellStyle name="Normal 5 10 13 2 6" xfId="30897" xr:uid="{00000000-0005-0000-0000-0000AF780000}"/>
    <cellStyle name="Normal 5 10 13 2 7" xfId="30898" xr:uid="{00000000-0005-0000-0000-0000B0780000}"/>
    <cellStyle name="Normal 5 10 13 2 8" xfId="30899" xr:uid="{00000000-0005-0000-0000-0000B1780000}"/>
    <cellStyle name="Normal 5 10 13 2 9" xfId="30900" xr:uid="{00000000-0005-0000-0000-0000B2780000}"/>
    <cellStyle name="Normal 5 10 13 3" xfId="30901" xr:uid="{00000000-0005-0000-0000-0000B3780000}"/>
    <cellStyle name="Normal 5 10 13 3 10" xfId="30902" xr:uid="{00000000-0005-0000-0000-0000B4780000}"/>
    <cellStyle name="Normal 5 10 13 3 2" xfId="30903" xr:uid="{00000000-0005-0000-0000-0000B5780000}"/>
    <cellStyle name="Normal 5 10 13 3 3" xfId="30904" xr:uid="{00000000-0005-0000-0000-0000B6780000}"/>
    <cellStyle name="Normal 5 10 13 3 4" xfId="30905" xr:uid="{00000000-0005-0000-0000-0000B7780000}"/>
    <cellStyle name="Normal 5 10 13 3 5" xfId="30906" xr:uid="{00000000-0005-0000-0000-0000B8780000}"/>
    <cellStyle name="Normal 5 10 13 3 6" xfId="30907" xr:uid="{00000000-0005-0000-0000-0000B9780000}"/>
    <cellStyle name="Normal 5 10 13 3 7" xfId="30908" xr:uid="{00000000-0005-0000-0000-0000BA780000}"/>
    <cellStyle name="Normal 5 10 13 3 8" xfId="30909" xr:uid="{00000000-0005-0000-0000-0000BB780000}"/>
    <cellStyle name="Normal 5 10 13 3 9" xfId="30910" xr:uid="{00000000-0005-0000-0000-0000BC780000}"/>
    <cellStyle name="Normal 5 10 13 4" xfId="30911" xr:uid="{00000000-0005-0000-0000-0000BD780000}"/>
    <cellStyle name="Normal 5 10 13 4 10" xfId="30912" xr:uid="{00000000-0005-0000-0000-0000BE780000}"/>
    <cellStyle name="Normal 5 10 13 4 2" xfId="30913" xr:uid="{00000000-0005-0000-0000-0000BF780000}"/>
    <cellStyle name="Normal 5 10 13 4 3" xfId="30914" xr:uid="{00000000-0005-0000-0000-0000C0780000}"/>
    <cellStyle name="Normal 5 10 13 4 4" xfId="30915" xr:uid="{00000000-0005-0000-0000-0000C1780000}"/>
    <cellStyle name="Normal 5 10 13 4 5" xfId="30916" xr:uid="{00000000-0005-0000-0000-0000C2780000}"/>
    <cellStyle name="Normal 5 10 13 4 6" xfId="30917" xr:uid="{00000000-0005-0000-0000-0000C3780000}"/>
    <cellStyle name="Normal 5 10 13 4 7" xfId="30918" xr:uid="{00000000-0005-0000-0000-0000C4780000}"/>
    <cellStyle name="Normal 5 10 13 4 8" xfId="30919" xr:uid="{00000000-0005-0000-0000-0000C5780000}"/>
    <cellStyle name="Normal 5 10 13 4 9" xfId="30920" xr:uid="{00000000-0005-0000-0000-0000C6780000}"/>
    <cellStyle name="Normal 5 10 13 5" xfId="30921" xr:uid="{00000000-0005-0000-0000-0000C7780000}"/>
    <cellStyle name="Normal 5 10 13 5 10" xfId="30922" xr:uid="{00000000-0005-0000-0000-0000C8780000}"/>
    <cellStyle name="Normal 5 10 13 5 2" xfId="30923" xr:uid="{00000000-0005-0000-0000-0000C9780000}"/>
    <cellStyle name="Normal 5 10 13 5 3" xfId="30924" xr:uid="{00000000-0005-0000-0000-0000CA780000}"/>
    <cellStyle name="Normal 5 10 13 5 4" xfId="30925" xr:uid="{00000000-0005-0000-0000-0000CB780000}"/>
    <cellStyle name="Normal 5 10 13 5 5" xfId="30926" xr:uid="{00000000-0005-0000-0000-0000CC780000}"/>
    <cellStyle name="Normal 5 10 13 5 6" xfId="30927" xr:uid="{00000000-0005-0000-0000-0000CD780000}"/>
    <cellStyle name="Normal 5 10 13 5 7" xfId="30928" xr:uid="{00000000-0005-0000-0000-0000CE780000}"/>
    <cellStyle name="Normal 5 10 13 5 8" xfId="30929" xr:uid="{00000000-0005-0000-0000-0000CF780000}"/>
    <cellStyle name="Normal 5 10 13 5 9" xfId="30930" xr:uid="{00000000-0005-0000-0000-0000D0780000}"/>
    <cellStyle name="Normal 5 10 13 6" xfId="30931" xr:uid="{00000000-0005-0000-0000-0000D1780000}"/>
    <cellStyle name="Normal 5 10 13 7" xfId="30932" xr:uid="{00000000-0005-0000-0000-0000D2780000}"/>
    <cellStyle name="Normal 5 10 13 8" xfId="30933" xr:uid="{00000000-0005-0000-0000-0000D3780000}"/>
    <cellStyle name="Normal 5 10 13 9" xfId="30934" xr:uid="{00000000-0005-0000-0000-0000D4780000}"/>
    <cellStyle name="Normal 5 10 14" xfId="30935" xr:uid="{00000000-0005-0000-0000-0000D5780000}"/>
    <cellStyle name="Normal 5 10 14 10" xfId="30936" xr:uid="{00000000-0005-0000-0000-0000D6780000}"/>
    <cellStyle name="Normal 5 10 14 11" xfId="30937" xr:uid="{00000000-0005-0000-0000-0000D7780000}"/>
    <cellStyle name="Normal 5 10 14 12" xfId="30938" xr:uid="{00000000-0005-0000-0000-0000D8780000}"/>
    <cellStyle name="Normal 5 10 14 13" xfId="30939" xr:uid="{00000000-0005-0000-0000-0000D9780000}"/>
    <cellStyle name="Normal 5 10 14 14" xfId="30940" xr:uid="{00000000-0005-0000-0000-0000DA780000}"/>
    <cellStyle name="Normal 5 10 14 2" xfId="30941" xr:uid="{00000000-0005-0000-0000-0000DB780000}"/>
    <cellStyle name="Normal 5 10 14 2 10" xfId="30942" xr:uid="{00000000-0005-0000-0000-0000DC780000}"/>
    <cellStyle name="Normal 5 10 14 2 2" xfId="30943" xr:uid="{00000000-0005-0000-0000-0000DD780000}"/>
    <cellStyle name="Normal 5 10 14 2 3" xfId="30944" xr:uid="{00000000-0005-0000-0000-0000DE780000}"/>
    <cellStyle name="Normal 5 10 14 2 4" xfId="30945" xr:uid="{00000000-0005-0000-0000-0000DF780000}"/>
    <cellStyle name="Normal 5 10 14 2 5" xfId="30946" xr:uid="{00000000-0005-0000-0000-0000E0780000}"/>
    <cellStyle name="Normal 5 10 14 2 6" xfId="30947" xr:uid="{00000000-0005-0000-0000-0000E1780000}"/>
    <cellStyle name="Normal 5 10 14 2 7" xfId="30948" xr:uid="{00000000-0005-0000-0000-0000E2780000}"/>
    <cellStyle name="Normal 5 10 14 2 8" xfId="30949" xr:uid="{00000000-0005-0000-0000-0000E3780000}"/>
    <cellStyle name="Normal 5 10 14 2 9" xfId="30950" xr:uid="{00000000-0005-0000-0000-0000E4780000}"/>
    <cellStyle name="Normal 5 10 14 3" xfId="30951" xr:uid="{00000000-0005-0000-0000-0000E5780000}"/>
    <cellStyle name="Normal 5 10 14 3 10" xfId="30952" xr:uid="{00000000-0005-0000-0000-0000E6780000}"/>
    <cellStyle name="Normal 5 10 14 3 2" xfId="30953" xr:uid="{00000000-0005-0000-0000-0000E7780000}"/>
    <cellStyle name="Normal 5 10 14 3 3" xfId="30954" xr:uid="{00000000-0005-0000-0000-0000E8780000}"/>
    <cellStyle name="Normal 5 10 14 3 4" xfId="30955" xr:uid="{00000000-0005-0000-0000-0000E9780000}"/>
    <cellStyle name="Normal 5 10 14 3 5" xfId="30956" xr:uid="{00000000-0005-0000-0000-0000EA780000}"/>
    <cellStyle name="Normal 5 10 14 3 6" xfId="30957" xr:uid="{00000000-0005-0000-0000-0000EB780000}"/>
    <cellStyle name="Normal 5 10 14 3 7" xfId="30958" xr:uid="{00000000-0005-0000-0000-0000EC780000}"/>
    <cellStyle name="Normal 5 10 14 3 8" xfId="30959" xr:uid="{00000000-0005-0000-0000-0000ED780000}"/>
    <cellStyle name="Normal 5 10 14 3 9" xfId="30960" xr:uid="{00000000-0005-0000-0000-0000EE780000}"/>
    <cellStyle name="Normal 5 10 14 4" xfId="30961" xr:uid="{00000000-0005-0000-0000-0000EF780000}"/>
    <cellStyle name="Normal 5 10 14 4 10" xfId="30962" xr:uid="{00000000-0005-0000-0000-0000F0780000}"/>
    <cellStyle name="Normal 5 10 14 4 2" xfId="30963" xr:uid="{00000000-0005-0000-0000-0000F1780000}"/>
    <cellStyle name="Normal 5 10 14 4 3" xfId="30964" xr:uid="{00000000-0005-0000-0000-0000F2780000}"/>
    <cellStyle name="Normal 5 10 14 4 4" xfId="30965" xr:uid="{00000000-0005-0000-0000-0000F3780000}"/>
    <cellStyle name="Normal 5 10 14 4 5" xfId="30966" xr:uid="{00000000-0005-0000-0000-0000F4780000}"/>
    <cellStyle name="Normal 5 10 14 4 6" xfId="30967" xr:uid="{00000000-0005-0000-0000-0000F5780000}"/>
    <cellStyle name="Normal 5 10 14 4 7" xfId="30968" xr:uid="{00000000-0005-0000-0000-0000F6780000}"/>
    <cellStyle name="Normal 5 10 14 4 8" xfId="30969" xr:uid="{00000000-0005-0000-0000-0000F7780000}"/>
    <cellStyle name="Normal 5 10 14 4 9" xfId="30970" xr:uid="{00000000-0005-0000-0000-0000F8780000}"/>
    <cellStyle name="Normal 5 10 14 5" xfId="30971" xr:uid="{00000000-0005-0000-0000-0000F9780000}"/>
    <cellStyle name="Normal 5 10 14 5 10" xfId="30972" xr:uid="{00000000-0005-0000-0000-0000FA780000}"/>
    <cellStyle name="Normal 5 10 14 5 2" xfId="30973" xr:uid="{00000000-0005-0000-0000-0000FB780000}"/>
    <cellStyle name="Normal 5 10 14 5 3" xfId="30974" xr:uid="{00000000-0005-0000-0000-0000FC780000}"/>
    <cellStyle name="Normal 5 10 14 5 4" xfId="30975" xr:uid="{00000000-0005-0000-0000-0000FD780000}"/>
    <cellStyle name="Normal 5 10 14 5 5" xfId="30976" xr:uid="{00000000-0005-0000-0000-0000FE780000}"/>
    <cellStyle name="Normal 5 10 14 5 6" xfId="30977" xr:uid="{00000000-0005-0000-0000-0000FF780000}"/>
    <cellStyle name="Normal 5 10 14 5 7" xfId="30978" xr:uid="{00000000-0005-0000-0000-000000790000}"/>
    <cellStyle name="Normal 5 10 14 5 8" xfId="30979" xr:uid="{00000000-0005-0000-0000-000001790000}"/>
    <cellStyle name="Normal 5 10 14 5 9" xfId="30980" xr:uid="{00000000-0005-0000-0000-000002790000}"/>
    <cellStyle name="Normal 5 10 14 6" xfId="30981" xr:uid="{00000000-0005-0000-0000-000003790000}"/>
    <cellStyle name="Normal 5 10 14 7" xfId="30982" xr:uid="{00000000-0005-0000-0000-000004790000}"/>
    <cellStyle name="Normal 5 10 14 8" xfId="30983" xr:uid="{00000000-0005-0000-0000-000005790000}"/>
    <cellStyle name="Normal 5 10 14 9" xfId="30984" xr:uid="{00000000-0005-0000-0000-000006790000}"/>
    <cellStyle name="Normal 5 10 15" xfId="30985" xr:uid="{00000000-0005-0000-0000-000007790000}"/>
    <cellStyle name="Normal 5 10 15 10" xfId="30986" xr:uid="{00000000-0005-0000-0000-000008790000}"/>
    <cellStyle name="Normal 5 10 15 11" xfId="30987" xr:uid="{00000000-0005-0000-0000-000009790000}"/>
    <cellStyle name="Normal 5 10 15 12" xfId="30988" xr:uid="{00000000-0005-0000-0000-00000A790000}"/>
    <cellStyle name="Normal 5 10 15 13" xfId="30989" xr:uid="{00000000-0005-0000-0000-00000B790000}"/>
    <cellStyle name="Normal 5 10 15 14" xfId="30990" xr:uid="{00000000-0005-0000-0000-00000C790000}"/>
    <cellStyle name="Normal 5 10 15 2" xfId="30991" xr:uid="{00000000-0005-0000-0000-00000D790000}"/>
    <cellStyle name="Normal 5 10 15 2 10" xfId="30992" xr:uid="{00000000-0005-0000-0000-00000E790000}"/>
    <cellStyle name="Normal 5 10 15 2 2" xfId="30993" xr:uid="{00000000-0005-0000-0000-00000F790000}"/>
    <cellStyle name="Normal 5 10 15 2 3" xfId="30994" xr:uid="{00000000-0005-0000-0000-000010790000}"/>
    <cellStyle name="Normal 5 10 15 2 4" xfId="30995" xr:uid="{00000000-0005-0000-0000-000011790000}"/>
    <cellStyle name="Normal 5 10 15 2 5" xfId="30996" xr:uid="{00000000-0005-0000-0000-000012790000}"/>
    <cellStyle name="Normal 5 10 15 2 6" xfId="30997" xr:uid="{00000000-0005-0000-0000-000013790000}"/>
    <cellStyle name="Normal 5 10 15 2 7" xfId="30998" xr:uid="{00000000-0005-0000-0000-000014790000}"/>
    <cellStyle name="Normal 5 10 15 2 8" xfId="30999" xr:uid="{00000000-0005-0000-0000-000015790000}"/>
    <cellStyle name="Normal 5 10 15 2 9" xfId="31000" xr:uid="{00000000-0005-0000-0000-000016790000}"/>
    <cellStyle name="Normal 5 10 15 3" xfId="31001" xr:uid="{00000000-0005-0000-0000-000017790000}"/>
    <cellStyle name="Normal 5 10 15 3 10" xfId="31002" xr:uid="{00000000-0005-0000-0000-000018790000}"/>
    <cellStyle name="Normal 5 10 15 3 2" xfId="31003" xr:uid="{00000000-0005-0000-0000-000019790000}"/>
    <cellStyle name="Normal 5 10 15 3 3" xfId="31004" xr:uid="{00000000-0005-0000-0000-00001A790000}"/>
    <cellStyle name="Normal 5 10 15 3 4" xfId="31005" xr:uid="{00000000-0005-0000-0000-00001B790000}"/>
    <cellStyle name="Normal 5 10 15 3 5" xfId="31006" xr:uid="{00000000-0005-0000-0000-00001C790000}"/>
    <cellStyle name="Normal 5 10 15 3 6" xfId="31007" xr:uid="{00000000-0005-0000-0000-00001D790000}"/>
    <cellStyle name="Normal 5 10 15 3 7" xfId="31008" xr:uid="{00000000-0005-0000-0000-00001E790000}"/>
    <cellStyle name="Normal 5 10 15 3 8" xfId="31009" xr:uid="{00000000-0005-0000-0000-00001F790000}"/>
    <cellStyle name="Normal 5 10 15 3 9" xfId="31010" xr:uid="{00000000-0005-0000-0000-000020790000}"/>
    <cellStyle name="Normal 5 10 15 4" xfId="31011" xr:uid="{00000000-0005-0000-0000-000021790000}"/>
    <cellStyle name="Normal 5 10 15 4 10" xfId="31012" xr:uid="{00000000-0005-0000-0000-000022790000}"/>
    <cellStyle name="Normal 5 10 15 4 2" xfId="31013" xr:uid="{00000000-0005-0000-0000-000023790000}"/>
    <cellStyle name="Normal 5 10 15 4 3" xfId="31014" xr:uid="{00000000-0005-0000-0000-000024790000}"/>
    <cellStyle name="Normal 5 10 15 4 4" xfId="31015" xr:uid="{00000000-0005-0000-0000-000025790000}"/>
    <cellStyle name="Normal 5 10 15 4 5" xfId="31016" xr:uid="{00000000-0005-0000-0000-000026790000}"/>
    <cellStyle name="Normal 5 10 15 4 6" xfId="31017" xr:uid="{00000000-0005-0000-0000-000027790000}"/>
    <cellStyle name="Normal 5 10 15 4 7" xfId="31018" xr:uid="{00000000-0005-0000-0000-000028790000}"/>
    <cellStyle name="Normal 5 10 15 4 8" xfId="31019" xr:uid="{00000000-0005-0000-0000-000029790000}"/>
    <cellStyle name="Normal 5 10 15 4 9" xfId="31020" xr:uid="{00000000-0005-0000-0000-00002A790000}"/>
    <cellStyle name="Normal 5 10 15 5" xfId="31021" xr:uid="{00000000-0005-0000-0000-00002B790000}"/>
    <cellStyle name="Normal 5 10 15 5 10" xfId="31022" xr:uid="{00000000-0005-0000-0000-00002C790000}"/>
    <cellStyle name="Normal 5 10 15 5 2" xfId="31023" xr:uid="{00000000-0005-0000-0000-00002D790000}"/>
    <cellStyle name="Normal 5 10 15 5 3" xfId="31024" xr:uid="{00000000-0005-0000-0000-00002E790000}"/>
    <cellStyle name="Normal 5 10 15 5 4" xfId="31025" xr:uid="{00000000-0005-0000-0000-00002F790000}"/>
    <cellStyle name="Normal 5 10 15 5 5" xfId="31026" xr:uid="{00000000-0005-0000-0000-000030790000}"/>
    <cellStyle name="Normal 5 10 15 5 6" xfId="31027" xr:uid="{00000000-0005-0000-0000-000031790000}"/>
    <cellStyle name="Normal 5 10 15 5 7" xfId="31028" xr:uid="{00000000-0005-0000-0000-000032790000}"/>
    <cellStyle name="Normal 5 10 15 5 8" xfId="31029" xr:uid="{00000000-0005-0000-0000-000033790000}"/>
    <cellStyle name="Normal 5 10 15 5 9" xfId="31030" xr:uid="{00000000-0005-0000-0000-000034790000}"/>
    <cellStyle name="Normal 5 10 15 6" xfId="31031" xr:uid="{00000000-0005-0000-0000-000035790000}"/>
    <cellStyle name="Normal 5 10 15 7" xfId="31032" xr:uid="{00000000-0005-0000-0000-000036790000}"/>
    <cellStyle name="Normal 5 10 15 8" xfId="31033" xr:uid="{00000000-0005-0000-0000-000037790000}"/>
    <cellStyle name="Normal 5 10 15 9" xfId="31034" xr:uid="{00000000-0005-0000-0000-000038790000}"/>
    <cellStyle name="Normal 5 10 16" xfId="31035" xr:uid="{00000000-0005-0000-0000-000039790000}"/>
    <cellStyle name="Normal 5 10 16 10" xfId="31036" xr:uid="{00000000-0005-0000-0000-00003A790000}"/>
    <cellStyle name="Normal 5 10 16 11" xfId="31037" xr:uid="{00000000-0005-0000-0000-00003B790000}"/>
    <cellStyle name="Normal 5 10 16 12" xfId="31038" xr:uid="{00000000-0005-0000-0000-00003C790000}"/>
    <cellStyle name="Normal 5 10 16 13" xfId="31039" xr:uid="{00000000-0005-0000-0000-00003D790000}"/>
    <cellStyle name="Normal 5 10 16 14" xfId="31040" xr:uid="{00000000-0005-0000-0000-00003E790000}"/>
    <cellStyle name="Normal 5 10 16 2" xfId="31041" xr:uid="{00000000-0005-0000-0000-00003F790000}"/>
    <cellStyle name="Normal 5 10 16 2 10" xfId="31042" xr:uid="{00000000-0005-0000-0000-000040790000}"/>
    <cellStyle name="Normal 5 10 16 2 2" xfId="31043" xr:uid="{00000000-0005-0000-0000-000041790000}"/>
    <cellStyle name="Normal 5 10 16 2 3" xfId="31044" xr:uid="{00000000-0005-0000-0000-000042790000}"/>
    <cellStyle name="Normal 5 10 16 2 4" xfId="31045" xr:uid="{00000000-0005-0000-0000-000043790000}"/>
    <cellStyle name="Normal 5 10 16 2 5" xfId="31046" xr:uid="{00000000-0005-0000-0000-000044790000}"/>
    <cellStyle name="Normal 5 10 16 2 6" xfId="31047" xr:uid="{00000000-0005-0000-0000-000045790000}"/>
    <cellStyle name="Normal 5 10 16 2 7" xfId="31048" xr:uid="{00000000-0005-0000-0000-000046790000}"/>
    <cellStyle name="Normal 5 10 16 2 8" xfId="31049" xr:uid="{00000000-0005-0000-0000-000047790000}"/>
    <cellStyle name="Normal 5 10 16 2 9" xfId="31050" xr:uid="{00000000-0005-0000-0000-000048790000}"/>
    <cellStyle name="Normal 5 10 16 3" xfId="31051" xr:uid="{00000000-0005-0000-0000-000049790000}"/>
    <cellStyle name="Normal 5 10 16 3 10" xfId="31052" xr:uid="{00000000-0005-0000-0000-00004A790000}"/>
    <cellStyle name="Normal 5 10 16 3 2" xfId="31053" xr:uid="{00000000-0005-0000-0000-00004B790000}"/>
    <cellStyle name="Normal 5 10 16 3 3" xfId="31054" xr:uid="{00000000-0005-0000-0000-00004C790000}"/>
    <cellStyle name="Normal 5 10 16 3 4" xfId="31055" xr:uid="{00000000-0005-0000-0000-00004D790000}"/>
    <cellStyle name="Normal 5 10 16 3 5" xfId="31056" xr:uid="{00000000-0005-0000-0000-00004E790000}"/>
    <cellStyle name="Normal 5 10 16 3 6" xfId="31057" xr:uid="{00000000-0005-0000-0000-00004F790000}"/>
    <cellStyle name="Normal 5 10 16 3 7" xfId="31058" xr:uid="{00000000-0005-0000-0000-000050790000}"/>
    <cellStyle name="Normal 5 10 16 3 8" xfId="31059" xr:uid="{00000000-0005-0000-0000-000051790000}"/>
    <cellStyle name="Normal 5 10 16 3 9" xfId="31060" xr:uid="{00000000-0005-0000-0000-000052790000}"/>
    <cellStyle name="Normal 5 10 16 4" xfId="31061" xr:uid="{00000000-0005-0000-0000-000053790000}"/>
    <cellStyle name="Normal 5 10 16 4 10" xfId="31062" xr:uid="{00000000-0005-0000-0000-000054790000}"/>
    <cellStyle name="Normal 5 10 16 4 2" xfId="31063" xr:uid="{00000000-0005-0000-0000-000055790000}"/>
    <cellStyle name="Normal 5 10 16 4 3" xfId="31064" xr:uid="{00000000-0005-0000-0000-000056790000}"/>
    <cellStyle name="Normal 5 10 16 4 4" xfId="31065" xr:uid="{00000000-0005-0000-0000-000057790000}"/>
    <cellStyle name="Normal 5 10 16 4 5" xfId="31066" xr:uid="{00000000-0005-0000-0000-000058790000}"/>
    <cellStyle name="Normal 5 10 16 4 6" xfId="31067" xr:uid="{00000000-0005-0000-0000-000059790000}"/>
    <cellStyle name="Normal 5 10 16 4 7" xfId="31068" xr:uid="{00000000-0005-0000-0000-00005A790000}"/>
    <cellStyle name="Normal 5 10 16 4 8" xfId="31069" xr:uid="{00000000-0005-0000-0000-00005B790000}"/>
    <cellStyle name="Normal 5 10 16 4 9" xfId="31070" xr:uid="{00000000-0005-0000-0000-00005C790000}"/>
    <cellStyle name="Normal 5 10 16 5" xfId="31071" xr:uid="{00000000-0005-0000-0000-00005D790000}"/>
    <cellStyle name="Normal 5 10 16 5 10" xfId="31072" xr:uid="{00000000-0005-0000-0000-00005E790000}"/>
    <cellStyle name="Normal 5 10 16 5 2" xfId="31073" xr:uid="{00000000-0005-0000-0000-00005F790000}"/>
    <cellStyle name="Normal 5 10 16 5 3" xfId="31074" xr:uid="{00000000-0005-0000-0000-000060790000}"/>
    <cellStyle name="Normal 5 10 16 5 4" xfId="31075" xr:uid="{00000000-0005-0000-0000-000061790000}"/>
    <cellStyle name="Normal 5 10 16 5 5" xfId="31076" xr:uid="{00000000-0005-0000-0000-000062790000}"/>
    <cellStyle name="Normal 5 10 16 5 6" xfId="31077" xr:uid="{00000000-0005-0000-0000-000063790000}"/>
    <cellStyle name="Normal 5 10 16 5 7" xfId="31078" xr:uid="{00000000-0005-0000-0000-000064790000}"/>
    <cellStyle name="Normal 5 10 16 5 8" xfId="31079" xr:uid="{00000000-0005-0000-0000-000065790000}"/>
    <cellStyle name="Normal 5 10 16 5 9" xfId="31080" xr:uid="{00000000-0005-0000-0000-000066790000}"/>
    <cellStyle name="Normal 5 10 16 6" xfId="31081" xr:uid="{00000000-0005-0000-0000-000067790000}"/>
    <cellStyle name="Normal 5 10 16 7" xfId="31082" xr:uid="{00000000-0005-0000-0000-000068790000}"/>
    <cellStyle name="Normal 5 10 16 8" xfId="31083" xr:uid="{00000000-0005-0000-0000-000069790000}"/>
    <cellStyle name="Normal 5 10 16 9" xfId="31084" xr:uid="{00000000-0005-0000-0000-00006A790000}"/>
    <cellStyle name="Normal 5 10 17" xfId="31085" xr:uid="{00000000-0005-0000-0000-00006B790000}"/>
    <cellStyle name="Normal 5 10 17 10" xfId="31086" xr:uid="{00000000-0005-0000-0000-00006C790000}"/>
    <cellStyle name="Normal 5 10 17 11" xfId="31087" xr:uid="{00000000-0005-0000-0000-00006D790000}"/>
    <cellStyle name="Normal 5 10 17 12" xfId="31088" xr:uid="{00000000-0005-0000-0000-00006E790000}"/>
    <cellStyle name="Normal 5 10 17 13" xfId="31089" xr:uid="{00000000-0005-0000-0000-00006F790000}"/>
    <cellStyle name="Normal 5 10 17 14" xfId="31090" xr:uid="{00000000-0005-0000-0000-000070790000}"/>
    <cellStyle name="Normal 5 10 17 2" xfId="31091" xr:uid="{00000000-0005-0000-0000-000071790000}"/>
    <cellStyle name="Normal 5 10 17 2 10" xfId="31092" xr:uid="{00000000-0005-0000-0000-000072790000}"/>
    <cellStyle name="Normal 5 10 17 2 2" xfId="31093" xr:uid="{00000000-0005-0000-0000-000073790000}"/>
    <cellStyle name="Normal 5 10 17 2 3" xfId="31094" xr:uid="{00000000-0005-0000-0000-000074790000}"/>
    <cellStyle name="Normal 5 10 17 2 4" xfId="31095" xr:uid="{00000000-0005-0000-0000-000075790000}"/>
    <cellStyle name="Normal 5 10 17 2 5" xfId="31096" xr:uid="{00000000-0005-0000-0000-000076790000}"/>
    <cellStyle name="Normal 5 10 17 2 6" xfId="31097" xr:uid="{00000000-0005-0000-0000-000077790000}"/>
    <cellStyle name="Normal 5 10 17 2 7" xfId="31098" xr:uid="{00000000-0005-0000-0000-000078790000}"/>
    <cellStyle name="Normal 5 10 17 2 8" xfId="31099" xr:uid="{00000000-0005-0000-0000-000079790000}"/>
    <cellStyle name="Normal 5 10 17 2 9" xfId="31100" xr:uid="{00000000-0005-0000-0000-00007A790000}"/>
    <cellStyle name="Normal 5 10 17 3" xfId="31101" xr:uid="{00000000-0005-0000-0000-00007B790000}"/>
    <cellStyle name="Normal 5 10 17 3 10" xfId="31102" xr:uid="{00000000-0005-0000-0000-00007C790000}"/>
    <cellStyle name="Normal 5 10 17 3 2" xfId="31103" xr:uid="{00000000-0005-0000-0000-00007D790000}"/>
    <cellStyle name="Normal 5 10 17 3 3" xfId="31104" xr:uid="{00000000-0005-0000-0000-00007E790000}"/>
    <cellStyle name="Normal 5 10 17 3 4" xfId="31105" xr:uid="{00000000-0005-0000-0000-00007F790000}"/>
    <cellStyle name="Normal 5 10 17 3 5" xfId="31106" xr:uid="{00000000-0005-0000-0000-000080790000}"/>
    <cellStyle name="Normal 5 10 17 3 6" xfId="31107" xr:uid="{00000000-0005-0000-0000-000081790000}"/>
    <cellStyle name="Normal 5 10 17 3 7" xfId="31108" xr:uid="{00000000-0005-0000-0000-000082790000}"/>
    <cellStyle name="Normal 5 10 17 3 8" xfId="31109" xr:uid="{00000000-0005-0000-0000-000083790000}"/>
    <cellStyle name="Normal 5 10 17 3 9" xfId="31110" xr:uid="{00000000-0005-0000-0000-000084790000}"/>
    <cellStyle name="Normal 5 10 17 4" xfId="31111" xr:uid="{00000000-0005-0000-0000-000085790000}"/>
    <cellStyle name="Normal 5 10 17 4 10" xfId="31112" xr:uid="{00000000-0005-0000-0000-000086790000}"/>
    <cellStyle name="Normal 5 10 17 4 2" xfId="31113" xr:uid="{00000000-0005-0000-0000-000087790000}"/>
    <cellStyle name="Normal 5 10 17 4 3" xfId="31114" xr:uid="{00000000-0005-0000-0000-000088790000}"/>
    <cellStyle name="Normal 5 10 17 4 4" xfId="31115" xr:uid="{00000000-0005-0000-0000-000089790000}"/>
    <cellStyle name="Normal 5 10 17 4 5" xfId="31116" xr:uid="{00000000-0005-0000-0000-00008A790000}"/>
    <cellStyle name="Normal 5 10 17 4 6" xfId="31117" xr:uid="{00000000-0005-0000-0000-00008B790000}"/>
    <cellStyle name="Normal 5 10 17 4 7" xfId="31118" xr:uid="{00000000-0005-0000-0000-00008C790000}"/>
    <cellStyle name="Normal 5 10 17 4 8" xfId="31119" xr:uid="{00000000-0005-0000-0000-00008D790000}"/>
    <cellStyle name="Normal 5 10 17 4 9" xfId="31120" xr:uid="{00000000-0005-0000-0000-00008E790000}"/>
    <cellStyle name="Normal 5 10 17 5" xfId="31121" xr:uid="{00000000-0005-0000-0000-00008F790000}"/>
    <cellStyle name="Normal 5 10 17 5 10" xfId="31122" xr:uid="{00000000-0005-0000-0000-000090790000}"/>
    <cellStyle name="Normal 5 10 17 5 2" xfId="31123" xr:uid="{00000000-0005-0000-0000-000091790000}"/>
    <cellStyle name="Normal 5 10 17 5 3" xfId="31124" xr:uid="{00000000-0005-0000-0000-000092790000}"/>
    <cellStyle name="Normal 5 10 17 5 4" xfId="31125" xr:uid="{00000000-0005-0000-0000-000093790000}"/>
    <cellStyle name="Normal 5 10 17 5 5" xfId="31126" xr:uid="{00000000-0005-0000-0000-000094790000}"/>
    <cellStyle name="Normal 5 10 17 5 6" xfId="31127" xr:uid="{00000000-0005-0000-0000-000095790000}"/>
    <cellStyle name="Normal 5 10 17 5 7" xfId="31128" xr:uid="{00000000-0005-0000-0000-000096790000}"/>
    <cellStyle name="Normal 5 10 17 5 8" xfId="31129" xr:uid="{00000000-0005-0000-0000-000097790000}"/>
    <cellStyle name="Normal 5 10 17 5 9" xfId="31130" xr:uid="{00000000-0005-0000-0000-000098790000}"/>
    <cellStyle name="Normal 5 10 17 6" xfId="31131" xr:uid="{00000000-0005-0000-0000-000099790000}"/>
    <cellStyle name="Normal 5 10 17 7" xfId="31132" xr:uid="{00000000-0005-0000-0000-00009A790000}"/>
    <cellStyle name="Normal 5 10 17 8" xfId="31133" xr:uid="{00000000-0005-0000-0000-00009B790000}"/>
    <cellStyle name="Normal 5 10 17 9" xfId="31134" xr:uid="{00000000-0005-0000-0000-00009C790000}"/>
    <cellStyle name="Normal 5 10 18" xfId="31135" xr:uid="{00000000-0005-0000-0000-00009D790000}"/>
    <cellStyle name="Normal 5 10 18 10" xfId="31136" xr:uid="{00000000-0005-0000-0000-00009E790000}"/>
    <cellStyle name="Normal 5 10 18 11" xfId="31137" xr:uid="{00000000-0005-0000-0000-00009F790000}"/>
    <cellStyle name="Normal 5 10 18 12" xfId="31138" xr:uid="{00000000-0005-0000-0000-0000A0790000}"/>
    <cellStyle name="Normal 5 10 18 13" xfId="31139" xr:uid="{00000000-0005-0000-0000-0000A1790000}"/>
    <cellStyle name="Normal 5 10 18 14" xfId="31140" xr:uid="{00000000-0005-0000-0000-0000A2790000}"/>
    <cellStyle name="Normal 5 10 18 2" xfId="31141" xr:uid="{00000000-0005-0000-0000-0000A3790000}"/>
    <cellStyle name="Normal 5 10 18 2 10" xfId="31142" xr:uid="{00000000-0005-0000-0000-0000A4790000}"/>
    <cellStyle name="Normal 5 10 18 2 2" xfId="31143" xr:uid="{00000000-0005-0000-0000-0000A5790000}"/>
    <cellStyle name="Normal 5 10 18 2 3" xfId="31144" xr:uid="{00000000-0005-0000-0000-0000A6790000}"/>
    <cellStyle name="Normal 5 10 18 2 4" xfId="31145" xr:uid="{00000000-0005-0000-0000-0000A7790000}"/>
    <cellStyle name="Normal 5 10 18 2 5" xfId="31146" xr:uid="{00000000-0005-0000-0000-0000A8790000}"/>
    <cellStyle name="Normal 5 10 18 2 6" xfId="31147" xr:uid="{00000000-0005-0000-0000-0000A9790000}"/>
    <cellStyle name="Normal 5 10 18 2 7" xfId="31148" xr:uid="{00000000-0005-0000-0000-0000AA790000}"/>
    <cellStyle name="Normal 5 10 18 2 8" xfId="31149" xr:uid="{00000000-0005-0000-0000-0000AB790000}"/>
    <cellStyle name="Normal 5 10 18 2 9" xfId="31150" xr:uid="{00000000-0005-0000-0000-0000AC790000}"/>
    <cellStyle name="Normal 5 10 18 3" xfId="31151" xr:uid="{00000000-0005-0000-0000-0000AD790000}"/>
    <cellStyle name="Normal 5 10 18 3 10" xfId="31152" xr:uid="{00000000-0005-0000-0000-0000AE790000}"/>
    <cellStyle name="Normal 5 10 18 3 2" xfId="31153" xr:uid="{00000000-0005-0000-0000-0000AF790000}"/>
    <cellStyle name="Normal 5 10 18 3 3" xfId="31154" xr:uid="{00000000-0005-0000-0000-0000B0790000}"/>
    <cellStyle name="Normal 5 10 18 3 4" xfId="31155" xr:uid="{00000000-0005-0000-0000-0000B1790000}"/>
    <cellStyle name="Normal 5 10 18 3 5" xfId="31156" xr:uid="{00000000-0005-0000-0000-0000B2790000}"/>
    <cellStyle name="Normal 5 10 18 3 6" xfId="31157" xr:uid="{00000000-0005-0000-0000-0000B3790000}"/>
    <cellStyle name="Normal 5 10 18 3 7" xfId="31158" xr:uid="{00000000-0005-0000-0000-0000B4790000}"/>
    <cellStyle name="Normal 5 10 18 3 8" xfId="31159" xr:uid="{00000000-0005-0000-0000-0000B5790000}"/>
    <cellStyle name="Normal 5 10 18 3 9" xfId="31160" xr:uid="{00000000-0005-0000-0000-0000B6790000}"/>
    <cellStyle name="Normal 5 10 18 4" xfId="31161" xr:uid="{00000000-0005-0000-0000-0000B7790000}"/>
    <cellStyle name="Normal 5 10 18 4 10" xfId="31162" xr:uid="{00000000-0005-0000-0000-0000B8790000}"/>
    <cellStyle name="Normal 5 10 18 4 2" xfId="31163" xr:uid="{00000000-0005-0000-0000-0000B9790000}"/>
    <cellStyle name="Normal 5 10 18 4 3" xfId="31164" xr:uid="{00000000-0005-0000-0000-0000BA790000}"/>
    <cellStyle name="Normal 5 10 18 4 4" xfId="31165" xr:uid="{00000000-0005-0000-0000-0000BB790000}"/>
    <cellStyle name="Normal 5 10 18 4 5" xfId="31166" xr:uid="{00000000-0005-0000-0000-0000BC790000}"/>
    <cellStyle name="Normal 5 10 18 4 6" xfId="31167" xr:uid="{00000000-0005-0000-0000-0000BD790000}"/>
    <cellStyle name="Normal 5 10 18 4 7" xfId="31168" xr:uid="{00000000-0005-0000-0000-0000BE790000}"/>
    <cellStyle name="Normal 5 10 18 4 8" xfId="31169" xr:uid="{00000000-0005-0000-0000-0000BF790000}"/>
    <cellStyle name="Normal 5 10 18 4 9" xfId="31170" xr:uid="{00000000-0005-0000-0000-0000C0790000}"/>
    <cellStyle name="Normal 5 10 18 5" xfId="31171" xr:uid="{00000000-0005-0000-0000-0000C1790000}"/>
    <cellStyle name="Normal 5 10 18 5 10" xfId="31172" xr:uid="{00000000-0005-0000-0000-0000C2790000}"/>
    <cellStyle name="Normal 5 10 18 5 2" xfId="31173" xr:uid="{00000000-0005-0000-0000-0000C3790000}"/>
    <cellStyle name="Normal 5 10 18 5 3" xfId="31174" xr:uid="{00000000-0005-0000-0000-0000C4790000}"/>
    <cellStyle name="Normal 5 10 18 5 4" xfId="31175" xr:uid="{00000000-0005-0000-0000-0000C5790000}"/>
    <cellStyle name="Normal 5 10 18 5 5" xfId="31176" xr:uid="{00000000-0005-0000-0000-0000C6790000}"/>
    <cellStyle name="Normal 5 10 18 5 6" xfId="31177" xr:uid="{00000000-0005-0000-0000-0000C7790000}"/>
    <cellStyle name="Normal 5 10 18 5 7" xfId="31178" xr:uid="{00000000-0005-0000-0000-0000C8790000}"/>
    <cellStyle name="Normal 5 10 18 5 8" xfId="31179" xr:uid="{00000000-0005-0000-0000-0000C9790000}"/>
    <cellStyle name="Normal 5 10 18 5 9" xfId="31180" xr:uid="{00000000-0005-0000-0000-0000CA790000}"/>
    <cellStyle name="Normal 5 10 18 6" xfId="31181" xr:uid="{00000000-0005-0000-0000-0000CB790000}"/>
    <cellStyle name="Normal 5 10 18 7" xfId="31182" xr:uid="{00000000-0005-0000-0000-0000CC790000}"/>
    <cellStyle name="Normal 5 10 18 8" xfId="31183" xr:uid="{00000000-0005-0000-0000-0000CD790000}"/>
    <cellStyle name="Normal 5 10 18 9" xfId="31184" xr:uid="{00000000-0005-0000-0000-0000CE790000}"/>
    <cellStyle name="Normal 5 10 19" xfId="31185" xr:uid="{00000000-0005-0000-0000-0000CF790000}"/>
    <cellStyle name="Normal 5 10 19 10" xfId="31186" xr:uid="{00000000-0005-0000-0000-0000D0790000}"/>
    <cellStyle name="Normal 5 10 19 11" xfId="31187" xr:uid="{00000000-0005-0000-0000-0000D1790000}"/>
    <cellStyle name="Normal 5 10 19 12" xfId="31188" xr:uid="{00000000-0005-0000-0000-0000D2790000}"/>
    <cellStyle name="Normal 5 10 19 13" xfId="31189" xr:uid="{00000000-0005-0000-0000-0000D3790000}"/>
    <cellStyle name="Normal 5 10 19 14" xfId="31190" xr:uid="{00000000-0005-0000-0000-0000D4790000}"/>
    <cellStyle name="Normal 5 10 19 2" xfId="31191" xr:uid="{00000000-0005-0000-0000-0000D5790000}"/>
    <cellStyle name="Normal 5 10 19 2 10" xfId="31192" xr:uid="{00000000-0005-0000-0000-0000D6790000}"/>
    <cellStyle name="Normal 5 10 19 2 2" xfId="31193" xr:uid="{00000000-0005-0000-0000-0000D7790000}"/>
    <cellStyle name="Normal 5 10 19 2 3" xfId="31194" xr:uid="{00000000-0005-0000-0000-0000D8790000}"/>
    <cellStyle name="Normal 5 10 19 2 4" xfId="31195" xr:uid="{00000000-0005-0000-0000-0000D9790000}"/>
    <cellStyle name="Normal 5 10 19 2 5" xfId="31196" xr:uid="{00000000-0005-0000-0000-0000DA790000}"/>
    <cellStyle name="Normal 5 10 19 2 6" xfId="31197" xr:uid="{00000000-0005-0000-0000-0000DB790000}"/>
    <cellStyle name="Normal 5 10 19 2 7" xfId="31198" xr:uid="{00000000-0005-0000-0000-0000DC790000}"/>
    <cellStyle name="Normal 5 10 19 2 8" xfId="31199" xr:uid="{00000000-0005-0000-0000-0000DD790000}"/>
    <cellStyle name="Normal 5 10 19 2 9" xfId="31200" xr:uid="{00000000-0005-0000-0000-0000DE790000}"/>
    <cellStyle name="Normal 5 10 19 3" xfId="31201" xr:uid="{00000000-0005-0000-0000-0000DF790000}"/>
    <cellStyle name="Normal 5 10 19 3 10" xfId="31202" xr:uid="{00000000-0005-0000-0000-0000E0790000}"/>
    <cellStyle name="Normal 5 10 19 3 2" xfId="31203" xr:uid="{00000000-0005-0000-0000-0000E1790000}"/>
    <cellStyle name="Normal 5 10 19 3 3" xfId="31204" xr:uid="{00000000-0005-0000-0000-0000E2790000}"/>
    <cellStyle name="Normal 5 10 19 3 4" xfId="31205" xr:uid="{00000000-0005-0000-0000-0000E3790000}"/>
    <cellStyle name="Normal 5 10 19 3 5" xfId="31206" xr:uid="{00000000-0005-0000-0000-0000E4790000}"/>
    <cellStyle name="Normal 5 10 19 3 6" xfId="31207" xr:uid="{00000000-0005-0000-0000-0000E5790000}"/>
    <cellStyle name="Normal 5 10 19 3 7" xfId="31208" xr:uid="{00000000-0005-0000-0000-0000E6790000}"/>
    <cellStyle name="Normal 5 10 19 3 8" xfId="31209" xr:uid="{00000000-0005-0000-0000-0000E7790000}"/>
    <cellStyle name="Normal 5 10 19 3 9" xfId="31210" xr:uid="{00000000-0005-0000-0000-0000E8790000}"/>
    <cellStyle name="Normal 5 10 19 4" xfId="31211" xr:uid="{00000000-0005-0000-0000-0000E9790000}"/>
    <cellStyle name="Normal 5 10 19 4 10" xfId="31212" xr:uid="{00000000-0005-0000-0000-0000EA790000}"/>
    <cellStyle name="Normal 5 10 19 4 2" xfId="31213" xr:uid="{00000000-0005-0000-0000-0000EB790000}"/>
    <cellStyle name="Normal 5 10 19 4 3" xfId="31214" xr:uid="{00000000-0005-0000-0000-0000EC790000}"/>
    <cellStyle name="Normal 5 10 19 4 4" xfId="31215" xr:uid="{00000000-0005-0000-0000-0000ED790000}"/>
    <cellStyle name="Normal 5 10 19 4 5" xfId="31216" xr:uid="{00000000-0005-0000-0000-0000EE790000}"/>
    <cellStyle name="Normal 5 10 19 4 6" xfId="31217" xr:uid="{00000000-0005-0000-0000-0000EF790000}"/>
    <cellStyle name="Normal 5 10 19 4 7" xfId="31218" xr:uid="{00000000-0005-0000-0000-0000F0790000}"/>
    <cellStyle name="Normal 5 10 19 4 8" xfId="31219" xr:uid="{00000000-0005-0000-0000-0000F1790000}"/>
    <cellStyle name="Normal 5 10 19 4 9" xfId="31220" xr:uid="{00000000-0005-0000-0000-0000F2790000}"/>
    <cellStyle name="Normal 5 10 19 5" xfId="31221" xr:uid="{00000000-0005-0000-0000-0000F3790000}"/>
    <cellStyle name="Normal 5 10 19 5 10" xfId="31222" xr:uid="{00000000-0005-0000-0000-0000F4790000}"/>
    <cellStyle name="Normal 5 10 19 5 2" xfId="31223" xr:uid="{00000000-0005-0000-0000-0000F5790000}"/>
    <cellStyle name="Normal 5 10 19 5 3" xfId="31224" xr:uid="{00000000-0005-0000-0000-0000F6790000}"/>
    <cellStyle name="Normal 5 10 19 5 4" xfId="31225" xr:uid="{00000000-0005-0000-0000-0000F7790000}"/>
    <cellStyle name="Normal 5 10 19 5 5" xfId="31226" xr:uid="{00000000-0005-0000-0000-0000F8790000}"/>
    <cellStyle name="Normal 5 10 19 5 6" xfId="31227" xr:uid="{00000000-0005-0000-0000-0000F9790000}"/>
    <cellStyle name="Normal 5 10 19 5 7" xfId="31228" xr:uid="{00000000-0005-0000-0000-0000FA790000}"/>
    <cellStyle name="Normal 5 10 19 5 8" xfId="31229" xr:uid="{00000000-0005-0000-0000-0000FB790000}"/>
    <cellStyle name="Normal 5 10 19 5 9" xfId="31230" xr:uid="{00000000-0005-0000-0000-0000FC790000}"/>
    <cellStyle name="Normal 5 10 19 6" xfId="31231" xr:uid="{00000000-0005-0000-0000-0000FD790000}"/>
    <cellStyle name="Normal 5 10 19 7" xfId="31232" xr:uid="{00000000-0005-0000-0000-0000FE790000}"/>
    <cellStyle name="Normal 5 10 19 8" xfId="31233" xr:uid="{00000000-0005-0000-0000-0000FF790000}"/>
    <cellStyle name="Normal 5 10 19 9" xfId="31234" xr:uid="{00000000-0005-0000-0000-0000007A0000}"/>
    <cellStyle name="Normal 5 10 2" xfId="31235" xr:uid="{00000000-0005-0000-0000-0000017A0000}"/>
    <cellStyle name="Normal 5 10 2 10" xfId="31236" xr:uid="{00000000-0005-0000-0000-0000027A0000}"/>
    <cellStyle name="Normal 5 10 2 10 10" xfId="31237" xr:uid="{00000000-0005-0000-0000-0000037A0000}"/>
    <cellStyle name="Normal 5 10 2 10 11" xfId="31238" xr:uid="{00000000-0005-0000-0000-0000047A0000}"/>
    <cellStyle name="Normal 5 10 2 10 12" xfId="31239" xr:uid="{00000000-0005-0000-0000-0000057A0000}"/>
    <cellStyle name="Normal 5 10 2 10 13" xfId="31240" xr:uid="{00000000-0005-0000-0000-0000067A0000}"/>
    <cellStyle name="Normal 5 10 2 10 14" xfId="31241" xr:uid="{00000000-0005-0000-0000-0000077A0000}"/>
    <cellStyle name="Normal 5 10 2 10 2" xfId="31242" xr:uid="{00000000-0005-0000-0000-0000087A0000}"/>
    <cellStyle name="Normal 5 10 2 10 2 10" xfId="31243" xr:uid="{00000000-0005-0000-0000-0000097A0000}"/>
    <cellStyle name="Normal 5 10 2 10 2 2" xfId="31244" xr:uid="{00000000-0005-0000-0000-00000A7A0000}"/>
    <cellStyle name="Normal 5 10 2 10 2 3" xfId="31245" xr:uid="{00000000-0005-0000-0000-00000B7A0000}"/>
    <cellStyle name="Normal 5 10 2 10 2 4" xfId="31246" xr:uid="{00000000-0005-0000-0000-00000C7A0000}"/>
    <cellStyle name="Normal 5 10 2 10 2 5" xfId="31247" xr:uid="{00000000-0005-0000-0000-00000D7A0000}"/>
    <cellStyle name="Normal 5 10 2 10 2 6" xfId="31248" xr:uid="{00000000-0005-0000-0000-00000E7A0000}"/>
    <cellStyle name="Normal 5 10 2 10 2 7" xfId="31249" xr:uid="{00000000-0005-0000-0000-00000F7A0000}"/>
    <cellStyle name="Normal 5 10 2 10 2 8" xfId="31250" xr:uid="{00000000-0005-0000-0000-0000107A0000}"/>
    <cellStyle name="Normal 5 10 2 10 2 9" xfId="31251" xr:uid="{00000000-0005-0000-0000-0000117A0000}"/>
    <cellStyle name="Normal 5 10 2 10 3" xfId="31252" xr:uid="{00000000-0005-0000-0000-0000127A0000}"/>
    <cellStyle name="Normal 5 10 2 10 3 10" xfId="31253" xr:uid="{00000000-0005-0000-0000-0000137A0000}"/>
    <cellStyle name="Normal 5 10 2 10 3 2" xfId="31254" xr:uid="{00000000-0005-0000-0000-0000147A0000}"/>
    <cellStyle name="Normal 5 10 2 10 3 3" xfId="31255" xr:uid="{00000000-0005-0000-0000-0000157A0000}"/>
    <cellStyle name="Normal 5 10 2 10 3 4" xfId="31256" xr:uid="{00000000-0005-0000-0000-0000167A0000}"/>
    <cellStyle name="Normal 5 10 2 10 3 5" xfId="31257" xr:uid="{00000000-0005-0000-0000-0000177A0000}"/>
    <cellStyle name="Normal 5 10 2 10 3 6" xfId="31258" xr:uid="{00000000-0005-0000-0000-0000187A0000}"/>
    <cellStyle name="Normal 5 10 2 10 3 7" xfId="31259" xr:uid="{00000000-0005-0000-0000-0000197A0000}"/>
    <cellStyle name="Normal 5 10 2 10 3 8" xfId="31260" xr:uid="{00000000-0005-0000-0000-00001A7A0000}"/>
    <cellStyle name="Normal 5 10 2 10 3 9" xfId="31261" xr:uid="{00000000-0005-0000-0000-00001B7A0000}"/>
    <cellStyle name="Normal 5 10 2 10 4" xfId="31262" xr:uid="{00000000-0005-0000-0000-00001C7A0000}"/>
    <cellStyle name="Normal 5 10 2 10 4 10" xfId="31263" xr:uid="{00000000-0005-0000-0000-00001D7A0000}"/>
    <cellStyle name="Normal 5 10 2 10 4 2" xfId="31264" xr:uid="{00000000-0005-0000-0000-00001E7A0000}"/>
    <cellStyle name="Normal 5 10 2 10 4 3" xfId="31265" xr:uid="{00000000-0005-0000-0000-00001F7A0000}"/>
    <cellStyle name="Normal 5 10 2 10 4 4" xfId="31266" xr:uid="{00000000-0005-0000-0000-0000207A0000}"/>
    <cellStyle name="Normal 5 10 2 10 4 5" xfId="31267" xr:uid="{00000000-0005-0000-0000-0000217A0000}"/>
    <cellStyle name="Normal 5 10 2 10 4 6" xfId="31268" xr:uid="{00000000-0005-0000-0000-0000227A0000}"/>
    <cellStyle name="Normal 5 10 2 10 4 7" xfId="31269" xr:uid="{00000000-0005-0000-0000-0000237A0000}"/>
    <cellStyle name="Normal 5 10 2 10 4 8" xfId="31270" xr:uid="{00000000-0005-0000-0000-0000247A0000}"/>
    <cellStyle name="Normal 5 10 2 10 4 9" xfId="31271" xr:uid="{00000000-0005-0000-0000-0000257A0000}"/>
    <cellStyle name="Normal 5 10 2 10 5" xfId="31272" xr:uid="{00000000-0005-0000-0000-0000267A0000}"/>
    <cellStyle name="Normal 5 10 2 10 5 10" xfId="31273" xr:uid="{00000000-0005-0000-0000-0000277A0000}"/>
    <cellStyle name="Normal 5 10 2 10 5 2" xfId="31274" xr:uid="{00000000-0005-0000-0000-0000287A0000}"/>
    <cellStyle name="Normal 5 10 2 10 5 3" xfId="31275" xr:uid="{00000000-0005-0000-0000-0000297A0000}"/>
    <cellStyle name="Normal 5 10 2 10 5 4" xfId="31276" xr:uid="{00000000-0005-0000-0000-00002A7A0000}"/>
    <cellStyle name="Normal 5 10 2 10 5 5" xfId="31277" xr:uid="{00000000-0005-0000-0000-00002B7A0000}"/>
    <cellStyle name="Normal 5 10 2 10 5 6" xfId="31278" xr:uid="{00000000-0005-0000-0000-00002C7A0000}"/>
    <cellStyle name="Normal 5 10 2 10 5 7" xfId="31279" xr:uid="{00000000-0005-0000-0000-00002D7A0000}"/>
    <cellStyle name="Normal 5 10 2 10 5 8" xfId="31280" xr:uid="{00000000-0005-0000-0000-00002E7A0000}"/>
    <cellStyle name="Normal 5 10 2 10 5 9" xfId="31281" xr:uid="{00000000-0005-0000-0000-00002F7A0000}"/>
    <cellStyle name="Normal 5 10 2 10 6" xfId="31282" xr:uid="{00000000-0005-0000-0000-0000307A0000}"/>
    <cellStyle name="Normal 5 10 2 10 7" xfId="31283" xr:uid="{00000000-0005-0000-0000-0000317A0000}"/>
    <cellStyle name="Normal 5 10 2 10 8" xfId="31284" xr:uid="{00000000-0005-0000-0000-0000327A0000}"/>
    <cellStyle name="Normal 5 10 2 10 9" xfId="31285" xr:uid="{00000000-0005-0000-0000-0000337A0000}"/>
    <cellStyle name="Normal 5 10 2 11" xfId="31286" xr:uid="{00000000-0005-0000-0000-0000347A0000}"/>
    <cellStyle name="Normal 5 10 2 11 10" xfId="31287" xr:uid="{00000000-0005-0000-0000-0000357A0000}"/>
    <cellStyle name="Normal 5 10 2 11 11" xfId="31288" xr:uid="{00000000-0005-0000-0000-0000367A0000}"/>
    <cellStyle name="Normal 5 10 2 11 12" xfId="31289" xr:uid="{00000000-0005-0000-0000-0000377A0000}"/>
    <cellStyle name="Normal 5 10 2 11 13" xfId="31290" xr:uid="{00000000-0005-0000-0000-0000387A0000}"/>
    <cellStyle name="Normal 5 10 2 11 14" xfId="31291" xr:uid="{00000000-0005-0000-0000-0000397A0000}"/>
    <cellStyle name="Normal 5 10 2 11 2" xfId="31292" xr:uid="{00000000-0005-0000-0000-00003A7A0000}"/>
    <cellStyle name="Normal 5 10 2 11 2 10" xfId="31293" xr:uid="{00000000-0005-0000-0000-00003B7A0000}"/>
    <cellStyle name="Normal 5 10 2 11 2 2" xfId="31294" xr:uid="{00000000-0005-0000-0000-00003C7A0000}"/>
    <cellStyle name="Normal 5 10 2 11 2 3" xfId="31295" xr:uid="{00000000-0005-0000-0000-00003D7A0000}"/>
    <cellStyle name="Normal 5 10 2 11 2 4" xfId="31296" xr:uid="{00000000-0005-0000-0000-00003E7A0000}"/>
    <cellStyle name="Normal 5 10 2 11 2 5" xfId="31297" xr:uid="{00000000-0005-0000-0000-00003F7A0000}"/>
    <cellStyle name="Normal 5 10 2 11 2 6" xfId="31298" xr:uid="{00000000-0005-0000-0000-0000407A0000}"/>
    <cellStyle name="Normal 5 10 2 11 2 7" xfId="31299" xr:uid="{00000000-0005-0000-0000-0000417A0000}"/>
    <cellStyle name="Normal 5 10 2 11 2 8" xfId="31300" xr:uid="{00000000-0005-0000-0000-0000427A0000}"/>
    <cellStyle name="Normal 5 10 2 11 2 9" xfId="31301" xr:uid="{00000000-0005-0000-0000-0000437A0000}"/>
    <cellStyle name="Normal 5 10 2 11 3" xfId="31302" xr:uid="{00000000-0005-0000-0000-0000447A0000}"/>
    <cellStyle name="Normal 5 10 2 11 3 10" xfId="31303" xr:uid="{00000000-0005-0000-0000-0000457A0000}"/>
    <cellStyle name="Normal 5 10 2 11 3 2" xfId="31304" xr:uid="{00000000-0005-0000-0000-0000467A0000}"/>
    <cellStyle name="Normal 5 10 2 11 3 3" xfId="31305" xr:uid="{00000000-0005-0000-0000-0000477A0000}"/>
    <cellStyle name="Normal 5 10 2 11 3 4" xfId="31306" xr:uid="{00000000-0005-0000-0000-0000487A0000}"/>
    <cellStyle name="Normal 5 10 2 11 3 5" xfId="31307" xr:uid="{00000000-0005-0000-0000-0000497A0000}"/>
    <cellStyle name="Normal 5 10 2 11 3 6" xfId="31308" xr:uid="{00000000-0005-0000-0000-00004A7A0000}"/>
    <cellStyle name="Normal 5 10 2 11 3 7" xfId="31309" xr:uid="{00000000-0005-0000-0000-00004B7A0000}"/>
    <cellStyle name="Normal 5 10 2 11 3 8" xfId="31310" xr:uid="{00000000-0005-0000-0000-00004C7A0000}"/>
    <cellStyle name="Normal 5 10 2 11 3 9" xfId="31311" xr:uid="{00000000-0005-0000-0000-00004D7A0000}"/>
    <cellStyle name="Normal 5 10 2 11 4" xfId="31312" xr:uid="{00000000-0005-0000-0000-00004E7A0000}"/>
    <cellStyle name="Normal 5 10 2 11 4 10" xfId="31313" xr:uid="{00000000-0005-0000-0000-00004F7A0000}"/>
    <cellStyle name="Normal 5 10 2 11 4 2" xfId="31314" xr:uid="{00000000-0005-0000-0000-0000507A0000}"/>
    <cellStyle name="Normal 5 10 2 11 4 3" xfId="31315" xr:uid="{00000000-0005-0000-0000-0000517A0000}"/>
    <cellStyle name="Normal 5 10 2 11 4 4" xfId="31316" xr:uid="{00000000-0005-0000-0000-0000527A0000}"/>
    <cellStyle name="Normal 5 10 2 11 4 5" xfId="31317" xr:uid="{00000000-0005-0000-0000-0000537A0000}"/>
    <cellStyle name="Normal 5 10 2 11 4 6" xfId="31318" xr:uid="{00000000-0005-0000-0000-0000547A0000}"/>
    <cellStyle name="Normal 5 10 2 11 4 7" xfId="31319" xr:uid="{00000000-0005-0000-0000-0000557A0000}"/>
    <cellStyle name="Normal 5 10 2 11 4 8" xfId="31320" xr:uid="{00000000-0005-0000-0000-0000567A0000}"/>
    <cellStyle name="Normal 5 10 2 11 4 9" xfId="31321" xr:uid="{00000000-0005-0000-0000-0000577A0000}"/>
    <cellStyle name="Normal 5 10 2 11 5" xfId="31322" xr:uid="{00000000-0005-0000-0000-0000587A0000}"/>
    <cellStyle name="Normal 5 10 2 11 5 10" xfId="31323" xr:uid="{00000000-0005-0000-0000-0000597A0000}"/>
    <cellStyle name="Normal 5 10 2 11 5 2" xfId="31324" xr:uid="{00000000-0005-0000-0000-00005A7A0000}"/>
    <cellStyle name="Normal 5 10 2 11 5 3" xfId="31325" xr:uid="{00000000-0005-0000-0000-00005B7A0000}"/>
    <cellStyle name="Normal 5 10 2 11 5 4" xfId="31326" xr:uid="{00000000-0005-0000-0000-00005C7A0000}"/>
    <cellStyle name="Normal 5 10 2 11 5 5" xfId="31327" xr:uid="{00000000-0005-0000-0000-00005D7A0000}"/>
    <cellStyle name="Normal 5 10 2 11 5 6" xfId="31328" xr:uid="{00000000-0005-0000-0000-00005E7A0000}"/>
    <cellStyle name="Normal 5 10 2 11 5 7" xfId="31329" xr:uid="{00000000-0005-0000-0000-00005F7A0000}"/>
    <cellStyle name="Normal 5 10 2 11 5 8" xfId="31330" xr:uid="{00000000-0005-0000-0000-0000607A0000}"/>
    <cellStyle name="Normal 5 10 2 11 5 9" xfId="31331" xr:uid="{00000000-0005-0000-0000-0000617A0000}"/>
    <cellStyle name="Normal 5 10 2 11 6" xfId="31332" xr:uid="{00000000-0005-0000-0000-0000627A0000}"/>
    <cellStyle name="Normal 5 10 2 11 7" xfId="31333" xr:uid="{00000000-0005-0000-0000-0000637A0000}"/>
    <cellStyle name="Normal 5 10 2 11 8" xfId="31334" xr:uid="{00000000-0005-0000-0000-0000647A0000}"/>
    <cellStyle name="Normal 5 10 2 11 9" xfId="31335" xr:uid="{00000000-0005-0000-0000-0000657A0000}"/>
    <cellStyle name="Normal 5 10 2 12" xfId="31336" xr:uid="{00000000-0005-0000-0000-0000667A0000}"/>
    <cellStyle name="Normal 5 10 2 12 10" xfId="31337" xr:uid="{00000000-0005-0000-0000-0000677A0000}"/>
    <cellStyle name="Normal 5 10 2 12 11" xfId="31338" xr:uid="{00000000-0005-0000-0000-0000687A0000}"/>
    <cellStyle name="Normal 5 10 2 12 12" xfId="31339" xr:uid="{00000000-0005-0000-0000-0000697A0000}"/>
    <cellStyle name="Normal 5 10 2 12 13" xfId="31340" xr:uid="{00000000-0005-0000-0000-00006A7A0000}"/>
    <cellStyle name="Normal 5 10 2 12 14" xfId="31341" xr:uid="{00000000-0005-0000-0000-00006B7A0000}"/>
    <cellStyle name="Normal 5 10 2 12 2" xfId="31342" xr:uid="{00000000-0005-0000-0000-00006C7A0000}"/>
    <cellStyle name="Normal 5 10 2 12 2 10" xfId="31343" xr:uid="{00000000-0005-0000-0000-00006D7A0000}"/>
    <cellStyle name="Normal 5 10 2 12 2 2" xfId="31344" xr:uid="{00000000-0005-0000-0000-00006E7A0000}"/>
    <cellStyle name="Normal 5 10 2 12 2 3" xfId="31345" xr:uid="{00000000-0005-0000-0000-00006F7A0000}"/>
    <cellStyle name="Normal 5 10 2 12 2 4" xfId="31346" xr:uid="{00000000-0005-0000-0000-0000707A0000}"/>
    <cellStyle name="Normal 5 10 2 12 2 5" xfId="31347" xr:uid="{00000000-0005-0000-0000-0000717A0000}"/>
    <cellStyle name="Normal 5 10 2 12 2 6" xfId="31348" xr:uid="{00000000-0005-0000-0000-0000727A0000}"/>
    <cellStyle name="Normal 5 10 2 12 2 7" xfId="31349" xr:uid="{00000000-0005-0000-0000-0000737A0000}"/>
    <cellStyle name="Normal 5 10 2 12 2 8" xfId="31350" xr:uid="{00000000-0005-0000-0000-0000747A0000}"/>
    <cellStyle name="Normal 5 10 2 12 2 9" xfId="31351" xr:uid="{00000000-0005-0000-0000-0000757A0000}"/>
    <cellStyle name="Normal 5 10 2 12 3" xfId="31352" xr:uid="{00000000-0005-0000-0000-0000767A0000}"/>
    <cellStyle name="Normal 5 10 2 12 3 10" xfId="31353" xr:uid="{00000000-0005-0000-0000-0000777A0000}"/>
    <cellStyle name="Normal 5 10 2 12 3 2" xfId="31354" xr:uid="{00000000-0005-0000-0000-0000787A0000}"/>
    <cellStyle name="Normal 5 10 2 12 3 3" xfId="31355" xr:uid="{00000000-0005-0000-0000-0000797A0000}"/>
    <cellStyle name="Normal 5 10 2 12 3 4" xfId="31356" xr:uid="{00000000-0005-0000-0000-00007A7A0000}"/>
    <cellStyle name="Normal 5 10 2 12 3 5" xfId="31357" xr:uid="{00000000-0005-0000-0000-00007B7A0000}"/>
    <cellStyle name="Normal 5 10 2 12 3 6" xfId="31358" xr:uid="{00000000-0005-0000-0000-00007C7A0000}"/>
    <cellStyle name="Normal 5 10 2 12 3 7" xfId="31359" xr:uid="{00000000-0005-0000-0000-00007D7A0000}"/>
    <cellStyle name="Normal 5 10 2 12 3 8" xfId="31360" xr:uid="{00000000-0005-0000-0000-00007E7A0000}"/>
    <cellStyle name="Normal 5 10 2 12 3 9" xfId="31361" xr:uid="{00000000-0005-0000-0000-00007F7A0000}"/>
    <cellStyle name="Normal 5 10 2 12 4" xfId="31362" xr:uid="{00000000-0005-0000-0000-0000807A0000}"/>
    <cellStyle name="Normal 5 10 2 12 4 10" xfId="31363" xr:uid="{00000000-0005-0000-0000-0000817A0000}"/>
    <cellStyle name="Normal 5 10 2 12 4 2" xfId="31364" xr:uid="{00000000-0005-0000-0000-0000827A0000}"/>
    <cellStyle name="Normal 5 10 2 12 4 3" xfId="31365" xr:uid="{00000000-0005-0000-0000-0000837A0000}"/>
    <cellStyle name="Normal 5 10 2 12 4 4" xfId="31366" xr:uid="{00000000-0005-0000-0000-0000847A0000}"/>
    <cellStyle name="Normal 5 10 2 12 4 5" xfId="31367" xr:uid="{00000000-0005-0000-0000-0000857A0000}"/>
    <cellStyle name="Normal 5 10 2 12 4 6" xfId="31368" xr:uid="{00000000-0005-0000-0000-0000867A0000}"/>
    <cellStyle name="Normal 5 10 2 12 4 7" xfId="31369" xr:uid="{00000000-0005-0000-0000-0000877A0000}"/>
    <cellStyle name="Normal 5 10 2 12 4 8" xfId="31370" xr:uid="{00000000-0005-0000-0000-0000887A0000}"/>
    <cellStyle name="Normal 5 10 2 12 4 9" xfId="31371" xr:uid="{00000000-0005-0000-0000-0000897A0000}"/>
    <cellStyle name="Normal 5 10 2 12 5" xfId="31372" xr:uid="{00000000-0005-0000-0000-00008A7A0000}"/>
    <cellStyle name="Normal 5 10 2 12 5 10" xfId="31373" xr:uid="{00000000-0005-0000-0000-00008B7A0000}"/>
    <cellStyle name="Normal 5 10 2 12 5 2" xfId="31374" xr:uid="{00000000-0005-0000-0000-00008C7A0000}"/>
    <cellStyle name="Normal 5 10 2 12 5 3" xfId="31375" xr:uid="{00000000-0005-0000-0000-00008D7A0000}"/>
    <cellStyle name="Normal 5 10 2 12 5 4" xfId="31376" xr:uid="{00000000-0005-0000-0000-00008E7A0000}"/>
    <cellStyle name="Normal 5 10 2 12 5 5" xfId="31377" xr:uid="{00000000-0005-0000-0000-00008F7A0000}"/>
    <cellStyle name="Normal 5 10 2 12 5 6" xfId="31378" xr:uid="{00000000-0005-0000-0000-0000907A0000}"/>
    <cellStyle name="Normal 5 10 2 12 5 7" xfId="31379" xr:uid="{00000000-0005-0000-0000-0000917A0000}"/>
    <cellStyle name="Normal 5 10 2 12 5 8" xfId="31380" xr:uid="{00000000-0005-0000-0000-0000927A0000}"/>
    <cellStyle name="Normal 5 10 2 12 5 9" xfId="31381" xr:uid="{00000000-0005-0000-0000-0000937A0000}"/>
    <cellStyle name="Normal 5 10 2 12 6" xfId="31382" xr:uid="{00000000-0005-0000-0000-0000947A0000}"/>
    <cellStyle name="Normal 5 10 2 12 7" xfId="31383" xr:uid="{00000000-0005-0000-0000-0000957A0000}"/>
    <cellStyle name="Normal 5 10 2 12 8" xfId="31384" xr:uid="{00000000-0005-0000-0000-0000967A0000}"/>
    <cellStyle name="Normal 5 10 2 12 9" xfId="31385" xr:uid="{00000000-0005-0000-0000-0000977A0000}"/>
    <cellStyle name="Normal 5 10 2 13" xfId="31386" xr:uid="{00000000-0005-0000-0000-0000987A0000}"/>
    <cellStyle name="Normal 5 10 2 13 10" xfId="31387" xr:uid="{00000000-0005-0000-0000-0000997A0000}"/>
    <cellStyle name="Normal 5 10 2 13 11" xfId="31388" xr:uid="{00000000-0005-0000-0000-00009A7A0000}"/>
    <cellStyle name="Normal 5 10 2 13 12" xfId="31389" xr:uid="{00000000-0005-0000-0000-00009B7A0000}"/>
    <cellStyle name="Normal 5 10 2 13 13" xfId="31390" xr:uid="{00000000-0005-0000-0000-00009C7A0000}"/>
    <cellStyle name="Normal 5 10 2 13 14" xfId="31391" xr:uid="{00000000-0005-0000-0000-00009D7A0000}"/>
    <cellStyle name="Normal 5 10 2 13 2" xfId="31392" xr:uid="{00000000-0005-0000-0000-00009E7A0000}"/>
    <cellStyle name="Normal 5 10 2 13 2 10" xfId="31393" xr:uid="{00000000-0005-0000-0000-00009F7A0000}"/>
    <cellStyle name="Normal 5 10 2 13 2 2" xfId="31394" xr:uid="{00000000-0005-0000-0000-0000A07A0000}"/>
    <cellStyle name="Normal 5 10 2 13 2 3" xfId="31395" xr:uid="{00000000-0005-0000-0000-0000A17A0000}"/>
    <cellStyle name="Normal 5 10 2 13 2 4" xfId="31396" xr:uid="{00000000-0005-0000-0000-0000A27A0000}"/>
    <cellStyle name="Normal 5 10 2 13 2 5" xfId="31397" xr:uid="{00000000-0005-0000-0000-0000A37A0000}"/>
    <cellStyle name="Normal 5 10 2 13 2 6" xfId="31398" xr:uid="{00000000-0005-0000-0000-0000A47A0000}"/>
    <cellStyle name="Normal 5 10 2 13 2 7" xfId="31399" xr:uid="{00000000-0005-0000-0000-0000A57A0000}"/>
    <cellStyle name="Normal 5 10 2 13 2 8" xfId="31400" xr:uid="{00000000-0005-0000-0000-0000A67A0000}"/>
    <cellStyle name="Normal 5 10 2 13 2 9" xfId="31401" xr:uid="{00000000-0005-0000-0000-0000A77A0000}"/>
    <cellStyle name="Normal 5 10 2 13 3" xfId="31402" xr:uid="{00000000-0005-0000-0000-0000A87A0000}"/>
    <cellStyle name="Normal 5 10 2 13 3 10" xfId="31403" xr:uid="{00000000-0005-0000-0000-0000A97A0000}"/>
    <cellStyle name="Normal 5 10 2 13 3 2" xfId="31404" xr:uid="{00000000-0005-0000-0000-0000AA7A0000}"/>
    <cellStyle name="Normal 5 10 2 13 3 3" xfId="31405" xr:uid="{00000000-0005-0000-0000-0000AB7A0000}"/>
    <cellStyle name="Normal 5 10 2 13 3 4" xfId="31406" xr:uid="{00000000-0005-0000-0000-0000AC7A0000}"/>
    <cellStyle name="Normal 5 10 2 13 3 5" xfId="31407" xr:uid="{00000000-0005-0000-0000-0000AD7A0000}"/>
    <cellStyle name="Normal 5 10 2 13 3 6" xfId="31408" xr:uid="{00000000-0005-0000-0000-0000AE7A0000}"/>
    <cellStyle name="Normal 5 10 2 13 3 7" xfId="31409" xr:uid="{00000000-0005-0000-0000-0000AF7A0000}"/>
    <cellStyle name="Normal 5 10 2 13 3 8" xfId="31410" xr:uid="{00000000-0005-0000-0000-0000B07A0000}"/>
    <cellStyle name="Normal 5 10 2 13 3 9" xfId="31411" xr:uid="{00000000-0005-0000-0000-0000B17A0000}"/>
    <cellStyle name="Normal 5 10 2 13 4" xfId="31412" xr:uid="{00000000-0005-0000-0000-0000B27A0000}"/>
    <cellStyle name="Normal 5 10 2 13 4 10" xfId="31413" xr:uid="{00000000-0005-0000-0000-0000B37A0000}"/>
    <cellStyle name="Normal 5 10 2 13 4 2" xfId="31414" xr:uid="{00000000-0005-0000-0000-0000B47A0000}"/>
    <cellStyle name="Normal 5 10 2 13 4 3" xfId="31415" xr:uid="{00000000-0005-0000-0000-0000B57A0000}"/>
    <cellStyle name="Normal 5 10 2 13 4 4" xfId="31416" xr:uid="{00000000-0005-0000-0000-0000B67A0000}"/>
    <cellStyle name="Normal 5 10 2 13 4 5" xfId="31417" xr:uid="{00000000-0005-0000-0000-0000B77A0000}"/>
    <cellStyle name="Normal 5 10 2 13 4 6" xfId="31418" xr:uid="{00000000-0005-0000-0000-0000B87A0000}"/>
    <cellStyle name="Normal 5 10 2 13 4 7" xfId="31419" xr:uid="{00000000-0005-0000-0000-0000B97A0000}"/>
    <cellStyle name="Normal 5 10 2 13 4 8" xfId="31420" xr:uid="{00000000-0005-0000-0000-0000BA7A0000}"/>
    <cellStyle name="Normal 5 10 2 13 4 9" xfId="31421" xr:uid="{00000000-0005-0000-0000-0000BB7A0000}"/>
    <cellStyle name="Normal 5 10 2 13 5" xfId="31422" xr:uid="{00000000-0005-0000-0000-0000BC7A0000}"/>
    <cellStyle name="Normal 5 10 2 13 5 10" xfId="31423" xr:uid="{00000000-0005-0000-0000-0000BD7A0000}"/>
    <cellStyle name="Normal 5 10 2 13 5 2" xfId="31424" xr:uid="{00000000-0005-0000-0000-0000BE7A0000}"/>
    <cellStyle name="Normal 5 10 2 13 5 3" xfId="31425" xr:uid="{00000000-0005-0000-0000-0000BF7A0000}"/>
    <cellStyle name="Normal 5 10 2 13 5 4" xfId="31426" xr:uid="{00000000-0005-0000-0000-0000C07A0000}"/>
    <cellStyle name="Normal 5 10 2 13 5 5" xfId="31427" xr:uid="{00000000-0005-0000-0000-0000C17A0000}"/>
    <cellStyle name="Normal 5 10 2 13 5 6" xfId="31428" xr:uid="{00000000-0005-0000-0000-0000C27A0000}"/>
    <cellStyle name="Normal 5 10 2 13 5 7" xfId="31429" xr:uid="{00000000-0005-0000-0000-0000C37A0000}"/>
    <cellStyle name="Normal 5 10 2 13 5 8" xfId="31430" xr:uid="{00000000-0005-0000-0000-0000C47A0000}"/>
    <cellStyle name="Normal 5 10 2 13 5 9" xfId="31431" xr:uid="{00000000-0005-0000-0000-0000C57A0000}"/>
    <cellStyle name="Normal 5 10 2 13 6" xfId="31432" xr:uid="{00000000-0005-0000-0000-0000C67A0000}"/>
    <cellStyle name="Normal 5 10 2 13 7" xfId="31433" xr:uid="{00000000-0005-0000-0000-0000C77A0000}"/>
    <cellStyle name="Normal 5 10 2 13 8" xfId="31434" xr:uid="{00000000-0005-0000-0000-0000C87A0000}"/>
    <cellStyle name="Normal 5 10 2 13 9" xfId="31435" xr:uid="{00000000-0005-0000-0000-0000C97A0000}"/>
    <cellStyle name="Normal 5 10 2 14" xfId="31436" xr:uid="{00000000-0005-0000-0000-0000CA7A0000}"/>
    <cellStyle name="Normal 5 10 2 14 10" xfId="31437" xr:uid="{00000000-0005-0000-0000-0000CB7A0000}"/>
    <cellStyle name="Normal 5 10 2 14 11" xfId="31438" xr:uid="{00000000-0005-0000-0000-0000CC7A0000}"/>
    <cellStyle name="Normal 5 10 2 14 12" xfId="31439" xr:uid="{00000000-0005-0000-0000-0000CD7A0000}"/>
    <cellStyle name="Normal 5 10 2 14 13" xfId="31440" xr:uid="{00000000-0005-0000-0000-0000CE7A0000}"/>
    <cellStyle name="Normal 5 10 2 14 14" xfId="31441" xr:uid="{00000000-0005-0000-0000-0000CF7A0000}"/>
    <cellStyle name="Normal 5 10 2 14 2" xfId="31442" xr:uid="{00000000-0005-0000-0000-0000D07A0000}"/>
    <cellStyle name="Normal 5 10 2 14 2 10" xfId="31443" xr:uid="{00000000-0005-0000-0000-0000D17A0000}"/>
    <cellStyle name="Normal 5 10 2 14 2 2" xfId="31444" xr:uid="{00000000-0005-0000-0000-0000D27A0000}"/>
    <cellStyle name="Normal 5 10 2 14 2 3" xfId="31445" xr:uid="{00000000-0005-0000-0000-0000D37A0000}"/>
    <cellStyle name="Normal 5 10 2 14 2 4" xfId="31446" xr:uid="{00000000-0005-0000-0000-0000D47A0000}"/>
    <cellStyle name="Normal 5 10 2 14 2 5" xfId="31447" xr:uid="{00000000-0005-0000-0000-0000D57A0000}"/>
    <cellStyle name="Normal 5 10 2 14 2 6" xfId="31448" xr:uid="{00000000-0005-0000-0000-0000D67A0000}"/>
    <cellStyle name="Normal 5 10 2 14 2 7" xfId="31449" xr:uid="{00000000-0005-0000-0000-0000D77A0000}"/>
    <cellStyle name="Normal 5 10 2 14 2 8" xfId="31450" xr:uid="{00000000-0005-0000-0000-0000D87A0000}"/>
    <cellStyle name="Normal 5 10 2 14 2 9" xfId="31451" xr:uid="{00000000-0005-0000-0000-0000D97A0000}"/>
    <cellStyle name="Normal 5 10 2 14 3" xfId="31452" xr:uid="{00000000-0005-0000-0000-0000DA7A0000}"/>
    <cellStyle name="Normal 5 10 2 14 3 10" xfId="31453" xr:uid="{00000000-0005-0000-0000-0000DB7A0000}"/>
    <cellStyle name="Normal 5 10 2 14 3 2" xfId="31454" xr:uid="{00000000-0005-0000-0000-0000DC7A0000}"/>
    <cellStyle name="Normal 5 10 2 14 3 3" xfId="31455" xr:uid="{00000000-0005-0000-0000-0000DD7A0000}"/>
    <cellStyle name="Normal 5 10 2 14 3 4" xfId="31456" xr:uid="{00000000-0005-0000-0000-0000DE7A0000}"/>
    <cellStyle name="Normal 5 10 2 14 3 5" xfId="31457" xr:uid="{00000000-0005-0000-0000-0000DF7A0000}"/>
    <cellStyle name="Normal 5 10 2 14 3 6" xfId="31458" xr:uid="{00000000-0005-0000-0000-0000E07A0000}"/>
    <cellStyle name="Normal 5 10 2 14 3 7" xfId="31459" xr:uid="{00000000-0005-0000-0000-0000E17A0000}"/>
    <cellStyle name="Normal 5 10 2 14 3 8" xfId="31460" xr:uid="{00000000-0005-0000-0000-0000E27A0000}"/>
    <cellStyle name="Normal 5 10 2 14 3 9" xfId="31461" xr:uid="{00000000-0005-0000-0000-0000E37A0000}"/>
    <cellStyle name="Normal 5 10 2 14 4" xfId="31462" xr:uid="{00000000-0005-0000-0000-0000E47A0000}"/>
    <cellStyle name="Normal 5 10 2 14 4 10" xfId="31463" xr:uid="{00000000-0005-0000-0000-0000E57A0000}"/>
    <cellStyle name="Normal 5 10 2 14 4 2" xfId="31464" xr:uid="{00000000-0005-0000-0000-0000E67A0000}"/>
    <cellStyle name="Normal 5 10 2 14 4 3" xfId="31465" xr:uid="{00000000-0005-0000-0000-0000E77A0000}"/>
    <cellStyle name="Normal 5 10 2 14 4 4" xfId="31466" xr:uid="{00000000-0005-0000-0000-0000E87A0000}"/>
    <cellStyle name="Normal 5 10 2 14 4 5" xfId="31467" xr:uid="{00000000-0005-0000-0000-0000E97A0000}"/>
    <cellStyle name="Normal 5 10 2 14 4 6" xfId="31468" xr:uid="{00000000-0005-0000-0000-0000EA7A0000}"/>
    <cellStyle name="Normal 5 10 2 14 4 7" xfId="31469" xr:uid="{00000000-0005-0000-0000-0000EB7A0000}"/>
    <cellStyle name="Normal 5 10 2 14 4 8" xfId="31470" xr:uid="{00000000-0005-0000-0000-0000EC7A0000}"/>
    <cellStyle name="Normal 5 10 2 14 4 9" xfId="31471" xr:uid="{00000000-0005-0000-0000-0000ED7A0000}"/>
    <cellStyle name="Normal 5 10 2 14 5" xfId="31472" xr:uid="{00000000-0005-0000-0000-0000EE7A0000}"/>
    <cellStyle name="Normal 5 10 2 14 5 10" xfId="31473" xr:uid="{00000000-0005-0000-0000-0000EF7A0000}"/>
    <cellStyle name="Normal 5 10 2 14 5 2" xfId="31474" xr:uid="{00000000-0005-0000-0000-0000F07A0000}"/>
    <cellStyle name="Normal 5 10 2 14 5 3" xfId="31475" xr:uid="{00000000-0005-0000-0000-0000F17A0000}"/>
    <cellStyle name="Normal 5 10 2 14 5 4" xfId="31476" xr:uid="{00000000-0005-0000-0000-0000F27A0000}"/>
    <cellStyle name="Normal 5 10 2 14 5 5" xfId="31477" xr:uid="{00000000-0005-0000-0000-0000F37A0000}"/>
    <cellStyle name="Normal 5 10 2 14 5 6" xfId="31478" xr:uid="{00000000-0005-0000-0000-0000F47A0000}"/>
    <cellStyle name="Normal 5 10 2 14 5 7" xfId="31479" xr:uid="{00000000-0005-0000-0000-0000F57A0000}"/>
    <cellStyle name="Normal 5 10 2 14 5 8" xfId="31480" xr:uid="{00000000-0005-0000-0000-0000F67A0000}"/>
    <cellStyle name="Normal 5 10 2 14 5 9" xfId="31481" xr:uid="{00000000-0005-0000-0000-0000F77A0000}"/>
    <cellStyle name="Normal 5 10 2 14 6" xfId="31482" xr:uid="{00000000-0005-0000-0000-0000F87A0000}"/>
    <cellStyle name="Normal 5 10 2 14 7" xfId="31483" xr:uid="{00000000-0005-0000-0000-0000F97A0000}"/>
    <cellStyle name="Normal 5 10 2 14 8" xfId="31484" xr:uid="{00000000-0005-0000-0000-0000FA7A0000}"/>
    <cellStyle name="Normal 5 10 2 14 9" xfId="31485" xr:uid="{00000000-0005-0000-0000-0000FB7A0000}"/>
    <cellStyle name="Normal 5 10 2 15" xfId="31486" xr:uid="{00000000-0005-0000-0000-0000FC7A0000}"/>
    <cellStyle name="Normal 5 10 2 15 10" xfId="31487" xr:uid="{00000000-0005-0000-0000-0000FD7A0000}"/>
    <cellStyle name="Normal 5 10 2 15 11" xfId="31488" xr:uid="{00000000-0005-0000-0000-0000FE7A0000}"/>
    <cellStyle name="Normal 5 10 2 15 12" xfId="31489" xr:uid="{00000000-0005-0000-0000-0000FF7A0000}"/>
    <cellStyle name="Normal 5 10 2 15 13" xfId="31490" xr:uid="{00000000-0005-0000-0000-0000007B0000}"/>
    <cellStyle name="Normal 5 10 2 15 14" xfId="31491" xr:uid="{00000000-0005-0000-0000-0000017B0000}"/>
    <cellStyle name="Normal 5 10 2 15 2" xfId="31492" xr:uid="{00000000-0005-0000-0000-0000027B0000}"/>
    <cellStyle name="Normal 5 10 2 15 2 10" xfId="31493" xr:uid="{00000000-0005-0000-0000-0000037B0000}"/>
    <cellStyle name="Normal 5 10 2 15 2 2" xfId="31494" xr:uid="{00000000-0005-0000-0000-0000047B0000}"/>
    <cellStyle name="Normal 5 10 2 15 2 3" xfId="31495" xr:uid="{00000000-0005-0000-0000-0000057B0000}"/>
    <cellStyle name="Normal 5 10 2 15 2 4" xfId="31496" xr:uid="{00000000-0005-0000-0000-0000067B0000}"/>
    <cellStyle name="Normal 5 10 2 15 2 5" xfId="31497" xr:uid="{00000000-0005-0000-0000-0000077B0000}"/>
    <cellStyle name="Normal 5 10 2 15 2 6" xfId="31498" xr:uid="{00000000-0005-0000-0000-0000087B0000}"/>
    <cellStyle name="Normal 5 10 2 15 2 7" xfId="31499" xr:uid="{00000000-0005-0000-0000-0000097B0000}"/>
    <cellStyle name="Normal 5 10 2 15 2 8" xfId="31500" xr:uid="{00000000-0005-0000-0000-00000A7B0000}"/>
    <cellStyle name="Normal 5 10 2 15 2 9" xfId="31501" xr:uid="{00000000-0005-0000-0000-00000B7B0000}"/>
    <cellStyle name="Normal 5 10 2 15 3" xfId="31502" xr:uid="{00000000-0005-0000-0000-00000C7B0000}"/>
    <cellStyle name="Normal 5 10 2 15 3 10" xfId="31503" xr:uid="{00000000-0005-0000-0000-00000D7B0000}"/>
    <cellStyle name="Normal 5 10 2 15 3 2" xfId="31504" xr:uid="{00000000-0005-0000-0000-00000E7B0000}"/>
    <cellStyle name="Normal 5 10 2 15 3 3" xfId="31505" xr:uid="{00000000-0005-0000-0000-00000F7B0000}"/>
    <cellStyle name="Normal 5 10 2 15 3 4" xfId="31506" xr:uid="{00000000-0005-0000-0000-0000107B0000}"/>
    <cellStyle name="Normal 5 10 2 15 3 5" xfId="31507" xr:uid="{00000000-0005-0000-0000-0000117B0000}"/>
    <cellStyle name="Normal 5 10 2 15 3 6" xfId="31508" xr:uid="{00000000-0005-0000-0000-0000127B0000}"/>
    <cellStyle name="Normal 5 10 2 15 3 7" xfId="31509" xr:uid="{00000000-0005-0000-0000-0000137B0000}"/>
    <cellStyle name="Normal 5 10 2 15 3 8" xfId="31510" xr:uid="{00000000-0005-0000-0000-0000147B0000}"/>
    <cellStyle name="Normal 5 10 2 15 3 9" xfId="31511" xr:uid="{00000000-0005-0000-0000-0000157B0000}"/>
    <cellStyle name="Normal 5 10 2 15 4" xfId="31512" xr:uid="{00000000-0005-0000-0000-0000167B0000}"/>
    <cellStyle name="Normal 5 10 2 15 4 10" xfId="31513" xr:uid="{00000000-0005-0000-0000-0000177B0000}"/>
    <cellStyle name="Normal 5 10 2 15 4 2" xfId="31514" xr:uid="{00000000-0005-0000-0000-0000187B0000}"/>
    <cellStyle name="Normal 5 10 2 15 4 3" xfId="31515" xr:uid="{00000000-0005-0000-0000-0000197B0000}"/>
    <cellStyle name="Normal 5 10 2 15 4 4" xfId="31516" xr:uid="{00000000-0005-0000-0000-00001A7B0000}"/>
    <cellStyle name="Normal 5 10 2 15 4 5" xfId="31517" xr:uid="{00000000-0005-0000-0000-00001B7B0000}"/>
    <cellStyle name="Normal 5 10 2 15 4 6" xfId="31518" xr:uid="{00000000-0005-0000-0000-00001C7B0000}"/>
    <cellStyle name="Normal 5 10 2 15 4 7" xfId="31519" xr:uid="{00000000-0005-0000-0000-00001D7B0000}"/>
    <cellStyle name="Normal 5 10 2 15 4 8" xfId="31520" xr:uid="{00000000-0005-0000-0000-00001E7B0000}"/>
    <cellStyle name="Normal 5 10 2 15 4 9" xfId="31521" xr:uid="{00000000-0005-0000-0000-00001F7B0000}"/>
    <cellStyle name="Normal 5 10 2 15 5" xfId="31522" xr:uid="{00000000-0005-0000-0000-0000207B0000}"/>
    <cellStyle name="Normal 5 10 2 15 5 10" xfId="31523" xr:uid="{00000000-0005-0000-0000-0000217B0000}"/>
    <cellStyle name="Normal 5 10 2 15 5 2" xfId="31524" xr:uid="{00000000-0005-0000-0000-0000227B0000}"/>
    <cellStyle name="Normal 5 10 2 15 5 3" xfId="31525" xr:uid="{00000000-0005-0000-0000-0000237B0000}"/>
    <cellStyle name="Normal 5 10 2 15 5 4" xfId="31526" xr:uid="{00000000-0005-0000-0000-0000247B0000}"/>
    <cellStyle name="Normal 5 10 2 15 5 5" xfId="31527" xr:uid="{00000000-0005-0000-0000-0000257B0000}"/>
    <cellStyle name="Normal 5 10 2 15 5 6" xfId="31528" xr:uid="{00000000-0005-0000-0000-0000267B0000}"/>
    <cellStyle name="Normal 5 10 2 15 5 7" xfId="31529" xr:uid="{00000000-0005-0000-0000-0000277B0000}"/>
    <cellStyle name="Normal 5 10 2 15 5 8" xfId="31530" xr:uid="{00000000-0005-0000-0000-0000287B0000}"/>
    <cellStyle name="Normal 5 10 2 15 5 9" xfId="31531" xr:uid="{00000000-0005-0000-0000-0000297B0000}"/>
    <cellStyle name="Normal 5 10 2 15 6" xfId="31532" xr:uid="{00000000-0005-0000-0000-00002A7B0000}"/>
    <cellStyle name="Normal 5 10 2 15 7" xfId="31533" xr:uid="{00000000-0005-0000-0000-00002B7B0000}"/>
    <cellStyle name="Normal 5 10 2 15 8" xfId="31534" xr:uid="{00000000-0005-0000-0000-00002C7B0000}"/>
    <cellStyle name="Normal 5 10 2 15 9" xfId="31535" xr:uid="{00000000-0005-0000-0000-00002D7B0000}"/>
    <cellStyle name="Normal 5 10 2 16" xfId="31536" xr:uid="{00000000-0005-0000-0000-00002E7B0000}"/>
    <cellStyle name="Normal 5 10 2 16 10" xfId="31537" xr:uid="{00000000-0005-0000-0000-00002F7B0000}"/>
    <cellStyle name="Normal 5 10 2 16 11" xfId="31538" xr:uid="{00000000-0005-0000-0000-0000307B0000}"/>
    <cellStyle name="Normal 5 10 2 16 12" xfId="31539" xr:uid="{00000000-0005-0000-0000-0000317B0000}"/>
    <cellStyle name="Normal 5 10 2 16 13" xfId="31540" xr:uid="{00000000-0005-0000-0000-0000327B0000}"/>
    <cellStyle name="Normal 5 10 2 16 14" xfId="31541" xr:uid="{00000000-0005-0000-0000-0000337B0000}"/>
    <cellStyle name="Normal 5 10 2 16 2" xfId="31542" xr:uid="{00000000-0005-0000-0000-0000347B0000}"/>
    <cellStyle name="Normal 5 10 2 16 2 10" xfId="31543" xr:uid="{00000000-0005-0000-0000-0000357B0000}"/>
    <cellStyle name="Normal 5 10 2 16 2 2" xfId="31544" xr:uid="{00000000-0005-0000-0000-0000367B0000}"/>
    <cellStyle name="Normal 5 10 2 16 2 3" xfId="31545" xr:uid="{00000000-0005-0000-0000-0000377B0000}"/>
    <cellStyle name="Normal 5 10 2 16 2 4" xfId="31546" xr:uid="{00000000-0005-0000-0000-0000387B0000}"/>
    <cellStyle name="Normal 5 10 2 16 2 5" xfId="31547" xr:uid="{00000000-0005-0000-0000-0000397B0000}"/>
    <cellStyle name="Normal 5 10 2 16 2 6" xfId="31548" xr:uid="{00000000-0005-0000-0000-00003A7B0000}"/>
    <cellStyle name="Normal 5 10 2 16 2 7" xfId="31549" xr:uid="{00000000-0005-0000-0000-00003B7B0000}"/>
    <cellStyle name="Normal 5 10 2 16 2 8" xfId="31550" xr:uid="{00000000-0005-0000-0000-00003C7B0000}"/>
    <cellStyle name="Normal 5 10 2 16 2 9" xfId="31551" xr:uid="{00000000-0005-0000-0000-00003D7B0000}"/>
    <cellStyle name="Normal 5 10 2 16 3" xfId="31552" xr:uid="{00000000-0005-0000-0000-00003E7B0000}"/>
    <cellStyle name="Normal 5 10 2 16 3 10" xfId="31553" xr:uid="{00000000-0005-0000-0000-00003F7B0000}"/>
    <cellStyle name="Normal 5 10 2 16 3 2" xfId="31554" xr:uid="{00000000-0005-0000-0000-0000407B0000}"/>
    <cellStyle name="Normal 5 10 2 16 3 3" xfId="31555" xr:uid="{00000000-0005-0000-0000-0000417B0000}"/>
    <cellStyle name="Normal 5 10 2 16 3 4" xfId="31556" xr:uid="{00000000-0005-0000-0000-0000427B0000}"/>
    <cellStyle name="Normal 5 10 2 16 3 5" xfId="31557" xr:uid="{00000000-0005-0000-0000-0000437B0000}"/>
    <cellStyle name="Normal 5 10 2 16 3 6" xfId="31558" xr:uid="{00000000-0005-0000-0000-0000447B0000}"/>
    <cellStyle name="Normal 5 10 2 16 3 7" xfId="31559" xr:uid="{00000000-0005-0000-0000-0000457B0000}"/>
    <cellStyle name="Normal 5 10 2 16 3 8" xfId="31560" xr:uid="{00000000-0005-0000-0000-0000467B0000}"/>
    <cellStyle name="Normal 5 10 2 16 3 9" xfId="31561" xr:uid="{00000000-0005-0000-0000-0000477B0000}"/>
    <cellStyle name="Normal 5 10 2 16 4" xfId="31562" xr:uid="{00000000-0005-0000-0000-0000487B0000}"/>
    <cellStyle name="Normal 5 10 2 16 4 10" xfId="31563" xr:uid="{00000000-0005-0000-0000-0000497B0000}"/>
    <cellStyle name="Normal 5 10 2 16 4 2" xfId="31564" xr:uid="{00000000-0005-0000-0000-00004A7B0000}"/>
    <cellStyle name="Normal 5 10 2 16 4 3" xfId="31565" xr:uid="{00000000-0005-0000-0000-00004B7B0000}"/>
    <cellStyle name="Normal 5 10 2 16 4 4" xfId="31566" xr:uid="{00000000-0005-0000-0000-00004C7B0000}"/>
    <cellStyle name="Normal 5 10 2 16 4 5" xfId="31567" xr:uid="{00000000-0005-0000-0000-00004D7B0000}"/>
    <cellStyle name="Normal 5 10 2 16 4 6" xfId="31568" xr:uid="{00000000-0005-0000-0000-00004E7B0000}"/>
    <cellStyle name="Normal 5 10 2 16 4 7" xfId="31569" xr:uid="{00000000-0005-0000-0000-00004F7B0000}"/>
    <cellStyle name="Normal 5 10 2 16 4 8" xfId="31570" xr:uid="{00000000-0005-0000-0000-0000507B0000}"/>
    <cellStyle name="Normal 5 10 2 16 4 9" xfId="31571" xr:uid="{00000000-0005-0000-0000-0000517B0000}"/>
    <cellStyle name="Normal 5 10 2 16 5" xfId="31572" xr:uid="{00000000-0005-0000-0000-0000527B0000}"/>
    <cellStyle name="Normal 5 10 2 16 5 10" xfId="31573" xr:uid="{00000000-0005-0000-0000-0000537B0000}"/>
    <cellStyle name="Normal 5 10 2 16 5 2" xfId="31574" xr:uid="{00000000-0005-0000-0000-0000547B0000}"/>
    <cellStyle name="Normal 5 10 2 16 5 3" xfId="31575" xr:uid="{00000000-0005-0000-0000-0000557B0000}"/>
    <cellStyle name="Normal 5 10 2 16 5 4" xfId="31576" xr:uid="{00000000-0005-0000-0000-0000567B0000}"/>
    <cellStyle name="Normal 5 10 2 16 5 5" xfId="31577" xr:uid="{00000000-0005-0000-0000-0000577B0000}"/>
    <cellStyle name="Normal 5 10 2 16 5 6" xfId="31578" xr:uid="{00000000-0005-0000-0000-0000587B0000}"/>
    <cellStyle name="Normal 5 10 2 16 5 7" xfId="31579" xr:uid="{00000000-0005-0000-0000-0000597B0000}"/>
    <cellStyle name="Normal 5 10 2 16 5 8" xfId="31580" xr:uid="{00000000-0005-0000-0000-00005A7B0000}"/>
    <cellStyle name="Normal 5 10 2 16 5 9" xfId="31581" xr:uid="{00000000-0005-0000-0000-00005B7B0000}"/>
    <cellStyle name="Normal 5 10 2 16 6" xfId="31582" xr:uid="{00000000-0005-0000-0000-00005C7B0000}"/>
    <cellStyle name="Normal 5 10 2 16 7" xfId="31583" xr:uid="{00000000-0005-0000-0000-00005D7B0000}"/>
    <cellStyle name="Normal 5 10 2 16 8" xfId="31584" xr:uid="{00000000-0005-0000-0000-00005E7B0000}"/>
    <cellStyle name="Normal 5 10 2 16 9" xfId="31585" xr:uid="{00000000-0005-0000-0000-00005F7B0000}"/>
    <cellStyle name="Normal 5 10 2 17" xfId="31586" xr:uid="{00000000-0005-0000-0000-0000607B0000}"/>
    <cellStyle name="Normal 5 10 2 17 10" xfId="31587" xr:uid="{00000000-0005-0000-0000-0000617B0000}"/>
    <cellStyle name="Normal 5 10 2 17 11" xfId="31588" xr:uid="{00000000-0005-0000-0000-0000627B0000}"/>
    <cellStyle name="Normal 5 10 2 17 12" xfId="31589" xr:uid="{00000000-0005-0000-0000-0000637B0000}"/>
    <cellStyle name="Normal 5 10 2 17 13" xfId="31590" xr:uid="{00000000-0005-0000-0000-0000647B0000}"/>
    <cellStyle name="Normal 5 10 2 17 14" xfId="31591" xr:uid="{00000000-0005-0000-0000-0000657B0000}"/>
    <cellStyle name="Normal 5 10 2 17 2" xfId="31592" xr:uid="{00000000-0005-0000-0000-0000667B0000}"/>
    <cellStyle name="Normal 5 10 2 17 2 10" xfId="31593" xr:uid="{00000000-0005-0000-0000-0000677B0000}"/>
    <cellStyle name="Normal 5 10 2 17 2 2" xfId="31594" xr:uid="{00000000-0005-0000-0000-0000687B0000}"/>
    <cellStyle name="Normal 5 10 2 17 2 3" xfId="31595" xr:uid="{00000000-0005-0000-0000-0000697B0000}"/>
    <cellStyle name="Normal 5 10 2 17 2 4" xfId="31596" xr:uid="{00000000-0005-0000-0000-00006A7B0000}"/>
    <cellStyle name="Normal 5 10 2 17 2 5" xfId="31597" xr:uid="{00000000-0005-0000-0000-00006B7B0000}"/>
    <cellStyle name="Normal 5 10 2 17 2 6" xfId="31598" xr:uid="{00000000-0005-0000-0000-00006C7B0000}"/>
    <cellStyle name="Normal 5 10 2 17 2 7" xfId="31599" xr:uid="{00000000-0005-0000-0000-00006D7B0000}"/>
    <cellStyle name="Normal 5 10 2 17 2 8" xfId="31600" xr:uid="{00000000-0005-0000-0000-00006E7B0000}"/>
    <cellStyle name="Normal 5 10 2 17 2 9" xfId="31601" xr:uid="{00000000-0005-0000-0000-00006F7B0000}"/>
    <cellStyle name="Normal 5 10 2 17 3" xfId="31602" xr:uid="{00000000-0005-0000-0000-0000707B0000}"/>
    <cellStyle name="Normal 5 10 2 17 3 10" xfId="31603" xr:uid="{00000000-0005-0000-0000-0000717B0000}"/>
    <cellStyle name="Normal 5 10 2 17 3 2" xfId="31604" xr:uid="{00000000-0005-0000-0000-0000727B0000}"/>
    <cellStyle name="Normal 5 10 2 17 3 3" xfId="31605" xr:uid="{00000000-0005-0000-0000-0000737B0000}"/>
    <cellStyle name="Normal 5 10 2 17 3 4" xfId="31606" xr:uid="{00000000-0005-0000-0000-0000747B0000}"/>
    <cellStyle name="Normal 5 10 2 17 3 5" xfId="31607" xr:uid="{00000000-0005-0000-0000-0000757B0000}"/>
    <cellStyle name="Normal 5 10 2 17 3 6" xfId="31608" xr:uid="{00000000-0005-0000-0000-0000767B0000}"/>
    <cellStyle name="Normal 5 10 2 17 3 7" xfId="31609" xr:uid="{00000000-0005-0000-0000-0000777B0000}"/>
    <cellStyle name="Normal 5 10 2 17 3 8" xfId="31610" xr:uid="{00000000-0005-0000-0000-0000787B0000}"/>
    <cellStyle name="Normal 5 10 2 17 3 9" xfId="31611" xr:uid="{00000000-0005-0000-0000-0000797B0000}"/>
    <cellStyle name="Normal 5 10 2 17 4" xfId="31612" xr:uid="{00000000-0005-0000-0000-00007A7B0000}"/>
    <cellStyle name="Normal 5 10 2 17 4 10" xfId="31613" xr:uid="{00000000-0005-0000-0000-00007B7B0000}"/>
    <cellStyle name="Normal 5 10 2 17 4 2" xfId="31614" xr:uid="{00000000-0005-0000-0000-00007C7B0000}"/>
    <cellStyle name="Normal 5 10 2 17 4 3" xfId="31615" xr:uid="{00000000-0005-0000-0000-00007D7B0000}"/>
    <cellStyle name="Normal 5 10 2 17 4 4" xfId="31616" xr:uid="{00000000-0005-0000-0000-00007E7B0000}"/>
    <cellStyle name="Normal 5 10 2 17 4 5" xfId="31617" xr:uid="{00000000-0005-0000-0000-00007F7B0000}"/>
    <cellStyle name="Normal 5 10 2 17 4 6" xfId="31618" xr:uid="{00000000-0005-0000-0000-0000807B0000}"/>
    <cellStyle name="Normal 5 10 2 17 4 7" xfId="31619" xr:uid="{00000000-0005-0000-0000-0000817B0000}"/>
    <cellStyle name="Normal 5 10 2 17 4 8" xfId="31620" xr:uid="{00000000-0005-0000-0000-0000827B0000}"/>
    <cellStyle name="Normal 5 10 2 17 4 9" xfId="31621" xr:uid="{00000000-0005-0000-0000-0000837B0000}"/>
    <cellStyle name="Normal 5 10 2 17 5" xfId="31622" xr:uid="{00000000-0005-0000-0000-0000847B0000}"/>
    <cellStyle name="Normal 5 10 2 17 5 10" xfId="31623" xr:uid="{00000000-0005-0000-0000-0000857B0000}"/>
    <cellStyle name="Normal 5 10 2 17 5 2" xfId="31624" xr:uid="{00000000-0005-0000-0000-0000867B0000}"/>
    <cellStyle name="Normal 5 10 2 17 5 3" xfId="31625" xr:uid="{00000000-0005-0000-0000-0000877B0000}"/>
    <cellStyle name="Normal 5 10 2 17 5 4" xfId="31626" xr:uid="{00000000-0005-0000-0000-0000887B0000}"/>
    <cellStyle name="Normal 5 10 2 17 5 5" xfId="31627" xr:uid="{00000000-0005-0000-0000-0000897B0000}"/>
    <cellStyle name="Normal 5 10 2 17 5 6" xfId="31628" xr:uid="{00000000-0005-0000-0000-00008A7B0000}"/>
    <cellStyle name="Normal 5 10 2 17 5 7" xfId="31629" xr:uid="{00000000-0005-0000-0000-00008B7B0000}"/>
    <cellStyle name="Normal 5 10 2 17 5 8" xfId="31630" xr:uid="{00000000-0005-0000-0000-00008C7B0000}"/>
    <cellStyle name="Normal 5 10 2 17 5 9" xfId="31631" xr:uid="{00000000-0005-0000-0000-00008D7B0000}"/>
    <cellStyle name="Normal 5 10 2 17 6" xfId="31632" xr:uid="{00000000-0005-0000-0000-00008E7B0000}"/>
    <cellStyle name="Normal 5 10 2 17 7" xfId="31633" xr:uid="{00000000-0005-0000-0000-00008F7B0000}"/>
    <cellStyle name="Normal 5 10 2 17 8" xfId="31634" xr:uid="{00000000-0005-0000-0000-0000907B0000}"/>
    <cellStyle name="Normal 5 10 2 17 9" xfId="31635" xr:uid="{00000000-0005-0000-0000-0000917B0000}"/>
    <cellStyle name="Normal 5 10 2 18" xfId="31636" xr:uid="{00000000-0005-0000-0000-0000927B0000}"/>
    <cellStyle name="Normal 5 10 2 18 10" xfId="31637" xr:uid="{00000000-0005-0000-0000-0000937B0000}"/>
    <cellStyle name="Normal 5 10 2 18 11" xfId="31638" xr:uid="{00000000-0005-0000-0000-0000947B0000}"/>
    <cellStyle name="Normal 5 10 2 18 12" xfId="31639" xr:uid="{00000000-0005-0000-0000-0000957B0000}"/>
    <cellStyle name="Normal 5 10 2 18 13" xfId="31640" xr:uid="{00000000-0005-0000-0000-0000967B0000}"/>
    <cellStyle name="Normal 5 10 2 18 14" xfId="31641" xr:uid="{00000000-0005-0000-0000-0000977B0000}"/>
    <cellStyle name="Normal 5 10 2 18 2" xfId="31642" xr:uid="{00000000-0005-0000-0000-0000987B0000}"/>
    <cellStyle name="Normal 5 10 2 18 2 10" xfId="31643" xr:uid="{00000000-0005-0000-0000-0000997B0000}"/>
    <cellStyle name="Normal 5 10 2 18 2 2" xfId="31644" xr:uid="{00000000-0005-0000-0000-00009A7B0000}"/>
    <cellStyle name="Normal 5 10 2 18 2 3" xfId="31645" xr:uid="{00000000-0005-0000-0000-00009B7B0000}"/>
    <cellStyle name="Normal 5 10 2 18 2 4" xfId="31646" xr:uid="{00000000-0005-0000-0000-00009C7B0000}"/>
    <cellStyle name="Normal 5 10 2 18 2 5" xfId="31647" xr:uid="{00000000-0005-0000-0000-00009D7B0000}"/>
    <cellStyle name="Normal 5 10 2 18 2 6" xfId="31648" xr:uid="{00000000-0005-0000-0000-00009E7B0000}"/>
    <cellStyle name="Normal 5 10 2 18 2 7" xfId="31649" xr:uid="{00000000-0005-0000-0000-00009F7B0000}"/>
    <cellStyle name="Normal 5 10 2 18 2 8" xfId="31650" xr:uid="{00000000-0005-0000-0000-0000A07B0000}"/>
    <cellStyle name="Normal 5 10 2 18 2 9" xfId="31651" xr:uid="{00000000-0005-0000-0000-0000A17B0000}"/>
    <cellStyle name="Normal 5 10 2 18 3" xfId="31652" xr:uid="{00000000-0005-0000-0000-0000A27B0000}"/>
    <cellStyle name="Normal 5 10 2 18 3 10" xfId="31653" xr:uid="{00000000-0005-0000-0000-0000A37B0000}"/>
    <cellStyle name="Normal 5 10 2 18 3 2" xfId="31654" xr:uid="{00000000-0005-0000-0000-0000A47B0000}"/>
    <cellStyle name="Normal 5 10 2 18 3 3" xfId="31655" xr:uid="{00000000-0005-0000-0000-0000A57B0000}"/>
    <cellStyle name="Normal 5 10 2 18 3 4" xfId="31656" xr:uid="{00000000-0005-0000-0000-0000A67B0000}"/>
    <cellStyle name="Normal 5 10 2 18 3 5" xfId="31657" xr:uid="{00000000-0005-0000-0000-0000A77B0000}"/>
    <cellStyle name="Normal 5 10 2 18 3 6" xfId="31658" xr:uid="{00000000-0005-0000-0000-0000A87B0000}"/>
    <cellStyle name="Normal 5 10 2 18 3 7" xfId="31659" xr:uid="{00000000-0005-0000-0000-0000A97B0000}"/>
    <cellStyle name="Normal 5 10 2 18 3 8" xfId="31660" xr:uid="{00000000-0005-0000-0000-0000AA7B0000}"/>
    <cellStyle name="Normal 5 10 2 18 3 9" xfId="31661" xr:uid="{00000000-0005-0000-0000-0000AB7B0000}"/>
    <cellStyle name="Normal 5 10 2 18 4" xfId="31662" xr:uid="{00000000-0005-0000-0000-0000AC7B0000}"/>
    <cellStyle name="Normal 5 10 2 18 4 10" xfId="31663" xr:uid="{00000000-0005-0000-0000-0000AD7B0000}"/>
    <cellStyle name="Normal 5 10 2 18 4 2" xfId="31664" xr:uid="{00000000-0005-0000-0000-0000AE7B0000}"/>
    <cellStyle name="Normal 5 10 2 18 4 3" xfId="31665" xr:uid="{00000000-0005-0000-0000-0000AF7B0000}"/>
    <cellStyle name="Normal 5 10 2 18 4 4" xfId="31666" xr:uid="{00000000-0005-0000-0000-0000B07B0000}"/>
    <cellStyle name="Normal 5 10 2 18 4 5" xfId="31667" xr:uid="{00000000-0005-0000-0000-0000B17B0000}"/>
    <cellStyle name="Normal 5 10 2 18 4 6" xfId="31668" xr:uid="{00000000-0005-0000-0000-0000B27B0000}"/>
    <cellStyle name="Normal 5 10 2 18 4 7" xfId="31669" xr:uid="{00000000-0005-0000-0000-0000B37B0000}"/>
    <cellStyle name="Normal 5 10 2 18 4 8" xfId="31670" xr:uid="{00000000-0005-0000-0000-0000B47B0000}"/>
    <cellStyle name="Normal 5 10 2 18 4 9" xfId="31671" xr:uid="{00000000-0005-0000-0000-0000B57B0000}"/>
    <cellStyle name="Normal 5 10 2 18 5" xfId="31672" xr:uid="{00000000-0005-0000-0000-0000B67B0000}"/>
    <cellStyle name="Normal 5 10 2 18 5 10" xfId="31673" xr:uid="{00000000-0005-0000-0000-0000B77B0000}"/>
    <cellStyle name="Normal 5 10 2 18 5 2" xfId="31674" xr:uid="{00000000-0005-0000-0000-0000B87B0000}"/>
    <cellStyle name="Normal 5 10 2 18 5 3" xfId="31675" xr:uid="{00000000-0005-0000-0000-0000B97B0000}"/>
    <cellStyle name="Normal 5 10 2 18 5 4" xfId="31676" xr:uid="{00000000-0005-0000-0000-0000BA7B0000}"/>
    <cellStyle name="Normal 5 10 2 18 5 5" xfId="31677" xr:uid="{00000000-0005-0000-0000-0000BB7B0000}"/>
    <cellStyle name="Normal 5 10 2 18 5 6" xfId="31678" xr:uid="{00000000-0005-0000-0000-0000BC7B0000}"/>
    <cellStyle name="Normal 5 10 2 18 5 7" xfId="31679" xr:uid="{00000000-0005-0000-0000-0000BD7B0000}"/>
    <cellStyle name="Normal 5 10 2 18 5 8" xfId="31680" xr:uid="{00000000-0005-0000-0000-0000BE7B0000}"/>
    <cellStyle name="Normal 5 10 2 18 5 9" xfId="31681" xr:uid="{00000000-0005-0000-0000-0000BF7B0000}"/>
    <cellStyle name="Normal 5 10 2 18 6" xfId="31682" xr:uid="{00000000-0005-0000-0000-0000C07B0000}"/>
    <cellStyle name="Normal 5 10 2 18 7" xfId="31683" xr:uid="{00000000-0005-0000-0000-0000C17B0000}"/>
    <cellStyle name="Normal 5 10 2 18 8" xfId="31684" xr:uid="{00000000-0005-0000-0000-0000C27B0000}"/>
    <cellStyle name="Normal 5 10 2 18 9" xfId="31685" xr:uid="{00000000-0005-0000-0000-0000C37B0000}"/>
    <cellStyle name="Normal 5 10 2 19" xfId="31686" xr:uid="{00000000-0005-0000-0000-0000C47B0000}"/>
    <cellStyle name="Normal 5 10 2 19 10" xfId="31687" xr:uid="{00000000-0005-0000-0000-0000C57B0000}"/>
    <cellStyle name="Normal 5 10 2 19 11" xfId="31688" xr:uid="{00000000-0005-0000-0000-0000C67B0000}"/>
    <cellStyle name="Normal 5 10 2 19 12" xfId="31689" xr:uid="{00000000-0005-0000-0000-0000C77B0000}"/>
    <cellStyle name="Normal 5 10 2 19 13" xfId="31690" xr:uid="{00000000-0005-0000-0000-0000C87B0000}"/>
    <cellStyle name="Normal 5 10 2 19 14" xfId="31691" xr:uid="{00000000-0005-0000-0000-0000C97B0000}"/>
    <cellStyle name="Normal 5 10 2 19 2" xfId="31692" xr:uid="{00000000-0005-0000-0000-0000CA7B0000}"/>
    <cellStyle name="Normal 5 10 2 19 2 10" xfId="31693" xr:uid="{00000000-0005-0000-0000-0000CB7B0000}"/>
    <cellStyle name="Normal 5 10 2 19 2 2" xfId="31694" xr:uid="{00000000-0005-0000-0000-0000CC7B0000}"/>
    <cellStyle name="Normal 5 10 2 19 2 3" xfId="31695" xr:uid="{00000000-0005-0000-0000-0000CD7B0000}"/>
    <cellStyle name="Normal 5 10 2 19 2 4" xfId="31696" xr:uid="{00000000-0005-0000-0000-0000CE7B0000}"/>
    <cellStyle name="Normal 5 10 2 19 2 5" xfId="31697" xr:uid="{00000000-0005-0000-0000-0000CF7B0000}"/>
    <cellStyle name="Normal 5 10 2 19 2 6" xfId="31698" xr:uid="{00000000-0005-0000-0000-0000D07B0000}"/>
    <cellStyle name="Normal 5 10 2 19 2 7" xfId="31699" xr:uid="{00000000-0005-0000-0000-0000D17B0000}"/>
    <cellStyle name="Normal 5 10 2 19 2 8" xfId="31700" xr:uid="{00000000-0005-0000-0000-0000D27B0000}"/>
    <cellStyle name="Normal 5 10 2 19 2 9" xfId="31701" xr:uid="{00000000-0005-0000-0000-0000D37B0000}"/>
    <cellStyle name="Normal 5 10 2 19 3" xfId="31702" xr:uid="{00000000-0005-0000-0000-0000D47B0000}"/>
    <cellStyle name="Normal 5 10 2 19 3 10" xfId="31703" xr:uid="{00000000-0005-0000-0000-0000D57B0000}"/>
    <cellStyle name="Normal 5 10 2 19 3 2" xfId="31704" xr:uid="{00000000-0005-0000-0000-0000D67B0000}"/>
    <cellStyle name="Normal 5 10 2 19 3 3" xfId="31705" xr:uid="{00000000-0005-0000-0000-0000D77B0000}"/>
    <cellStyle name="Normal 5 10 2 19 3 4" xfId="31706" xr:uid="{00000000-0005-0000-0000-0000D87B0000}"/>
    <cellStyle name="Normal 5 10 2 19 3 5" xfId="31707" xr:uid="{00000000-0005-0000-0000-0000D97B0000}"/>
    <cellStyle name="Normal 5 10 2 19 3 6" xfId="31708" xr:uid="{00000000-0005-0000-0000-0000DA7B0000}"/>
    <cellStyle name="Normal 5 10 2 19 3 7" xfId="31709" xr:uid="{00000000-0005-0000-0000-0000DB7B0000}"/>
    <cellStyle name="Normal 5 10 2 19 3 8" xfId="31710" xr:uid="{00000000-0005-0000-0000-0000DC7B0000}"/>
    <cellStyle name="Normal 5 10 2 19 3 9" xfId="31711" xr:uid="{00000000-0005-0000-0000-0000DD7B0000}"/>
    <cellStyle name="Normal 5 10 2 19 4" xfId="31712" xr:uid="{00000000-0005-0000-0000-0000DE7B0000}"/>
    <cellStyle name="Normal 5 10 2 19 4 10" xfId="31713" xr:uid="{00000000-0005-0000-0000-0000DF7B0000}"/>
    <cellStyle name="Normal 5 10 2 19 4 2" xfId="31714" xr:uid="{00000000-0005-0000-0000-0000E07B0000}"/>
    <cellStyle name="Normal 5 10 2 19 4 3" xfId="31715" xr:uid="{00000000-0005-0000-0000-0000E17B0000}"/>
    <cellStyle name="Normal 5 10 2 19 4 4" xfId="31716" xr:uid="{00000000-0005-0000-0000-0000E27B0000}"/>
    <cellStyle name="Normal 5 10 2 19 4 5" xfId="31717" xr:uid="{00000000-0005-0000-0000-0000E37B0000}"/>
    <cellStyle name="Normal 5 10 2 19 4 6" xfId="31718" xr:uid="{00000000-0005-0000-0000-0000E47B0000}"/>
    <cellStyle name="Normal 5 10 2 19 4 7" xfId="31719" xr:uid="{00000000-0005-0000-0000-0000E57B0000}"/>
    <cellStyle name="Normal 5 10 2 19 4 8" xfId="31720" xr:uid="{00000000-0005-0000-0000-0000E67B0000}"/>
    <cellStyle name="Normal 5 10 2 19 4 9" xfId="31721" xr:uid="{00000000-0005-0000-0000-0000E77B0000}"/>
    <cellStyle name="Normal 5 10 2 19 5" xfId="31722" xr:uid="{00000000-0005-0000-0000-0000E87B0000}"/>
    <cellStyle name="Normal 5 10 2 19 5 10" xfId="31723" xr:uid="{00000000-0005-0000-0000-0000E97B0000}"/>
    <cellStyle name="Normal 5 10 2 19 5 2" xfId="31724" xr:uid="{00000000-0005-0000-0000-0000EA7B0000}"/>
    <cellStyle name="Normal 5 10 2 19 5 3" xfId="31725" xr:uid="{00000000-0005-0000-0000-0000EB7B0000}"/>
    <cellStyle name="Normal 5 10 2 19 5 4" xfId="31726" xr:uid="{00000000-0005-0000-0000-0000EC7B0000}"/>
    <cellStyle name="Normal 5 10 2 19 5 5" xfId="31727" xr:uid="{00000000-0005-0000-0000-0000ED7B0000}"/>
    <cellStyle name="Normal 5 10 2 19 5 6" xfId="31728" xr:uid="{00000000-0005-0000-0000-0000EE7B0000}"/>
    <cellStyle name="Normal 5 10 2 19 5 7" xfId="31729" xr:uid="{00000000-0005-0000-0000-0000EF7B0000}"/>
    <cellStyle name="Normal 5 10 2 19 5 8" xfId="31730" xr:uid="{00000000-0005-0000-0000-0000F07B0000}"/>
    <cellStyle name="Normal 5 10 2 19 5 9" xfId="31731" xr:uid="{00000000-0005-0000-0000-0000F17B0000}"/>
    <cellStyle name="Normal 5 10 2 19 6" xfId="31732" xr:uid="{00000000-0005-0000-0000-0000F27B0000}"/>
    <cellStyle name="Normal 5 10 2 19 7" xfId="31733" xr:uid="{00000000-0005-0000-0000-0000F37B0000}"/>
    <cellStyle name="Normal 5 10 2 19 8" xfId="31734" xr:uid="{00000000-0005-0000-0000-0000F47B0000}"/>
    <cellStyle name="Normal 5 10 2 19 9" xfId="31735" xr:uid="{00000000-0005-0000-0000-0000F57B0000}"/>
    <cellStyle name="Normal 5 10 2 2" xfId="31736" xr:uid="{00000000-0005-0000-0000-0000F67B0000}"/>
    <cellStyle name="Normal 5 10 2 2 10" xfId="31737" xr:uid="{00000000-0005-0000-0000-0000F77B0000}"/>
    <cellStyle name="Normal 5 10 2 2 11" xfId="31738" xr:uid="{00000000-0005-0000-0000-0000F87B0000}"/>
    <cellStyle name="Normal 5 10 2 2 12" xfId="31739" xr:uid="{00000000-0005-0000-0000-0000F97B0000}"/>
    <cellStyle name="Normal 5 10 2 2 13" xfId="31740" xr:uid="{00000000-0005-0000-0000-0000FA7B0000}"/>
    <cellStyle name="Normal 5 10 2 2 14" xfId="31741" xr:uid="{00000000-0005-0000-0000-0000FB7B0000}"/>
    <cellStyle name="Normal 5 10 2 2 15" xfId="31742" xr:uid="{00000000-0005-0000-0000-0000FC7B0000}"/>
    <cellStyle name="Normal 5 10 2 2 16" xfId="31743" xr:uid="{00000000-0005-0000-0000-0000FD7B0000}"/>
    <cellStyle name="Normal 5 10 2 2 2" xfId="31744" xr:uid="{00000000-0005-0000-0000-0000FE7B0000}"/>
    <cellStyle name="Normal 5 10 2 2 2 10" xfId="31745" xr:uid="{00000000-0005-0000-0000-0000FF7B0000}"/>
    <cellStyle name="Normal 5 10 2 2 2 2" xfId="31746" xr:uid="{00000000-0005-0000-0000-0000007C0000}"/>
    <cellStyle name="Normal 5 10 2 2 2 3" xfId="31747" xr:uid="{00000000-0005-0000-0000-0000017C0000}"/>
    <cellStyle name="Normal 5 10 2 2 2 4" xfId="31748" xr:uid="{00000000-0005-0000-0000-0000027C0000}"/>
    <cellStyle name="Normal 5 10 2 2 2 5" xfId="31749" xr:uid="{00000000-0005-0000-0000-0000037C0000}"/>
    <cellStyle name="Normal 5 10 2 2 2 6" xfId="31750" xr:uid="{00000000-0005-0000-0000-0000047C0000}"/>
    <cellStyle name="Normal 5 10 2 2 2 7" xfId="31751" xr:uid="{00000000-0005-0000-0000-0000057C0000}"/>
    <cellStyle name="Normal 5 10 2 2 2 8" xfId="31752" xr:uid="{00000000-0005-0000-0000-0000067C0000}"/>
    <cellStyle name="Normal 5 10 2 2 2 9" xfId="31753" xr:uid="{00000000-0005-0000-0000-0000077C0000}"/>
    <cellStyle name="Normal 5 10 2 2 3" xfId="31754" xr:uid="{00000000-0005-0000-0000-0000087C0000}"/>
    <cellStyle name="Normal 5 10 2 2 3 10" xfId="31755" xr:uid="{00000000-0005-0000-0000-0000097C0000}"/>
    <cellStyle name="Normal 5 10 2 2 3 2" xfId="31756" xr:uid="{00000000-0005-0000-0000-00000A7C0000}"/>
    <cellStyle name="Normal 5 10 2 2 3 3" xfId="31757" xr:uid="{00000000-0005-0000-0000-00000B7C0000}"/>
    <cellStyle name="Normal 5 10 2 2 3 4" xfId="31758" xr:uid="{00000000-0005-0000-0000-00000C7C0000}"/>
    <cellStyle name="Normal 5 10 2 2 3 5" xfId="31759" xr:uid="{00000000-0005-0000-0000-00000D7C0000}"/>
    <cellStyle name="Normal 5 10 2 2 3 6" xfId="31760" xr:uid="{00000000-0005-0000-0000-00000E7C0000}"/>
    <cellStyle name="Normal 5 10 2 2 3 7" xfId="31761" xr:uid="{00000000-0005-0000-0000-00000F7C0000}"/>
    <cellStyle name="Normal 5 10 2 2 3 8" xfId="31762" xr:uid="{00000000-0005-0000-0000-0000107C0000}"/>
    <cellStyle name="Normal 5 10 2 2 3 9" xfId="31763" xr:uid="{00000000-0005-0000-0000-0000117C0000}"/>
    <cellStyle name="Normal 5 10 2 2 4" xfId="31764" xr:uid="{00000000-0005-0000-0000-0000127C0000}"/>
    <cellStyle name="Normal 5 10 2 2 4 10" xfId="31765" xr:uid="{00000000-0005-0000-0000-0000137C0000}"/>
    <cellStyle name="Normal 5 10 2 2 4 2" xfId="31766" xr:uid="{00000000-0005-0000-0000-0000147C0000}"/>
    <cellStyle name="Normal 5 10 2 2 4 3" xfId="31767" xr:uid="{00000000-0005-0000-0000-0000157C0000}"/>
    <cellStyle name="Normal 5 10 2 2 4 4" xfId="31768" xr:uid="{00000000-0005-0000-0000-0000167C0000}"/>
    <cellStyle name="Normal 5 10 2 2 4 5" xfId="31769" xr:uid="{00000000-0005-0000-0000-0000177C0000}"/>
    <cellStyle name="Normal 5 10 2 2 4 6" xfId="31770" xr:uid="{00000000-0005-0000-0000-0000187C0000}"/>
    <cellStyle name="Normal 5 10 2 2 4 7" xfId="31771" xr:uid="{00000000-0005-0000-0000-0000197C0000}"/>
    <cellStyle name="Normal 5 10 2 2 4 8" xfId="31772" xr:uid="{00000000-0005-0000-0000-00001A7C0000}"/>
    <cellStyle name="Normal 5 10 2 2 4 9" xfId="31773" xr:uid="{00000000-0005-0000-0000-00001B7C0000}"/>
    <cellStyle name="Normal 5 10 2 2 5" xfId="31774" xr:uid="{00000000-0005-0000-0000-00001C7C0000}"/>
    <cellStyle name="Normal 5 10 2 2 5 10" xfId="31775" xr:uid="{00000000-0005-0000-0000-00001D7C0000}"/>
    <cellStyle name="Normal 5 10 2 2 5 2" xfId="31776" xr:uid="{00000000-0005-0000-0000-00001E7C0000}"/>
    <cellStyle name="Normal 5 10 2 2 5 3" xfId="31777" xr:uid="{00000000-0005-0000-0000-00001F7C0000}"/>
    <cellStyle name="Normal 5 10 2 2 5 4" xfId="31778" xr:uid="{00000000-0005-0000-0000-0000207C0000}"/>
    <cellStyle name="Normal 5 10 2 2 5 5" xfId="31779" xr:uid="{00000000-0005-0000-0000-0000217C0000}"/>
    <cellStyle name="Normal 5 10 2 2 5 6" xfId="31780" xr:uid="{00000000-0005-0000-0000-0000227C0000}"/>
    <cellStyle name="Normal 5 10 2 2 5 7" xfId="31781" xr:uid="{00000000-0005-0000-0000-0000237C0000}"/>
    <cellStyle name="Normal 5 10 2 2 5 8" xfId="31782" xr:uid="{00000000-0005-0000-0000-0000247C0000}"/>
    <cellStyle name="Normal 5 10 2 2 5 9" xfId="31783" xr:uid="{00000000-0005-0000-0000-0000257C0000}"/>
    <cellStyle name="Normal 5 10 2 2 6" xfId="31784" xr:uid="{00000000-0005-0000-0000-0000267C0000}"/>
    <cellStyle name="Normal 5 10 2 2 7" xfId="31785" xr:uid="{00000000-0005-0000-0000-0000277C0000}"/>
    <cellStyle name="Normal 5 10 2 2 8" xfId="31786" xr:uid="{00000000-0005-0000-0000-0000287C0000}"/>
    <cellStyle name="Normal 5 10 2 2 9" xfId="31787" xr:uid="{00000000-0005-0000-0000-0000297C0000}"/>
    <cellStyle name="Normal 5 10 2 20" xfId="31788" xr:uid="{00000000-0005-0000-0000-00002A7C0000}"/>
    <cellStyle name="Normal 5 10 2 20 10" xfId="31789" xr:uid="{00000000-0005-0000-0000-00002B7C0000}"/>
    <cellStyle name="Normal 5 10 2 20 11" xfId="31790" xr:uid="{00000000-0005-0000-0000-00002C7C0000}"/>
    <cellStyle name="Normal 5 10 2 20 12" xfId="31791" xr:uid="{00000000-0005-0000-0000-00002D7C0000}"/>
    <cellStyle name="Normal 5 10 2 20 13" xfId="31792" xr:uid="{00000000-0005-0000-0000-00002E7C0000}"/>
    <cellStyle name="Normal 5 10 2 20 14" xfId="31793" xr:uid="{00000000-0005-0000-0000-00002F7C0000}"/>
    <cellStyle name="Normal 5 10 2 20 2" xfId="31794" xr:uid="{00000000-0005-0000-0000-0000307C0000}"/>
    <cellStyle name="Normal 5 10 2 20 2 10" xfId="31795" xr:uid="{00000000-0005-0000-0000-0000317C0000}"/>
    <cellStyle name="Normal 5 10 2 20 2 2" xfId="31796" xr:uid="{00000000-0005-0000-0000-0000327C0000}"/>
    <cellStyle name="Normal 5 10 2 20 2 3" xfId="31797" xr:uid="{00000000-0005-0000-0000-0000337C0000}"/>
    <cellStyle name="Normal 5 10 2 20 2 4" xfId="31798" xr:uid="{00000000-0005-0000-0000-0000347C0000}"/>
    <cellStyle name="Normal 5 10 2 20 2 5" xfId="31799" xr:uid="{00000000-0005-0000-0000-0000357C0000}"/>
    <cellStyle name="Normal 5 10 2 20 2 6" xfId="31800" xr:uid="{00000000-0005-0000-0000-0000367C0000}"/>
    <cellStyle name="Normal 5 10 2 20 2 7" xfId="31801" xr:uid="{00000000-0005-0000-0000-0000377C0000}"/>
    <cellStyle name="Normal 5 10 2 20 2 8" xfId="31802" xr:uid="{00000000-0005-0000-0000-0000387C0000}"/>
    <cellStyle name="Normal 5 10 2 20 2 9" xfId="31803" xr:uid="{00000000-0005-0000-0000-0000397C0000}"/>
    <cellStyle name="Normal 5 10 2 20 3" xfId="31804" xr:uid="{00000000-0005-0000-0000-00003A7C0000}"/>
    <cellStyle name="Normal 5 10 2 20 3 10" xfId="31805" xr:uid="{00000000-0005-0000-0000-00003B7C0000}"/>
    <cellStyle name="Normal 5 10 2 20 3 2" xfId="31806" xr:uid="{00000000-0005-0000-0000-00003C7C0000}"/>
    <cellStyle name="Normal 5 10 2 20 3 3" xfId="31807" xr:uid="{00000000-0005-0000-0000-00003D7C0000}"/>
    <cellStyle name="Normal 5 10 2 20 3 4" xfId="31808" xr:uid="{00000000-0005-0000-0000-00003E7C0000}"/>
    <cellStyle name="Normal 5 10 2 20 3 5" xfId="31809" xr:uid="{00000000-0005-0000-0000-00003F7C0000}"/>
    <cellStyle name="Normal 5 10 2 20 3 6" xfId="31810" xr:uid="{00000000-0005-0000-0000-0000407C0000}"/>
    <cellStyle name="Normal 5 10 2 20 3 7" xfId="31811" xr:uid="{00000000-0005-0000-0000-0000417C0000}"/>
    <cellStyle name="Normal 5 10 2 20 3 8" xfId="31812" xr:uid="{00000000-0005-0000-0000-0000427C0000}"/>
    <cellStyle name="Normal 5 10 2 20 3 9" xfId="31813" xr:uid="{00000000-0005-0000-0000-0000437C0000}"/>
    <cellStyle name="Normal 5 10 2 20 4" xfId="31814" xr:uid="{00000000-0005-0000-0000-0000447C0000}"/>
    <cellStyle name="Normal 5 10 2 20 4 10" xfId="31815" xr:uid="{00000000-0005-0000-0000-0000457C0000}"/>
    <cellStyle name="Normal 5 10 2 20 4 2" xfId="31816" xr:uid="{00000000-0005-0000-0000-0000467C0000}"/>
    <cellStyle name="Normal 5 10 2 20 4 3" xfId="31817" xr:uid="{00000000-0005-0000-0000-0000477C0000}"/>
    <cellStyle name="Normal 5 10 2 20 4 4" xfId="31818" xr:uid="{00000000-0005-0000-0000-0000487C0000}"/>
    <cellStyle name="Normal 5 10 2 20 4 5" xfId="31819" xr:uid="{00000000-0005-0000-0000-0000497C0000}"/>
    <cellStyle name="Normal 5 10 2 20 4 6" xfId="31820" xr:uid="{00000000-0005-0000-0000-00004A7C0000}"/>
    <cellStyle name="Normal 5 10 2 20 4 7" xfId="31821" xr:uid="{00000000-0005-0000-0000-00004B7C0000}"/>
    <cellStyle name="Normal 5 10 2 20 4 8" xfId="31822" xr:uid="{00000000-0005-0000-0000-00004C7C0000}"/>
    <cellStyle name="Normal 5 10 2 20 4 9" xfId="31823" xr:uid="{00000000-0005-0000-0000-00004D7C0000}"/>
    <cellStyle name="Normal 5 10 2 20 5" xfId="31824" xr:uid="{00000000-0005-0000-0000-00004E7C0000}"/>
    <cellStyle name="Normal 5 10 2 20 5 10" xfId="31825" xr:uid="{00000000-0005-0000-0000-00004F7C0000}"/>
    <cellStyle name="Normal 5 10 2 20 5 2" xfId="31826" xr:uid="{00000000-0005-0000-0000-0000507C0000}"/>
    <cellStyle name="Normal 5 10 2 20 5 3" xfId="31827" xr:uid="{00000000-0005-0000-0000-0000517C0000}"/>
    <cellStyle name="Normal 5 10 2 20 5 4" xfId="31828" xr:uid="{00000000-0005-0000-0000-0000527C0000}"/>
    <cellStyle name="Normal 5 10 2 20 5 5" xfId="31829" xr:uid="{00000000-0005-0000-0000-0000537C0000}"/>
    <cellStyle name="Normal 5 10 2 20 5 6" xfId="31830" xr:uid="{00000000-0005-0000-0000-0000547C0000}"/>
    <cellStyle name="Normal 5 10 2 20 5 7" xfId="31831" xr:uid="{00000000-0005-0000-0000-0000557C0000}"/>
    <cellStyle name="Normal 5 10 2 20 5 8" xfId="31832" xr:uid="{00000000-0005-0000-0000-0000567C0000}"/>
    <cellStyle name="Normal 5 10 2 20 5 9" xfId="31833" xr:uid="{00000000-0005-0000-0000-0000577C0000}"/>
    <cellStyle name="Normal 5 10 2 20 6" xfId="31834" xr:uid="{00000000-0005-0000-0000-0000587C0000}"/>
    <cellStyle name="Normal 5 10 2 20 7" xfId="31835" xr:uid="{00000000-0005-0000-0000-0000597C0000}"/>
    <cellStyle name="Normal 5 10 2 20 8" xfId="31836" xr:uid="{00000000-0005-0000-0000-00005A7C0000}"/>
    <cellStyle name="Normal 5 10 2 20 9" xfId="31837" xr:uid="{00000000-0005-0000-0000-00005B7C0000}"/>
    <cellStyle name="Normal 5 10 2 21" xfId="31838" xr:uid="{00000000-0005-0000-0000-00005C7C0000}"/>
    <cellStyle name="Normal 5 10 2 21 10" xfId="31839" xr:uid="{00000000-0005-0000-0000-00005D7C0000}"/>
    <cellStyle name="Normal 5 10 2 21 11" xfId="31840" xr:uid="{00000000-0005-0000-0000-00005E7C0000}"/>
    <cellStyle name="Normal 5 10 2 21 12" xfId="31841" xr:uid="{00000000-0005-0000-0000-00005F7C0000}"/>
    <cellStyle name="Normal 5 10 2 21 13" xfId="31842" xr:uid="{00000000-0005-0000-0000-0000607C0000}"/>
    <cellStyle name="Normal 5 10 2 21 14" xfId="31843" xr:uid="{00000000-0005-0000-0000-0000617C0000}"/>
    <cellStyle name="Normal 5 10 2 21 2" xfId="31844" xr:uid="{00000000-0005-0000-0000-0000627C0000}"/>
    <cellStyle name="Normal 5 10 2 21 2 10" xfId="31845" xr:uid="{00000000-0005-0000-0000-0000637C0000}"/>
    <cellStyle name="Normal 5 10 2 21 2 2" xfId="31846" xr:uid="{00000000-0005-0000-0000-0000647C0000}"/>
    <cellStyle name="Normal 5 10 2 21 2 3" xfId="31847" xr:uid="{00000000-0005-0000-0000-0000657C0000}"/>
    <cellStyle name="Normal 5 10 2 21 2 4" xfId="31848" xr:uid="{00000000-0005-0000-0000-0000667C0000}"/>
    <cellStyle name="Normal 5 10 2 21 2 5" xfId="31849" xr:uid="{00000000-0005-0000-0000-0000677C0000}"/>
    <cellStyle name="Normal 5 10 2 21 2 6" xfId="31850" xr:uid="{00000000-0005-0000-0000-0000687C0000}"/>
    <cellStyle name="Normal 5 10 2 21 2 7" xfId="31851" xr:uid="{00000000-0005-0000-0000-0000697C0000}"/>
    <cellStyle name="Normal 5 10 2 21 2 8" xfId="31852" xr:uid="{00000000-0005-0000-0000-00006A7C0000}"/>
    <cellStyle name="Normal 5 10 2 21 2 9" xfId="31853" xr:uid="{00000000-0005-0000-0000-00006B7C0000}"/>
    <cellStyle name="Normal 5 10 2 21 3" xfId="31854" xr:uid="{00000000-0005-0000-0000-00006C7C0000}"/>
    <cellStyle name="Normal 5 10 2 21 3 10" xfId="31855" xr:uid="{00000000-0005-0000-0000-00006D7C0000}"/>
    <cellStyle name="Normal 5 10 2 21 3 2" xfId="31856" xr:uid="{00000000-0005-0000-0000-00006E7C0000}"/>
    <cellStyle name="Normal 5 10 2 21 3 3" xfId="31857" xr:uid="{00000000-0005-0000-0000-00006F7C0000}"/>
    <cellStyle name="Normal 5 10 2 21 3 4" xfId="31858" xr:uid="{00000000-0005-0000-0000-0000707C0000}"/>
    <cellStyle name="Normal 5 10 2 21 3 5" xfId="31859" xr:uid="{00000000-0005-0000-0000-0000717C0000}"/>
    <cellStyle name="Normal 5 10 2 21 3 6" xfId="31860" xr:uid="{00000000-0005-0000-0000-0000727C0000}"/>
    <cellStyle name="Normal 5 10 2 21 3 7" xfId="31861" xr:uid="{00000000-0005-0000-0000-0000737C0000}"/>
    <cellStyle name="Normal 5 10 2 21 3 8" xfId="31862" xr:uid="{00000000-0005-0000-0000-0000747C0000}"/>
    <cellStyle name="Normal 5 10 2 21 3 9" xfId="31863" xr:uid="{00000000-0005-0000-0000-0000757C0000}"/>
    <cellStyle name="Normal 5 10 2 21 4" xfId="31864" xr:uid="{00000000-0005-0000-0000-0000767C0000}"/>
    <cellStyle name="Normal 5 10 2 21 4 10" xfId="31865" xr:uid="{00000000-0005-0000-0000-0000777C0000}"/>
    <cellStyle name="Normal 5 10 2 21 4 2" xfId="31866" xr:uid="{00000000-0005-0000-0000-0000787C0000}"/>
    <cellStyle name="Normal 5 10 2 21 4 3" xfId="31867" xr:uid="{00000000-0005-0000-0000-0000797C0000}"/>
    <cellStyle name="Normal 5 10 2 21 4 4" xfId="31868" xr:uid="{00000000-0005-0000-0000-00007A7C0000}"/>
    <cellStyle name="Normal 5 10 2 21 4 5" xfId="31869" xr:uid="{00000000-0005-0000-0000-00007B7C0000}"/>
    <cellStyle name="Normal 5 10 2 21 4 6" xfId="31870" xr:uid="{00000000-0005-0000-0000-00007C7C0000}"/>
    <cellStyle name="Normal 5 10 2 21 4 7" xfId="31871" xr:uid="{00000000-0005-0000-0000-00007D7C0000}"/>
    <cellStyle name="Normal 5 10 2 21 4 8" xfId="31872" xr:uid="{00000000-0005-0000-0000-00007E7C0000}"/>
    <cellStyle name="Normal 5 10 2 21 4 9" xfId="31873" xr:uid="{00000000-0005-0000-0000-00007F7C0000}"/>
    <cellStyle name="Normal 5 10 2 21 5" xfId="31874" xr:uid="{00000000-0005-0000-0000-0000807C0000}"/>
    <cellStyle name="Normal 5 10 2 21 5 10" xfId="31875" xr:uid="{00000000-0005-0000-0000-0000817C0000}"/>
    <cellStyle name="Normal 5 10 2 21 5 2" xfId="31876" xr:uid="{00000000-0005-0000-0000-0000827C0000}"/>
    <cellStyle name="Normal 5 10 2 21 5 3" xfId="31877" xr:uid="{00000000-0005-0000-0000-0000837C0000}"/>
    <cellStyle name="Normal 5 10 2 21 5 4" xfId="31878" xr:uid="{00000000-0005-0000-0000-0000847C0000}"/>
    <cellStyle name="Normal 5 10 2 21 5 5" xfId="31879" xr:uid="{00000000-0005-0000-0000-0000857C0000}"/>
    <cellStyle name="Normal 5 10 2 21 5 6" xfId="31880" xr:uid="{00000000-0005-0000-0000-0000867C0000}"/>
    <cellStyle name="Normal 5 10 2 21 5 7" xfId="31881" xr:uid="{00000000-0005-0000-0000-0000877C0000}"/>
    <cellStyle name="Normal 5 10 2 21 5 8" xfId="31882" xr:uid="{00000000-0005-0000-0000-0000887C0000}"/>
    <cellStyle name="Normal 5 10 2 21 5 9" xfId="31883" xr:uid="{00000000-0005-0000-0000-0000897C0000}"/>
    <cellStyle name="Normal 5 10 2 21 6" xfId="31884" xr:uid="{00000000-0005-0000-0000-00008A7C0000}"/>
    <cellStyle name="Normal 5 10 2 21 7" xfId="31885" xr:uid="{00000000-0005-0000-0000-00008B7C0000}"/>
    <cellStyle name="Normal 5 10 2 21 8" xfId="31886" xr:uid="{00000000-0005-0000-0000-00008C7C0000}"/>
    <cellStyle name="Normal 5 10 2 21 9" xfId="31887" xr:uid="{00000000-0005-0000-0000-00008D7C0000}"/>
    <cellStyle name="Normal 5 10 2 22" xfId="31888" xr:uid="{00000000-0005-0000-0000-00008E7C0000}"/>
    <cellStyle name="Normal 5 10 2 22 10" xfId="31889" xr:uid="{00000000-0005-0000-0000-00008F7C0000}"/>
    <cellStyle name="Normal 5 10 2 22 11" xfId="31890" xr:uid="{00000000-0005-0000-0000-0000907C0000}"/>
    <cellStyle name="Normal 5 10 2 22 12" xfId="31891" xr:uid="{00000000-0005-0000-0000-0000917C0000}"/>
    <cellStyle name="Normal 5 10 2 22 13" xfId="31892" xr:uid="{00000000-0005-0000-0000-0000927C0000}"/>
    <cellStyle name="Normal 5 10 2 22 14" xfId="31893" xr:uid="{00000000-0005-0000-0000-0000937C0000}"/>
    <cellStyle name="Normal 5 10 2 22 2" xfId="31894" xr:uid="{00000000-0005-0000-0000-0000947C0000}"/>
    <cellStyle name="Normal 5 10 2 22 2 10" xfId="31895" xr:uid="{00000000-0005-0000-0000-0000957C0000}"/>
    <cellStyle name="Normal 5 10 2 22 2 2" xfId="31896" xr:uid="{00000000-0005-0000-0000-0000967C0000}"/>
    <cellStyle name="Normal 5 10 2 22 2 3" xfId="31897" xr:uid="{00000000-0005-0000-0000-0000977C0000}"/>
    <cellStyle name="Normal 5 10 2 22 2 4" xfId="31898" xr:uid="{00000000-0005-0000-0000-0000987C0000}"/>
    <cellStyle name="Normal 5 10 2 22 2 5" xfId="31899" xr:uid="{00000000-0005-0000-0000-0000997C0000}"/>
    <cellStyle name="Normal 5 10 2 22 2 6" xfId="31900" xr:uid="{00000000-0005-0000-0000-00009A7C0000}"/>
    <cellStyle name="Normal 5 10 2 22 2 7" xfId="31901" xr:uid="{00000000-0005-0000-0000-00009B7C0000}"/>
    <cellStyle name="Normal 5 10 2 22 2 8" xfId="31902" xr:uid="{00000000-0005-0000-0000-00009C7C0000}"/>
    <cellStyle name="Normal 5 10 2 22 2 9" xfId="31903" xr:uid="{00000000-0005-0000-0000-00009D7C0000}"/>
    <cellStyle name="Normal 5 10 2 22 3" xfId="31904" xr:uid="{00000000-0005-0000-0000-00009E7C0000}"/>
    <cellStyle name="Normal 5 10 2 22 3 10" xfId="31905" xr:uid="{00000000-0005-0000-0000-00009F7C0000}"/>
    <cellStyle name="Normal 5 10 2 22 3 2" xfId="31906" xr:uid="{00000000-0005-0000-0000-0000A07C0000}"/>
    <cellStyle name="Normal 5 10 2 22 3 3" xfId="31907" xr:uid="{00000000-0005-0000-0000-0000A17C0000}"/>
    <cellStyle name="Normal 5 10 2 22 3 4" xfId="31908" xr:uid="{00000000-0005-0000-0000-0000A27C0000}"/>
    <cellStyle name="Normal 5 10 2 22 3 5" xfId="31909" xr:uid="{00000000-0005-0000-0000-0000A37C0000}"/>
    <cellStyle name="Normal 5 10 2 22 3 6" xfId="31910" xr:uid="{00000000-0005-0000-0000-0000A47C0000}"/>
    <cellStyle name="Normal 5 10 2 22 3 7" xfId="31911" xr:uid="{00000000-0005-0000-0000-0000A57C0000}"/>
    <cellStyle name="Normal 5 10 2 22 3 8" xfId="31912" xr:uid="{00000000-0005-0000-0000-0000A67C0000}"/>
    <cellStyle name="Normal 5 10 2 22 3 9" xfId="31913" xr:uid="{00000000-0005-0000-0000-0000A77C0000}"/>
    <cellStyle name="Normal 5 10 2 22 4" xfId="31914" xr:uid="{00000000-0005-0000-0000-0000A87C0000}"/>
    <cellStyle name="Normal 5 10 2 22 4 10" xfId="31915" xr:uid="{00000000-0005-0000-0000-0000A97C0000}"/>
    <cellStyle name="Normal 5 10 2 22 4 2" xfId="31916" xr:uid="{00000000-0005-0000-0000-0000AA7C0000}"/>
    <cellStyle name="Normal 5 10 2 22 4 3" xfId="31917" xr:uid="{00000000-0005-0000-0000-0000AB7C0000}"/>
    <cellStyle name="Normal 5 10 2 22 4 4" xfId="31918" xr:uid="{00000000-0005-0000-0000-0000AC7C0000}"/>
    <cellStyle name="Normal 5 10 2 22 4 5" xfId="31919" xr:uid="{00000000-0005-0000-0000-0000AD7C0000}"/>
    <cellStyle name="Normal 5 10 2 22 4 6" xfId="31920" xr:uid="{00000000-0005-0000-0000-0000AE7C0000}"/>
    <cellStyle name="Normal 5 10 2 22 4 7" xfId="31921" xr:uid="{00000000-0005-0000-0000-0000AF7C0000}"/>
    <cellStyle name="Normal 5 10 2 22 4 8" xfId="31922" xr:uid="{00000000-0005-0000-0000-0000B07C0000}"/>
    <cellStyle name="Normal 5 10 2 22 4 9" xfId="31923" xr:uid="{00000000-0005-0000-0000-0000B17C0000}"/>
    <cellStyle name="Normal 5 10 2 22 5" xfId="31924" xr:uid="{00000000-0005-0000-0000-0000B27C0000}"/>
    <cellStyle name="Normal 5 10 2 22 5 10" xfId="31925" xr:uid="{00000000-0005-0000-0000-0000B37C0000}"/>
    <cellStyle name="Normal 5 10 2 22 5 2" xfId="31926" xr:uid="{00000000-0005-0000-0000-0000B47C0000}"/>
    <cellStyle name="Normal 5 10 2 22 5 3" xfId="31927" xr:uid="{00000000-0005-0000-0000-0000B57C0000}"/>
    <cellStyle name="Normal 5 10 2 22 5 4" xfId="31928" xr:uid="{00000000-0005-0000-0000-0000B67C0000}"/>
    <cellStyle name="Normal 5 10 2 22 5 5" xfId="31929" xr:uid="{00000000-0005-0000-0000-0000B77C0000}"/>
    <cellStyle name="Normal 5 10 2 22 5 6" xfId="31930" xr:uid="{00000000-0005-0000-0000-0000B87C0000}"/>
    <cellStyle name="Normal 5 10 2 22 5 7" xfId="31931" xr:uid="{00000000-0005-0000-0000-0000B97C0000}"/>
    <cellStyle name="Normal 5 10 2 22 5 8" xfId="31932" xr:uid="{00000000-0005-0000-0000-0000BA7C0000}"/>
    <cellStyle name="Normal 5 10 2 22 5 9" xfId="31933" xr:uid="{00000000-0005-0000-0000-0000BB7C0000}"/>
    <cellStyle name="Normal 5 10 2 22 6" xfId="31934" xr:uid="{00000000-0005-0000-0000-0000BC7C0000}"/>
    <cellStyle name="Normal 5 10 2 22 7" xfId="31935" xr:uid="{00000000-0005-0000-0000-0000BD7C0000}"/>
    <cellStyle name="Normal 5 10 2 22 8" xfId="31936" xr:uid="{00000000-0005-0000-0000-0000BE7C0000}"/>
    <cellStyle name="Normal 5 10 2 22 9" xfId="31937" xr:uid="{00000000-0005-0000-0000-0000BF7C0000}"/>
    <cellStyle name="Normal 5 10 2 23" xfId="31938" xr:uid="{00000000-0005-0000-0000-0000C07C0000}"/>
    <cellStyle name="Normal 5 10 2 23 10" xfId="31939" xr:uid="{00000000-0005-0000-0000-0000C17C0000}"/>
    <cellStyle name="Normal 5 10 2 23 11" xfId="31940" xr:uid="{00000000-0005-0000-0000-0000C27C0000}"/>
    <cellStyle name="Normal 5 10 2 23 12" xfId="31941" xr:uid="{00000000-0005-0000-0000-0000C37C0000}"/>
    <cellStyle name="Normal 5 10 2 23 13" xfId="31942" xr:uid="{00000000-0005-0000-0000-0000C47C0000}"/>
    <cellStyle name="Normal 5 10 2 23 14" xfId="31943" xr:uid="{00000000-0005-0000-0000-0000C57C0000}"/>
    <cellStyle name="Normal 5 10 2 23 2" xfId="31944" xr:uid="{00000000-0005-0000-0000-0000C67C0000}"/>
    <cellStyle name="Normal 5 10 2 23 2 10" xfId="31945" xr:uid="{00000000-0005-0000-0000-0000C77C0000}"/>
    <cellStyle name="Normal 5 10 2 23 2 2" xfId="31946" xr:uid="{00000000-0005-0000-0000-0000C87C0000}"/>
    <cellStyle name="Normal 5 10 2 23 2 3" xfId="31947" xr:uid="{00000000-0005-0000-0000-0000C97C0000}"/>
    <cellStyle name="Normal 5 10 2 23 2 4" xfId="31948" xr:uid="{00000000-0005-0000-0000-0000CA7C0000}"/>
    <cellStyle name="Normal 5 10 2 23 2 5" xfId="31949" xr:uid="{00000000-0005-0000-0000-0000CB7C0000}"/>
    <cellStyle name="Normal 5 10 2 23 2 6" xfId="31950" xr:uid="{00000000-0005-0000-0000-0000CC7C0000}"/>
    <cellStyle name="Normal 5 10 2 23 2 7" xfId="31951" xr:uid="{00000000-0005-0000-0000-0000CD7C0000}"/>
    <cellStyle name="Normal 5 10 2 23 2 8" xfId="31952" xr:uid="{00000000-0005-0000-0000-0000CE7C0000}"/>
    <cellStyle name="Normal 5 10 2 23 2 9" xfId="31953" xr:uid="{00000000-0005-0000-0000-0000CF7C0000}"/>
    <cellStyle name="Normal 5 10 2 23 3" xfId="31954" xr:uid="{00000000-0005-0000-0000-0000D07C0000}"/>
    <cellStyle name="Normal 5 10 2 23 3 10" xfId="31955" xr:uid="{00000000-0005-0000-0000-0000D17C0000}"/>
    <cellStyle name="Normal 5 10 2 23 3 2" xfId="31956" xr:uid="{00000000-0005-0000-0000-0000D27C0000}"/>
    <cellStyle name="Normal 5 10 2 23 3 3" xfId="31957" xr:uid="{00000000-0005-0000-0000-0000D37C0000}"/>
    <cellStyle name="Normal 5 10 2 23 3 4" xfId="31958" xr:uid="{00000000-0005-0000-0000-0000D47C0000}"/>
    <cellStyle name="Normal 5 10 2 23 3 5" xfId="31959" xr:uid="{00000000-0005-0000-0000-0000D57C0000}"/>
    <cellStyle name="Normal 5 10 2 23 3 6" xfId="31960" xr:uid="{00000000-0005-0000-0000-0000D67C0000}"/>
    <cellStyle name="Normal 5 10 2 23 3 7" xfId="31961" xr:uid="{00000000-0005-0000-0000-0000D77C0000}"/>
    <cellStyle name="Normal 5 10 2 23 3 8" xfId="31962" xr:uid="{00000000-0005-0000-0000-0000D87C0000}"/>
    <cellStyle name="Normal 5 10 2 23 3 9" xfId="31963" xr:uid="{00000000-0005-0000-0000-0000D97C0000}"/>
    <cellStyle name="Normal 5 10 2 23 4" xfId="31964" xr:uid="{00000000-0005-0000-0000-0000DA7C0000}"/>
    <cellStyle name="Normal 5 10 2 23 4 10" xfId="31965" xr:uid="{00000000-0005-0000-0000-0000DB7C0000}"/>
    <cellStyle name="Normal 5 10 2 23 4 2" xfId="31966" xr:uid="{00000000-0005-0000-0000-0000DC7C0000}"/>
    <cellStyle name="Normal 5 10 2 23 4 3" xfId="31967" xr:uid="{00000000-0005-0000-0000-0000DD7C0000}"/>
    <cellStyle name="Normal 5 10 2 23 4 4" xfId="31968" xr:uid="{00000000-0005-0000-0000-0000DE7C0000}"/>
    <cellStyle name="Normal 5 10 2 23 4 5" xfId="31969" xr:uid="{00000000-0005-0000-0000-0000DF7C0000}"/>
    <cellStyle name="Normal 5 10 2 23 4 6" xfId="31970" xr:uid="{00000000-0005-0000-0000-0000E07C0000}"/>
    <cellStyle name="Normal 5 10 2 23 4 7" xfId="31971" xr:uid="{00000000-0005-0000-0000-0000E17C0000}"/>
    <cellStyle name="Normal 5 10 2 23 4 8" xfId="31972" xr:uid="{00000000-0005-0000-0000-0000E27C0000}"/>
    <cellStyle name="Normal 5 10 2 23 4 9" xfId="31973" xr:uid="{00000000-0005-0000-0000-0000E37C0000}"/>
    <cellStyle name="Normal 5 10 2 23 5" xfId="31974" xr:uid="{00000000-0005-0000-0000-0000E47C0000}"/>
    <cellStyle name="Normal 5 10 2 23 5 10" xfId="31975" xr:uid="{00000000-0005-0000-0000-0000E57C0000}"/>
    <cellStyle name="Normal 5 10 2 23 5 2" xfId="31976" xr:uid="{00000000-0005-0000-0000-0000E67C0000}"/>
    <cellStyle name="Normal 5 10 2 23 5 3" xfId="31977" xr:uid="{00000000-0005-0000-0000-0000E77C0000}"/>
    <cellStyle name="Normal 5 10 2 23 5 4" xfId="31978" xr:uid="{00000000-0005-0000-0000-0000E87C0000}"/>
    <cellStyle name="Normal 5 10 2 23 5 5" xfId="31979" xr:uid="{00000000-0005-0000-0000-0000E97C0000}"/>
    <cellStyle name="Normal 5 10 2 23 5 6" xfId="31980" xr:uid="{00000000-0005-0000-0000-0000EA7C0000}"/>
    <cellStyle name="Normal 5 10 2 23 5 7" xfId="31981" xr:uid="{00000000-0005-0000-0000-0000EB7C0000}"/>
    <cellStyle name="Normal 5 10 2 23 5 8" xfId="31982" xr:uid="{00000000-0005-0000-0000-0000EC7C0000}"/>
    <cellStyle name="Normal 5 10 2 23 5 9" xfId="31983" xr:uid="{00000000-0005-0000-0000-0000ED7C0000}"/>
    <cellStyle name="Normal 5 10 2 23 6" xfId="31984" xr:uid="{00000000-0005-0000-0000-0000EE7C0000}"/>
    <cellStyle name="Normal 5 10 2 23 7" xfId="31985" xr:uid="{00000000-0005-0000-0000-0000EF7C0000}"/>
    <cellStyle name="Normal 5 10 2 23 8" xfId="31986" xr:uid="{00000000-0005-0000-0000-0000F07C0000}"/>
    <cellStyle name="Normal 5 10 2 23 9" xfId="31987" xr:uid="{00000000-0005-0000-0000-0000F17C0000}"/>
    <cellStyle name="Normal 5 10 2 24" xfId="31988" xr:uid="{00000000-0005-0000-0000-0000F27C0000}"/>
    <cellStyle name="Normal 5 10 2 24 10" xfId="31989" xr:uid="{00000000-0005-0000-0000-0000F37C0000}"/>
    <cellStyle name="Normal 5 10 2 24 11" xfId="31990" xr:uid="{00000000-0005-0000-0000-0000F47C0000}"/>
    <cellStyle name="Normal 5 10 2 24 12" xfId="31991" xr:uid="{00000000-0005-0000-0000-0000F57C0000}"/>
    <cellStyle name="Normal 5 10 2 24 13" xfId="31992" xr:uid="{00000000-0005-0000-0000-0000F67C0000}"/>
    <cellStyle name="Normal 5 10 2 24 14" xfId="31993" xr:uid="{00000000-0005-0000-0000-0000F77C0000}"/>
    <cellStyle name="Normal 5 10 2 24 2" xfId="31994" xr:uid="{00000000-0005-0000-0000-0000F87C0000}"/>
    <cellStyle name="Normal 5 10 2 24 2 10" xfId="31995" xr:uid="{00000000-0005-0000-0000-0000F97C0000}"/>
    <cellStyle name="Normal 5 10 2 24 2 2" xfId="31996" xr:uid="{00000000-0005-0000-0000-0000FA7C0000}"/>
    <cellStyle name="Normal 5 10 2 24 2 3" xfId="31997" xr:uid="{00000000-0005-0000-0000-0000FB7C0000}"/>
    <cellStyle name="Normal 5 10 2 24 2 4" xfId="31998" xr:uid="{00000000-0005-0000-0000-0000FC7C0000}"/>
    <cellStyle name="Normal 5 10 2 24 2 5" xfId="31999" xr:uid="{00000000-0005-0000-0000-0000FD7C0000}"/>
    <cellStyle name="Normal 5 10 2 24 2 6" xfId="32000" xr:uid="{00000000-0005-0000-0000-0000FE7C0000}"/>
    <cellStyle name="Normal 5 10 2 24 2 7" xfId="32001" xr:uid="{00000000-0005-0000-0000-0000FF7C0000}"/>
    <cellStyle name="Normal 5 10 2 24 2 8" xfId="32002" xr:uid="{00000000-0005-0000-0000-0000007D0000}"/>
    <cellStyle name="Normal 5 10 2 24 2 9" xfId="32003" xr:uid="{00000000-0005-0000-0000-0000017D0000}"/>
    <cellStyle name="Normal 5 10 2 24 3" xfId="32004" xr:uid="{00000000-0005-0000-0000-0000027D0000}"/>
    <cellStyle name="Normal 5 10 2 24 3 10" xfId="32005" xr:uid="{00000000-0005-0000-0000-0000037D0000}"/>
    <cellStyle name="Normal 5 10 2 24 3 2" xfId="32006" xr:uid="{00000000-0005-0000-0000-0000047D0000}"/>
    <cellStyle name="Normal 5 10 2 24 3 3" xfId="32007" xr:uid="{00000000-0005-0000-0000-0000057D0000}"/>
    <cellStyle name="Normal 5 10 2 24 3 4" xfId="32008" xr:uid="{00000000-0005-0000-0000-0000067D0000}"/>
    <cellStyle name="Normal 5 10 2 24 3 5" xfId="32009" xr:uid="{00000000-0005-0000-0000-0000077D0000}"/>
    <cellStyle name="Normal 5 10 2 24 3 6" xfId="32010" xr:uid="{00000000-0005-0000-0000-0000087D0000}"/>
    <cellStyle name="Normal 5 10 2 24 3 7" xfId="32011" xr:uid="{00000000-0005-0000-0000-0000097D0000}"/>
    <cellStyle name="Normal 5 10 2 24 3 8" xfId="32012" xr:uid="{00000000-0005-0000-0000-00000A7D0000}"/>
    <cellStyle name="Normal 5 10 2 24 3 9" xfId="32013" xr:uid="{00000000-0005-0000-0000-00000B7D0000}"/>
    <cellStyle name="Normal 5 10 2 24 4" xfId="32014" xr:uid="{00000000-0005-0000-0000-00000C7D0000}"/>
    <cellStyle name="Normal 5 10 2 24 4 10" xfId="32015" xr:uid="{00000000-0005-0000-0000-00000D7D0000}"/>
    <cellStyle name="Normal 5 10 2 24 4 2" xfId="32016" xr:uid="{00000000-0005-0000-0000-00000E7D0000}"/>
    <cellStyle name="Normal 5 10 2 24 4 3" xfId="32017" xr:uid="{00000000-0005-0000-0000-00000F7D0000}"/>
    <cellStyle name="Normal 5 10 2 24 4 4" xfId="32018" xr:uid="{00000000-0005-0000-0000-0000107D0000}"/>
    <cellStyle name="Normal 5 10 2 24 4 5" xfId="32019" xr:uid="{00000000-0005-0000-0000-0000117D0000}"/>
    <cellStyle name="Normal 5 10 2 24 4 6" xfId="32020" xr:uid="{00000000-0005-0000-0000-0000127D0000}"/>
    <cellStyle name="Normal 5 10 2 24 4 7" xfId="32021" xr:uid="{00000000-0005-0000-0000-0000137D0000}"/>
    <cellStyle name="Normal 5 10 2 24 4 8" xfId="32022" xr:uid="{00000000-0005-0000-0000-0000147D0000}"/>
    <cellStyle name="Normal 5 10 2 24 4 9" xfId="32023" xr:uid="{00000000-0005-0000-0000-0000157D0000}"/>
    <cellStyle name="Normal 5 10 2 24 5" xfId="32024" xr:uid="{00000000-0005-0000-0000-0000167D0000}"/>
    <cellStyle name="Normal 5 10 2 24 5 10" xfId="32025" xr:uid="{00000000-0005-0000-0000-0000177D0000}"/>
    <cellStyle name="Normal 5 10 2 24 5 2" xfId="32026" xr:uid="{00000000-0005-0000-0000-0000187D0000}"/>
    <cellStyle name="Normal 5 10 2 24 5 3" xfId="32027" xr:uid="{00000000-0005-0000-0000-0000197D0000}"/>
    <cellStyle name="Normal 5 10 2 24 5 4" xfId="32028" xr:uid="{00000000-0005-0000-0000-00001A7D0000}"/>
    <cellStyle name="Normal 5 10 2 24 5 5" xfId="32029" xr:uid="{00000000-0005-0000-0000-00001B7D0000}"/>
    <cellStyle name="Normal 5 10 2 24 5 6" xfId="32030" xr:uid="{00000000-0005-0000-0000-00001C7D0000}"/>
    <cellStyle name="Normal 5 10 2 24 5 7" xfId="32031" xr:uid="{00000000-0005-0000-0000-00001D7D0000}"/>
    <cellStyle name="Normal 5 10 2 24 5 8" xfId="32032" xr:uid="{00000000-0005-0000-0000-00001E7D0000}"/>
    <cellStyle name="Normal 5 10 2 24 5 9" xfId="32033" xr:uid="{00000000-0005-0000-0000-00001F7D0000}"/>
    <cellStyle name="Normal 5 10 2 24 6" xfId="32034" xr:uid="{00000000-0005-0000-0000-0000207D0000}"/>
    <cellStyle name="Normal 5 10 2 24 7" xfId="32035" xr:uid="{00000000-0005-0000-0000-0000217D0000}"/>
    <cellStyle name="Normal 5 10 2 24 8" xfId="32036" xr:uid="{00000000-0005-0000-0000-0000227D0000}"/>
    <cellStyle name="Normal 5 10 2 24 9" xfId="32037" xr:uid="{00000000-0005-0000-0000-0000237D0000}"/>
    <cellStyle name="Normal 5 10 2 25" xfId="32038" xr:uid="{00000000-0005-0000-0000-0000247D0000}"/>
    <cellStyle name="Normal 5 10 2 25 10" xfId="32039" xr:uid="{00000000-0005-0000-0000-0000257D0000}"/>
    <cellStyle name="Normal 5 10 2 25 11" xfId="32040" xr:uid="{00000000-0005-0000-0000-0000267D0000}"/>
    <cellStyle name="Normal 5 10 2 25 12" xfId="32041" xr:uid="{00000000-0005-0000-0000-0000277D0000}"/>
    <cellStyle name="Normal 5 10 2 25 13" xfId="32042" xr:uid="{00000000-0005-0000-0000-0000287D0000}"/>
    <cellStyle name="Normal 5 10 2 25 14" xfId="32043" xr:uid="{00000000-0005-0000-0000-0000297D0000}"/>
    <cellStyle name="Normal 5 10 2 25 2" xfId="32044" xr:uid="{00000000-0005-0000-0000-00002A7D0000}"/>
    <cellStyle name="Normal 5 10 2 25 2 10" xfId="32045" xr:uid="{00000000-0005-0000-0000-00002B7D0000}"/>
    <cellStyle name="Normal 5 10 2 25 2 2" xfId="32046" xr:uid="{00000000-0005-0000-0000-00002C7D0000}"/>
    <cellStyle name="Normal 5 10 2 25 2 3" xfId="32047" xr:uid="{00000000-0005-0000-0000-00002D7D0000}"/>
    <cellStyle name="Normal 5 10 2 25 2 4" xfId="32048" xr:uid="{00000000-0005-0000-0000-00002E7D0000}"/>
    <cellStyle name="Normal 5 10 2 25 2 5" xfId="32049" xr:uid="{00000000-0005-0000-0000-00002F7D0000}"/>
    <cellStyle name="Normal 5 10 2 25 2 6" xfId="32050" xr:uid="{00000000-0005-0000-0000-0000307D0000}"/>
    <cellStyle name="Normal 5 10 2 25 2 7" xfId="32051" xr:uid="{00000000-0005-0000-0000-0000317D0000}"/>
    <cellStyle name="Normal 5 10 2 25 2 8" xfId="32052" xr:uid="{00000000-0005-0000-0000-0000327D0000}"/>
    <cellStyle name="Normal 5 10 2 25 2 9" xfId="32053" xr:uid="{00000000-0005-0000-0000-0000337D0000}"/>
    <cellStyle name="Normal 5 10 2 25 3" xfId="32054" xr:uid="{00000000-0005-0000-0000-0000347D0000}"/>
    <cellStyle name="Normal 5 10 2 25 3 10" xfId="32055" xr:uid="{00000000-0005-0000-0000-0000357D0000}"/>
    <cellStyle name="Normal 5 10 2 25 3 2" xfId="32056" xr:uid="{00000000-0005-0000-0000-0000367D0000}"/>
    <cellStyle name="Normal 5 10 2 25 3 3" xfId="32057" xr:uid="{00000000-0005-0000-0000-0000377D0000}"/>
    <cellStyle name="Normal 5 10 2 25 3 4" xfId="32058" xr:uid="{00000000-0005-0000-0000-0000387D0000}"/>
    <cellStyle name="Normal 5 10 2 25 3 5" xfId="32059" xr:uid="{00000000-0005-0000-0000-0000397D0000}"/>
    <cellStyle name="Normal 5 10 2 25 3 6" xfId="32060" xr:uid="{00000000-0005-0000-0000-00003A7D0000}"/>
    <cellStyle name="Normal 5 10 2 25 3 7" xfId="32061" xr:uid="{00000000-0005-0000-0000-00003B7D0000}"/>
    <cellStyle name="Normal 5 10 2 25 3 8" xfId="32062" xr:uid="{00000000-0005-0000-0000-00003C7D0000}"/>
    <cellStyle name="Normal 5 10 2 25 3 9" xfId="32063" xr:uid="{00000000-0005-0000-0000-00003D7D0000}"/>
    <cellStyle name="Normal 5 10 2 25 4" xfId="32064" xr:uid="{00000000-0005-0000-0000-00003E7D0000}"/>
    <cellStyle name="Normal 5 10 2 25 4 10" xfId="32065" xr:uid="{00000000-0005-0000-0000-00003F7D0000}"/>
    <cellStyle name="Normal 5 10 2 25 4 2" xfId="32066" xr:uid="{00000000-0005-0000-0000-0000407D0000}"/>
    <cellStyle name="Normal 5 10 2 25 4 3" xfId="32067" xr:uid="{00000000-0005-0000-0000-0000417D0000}"/>
    <cellStyle name="Normal 5 10 2 25 4 4" xfId="32068" xr:uid="{00000000-0005-0000-0000-0000427D0000}"/>
    <cellStyle name="Normal 5 10 2 25 4 5" xfId="32069" xr:uid="{00000000-0005-0000-0000-0000437D0000}"/>
    <cellStyle name="Normal 5 10 2 25 4 6" xfId="32070" xr:uid="{00000000-0005-0000-0000-0000447D0000}"/>
    <cellStyle name="Normal 5 10 2 25 4 7" xfId="32071" xr:uid="{00000000-0005-0000-0000-0000457D0000}"/>
    <cellStyle name="Normal 5 10 2 25 4 8" xfId="32072" xr:uid="{00000000-0005-0000-0000-0000467D0000}"/>
    <cellStyle name="Normal 5 10 2 25 4 9" xfId="32073" xr:uid="{00000000-0005-0000-0000-0000477D0000}"/>
    <cellStyle name="Normal 5 10 2 25 5" xfId="32074" xr:uid="{00000000-0005-0000-0000-0000487D0000}"/>
    <cellStyle name="Normal 5 10 2 25 5 10" xfId="32075" xr:uid="{00000000-0005-0000-0000-0000497D0000}"/>
    <cellStyle name="Normal 5 10 2 25 5 2" xfId="32076" xr:uid="{00000000-0005-0000-0000-00004A7D0000}"/>
    <cellStyle name="Normal 5 10 2 25 5 3" xfId="32077" xr:uid="{00000000-0005-0000-0000-00004B7D0000}"/>
    <cellStyle name="Normal 5 10 2 25 5 4" xfId="32078" xr:uid="{00000000-0005-0000-0000-00004C7D0000}"/>
    <cellStyle name="Normal 5 10 2 25 5 5" xfId="32079" xr:uid="{00000000-0005-0000-0000-00004D7D0000}"/>
    <cellStyle name="Normal 5 10 2 25 5 6" xfId="32080" xr:uid="{00000000-0005-0000-0000-00004E7D0000}"/>
    <cellStyle name="Normal 5 10 2 25 5 7" xfId="32081" xr:uid="{00000000-0005-0000-0000-00004F7D0000}"/>
    <cellStyle name="Normal 5 10 2 25 5 8" xfId="32082" xr:uid="{00000000-0005-0000-0000-0000507D0000}"/>
    <cellStyle name="Normal 5 10 2 25 5 9" xfId="32083" xr:uid="{00000000-0005-0000-0000-0000517D0000}"/>
    <cellStyle name="Normal 5 10 2 25 6" xfId="32084" xr:uid="{00000000-0005-0000-0000-0000527D0000}"/>
    <cellStyle name="Normal 5 10 2 25 7" xfId="32085" xr:uid="{00000000-0005-0000-0000-0000537D0000}"/>
    <cellStyle name="Normal 5 10 2 25 8" xfId="32086" xr:uid="{00000000-0005-0000-0000-0000547D0000}"/>
    <cellStyle name="Normal 5 10 2 25 9" xfId="32087" xr:uid="{00000000-0005-0000-0000-0000557D0000}"/>
    <cellStyle name="Normal 5 10 2 26" xfId="32088" xr:uid="{00000000-0005-0000-0000-0000567D0000}"/>
    <cellStyle name="Normal 5 10 2 26 10" xfId="32089" xr:uid="{00000000-0005-0000-0000-0000577D0000}"/>
    <cellStyle name="Normal 5 10 2 26 11" xfId="32090" xr:uid="{00000000-0005-0000-0000-0000587D0000}"/>
    <cellStyle name="Normal 5 10 2 26 12" xfId="32091" xr:uid="{00000000-0005-0000-0000-0000597D0000}"/>
    <cellStyle name="Normal 5 10 2 26 13" xfId="32092" xr:uid="{00000000-0005-0000-0000-00005A7D0000}"/>
    <cellStyle name="Normal 5 10 2 26 14" xfId="32093" xr:uid="{00000000-0005-0000-0000-00005B7D0000}"/>
    <cellStyle name="Normal 5 10 2 26 2" xfId="32094" xr:uid="{00000000-0005-0000-0000-00005C7D0000}"/>
    <cellStyle name="Normal 5 10 2 26 2 10" xfId="32095" xr:uid="{00000000-0005-0000-0000-00005D7D0000}"/>
    <cellStyle name="Normal 5 10 2 26 2 2" xfId="32096" xr:uid="{00000000-0005-0000-0000-00005E7D0000}"/>
    <cellStyle name="Normal 5 10 2 26 2 3" xfId="32097" xr:uid="{00000000-0005-0000-0000-00005F7D0000}"/>
    <cellStyle name="Normal 5 10 2 26 2 4" xfId="32098" xr:uid="{00000000-0005-0000-0000-0000607D0000}"/>
    <cellStyle name="Normal 5 10 2 26 2 5" xfId="32099" xr:uid="{00000000-0005-0000-0000-0000617D0000}"/>
    <cellStyle name="Normal 5 10 2 26 2 6" xfId="32100" xr:uid="{00000000-0005-0000-0000-0000627D0000}"/>
    <cellStyle name="Normal 5 10 2 26 2 7" xfId="32101" xr:uid="{00000000-0005-0000-0000-0000637D0000}"/>
    <cellStyle name="Normal 5 10 2 26 2 8" xfId="32102" xr:uid="{00000000-0005-0000-0000-0000647D0000}"/>
    <cellStyle name="Normal 5 10 2 26 2 9" xfId="32103" xr:uid="{00000000-0005-0000-0000-0000657D0000}"/>
    <cellStyle name="Normal 5 10 2 26 3" xfId="32104" xr:uid="{00000000-0005-0000-0000-0000667D0000}"/>
    <cellStyle name="Normal 5 10 2 26 3 10" xfId="32105" xr:uid="{00000000-0005-0000-0000-0000677D0000}"/>
    <cellStyle name="Normal 5 10 2 26 3 2" xfId="32106" xr:uid="{00000000-0005-0000-0000-0000687D0000}"/>
    <cellStyle name="Normal 5 10 2 26 3 3" xfId="32107" xr:uid="{00000000-0005-0000-0000-0000697D0000}"/>
    <cellStyle name="Normal 5 10 2 26 3 4" xfId="32108" xr:uid="{00000000-0005-0000-0000-00006A7D0000}"/>
    <cellStyle name="Normal 5 10 2 26 3 5" xfId="32109" xr:uid="{00000000-0005-0000-0000-00006B7D0000}"/>
    <cellStyle name="Normal 5 10 2 26 3 6" xfId="32110" xr:uid="{00000000-0005-0000-0000-00006C7D0000}"/>
    <cellStyle name="Normal 5 10 2 26 3 7" xfId="32111" xr:uid="{00000000-0005-0000-0000-00006D7D0000}"/>
    <cellStyle name="Normal 5 10 2 26 3 8" xfId="32112" xr:uid="{00000000-0005-0000-0000-00006E7D0000}"/>
    <cellStyle name="Normal 5 10 2 26 3 9" xfId="32113" xr:uid="{00000000-0005-0000-0000-00006F7D0000}"/>
    <cellStyle name="Normal 5 10 2 26 4" xfId="32114" xr:uid="{00000000-0005-0000-0000-0000707D0000}"/>
    <cellStyle name="Normal 5 10 2 26 4 10" xfId="32115" xr:uid="{00000000-0005-0000-0000-0000717D0000}"/>
    <cellStyle name="Normal 5 10 2 26 4 2" xfId="32116" xr:uid="{00000000-0005-0000-0000-0000727D0000}"/>
    <cellStyle name="Normal 5 10 2 26 4 3" xfId="32117" xr:uid="{00000000-0005-0000-0000-0000737D0000}"/>
    <cellStyle name="Normal 5 10 2 26 4 4" xfId="32118" xr:uid="{00000000-0005-0000-0000-0000747D0000}"/>
    <cellStyle name="Normal 5 10 2 26 4 5" xfId="32119" xr:uid="{00000000-0005-0000-0000-0000757D0000}"/>
    <cellStyle name="Normal 5 10 2 26 4 6" xfId="32120" xr:uid="{00000000-0005-0000-0000-0000767D0000}"/>
    <cellStyle name="Normal 5 10 2 26 4 7" xfId="32121" xr:uid="{00000000-0005-0000-0000-0000777D0000}"/>
    <cellStyle name="Normal 5 10 2 26 4 8" xfId="32122" xr:uid="{00000000-0005-0000-0000-0000787D0000}"/>
    <cellStyle name="Normal 5 10 2 26 4 9" xfId="32123" xr:uid="{00000000-0005-0000-0000-0000797D0000}"/>
    <cellStyle name="Normal 5 10 2 26 5" xfId="32124" xr:uid="{00000000-0005-0000-0000-00007A7D0000}"/>
    <cellStyle name="Normal 5 10 2 26 5 10" xfId="32125" xr:uid="{00000000-0005-0000-0000-00007B7D0000}"/>
    <cellStyle name="Normal 5 10 2 26 5 2" xfId="32126" xr:uid="{00000000-0005-0000-0000-00007C7D0000}"/>
    <cellStyle name="Normal 5 10 2 26 5 3" xfId="32127" xr:uid="{00000000-0005-0000-0000-00007D7D0000}"/>
    <cellStyle name="Normal 5 10 2 26 5 4" xfId="32128" xr:uid="{00000000-0005-0000-0000-00007E7D0000}"/>
    <cellStyle name="Normal 5 10 2 26 5 5" xfId="32129" xr:uid="{00000000-0005-0000-0000-00007F7D0000}"/>
    <cellStyle name="Normal 5 10 2 26 5 6" xfId="32130" xr:uid="{00000000-0005-0000-0000-0000807D0000}"/>
    <cellStyle name="Normal 5 10 2 26 5 7" xfId="32131" xr:uid="{00000000-0005-0000-0000-0000817D0000}"/>
    <cellStyle name="Normal 5 10 2 26 5 8" xfId="32132" xr:uid="{00000000-0005-0000-0000-0000827D0000}"/>
    <cellStyle name="Normal 5 10 2 26 5 9" xfId="32133" xr:uid="{00000000-0005-0000-0000-0000837D0000}"/>
    <cellStyle name="Normal 5 10 2 26 6" xfId="32134" xr:uid="{00000000-0005-0000-0000-0000847D0000}"/>
    <cellStyle name="Normal 5 10 2 26 7" xfId="32135" xr:uid="{00000000-0005-0000-0000-0000857D0000}"/>
    <cellStyle name="Normal 5 10 2 26 8" xfId="32136" xr:uid="{00000000-0005-0000-0000-0000867D0000}"/>
    <cellStyle name="Normal 5 10 2 26 9" xfId="32137" xr:uid="{00000000-0005-0000-0000-0000877D0000}"/>
    <cellStyle name="Normal 5 10 2 27" xfId="32138" xr:uid="{00000000-0005-0000-0000-0000887D0000}"/>
    <cellStyle name="Normal 5 10 2 27 10" xfId="32139" xr:uid="{00000000-0005-0000-0000-0000897D0000}"/>
    <cellStyle name="Normal 5 10 2 27 11" xfId="32140" xr:uid="{00000000-0005-0000-0000-00008A7D0000}"/>
    <cellStyle name="Normal 5 10 2 27 12" xfId="32141" xr:uid="{00000000-0005-0000-0000-00008B7D0000}"/>
    <cellStyle name="Normal 5 10 2 27 13" xfId="32142" xr:uid="{00000000-0005-0000-0000-00008C7D0000}"/>
    <cellStyle name="Normal 5 10 2 27 14" xfId="32143" xr:uid="{00000000-0005-0000-0000-00008D7D0000}"/>
    <cellStyle name="Normal 5 10 2 27 2" xfId="32144" xr:uid="{00000000-0005-0000-0000-00008E7D0000}"/>
    <cellStyle name="Normal 5 10 2 27 2 10" xfId="32145" xr:uid="{00000000-0005-0000-0000-00008F7D0000}"/>
    <cellStyle name="Normal 5 10 2 27 2 2" xfId="32146" xr:uid="{00000000-0005-0000-0000-0000907D0000}"/>
    <cellStyle name="Normal 5 10 2 27 2 3" xfId="32147" xr:uid="{00000000-0005-0000-0000-0000917D0000}"/>
    <cellStyle name="Normal 5 10 2 27 2 4" xfId="32148" xr:uid="{00000000-0005-0000-0000-0000927D0000}"/>
    <cellStyle name="Normal 5 10 2 27 2 5" xfId="32149" xr:uid="{00000000-0005-0000-0000-0000937D0000}"/>
    <cellStyle name="Normal 5 10 2 27 2 6" xfId="32150" xr:uid="{00000000-0005-0000-0000-0000947D0000}"/>
    <cellStyle name="Normal 5 10 2 27 2 7" xfId="32151" xr:uid="{00000000-0005-0000-0000-0000957D0000}"/>
    <cellStyle name="Normal 5 10 2 27 2 8" xfId="32152" xr:uid="{00000000-0005-0000-0000-0000967D0000}"/>
    <cellStyle name="Normal 5 10 2 27 2 9" xfId="32153" xr:uid="{00000000-0005-0000-0000-0000977D0000}"/>
    <cellStyle name="Normal 5 10 2 27 3" xfId="32154" xr:uid="{00000000-0005-0000-0000-0000987D0000}"/>
    <cellStyle name="Normal 5 10 2 27 3 10" xfId="32155" xr:uid="{00000000-0005-0000-0000-0000997D0000}"/>
    <cellStyle name="Normal 5 10 2 27 3 2" xfId="32156" xr:uid="{00000000-0005-0000-0000-00009A7D0000}"/>
    <cellStyle name="Normal 5 10 2 27 3 3" xfId="32157" xr:uid="{00000000-0005-0000-0000-00009B7D0000}"/>
    <cellStyle name="Normal 5 10 2 27 3 4" xfId="32158" xr:uid="{00000000-0005-0000-0000-00009C7D0000}"/>
    <cellStyle name="Normal 5 10 2 27 3 5" xfId="32159" xr:uid="{00000000-0005-0000-0000-00009D7D0000}"/>
    <cellStyle name="Normal 5 10 2 27 3 6" xfId="32160" xr:uid="{00000000-0005-0000-0000-00009E7D0000}"/>
    <cellStyle name="Normal 5 10 2 27 3 7" xfId="32161" xr:uid="{00000000-0005-0000-0000-00009F7D0000}"/>
    <cellStyle name="Normal 5 10 2 27 3 8" xfId="32162" xr:uid="{00000000-0005-0000-0000-0000A07D0000}"/>
    <cellStyle name="Normal 5 10 2 27 3 9" xfId="32163" xr:uid="{00000000-0005-0000-0000-0000A17D0000}"/>
    <cellStyle name="Normal 5 10 2 27 4" xfId="32164" xr:uid="{00000000-0005-0000-0000-0000A27D0000}"/>
    <cellStyle name="Normal 5 10 2 27 4 10" xfId="32165" xr:uid="{00000000-0005-0000-0000-0000A37D0000}"/>
    <cellStyle name="Normal 5 10 2 27 4 2" xfId="32166" xr:uid="{00000000-0005-0000-0000-0000A47D0000}"/>
    <cellStyle name="Normal 5 10 2 27 4 3" xfId="32167" xr:uid="{00000000-0005-0000-0000-0000A57D0000}"/>
    <cellStyle name="Normal 5 10 2 27 4 4" xfId="32168" xr:uid="{00000000-0005-0000-0000-0000A67D0000}"/>
    <cellStyle name="Normal 5 10 2 27 4 5" xfId="32169" xr:uid="{00000000-0005-0000-0000-0000A77D0000}"/>
    <cellStyle name="Normal 5 10 2 27 4 6" xfId="32170" xr:uid="{00000000-0005-0000-0000-0000A87D0000}"/>
    <cellStyle name="Normal 5 10 2 27 4 7" xfId="32171" xr:uid="{00000000-0005-0000-0000-0000A97D0000}"/>
    <cellStyle name="Normal 5 10 2 27 4 8" xfId="32172" xr:uid="{00000000-0005-0000-0000-0000AA7D0000}"/>
    <cellStyle name="Normal 5 10 2 27 4 9" xfId="32173" xr:uid="{00000000-0005-0000-0000-0000AB7D0000}"/>
    <cellStyle name="Normal 5 10 2 27 5" xfId="32174" xr:uid="{00000000-0005-0000-0000-0000AC7D0000}"/>
    <cellStyle name="Normal 5 10 2 27 5 10" xfId="32175" xr:uid="{00000000-0005-0000-0000-0000AD7D0000}"/>
    <cellStyle name="Normal 5 10 2 27 5 2" xfId="32176" xr:uid="{00000000-0005-0000-0000-0000AE7D0000}"/>
    <cellStyle name="Normal 5 10 2 27 5 3" xfId="32177" xr:uid="{00000000-0005-0000-0000-0000AF7D0000}"/>
    <cellStyle name="Normal 5 10 2 27 5 4" xfId="32178" xr:uid="{00000000-0005-0000-0000-0000B07D0000}"/>
    <cellStyle name="Normal 5 10 2 27 5 5" xfId="32179" xr:uid="{00000000-0005-0000-0000-0000B17D0000}"/>
    <cellStyle name="Normal 5 10 2 27 5 6" xfId="32180" xr:uid="{00000000-0005-0000-0000-0000B27D0000}"/>
    <cellStyle name="Normal 5 10 2 27 5 7" xfId="32181" xr:uid="{00000000-0005-0000-0000-0000B37D0000}"/>
    <cellStyle name="Normal 5 10 2 27 5 8" xfId="32182" xr:uid="{00000000-0005-0000-0000-0000B47D0000}"/>
    <cellStyle name="Normal 5 10 2 27 5 9" xfId="32183" xr:uid="{00000000-0005-0000-0000-0000B57D0000}"/>
    <cellStyle name="Normal 5 10 2 27 6" xfId="32184" xr:uid="{00000000-0005-0000-0000-0000B67D0000}"/>
    <cellStyle name="Normal 5 10 2 27 7" xfId="32185" xr:uid="{00000000-0005-0000-0000-0000B77D0000}"/>
    <cellStyle name="Normal 5 10 2 27 8" xfId="32186" xr:uid="{00000000-0005-0000-0000-0000B87D0000}"/>
    <cellStyle name="Normal 5 10 2 27 9" xfId="32187" xr:uid="{00000000-0005-0000-0000-0000B97D0000}"/>
    <cellStyle name="Normal 5 10 2 28" xfId="32188" xr:uid="{00000000-0005-0000-0000-0000BA7D0000}"/>
    <cellStyle name="Normal 5 10 2 28 10" xfId="32189" xr:uid="{00000000-0005-0000-0000-0000BB7D0000}"/>
    <cellStyle name="Normal 5 10 2 28 11" xfId="32190" xr:uid="{00000000-0005-0000-0000-0000BC7D0000}"/>
    <cellStyle name="Normal 5 10 2 28 12" xfId="32191" xr:uid="{00000000-0005-0000-0000-0000BD7D0000}"/>
    <cellStyle name="Normal 5 10 2 28 13" xfId="32192" xr:uid="{00000000-0005-0000-0000-0000BE7D0000}"/>
    <cellStyle name="Normal 5 10 2 28 14" xfId="32193" xr:uid="{00000000-0005-0000-0000-0000BF7D0000}"/>
    <cellStyle name="Normal 5 10 2 28 2" xfId="32194" xr:uid="{00000000-0005-0000-0000-0000C07D0000}"/>
    <cellStyle name="Normal 5 10 2 28 2 10" xfId="32195" xr:uid="{00000000-0005-0000-0000-0000C17D0000}"/>
    <cellStyle name="Normal 5 10 2 28 2 2" xfId="32196" xr:uid="{00000000-0005-0000-0000-0000C27D0000}"/>
    <cellStyle name="Normal 5 10 2 28 2 3" xfId="32197" xr:uid="{00000000-0005-0000-0000-0000C37D0000}"/>
    <cellStyle name="Normal 5 10 2 28 2 4" xfId="32198" xr:uid="{00000000-0005-0000-0000-0000C47D0000}"/>
    <cellStyle name="Normal 5 10 2 28 2 5" xfId="32199" xr:uid="{00000000-0005-0000-0000-0000C57D0000}"/>
    <cellStyle name="Normal 5 10 2 28 2 6" xfId="32200" xr:uid="{00000000-0005-0000-0000-0000C67D0000}"/>
    <cellStyle name="Normal 5 10 2 28 2 7" xfId="32201" xr:uid="{00000000-0005-0000-0000-0000C77D0000}"/>
    <cellStyle name="Normal 5 10 2 28 2 8" xfId="32202" xr:uid="{00000000-0005-0000-0000-0000C87D0000}"/>
    <cellStyle name="Normal 5 10 2 28 2 9" xfId="32203" xr:uid="{00000000-0005-0000-0000-0000C97D0000}"/>
    <cellStyle name="Normal 5 10 2 28 3" xfId="32204" xr:uid="{00000000-0005-0000-0000-0000CA7D0000}"/>
    <cellStyle name="Normal 5 10 2 28 3 10" xfId="32205" xr:uid="{00000000-0005-0000-0000-0000CB7D0000}"/>
    <cellStyle name="Normal 5 10 2 28 3 2" xfId="32206" xr:uid="{00000000-0005-0000-0000-0000CC7D0000}"/>
    <cellStyle name="Normal 5 10 2 28 3 3" xfId="32207" xr:uid="{00000000-0005-0000-0000-0000CD7D0000}"/>
    <cellStyle name="Normal 5 10 2 28 3 4" xfId="32208" xr:uid="{00000000-0005-0000-0000-0000CE7D0000}"/>
    <cellStyle name="Normal 5 10 2 28 3 5" xfId="32209" xr:uid="{00000000-0005-0000-0000-0000CF7D0000}"/>
    <cellStyle name="Normal 5 10 2 28 3 6" xfId="32210" xr:uid="{00000000-0005-0000-0000-0000D07D0000}"/>
    <cellStyle name="Normal 5 10 2 28 3 7" xfId="32211" xr:uid="{00000000-0005-0000-0000-0000D17D0000}"/>
    <cellStyle name="Normal 5 10 2 28 3 8" xfId="32212" xr:uid="{00000000-0005-0000-0000-0000D27D0000}"/>
    <cellStyle name="Normal 5 10 2 28 3 9" xfId="32213" xr:uid="{00000000-0005-0000-0000-0000D37D0000}"/>
    <cellStyle name="Normal 5 10 2 28 4" xfId="32214" xr:uid="{00000000-0005-0000-0000-0000D47D0000}"/>
    <cellStyle name="Normal 5 10 2 28 4 10" xfId="32215" xr:uid="{00000000-0005-0000-0000-0000D57D0000}"/>
    <cellStyle name="Normal 5 10 2 28 4 2" xfId="32216" xr:uid="{00000000-0005-0000-0000-0000D67D0000}"/>
    <cellStyle name="Normal 5 10 2 28 4 3" xfId="32217" xr:uid="{00000000-0005-0000-0000-0000D77D0000}"/>
    <cellStyle name="Normal 5 10 2 28 4 4" xfId="32218" xr:uid="{00000000-0005-0000-0000-0000D87D0000}"/>
    <cellStyle name="Normal 5 10 2 28 4 5" xfId="32219" xr:uid="{00000000-0005-0000-0000-0000D97D0000}"/>
    <cellStyle name="Normal 5 10 2 28 4 6" xfId="32220" xr:uid="{00000000-0005-0000-0000-0000DA7D0000}"/>
    <cellStyle name="Normal 5 10 2 28 4 7" xfId="32221" xr:uid="{00000000-0005-0000-0000-0000DB7D0000}"/>
    <cellStyle name="Normal 5 10 2 28 4 8" xfId="32222" xr:uid="{00000000-0005-0000-0000-0000DC7D0000}"/>
    <cellStyle name="Normal 5 10 2 28 4 9" xfId="32223" xr:uid="{00000000-0005-0000-0000-0000DD7D0000}"/>
    <cellStyle name="Normal 5 10 2 28 5" xfId="32224" xr:uid="{00000000-0005-0000-0000-0000DE7D0000}"/>
    <cellStyle name="Normal 5 10 2 28 5 10" xfId="32225" xr:uid="{00000000-0005-0000-0000-0000DF7D0000}"/>
    <cellStyle name="Normal 5 10 2 28 5 2" xfId="32226" xr:uid="{00000000-0005-0000-0000-0000E07D0000}"/>
    <cellStyle name="Normal 5 10 2 28 5 3" xfId="32227" xr:uid="{00000000-0005-0000-0000-0000E17D0000}"/>
    <cellStyle name="Normal 5 10 2 28 5 4" xfId="32228" xr:uid="{00000000-0005-0000-0000-0000E27D0000}"/>
    <cellStyle name="Normal 5 10 2 28 5 5" xfId="32229" xr:uid="{00000000-0005-0000-0000-0000E37D0000}"/>
    <cellStyle name="Normal 5 10 2 28 5 6" xfId="32230" xr:uid="{00000000-0005-0000-0000-0000E47D0000}"/>
    <cellStyle name="Normal 5 10 2 28 5 7" xfId="32231" xr:uid="{00000000-0005-0000-0000-0000E57D0000}"/>
    <cellStyle name="Normal 5 10 2 28 5 8" xfId="32232" xr:uid="{00000000-0005-0000-0000-0000E67D0000}"/>
    <cellStyle name="Normal 5 10 2 28 5 9" xfId="32233" xr:uid="{00000000-0005-0000-0000-0000E77D0000}"/>
    <cellStyle name="Normal 5 10 2 28 6" xfId="32234" xr:uid="{00000000-0005-0000-0000-0000E87D0000}"/>
    <cellStyle name="Normal 5 10 2 28 7" xfId="32235" xr:uid="{00000000-0005-0000-0000-0000E97D0000}"/>
    <cellStyle name="Normal 5 10 2 28 8" xfId="32236" xr:uid="{00000000-0005-0000-0000-0000EA7D0000}"/>
    <cellStyle name="Normal 5 10 2 28 9" xfId="32237" xr:uid="{00000000-0005-0000-0000-0000EB7D0000}"/>
    <cellStyle name="Normal 5 10 2 29" xfId="32238" xr:uid="{00000000-0005-0000-0000-0000EC7D0000}"/>
    <cellStyle name="Normal 5 10 2 29 10" xfId="32239" xr:uid="{00000000-0005-0000-0000-0000ED7D0000}"/>
    <cellStyle name="Normal 5 10 2 29 11" xfId="32240" xr:uid="{00000000-0005-0000-0000-0000EE7D0000}"/>
    <cellStyle name="Normal 5 10 2 29 12" xfId="32241" xr:uid="{00000000-0005-0000-0000-0000EF7D0000}"/>
    <cellStyle name="Normal 5 10 2 29 13" xfId="32242" xr:uid="{00000000-0005-0000-0000-0000F07D0000}"/>
    <cellStyle name="Normal 5 10 2 29 14" xfId="32243" xr:uid="{00000000-0005-0000-0000-0000F17D0000}"/>
    <cellStyle name="Normal 5 10 2 29 2" xfId="32244" xr:uid="{00000000-0005-0000-0000-0000F27D0000}"/>
    <cellStyle name="Normal 5 10 2 29 2 10" xfId="32245" xr:uid="{00000000-0005-0000-0000-0000F37D0000}"/>
    <cellStyle name="Normal 5 10 2 29 2 2" xfId="32246" xr:uid="{00000000-0005-0000-0000-0000F47D0000}"/>
    <cellStyle name="Normal 5 10 2 29 2 3" xfId="32247" xr:uid="{00000000-0005-0000-0000-0000F57D0000}"/>
    <cellStyle name="Normal 5 10 2 29 2 4" xfId="32248" xr:uid="{00000000-0005-0000-0000-0000F67D0000}"/>
    <cellStyle name="Normal 5 10 2 29 2 5" xfId="32249" xr:uid="{00000000-0005-0000-0000-0000F77D0000}"/>
    <cellStyle name="Normal 5 10 2 29 2 6" xfId="32250" xr:uid="{00000000-0005-0000-0000-0000F87D0000}"/>
    <cellStyle name="Normal 5 10 2 29 2 7" xfId="32251" xr:uid="{00000000-0005-0000-0000-0000F97D0000}"/>
    <cellStyle name="Normal 5 10 2 29 2 8" xfId="32252" xr:uid="{00000000-0005-0000-0000-0000FA7D0000}"/>
    <cellStyle name="Normal 5 10 2 29 2 9" xfId="32253" xr:uid="{00000000-0005-0000-0000-0000FB7D0000}"/>
    <cellStyle name="Normal 5 10 2 29 3" xfId="32254" xr:uid="{00000000-0005-0000-0000-0000FC7D0000}"/>
    <cellStyle name="Normal 5 10 2 29 3 10" xfId="32255" xr:uid="{00000000-0005-0000-0000-0000FD7D0000}"/>
    <cellStyle name="Normal 5 10 2 29 3 2" xfId="32256" xr:uid="{00000000-0005-0000-0000-0000FE7D0000}"/>
    <cellStyle name="Normal 5 10 2 29 3 3" xfId="32257" xr:uid="{00000000-0005-0000-0000-0000FF7D0000}"/>
    <cellStyle name="Normal 5 10 2 29 3 4" xfId="32258" xr:uid="{00000000-0005-0000-0000-0000007E0000}"/>
    <cellStyle name="Normal 5 10 2 29 3 5" xfId="32259" xr:uid="{00000000-0005-0000-0000-0000017E0000}"/>
    <cellStyle name="Normal 5 10 2 29 3 6" xfId="32260" xr:uid="{00000000-0005-0000-0000-0000027E0000}"/>
    <cellStyle name="Normal 5 10 2 29 3 7" xfId="32261" xr:uid="{00000000-0005-0000-0000-0000037E0000}"/>
    <cellStyle name="Normal 5 10 2 29 3 8" xfId="32262" xr:uid="{00000000-0005-0000-0000-0000047E0000}"/>
    <cellStyle name="Normal 5 10 2 29 3 9" xfId="32263" xr:uid="{00000000-0005-0000-0000-0000057E0000}"/>
    <cellStyle name="Normal 5 10 2 29 4" xfId="32264" xr:uid="{00000000-0005-0000-0000-0000067E0000}"/>
    <cellStyle name="Normal 5 10 2 29 4 10" xfId="32265" xr:uid="{00000000-0005-0000-0000-0000077E0000}"/>
    <cellStyle name="Normal 5 10 2 29 4 2" xfId="32266" xr:uid="{00000000-0005-0000-0000-0000087E0000}"/>
    <cellStyle name="Normal 5 10 2 29 4 3" xfId="32267" xr:uid="{00000000-0005-0000-0000-0000097E0000}"/>
    <cellStyle name="Normal 5 10 2 29 4 4" xfId="32268" xr:uid="{00000000-0005-0000-0000-00000A7E0000}"/>
    <cellStyle name="Normal 5 10 2 29 4 5" xfId="32269" xr:uid="{00000000-0005-0000-0000-00000B7E0000}"/>
    <cellStyle name="Normal 5 10 2 29 4 6" xfId="32270" xr:uid="{00000000-0005-0000-0000-00000C7E0000}"/>
    <cellStyle name="Normal 5 10 2 29 4 7" xfId="32271" xr:uid="{00000000-0005-0000-0000-00000D7E0000}"/>
    <cellStyle name="Normal 5 10 2 29 4 8" xfId="32272" xr:uid="{00000000-0005-0000-0000-00000E7E0000}"/>
    <cellStyle name="Normal 5 10 2 29 4 9" xfId="32273" xr:uid="{00000000-0005-0000-0000-00000F7E0000}"/>
    <cellStyle name="Normal 5 10 2 29 5" xfId="32274" xr:uid="{00000000-0005-0000-0000-0000107E0000}"/>
    <cellStyle name="Normal 5 10 2 29 5 10" xfId="32275" xr:uid="{00000000-0005-0000-0000-0000117E0000}"/>
    <cellStyle name="Normal 5 10 2 29 5 2" xfId="32276" xr:uid="{00000000-0005-0000-0000-0000127E0000}"/>
    <cellStyle name="Normal 5 10 2 29 5 3" xfId="32277" xr:uid="{00000000-0005-0000-0000-0000137E0000}"/>
    <cellStyle name="Normal 5 10 2 29 5 4" xfId="32278" xr:uid="{00000000-0005-0000-0000-0000147E0000}"/>
    <cellStyle name="Normal 5 10 2 29 5 5" xfId="32279" xr:uid="{00000000-0005-0000-0000-0000157E0000}"/>
    <cellStyle name="Normal 5 10 2 29 5 6" xfId="32280" xr:uid="{00000000-0005-0000-0000-0000167E0000}"/>
    <cellStyle name="Normal 5 10 2 29 5 7" xfId="32281" xr:uid="{00000000-0005-0000-0000-0000177E0000}"/>
    <cellStyle name="Normal 5 10 2 29 5 8" xfId="32282" xr:uid="{00000000-0005-0000-0000-0000187E0000}"/>
    <cellStyle name="Normal 5 10 2 29 5 9" xfId="32283" xr:uid="{00000000-0005-0000-0000-0000197E0000}"/>
    <cellStyle name="Normal 5 10 2 29 6" xfId="32284" xr:uid="{00000000-0005-0000-0000-00001A7E0000}"/>
    <cellStyle name="Normal 5 10 2 29 7" xfId="32285" xr:uid="{00000000-0005-0000-0000-00001B7E0000}"/>
    <cellStyle name="Normal 5 10 2 29 8" xfId="32286" xr:uid="{00000000-0005-0000-0000-00001C7E0000}"/>
    <cellStyle name="Normal 5 10 2 29 9" xfId="32287" xr:uid="{00000000-0005-0000-0000-00001D7E0000}"/>
    <cellStyle name="Normal 5 10 2 3" xfId="32288" xr:uid="{00000000-0005-0000-0000-00001E7E0000}"/>
    <cellStyle name="Normal 5 10 2 3 10" xfId="32289" xr:uid="{00000000-0005-0000-0000-00001F7E0000}"/>
    <cellStyle name="Normal 5 10 2 3 11" xfId="32290" xr:uid="{00000000-0005-0000-0000-0000207E0000}"/>
    <cellStyle name="Normal 5 10 2 3 12" xfId="32291" xr:uid="{00000000-0005-0000-0000-0000217E0000}"/>
    <cellStyle name="Normal 5 10 2 3 13" xfId="32292" xr:uid="{00000000-0005-0000-0000-0000227E0000}"/>
    <cellStyle name="Normal 5 10 2 3 14" xfId="32293" xr:uid="{00000000-0005-0000-0000-0000237E0000}"/>
    <cellStyle name="Normal 5 10 2 3 2" xfId="32294" xr:uid="{00000000-0005-0000-0000-0000247E0000}"/>
    <cellStyle name="Normal 5 10 2 3 2 10" xfId="32295" xr:uid="{00000000-0005-0000-0000-0000257E0000}"/>
    <cellStyle name="Normal 5 10 2 3 2 2" xfId="32296" xr:uid="{00000000-0005-0000-0000-0000267E0000}"/>
    <cellStyle name="Normal 5 10 2 3 2 3" xfId="32297" xr:uid="{00000000-0005-0000-0000-0000277E0000}"/>
    <cellStyle name="Normal 5 10 2 3 2 4" xfId="32298" xr:uid="{00000000-0005-0000-0000-0000287E0000}"/>
    <cellStyle name="Normal 5 10 2 3 2 5" xfId="32299" xr:uid="{00000000-0005-0000-0000-0000297E0000}"/>
    <cellStyle name="Normal 5 10 2 3 2 6" xfId="32300" xr:uid="{00000000-0005-0000-0000-00002A7E0000}"/>
    <cellStyle name="Normal 5 10 2 3 2 7" xfId="32301" xr:uid="{00000000-0005-0000-0000-00002B7E0000}"/>
    <cellStyle name="Normal 5 10 2 3 2 8" xfId="32302" xr:uid="{00000000-0005-0000-0000-00002C7E0000}"/>
    <cellStyle name="Normal 5 10 2 3 2 9" xfId="32303" xr:uid="{00000000-0005-0000-0000-00002D7E0000}"/>
    <cellStyle name="Normal 5 10 2 3 3" xfId="32304" xr:uid="{00000000-0005-0000-0000-00002E7E0000}"/>
    <cellStyle name="Normal 5 10 2 3 3 10" xfId="32305" xr:uid="{00000000-0005-0000-0000-00002F7E0000}"/>
    <cellStyle name="Normal 5 10 2 3 3 2" xfId="32306" xr:uid="{00000000-0005-0000-0000-0000307E0000}"/>
    <cellStyle name="Normal 5 10 2 3 3 3" xfId="32307" xr:uid="{00000000-0005-0000-0000-0000317E0000}"/>
    <cellStyle name="Normal 5 10 2 3 3 4" xfId="32308" xr:uid="{00000000-0005-0000-0000-0000327E0000}"/>
    <cellStyle name="Normal 5 10 2 3 3 5" xfId="32309" xr:uid="{00000000-0005-0000-0000-0000337E0000}"/>
    <cellStyle name="Normal 5 10 2 3 3 6" xfId="32310" xr:uid="{00000000-0005-0000-0000-0000347E0000}"/>
    <cellStyle name="Normal 5 10 2 3 3 7" xfId="32311" xr:uid="{00000000-0005-0000-0000-0000357E0000}"/>
    <cellStyle name="Normal 5 10 2 3 3 8" xfId="32312" xr:uid="{00000000-0005-0000-0000-0000367E0000}"/>
    <cellStyle name="Normal 5 10 2 3 3 9" xfId="32313" xr:uid="{00000000-0005-0000-0000-0000377E0000}"/>
    <cellStyle name="Normal 5 10 2 3 4" xfId="32314" xr:uid="{00000000-0005-0000-0000-0000387E0000}"/>
    <cellStyle name="Normal 5 10 2 3 4 10" xfId="32315" xr:uid="{00000000-0005-0000-0000-0000397E0000}"/>
    <cellStyle name="Normal 5 10 2 3 4 2" xfId="32316" xr:uid="{00000000-0005-0000-0000-00003A7E0000}"/>
    <cellStyle name="Normal 5 10 2 3 4 3" xfId="32317" xr:uid="{00000000-0005-0000-0000-00003B7E0000}"/>
    <cellStyle name="Normal 5 10 2 3 4 4" xfId="32318" xr:uid="{00000000-0005-0000-0000-00003C7E0000}"/>
    <cellStyle name="Normal 5 10 2 3 4 5" xfId="32319" xr:uid="{00000000-0005-0000-0000-00003D7E0000}"/>
    <cellStyle name="Normal 5 10 2 3 4 6" xfId="32320" xr:uid="{00000000-0005-0000-0000-00003E7E0000}"/>
    <cellStyle name="Normal 5 10 2 3 4 7" xfId="32321" xr:uid="{00000000-0005-0000-0000-00003F7E0000}"/>
    <cellStyle name="Normal 5 10 2 3 4 8" xfId="32322" xr:uid="{00000000-0005-0000-0000-0000407E0000}"/>
    <cellStyle name="Normal 5 10 2 3 4 9" xfId="32323" xr:uid="{00000000-0005-0000-0000-0000417E0000}"/>
    <cellStyle name="Normal 5 10 2 3 5" xfId="32324" xr:uid="{00000000-0005-0000-0000-0000427E0000}"/>
    <cellStyle name="Normal 5 10 2 3 5 10" xfId="32325" xr:uid="{00000000-0005-0000-0000-0000437E0000}"/>
    <cellStyle name="Normal 5 10 2 3 5 2" xfId="32326" xr:uid="{00000000-0005-0000-0000-0000447E0000}"/>
    <cellStyle name="Normal 5 10 2 3 5 3" xfId="32327" xr:uid="{00000000-0005-0000-0000-0000457E0000}"/>
    <cellStyle name="Normal 5 10 2 3 5 4" xfId="32328" xr:uid="{00000000-0005-0000-0000-0000467E0000}"/>
    <cellStyle name="Normal 5 10 2 3 5 5" xfId="32329" xr:uid="{00000000-0005-0000-0000-0000477E0000}"/>
    <cellStyle name="Normal 5 10 2 3 5 6" xfId="32330" xr:uid="{00000000-0005-0000-0000-0000487E0000}"/>
    <cellStyle name="Normal 5 10 2 3 5 7" xfId="32331" xr:uid="{00000000-0005-0000-0000-0000497E0000}"/>
    <cellStyle name="Normal 5 10 2 3 5 8" xfId="32332" xr:uid="{00000000-0005-0000-0000-00004A7E0000}"/>
    <cellStyle name="Normal 5 10 2 3 5 9" xfId="32333" xr:uid="{00000000-0005-0000-0000-00004B7E0000}"/>
    <cellStyle name="Normal 5 10 2 3 6" xfId="32334" xr:uid="{00000000-0005-0000-0000-00004C7E0000}"/>
    <cellStyle name="Normal 5 10 2 3 7" xfId="32335" xr:uid="{00000000-0005-0000-0000-00004D7E0000}"/>
    <cellStyle name="Normal 5 10 2 3 8" xfId="32336" xr:uid="{00000000-0005-0000-0000-00004E7E0000}"/>
    <cellStyle name="Normal 5 10 2 3 9" xfId="32337" xr:uid="{00000000-0005-0000-0000-00004F7E0000}"/>
    <cellStyle name="Normal 5 10 2 30" xfId="32338" xr:uid="{00000000-0005-0000-0000-0000507E0000}"/>
    <cellStyle name="Normal 5 10 2 30 10" xfId="32339" xr:uid="{00000000-0005-0000-0000-0000517E0000}"/>
    <cellStyle name="Normal 5 10 2 30 11" xfId="32340" xr:uid="{00000000-0005-0000-0000-0000527E0000}"/>
    <cellStyle name="Normal 5 10 2 30 12" xfId="32341" xr:uid="{00000000-0005-0000-0000-0000537E0000}"/>
    <cellStyle name="Normal 5 10 2 30 13" xfId="32342" xr:uid="{00000000-0005-0000-0000-0000547E0000}"/>
    <cellStyle name="Normal 5 10 2 30 14" xfId="32343" xr:uid="{00000000-0005-0000-0000-0000557E0000}"/>
    <cellStyle name="Normal 5 10 2 30 2" xfId="32344" xr:uid="{00000000-0005-0000-0000-0000567E0000}"/>
    <cellStyle name="Normal 5 10 2 30 2 10" xfId="32345" xr:uid="{00000000-0005-0000-0000-0000577E0000}"/>
    <cellStyle name="Normal 5 10 2 30 2 2" xfId="32346" xr:uid="{00000000-0005-0000-0000-0000587E0000}"/>
    <cellStyle name="Normal 5 10 2 30 2 3" xfId="32347" xr:uid="{00000000-0005-0000-0000-0000597E0000}"/>
    <cellStyle name="Normal 5 10 2 30 2 4" xfId="32348" xr:uid="{00000000-0005-0000-0000-00005A7E0000}"/>
    <cellStyle name="Normal 5 10 2 30 2 5" xfId="32349" xr:uid="{00000000-0005-0000-0000-00005B7E0000}"/>
    <cellStyle name="Normal 5 10 2 30 2 6" xfId="32350" xr:uid="{00000000-0005-0000-0000-00005C7E0000}"/>
    <cellStyle name="Normal 5 10 2 30 2 7" xfId="32351" xr:uid="{00000000-0005-0000-0000-00005D7E0000}"/>
    <cellStyle name="Normal 5 10 2 30 2 8" xfId="32352" xr:uid="{00000000-0005-0000-0000-00005E7E0000}"/>
    <cellStyle name="Normal 5 10 2 30 2 9" xfId="32353" xr:uid="{00000000-0005-0000-0000-00005F7E0000}"/>
    <cellStyle name="Normal 5 10 2 30 3" xfId="32354" xr:uid="{00000000-0005-0000-0000-0000607E0000}"/>
    <cellStyle name="Normal 5 10 2 30 3 10" xfId="32355" xr:uid="{00000000-0005-0000-0000-0000617E0000}"/>
    <cellStyle name="Normal 5 10 2 30 3 2" xfId="32356" xr:uid="{00000000-0005-0000-0000-0000627E0000}"/>
    <cellStyle name="Normal 5 10 2 30 3 3" xfId="32357" xr:uid="{00000000-0005-0000-0000-0000637E0000}"/>
    <cellStyle name="Normal 5 10 2 30 3 4" xfId="32358" xr:uid="{00000000-0005-0000-0000-0000647E0000}"/>
    <cellStyle name="Normal 5 10 2 30 3 5" xfId="32359" xr:uid="{00000000-0005-0000-0000-0000657E0000}"/>
    <cellStyle name="Normal 5 10 2 30 3 6" xfId="32360" xr:uid="{00000000-0005-0000-0000-0000667E0000}"/>
    <cellStyle name="Normal 5 10 2 30 3 7" xfId="32361" xr:uid="{00000000-0005-0000-0000-0000677E0000}"/>
    <cellStyle name="Normal 5 10 2 30 3 8" xfId="32362" xr:uid="{00000000-0005-0000-0000-0000687E0000}"/>
    <cellStyle name="Normal 5 10 2 30 3 9" xfId="32363" xr:uid="{00000000-0005-0000-0000-0000697E0000}"/>
    <cellStyle name="Normal 5 10 2 30 4" xfId="32364" xr:uid="{00000000-0005-0000-0000-00006A7E0000}"/>
    <cellStyle name="Normal 5 10 2 30 4 10" xfId="32365" xr:uid="{00000000-0005-0000-0000-00006B7E0000}"/>
    <cellStyle name="Normal 5 10 2 30 4 2" xfId="32366" xr:uid="{00000000-0005-0000-0000-00006C7E0000}"/>
    <cellStyle name="Normal 5 10 2 30 4 3" xfId="32367" xr:uid="{00000000-0005-0000-0000-00006D7E0000}"/>
    <cellStyle name="Normal 5 10 2 30 4 4" xfId="32368" xr:uid="{00000000-0005-0000-0000-00006E7E0000}"/>
    <cellStyle name="Normal 5 10 2 30 4 5" xfId="32369" xr:uid="{00000000-0005-0000-0000-00006F7E0000}"/>
    <cellStyle name="Normal 5 10 2 30 4 6" xfId="32370" xr:uid="{00000000-0005-0000-0000-0000707E0000}"/>
    <cellStyle name="Normal 5 10 2 30 4 7" xfId="32371" xr:uid="{00000000-0005-0000-0000-0000717E0000}"/>
    <cellStyle name="Normal 5 10 2 30 4 8" xfId="32372" xr:uid="{00000000-0005-0000-0000-0000727E0000}"/>
    <cellStyle name="Normal 5 10 2 30 4 9" xfId="32373" xr:uid="{00000000-0005-0000-0000-0000737E0000}"/>
    <cellStyle name="Normal 5 10 2 30 5" xfId="32374" xr:uid="{00000000-0005-0000-0000-0000747E0000}"/>
    <cellStyle name="Normal 5 10 2 30 5 10" xfId="32375" xr:uid="{00000000-0005-0000-0000-0000757E0000}"/>
    <cellStyle name="Normal 5 10 2 30 5 2" xfId="32376" xr:uid="{00000000-0005-0000-0000-0000767E0000}"/>
    <cellStyle name="Normal 5 10 2 30 5 3" xfId="32377" xr:uid="{00000000-0005-0000-0000-0000777E0000}"/>
    <cellStyle name="Normal 5 10 2 30 5 4" xfId="32378" xr:uid="{00000000-0005-0000-0000-0000787E0000}"/>
    <cellStyle name="Normal 5 10 2 30 5 5" xfId="32379" xr:uid="{00000000-0005-0000-0000-0000797E0000}"/>
    <cellStyle name="Normal 5 10 2 30 5 6" xfId="32380" xr:uid="{00000000-0005-0000-0000-00007A7E0000}"/>
    <cellStyle name="Normal 5 10 2 30 5 7" xfId="32381" xr:uid="{00000000-0005-0000-0000-00007B7E0000}"/>
    <cellStyle name="Normal 5 10 2 30 5 8" xfId="32382" xr:uid="{00000000-0005-0000-0000-00007C7E0000}"/>
    <cellStyle name="Normal 5 10 2 30 5 9" xfId="32383" xr:uid="{00000000-0005-0000-0000-00007D7E0000}"/>
    <cellStyle name="Normal 5 10 2 30 6" xfId="32384" xr:uid="{00000000-0005-0000-0000-00007E7E0000}"/>
    <cellStyle name="Normal 5 10 2 30 7" xfId="32385" xr:uid="{00000000-0005-0000-0000-00007F7E0000}"/>
    <cellStyle name="Normal 5 10 2 30 8" xfId="32386" xr:uid="{00000000-0005-0000-0000-0000807E0000}"/>
    <cellStyle name="Normal 5 10 2 30 9" xfId="32387" xr:uid="{00000000-0005-0000-0000-0000817E0000}"/>
    <cellStyle name="Normal 5 10 2 31" xfId="32388" xr:uid="{00000000-0005-0000-0000-0000827E0000}"/>
    <cellStyle name="Normal 5 10 2 31 10" xfId="32389" xr:uid="{00000000-0005-0000-0000-0000837E0000}"/>
    <cellStyle name="Normal 5 10 2 31 11" xfId="32390" xr:uid="{00000000-0005-0000-0000-0000847E0000}"/>
    <cellStyle name="Normal 5 10 2 31 12" xfId="32391" xr:uid="{00000000-0005-0000-0000-0000857E0000}"/>
    <cellStyle name="Normal 5 10 2 31 13" xfId="32392" xr:uid="{00000000-0005-0000-0000-0000867E0000}"/>
    <cellStyle name="Normal 5 10 2 31 14" xfId="32393" xr:uid="{00000000-0005-0000-0000-0000877E0000}"/>
    <cellStyle name="Normal 5 10 2 31 2" xfId="32394" xr:uid="{00000000-0005-0000-0000-0000887E0000}"/>
    <cellStyle name="Normal 5 10 2 31 2 10" xfId="32395" xr:uid="{00000000-0005-0000-0000-0000897E0000}"/>
    <cellStyle name="Normal 5 10 2 31 2 2" xfId="32396" xr:uid="{00000000-0005-0000-0000-00008A7E0000}"/>
    <cellStyle name="Normal 5 10 2 31 2 3" xfId="32397" xr:uid="{00000000-0005-0000-0000-00008B7E0000}"/>
    <cellStyle name="Normal 5 10 2 31 2 4" xfId="32398" xr:uid="{00000000-0005-0000-0000-00008C7E0000}"/>
    <cellStyle name="Normal 5 10 2 31 2 5" xfId="32399" xr:uid="{00000000-0005-0000-0000-00008D7E0000}"/>
    <cellStyle name="Normal 5 10 2 31 2 6" xfId="32400" xr:uid="{00000000-0005-0000-0000-00008E7E0000}"/>
    <cellStyle name="Normal 5 10 2 31 2 7" xfId="32401" xr:uid="{00000000-0005-0000-0000-00008F7E0000}"/>
    <cellStyle name="Normal 5 10 2 31 2 8" xfId="32402" xr:uid="{00000000-0005-0000-0000-0000907E0000}"/>
    <cellStyle name="Normal 5 10 2 31 2 9" xfId="32403" xr:uid="{00000000-0005-0000-0000-0000917E0000}"/>
    <cellStyle name="Normal 5 10 2 31 3" xfId="32404" xr:uid="{00000000-0005-0000-0000-0000927E0000}"/>
    <cellStyle name="Normal 5 10 2 31 3 10" xfId="32405" xr:uid="{00000000-0005-0000-0000-0000937E0000}"/>
    <cellStyle name="Normal 5 10 2 31 3 2" xfId="32406" xr:uid="{00000000-0005-0000-0000-0000947E0000}"/>
    <cellStyle name="Normal 5 10 2 31 3 3" xfId="32407" xr:uid="{00000000-0005-0000-0000-0000957E0000}"/>
    <cellStyle name="Normal 5 10 2 31 3 4" xfId="32408" xr:uid="{00000000-0005-0000-0000-0000967E0000}"/>
    <cellStyle name="Normal 5 10 2 31 3 5" xfId="32409" xr:uid="{00000000-0005-0000-0000-0000977E0000}"/>
    <cellStyle name="Normal 5 10 2 31 3 6" xfId="32410" xr:uid="{00000000-0005-0000-0000-0000987E0000}"/>
    <cellStyle name="Normal 5 10 2 31 3 7" xfId="32411" xr:uid="{00000000-0005-0000-0000-0000997E0000}"/>
    <cellStyle name="Normal 5 10 2 31 3 8" xfId="32412" xr:uid="{00000000-0005-0000-0000-00009A7E0000}"/>
    <cellStyle name="Normal 5 10 2 31 3 9" xfId="32413" xr:uid="{00000000-0005-0000-0000-00009B7E0000}"/>
    <cellStyle name="Normal 5 10 2 31 4" xfId="32414" xr:uid="{00000000-0005-0000-0000-00009C7E0000}"/>
    <cellStyle name="Normal 5 10 2 31 4 10" xfId="32415" xr:uid="{00000000-0005-0000-0000-00009D7E0000}"/>
    <cellStyle name="Normal 5 10 2 31 4 2" xfId="32416" xr:uid="{00000000-0005-0000-0000-00009E7E0000}"/>
    <cellStyle name="Normal 5 10 2 31 4 3" xfId="32417" xr:uid="{00000000-0005-0000-0000-00009F7E0000}"/>
    <cellStyle name="Normal 5 10 2 31 4 4" xfId="32418" xr:uid="{00000000-0005-0000-0000-0000A07E0000}"/>
    <cellStyle name="Normal 5 10 2 31 4 5" xfId="32419" xr:uid="{00000000-0005-0000-0000-0000A17E0000}"/>
    <cellStyle name="Normal 5 10 2 31 4 6" xfId="32420" xr:uid="{00000000-0005-0000-0000-0000A27E0000}"/>
    <cellStyle name="Normal 5 10 2 31 4 7" xfId="32421" xr:uid="{00000000-0005-0000-0000-0000A37E0000}"/>
    <cellStyle name="Normal 5 10 2 31 4 8" xfId="32422" xr:uid="{00000000-0005-0000-0000-0000A47E0000}"/>
    <cellStyle name="Normal 5 10 2 31 4 9" xfId="32423" xr:uid="{00000000-0005-0000-0000-0000A57E0000}"/>
    <cellStyle name="Normal 5 10 2 31 5" xfId="32424" xr:uid="{00000000-0005-0000-0000-0000A67E0000}"/>
    <cellStyle name="Normal 5 10 2 31 5 10" xfId="32425" xr:uid="{00000000-0005-0000-0000-0000A77E0000}"/>
    <cellStyle name="Normal 5 10 2 31 5 2" xfId="32426" xr:uid="{00000000-0005-0000-0000-0000A87E0000}"/>
    <cellStyle name="Normal 5 10 2 31 5 3" xfId="32427" xr:uid="{00000000-0005-0000-0000-0000A97E0000}"/>
    <cellStyle name="Normal 5 10 2 31 5 4" xfId="32428" xr:uid="{00000000-0005-0000-0000-0000AA7E0000}"/>
    <cellStyle name="Normal 5 10 2 31 5 5" xfId="32429" xr:uid="{00000000-0005-0000-0000-0000AB7E0000}"/>
    <cellStyle name="Normal 5 10 2 31 5 6" xfId="32430" xr:uid="{00000000-0005-0000-0000-0000AC7E0000}"/>
    <cellStyle name="Normal 5 10 2 31 5 7" xfId="32431" xr:uid="{00000000-0005-0000-0000-0000AD7E0000}"/>
    <cellStyle name="Normal 5 10 2 31 5 8" xfId="32432" xr:uid="{00000000-0005-0000-0000-0000AE7E0000}"/>
    <cellStyle name="Normal 5 10 2 31 5 9" xfId="32433" xr:uid="{00000000-0005-0000-0000-0000AF7E0000}"/>
    <cellStyle name="Normal 5 10 2 31 6" xfId="32434" xr:uid="{00000000-0005-0000-0000-0000B07E0000}"/>
    <cellStyle name="Normal 5 10 2 31 7" xfId="32435" xr:uid="{00000000-0005-0000-0000-0000B17E0000}"/>
    <cellStyle name="Normal 5 10 2 31 8" xfId="32436" xr:uid="{00000000-0005-0000-0000-0000B27E0000}"/>
    <cellStyle name="Normal 5 10 2 31 9" xfId="32437" xr:uid="{00000000-0005-0000-0000-0000B37E0000}"/>
    <cellStyle name="Normal 5 10 2 32" xfId="32438" xr:uid="{00000000-0005-0000-0000-0000B47E0000}"/>
    <cellStyle name="Normal 5 10 2 32 10" xfId="32439" xr:uid="{00000000-0005-0000-0000-0000B57E0000}"/>
    <cellStyle name="Normal 5 10 2 32 11" xfId="32440" xr:uid="{00000000-0005-0000-0000-0000B67E0000}"/>
    <cellStyle name="Normal 5 10 2 32 12" xfId="32441" xr:uid="{00000000-0005-0000-0000-0000B77E0000}"/>
    <cellStyle name="Normal 5 10 2 32 13" xfId="32442" xr:uid="{00000000-0005-0000-0000-0000B87E0000}"/>
    <cellStyle name="Normal 5 10 2 32 14" xfId="32443" xr:uid="{00000000-0005-0000-0000-0000B97E0000}"/>
    <cellStyle name="Normal 5 10 2 32 2" xfId="32444" xr:uid="{00000000-0005-0000-0000-0000BA7E0000}"/>
    <cellStyle name="Normal 5 10 2 32 2 10" xfId="32445" xr:uid="{00000000-0005-0000-0000-0000BB7E0000}"/>
    <cellStyle name="Normal 5 10 2 32 2 2" xfId="32446" xr:uid="{00000000-0005-0000-0000-0000BC7E0000}"/>
    <cellStyle name="Normal 5 10 2 32 2 3" xfId="32447" xr:uid="{00000000-0005-0000-0000-0000BD7E0000}"/>
    <cellStyle name="Normal 5 10 2 32 2 4" xfId="32448" xr:uid="{00000000-0005-0000-0000-0000BE7E0000}"/>
    <cellStyle name="Normal 5 10 2 32 2 5" xfId="32449" xr:uid="{00000000-0005-0000-0000-0000BF7E0000}"/>
    <cellStyle name="Normal 5 10 2 32 2 6" xfId="32450" xr:uid="{00000000-0005-0000-0000-0000C07E0000}"/>
    <cellStyle name="Normal 5 10 2 32 2 7" xfId="32451" xr:uid="{00000000-0005-0000-0000-0000C17E0000}"/>
    <cellStyle name="Normal 5 10 2 32 2 8" xfId="32452" xr:uid="{00000000-0005-0000-0000-0000C27E0000}"/>
    <cellStyle name="Normal 5 10 2 32 2 9" xfId="32453" xr:uid="{00000000-0005-0000-0000-0000C37E0000}"/>
    <cellStyle name="Normal 5 10 2 32 3" xfId="32454" xr:uid="{00000000-0005-0000-0000-0000C47E0000}"/>
    <cellStyle name="Normal 5 10 2 32 3 10" xfId="32455" xr:uid="{00000000-0005-0000-0000-0000C57E0000}"/>
    <cellStyle name="Normal 5 10 2 32 3 2" xfId="32456" xr:uid="{00000000-0005-0000-0000-0000C67E0000}"/>
    <cellStyle name="Normal 5 10 2 32 3 3" xfId="32457" xr:uid="{00000000-0005-0000-0000-0000C77E0000}"/>
    <cellStyle name="Normal 5 10 2 32 3 4" xfId="32458" xr:uid="{00000000-0005-0000-0000-0000C87E0000}"/>
    <cellStyle name="Normal 5 10 2 32 3 5" xfId="32459" xr:uid="{00000000-0005-0000-0000-0000C97E0000}"/>
    <cellStyle name="Normal 5 10 2 32 3 6" xfId="32460" xr:uid="{00000000-0005-0000-0000-0000CA7E0000}"/>
    <cellStyle name="Normal 5 10 2 32 3 7" xfId="32461" xr:uid="{00000000-0005-0000-0000-0000CB7E0000}"/>
    <cellStyle name="Normal 5 10 2 32 3 8" xfId="32462" xr:uid="{00000000-0005-0000-0000-0000CC7E0000}"/>
    <cellStyle name="Normal 5 10 2 32 3 9" xfId="32463" xr:uid="{00000000-0005-0000-0000-0000CD7E0000}"/>
    <cellStyle name="Normal 5 10 2 32 4" xfId="32464" xr:uid="{00000000-0005-0000-0000-0000CE7E0000}"/>
    <cellStyle name="Normal 5 10 2 32 4 10" xfId="32465" xr:uid="{00000000-0005-0000-0000-0000CF7E0000}"/>
    <cellStyle name="Normal 5 10 2 32 4 2" xfId="32466" xr:uid="{00000000-0005-0000-0000-0000D07E0000}"/>
    <cellStyle name="Normal 5 10 2 32 4 3" xfId="32467" xr:uid="{00000000-0005-0000-0000-0000D17E0000}"/>
    <cellStyle name="Normal 5 10 2 32 4 4" xfId="32468" xr:uid="{00000000-0005-0000-0000-0000D27E0000}"/>
    <cellStyle name="Normal 5 10 2 32 4 5" xfId="32469" xr:uid="{00000000-0005-0000-0000-0000D37E0000}"/>
    <cellStyle name="Normal 5 10 2 32 4 6" xfId="32470" xr:uid="{00000000-0005-0000-0000-0000D47E0000}"/>
    <cellStyle name="Normal 5 10 2 32 4 7" xfId="32471" xr:uid="{00000000-0005-0000-0000-0000D57E0000}"/>
    <cellStyle name="Normal 5 10 2 32 4 8" xfId="32472" xr:uid="{00000000-0005-0000-0000-0000D67E0000}"/>
    <cellStyle name="Normal 5 10 2 32 4 9" xfId="32473" xr:uid="{00000000-0005-0000-0000-0000D77E0000}"/>
    <cellStyle name="Normal 5 10 2 32 5" xfId="32474" xr:uid="{00000000-0005-0000-0000-0000D87E0000}"/>
    <cellStyle name="Normal 5 10 2 32 5 10" xfId="32475" xr:uid="{00000000-0005-0000-0000-0000D97E0000}"/>
    <cellStyle name="Normal 5 10 2 32 5 2" xfId="32476" xr:uid="{00000000-0005-0000-0000-0000DA7E0000}"/>
    <cellStyle name="Normal 5 10 2 32 5 3" xfId="32477" xr:uid="{00000000-0005-0000-0000-0000DB7E0000}"/>
    <cellStyle name="Normal 5 10 2 32 5 4" xfId="32478" xr:uid="{00000000-0005-0000-0000-0000DC7E0000}"/>
    <cellStyle name="Normal 5 10 2 32 5 5" xfId="32479" xr:uid="{00000000-0005-0000-0000-0000DD7E0000}"/>
    <cellStyle name="Normal 5 10 2 32 5 6" xfId="32480" xr:uid="{00000000-0005-0000-0000-0000DE7E0000}"/>
    <cellStyle name="Normal 5 10 2 32 5 7" xfId="32481" xr:uid="{00000000-0005-0000-0000-0000DF7E0000}"/>
    <cellStyle name="Normal 5 10 2 32 5 8" xfId="32482" xr:uid="{00000000-0005-0000-0000-0000E07E0000}"/>
    <cellStyle name="Normal 5 10 2 32 5 9" xfId="32483" xr:uid="{00000000-0005-0000-0000-0000E17E0000}"/>
    <cellStyle name="Normal 5 10 2 32 6" xfId="32484" xr:uid="{00000000-0005-0000-0000-0000E27E0000}"/>
    <cellStyle name="Normal 5 10 2 32 7" xfId="32485" xr:uid="{00000000-0005-0000-0000-0000E37E0000}"/>
    <cellStyle name="Normal 5 10 2 32 8" xfId="32486" xr:uid="{00000000-0005-0000-0000-0000E47E0000}"/>
    <cellStyle name="Normal 5 10 2 32 9" xfId="32487" xr:uid="{00000000-0005-0000-0000-0000E57E0000}"/>
    <cellStyle name="Normal 5 10 2 33" xfId="32488" xr:uid="{00000000-0005-0000-0000-0000E67E0000}"/>
    <cellStyle name="Normal 5 10 2 33 10" xfId="32489" xr:uid="{00000000-0005-0000-0000-0000E77E0000}"/>
    <cellStyle name="Normal 5 10 2 33 11" xfId="32490" xr:uid="{00000000-0005-0000-0000-0000E87E0000}"/>
    <cellStyle name="Normal 5 10 2 33 12" xfId="32491" xr:uid="{00000000-0005-0000-0000-0000E97E0000}"/>
    <cellStyle name="Normal 5 10 2 33 13" xfId="32492" xr:uid="{00000000-0005-0000-0000-0000EA7E0000}"/>
    <cellStyle name="Normal 5 10 2 33 14" xfId="32493" xr:uid="{00000000-0005-0000-0000-0000EB7E0000}"/>
    <cellStyle name="Normal 5 10 2 33 2" xfId="32494" xr:uid="{00000000-0005-0000-0000-0000EC7E0000}"/>
    <cellStyle name="Normal 5 10 2 33 2 10" xfId="32495" xr:uid="{00000000-0005-0000-0000-0000ED7E0000}"/>
    <cellStyle name="Normal 5 10 2 33 2 2" xfId="32496" xr:uid="{00000000-0005-0000-0000-0000EE7E0000}"/>
    <cellStyle name="Normal 5 10 2 33 2 3" xfId="32497" xr:uid="{00000000-0005-0000-0000-0000EF7E0000}"/>
    <cellStyle name="Normal 5 10 2 33 2 4" xfId="32498" xr:uid="{00000000-0005-0000-0000-0000F07E0000}"/>
    <cellStyle name="Normal 5 10 2 33 2 5" xfId="32499" xr:uid="{00000000-0005-0000-0000-0000F17E0000}"/>
    <cellStyle name="Normal 5 10 2 33 2 6" xfId="32500" xr:uid="{00000000-0005-0000-0000-0000F27E0000}"/>
    <cellStyle name="Normal 5 10 2 33 2 7" xfId="32501" xr:uid="{00000000-0005-0000-0000-0000F37E0000}"/>
    <cellStyle name="Normal 5 10 2 33 2 8" xfId="32502" xr:uid="{00000000-0005-0000-0000-0000F47E0000}"/>
    <cellStyle name="Normal 5 10 2 33 2 9" xfId="32503" xr:uid="{00000000-0005-0000-0000-0000F57E0000}"/>
    <cellStyle name="Normal 5 10 2 33 3" xfId="32504" xr:uid="{00000000-0005-0000-0000-0000F67E0000}"/>
    <cellStyle name="Normal 5 10 2 33 3 10" xfId="32505" xr:uid="{00000000-0005-0000-0000-0000F77E0000}"/>
    <cellStyle name="Normal 5 10 2 33 3 2" xfId="32506" xr:uid="{00000000-0005-0000-0000-0000F87E0000}"/>
    <cellStyle name="Normal 5 10 2 33 3 3" xfId="32507" xr:uid="{00000000-0005-0000-0000-0000F97E0000}"/>
    <cellStyle name="Normal 5 10 2 33 3 4" xfId="32508" xr:uid="{00000000-0005-0000-0000-0000FA7E0000}"/>
    <cellStyle name="Normal 5 10 2 33 3 5" xfId="32509" xr:uid="{00000000-0005-0000-0000-0000FB7E0000}"/>
    <cellStyle name="Normal 5 10 2 33 3 6" xfId="32510" xr:uid="{00000000-0005-0000-0000-0000FC7E0000}"/>
    <cellStyle name="Normal 5 10 2 33 3 7" xfId="32511" xr:uid="{00000000-0005-0000-0000-0000FD7E0000}"/>
    <cellStyle name="Normal 5 10 2 33 3 8" xfId="32512" xr:uid="{00000000-0005-0000-0000-0000FE7E0000}"/>
    <cellStyle name="Normal 5 10 2 33 3 9" xfId="32513" xr:uid="{00000000-0005-0000-0000-0000FF7E0000}"/>
    <cellStyle name="Normal 5 10 2 33 4" xfId="32514" xr:uid="{00000000-0005-0000-0000-0000007F0000}"/>
    <cellStyle name="Normal 5 10 2 33 4 10" xfId="32515" xr:uid="{00000000-0005-0000-0000-0000017F0000}"/>
    <cellStyle name="Normal 5 10 2 33 4 2" xfId="32516" xr:uid="{00000000-0005-0000-0000-0000027F0000}"/>
    <cellStyle name="Normal 5 10 2 33 4 3" xfId="32517" xr:uid="{00000000-0005-0000-0000-0000037F0000}"/>
    <cellStyle name="Normal 5 10 2 33 4 4" xfId="32518" xr:uid="{00000000-0005-0000-0000-0000047F0000}"/>
    <cellStyle name="Normal 5 10 2 33 4 5" xfId="32519" xr:uid="{00000000-0005-0000-0000-0000057F0000}"/>
    <cellStyle name="Normal 5 10 2 33 4 6" xfId="32520" xr:uid="{00000000-0005-0000-0000-0000067F0000}"/>
    <cellStyle name="Normal 5 10 2 33 4 7" xfId="32521" xr:uid="{00000000-0005-0000-0000-0000077F0000}"/>
    <cellStyle name="Normal 5 10 2 33 4 8" xfId="32522" xr:uid="{00000000-0005-0000-0000-0000087F0000}"/>
    <cellStyle name="Normal 5 10 2 33 4 9" xfId="32523" xr:uid="{00000000-0005-0000-0000-0000097F0000}"/>
    <cellStyle name="Normal 5 10 2 33 5" xfId="32524" xr:uid="{00000000-0005-0000-0000-00000A7F0000}"/>
    <cellStyle name="Normal 5 10 2 33 5 10" xfId="32525" xr:uid="{00000000-0005-0000-0000-00000B7F0000}"/>
    <cellStyle name="Normal 5 10 2 33 5 2" xfId="32526" xr:uid="{00000000-0005-0000-0000-00000C7F0000}"/>
    <cellStyle name="Normal 5 10 2 33 5 3" xfId="32527" xr:uid="{00000000-0005-0000-0000-00000D7F0000}"/>
    <cellStyle name="Normal 5 10 2 33 5 4" xfId="32528" xr:uid="{00000000-0005-0000-0000-00000E7F0000}"/>
    <cellStyle name="Normal 5 10 2 33 5 5" xfId="32529" xr:uid="{00000000-0005-0000-0000-00000F7F0000}"/>
    <cellStyle name="Normal 5 10 2 33 5 6" xfId="32530" xr:uid="{00000000-0005-0000-0000-0000107F0000}"/>
    <cellStyle name="Normal 5 10 2 33 5 7" xfId="32531" xr:uid="{00000000-0005-0000-0000-0000117F0000}"/>
    <cellStyle name="Normal 5 10 2 33 5 8" xfId="32532" xr:uid="{00000000-0005-0000-0000-0000127F0000}"/>
    <cellStyle name="Normal 5 10 2 33 5 9" xfId="32533" xr:uid="{00000000-0005-0000-0000-0000137F0000}"/>
    <cellStyle name="Normal 5 10 2 33 6" xfId="32534" xr:uid="{00000000-0005-0000-0000-0000147F0000}"/>
    <cellStyle name="Normal 5 10 2 33 7" xfId="32535" xr:uid="{00000000-0005-0000-0000-0000157F0000}"/>
    <cellStyle name="Normal 5 10 2 33 8" xfId="32536" xr:uid="{00000000-0005-0000-0000-0000167F0000}"/>
    <cellStyle name="Normal 5 10 2 33 9" xfId="32537" xr:uid="{00000000-0005-0000-0000-0000177F0000}"/>
    <cellStyle name="Normal 5 10 2 34" xfId="32538" xr:uid="{00000000-0005-0000-0000-0000187F0000}"/>
    <cellStyle name="Normal 5 10 2 34 10" xfId="32539" xr:uid="{00000000-0005-0000-0000-0000197F0000}"/>
    <cellStyle name="Normal 5 10 2 34 2" xfId="32540" xr:uid="{00000000-0005-0000-0000-00001A7F0000}"/>
    <cellStyle name="Normal 5 10 2 34 3" xfId="32541" xr:uid="{00000000-0005-0000-0000-00001B7F0000}"/>
    <cellStyle name="Normal 5 10 2 34 4" xfId="32542" xr:uid="{00000000-0005-0000-0000-00001C7F0000}"/>
    <cellStyle name="Normal 5 10 2 34 5" xfId="32543" xr:uid="{00000000-0005-0000-0000-00001D7F0000}"/>
    <cellStyle name="Normal 5 10 2 34 6" xfId="32544" xr:uid="{00000000-0005-0000-0000-00001E7F0000}"/>
    <cellStyle name="Normal 5 10 2 34 7" xfId="32545" xr:uid="{00000000-0005-0000-0000-00001F7F0000}"/>
    <cellStyle name="Normal 5 10 2 34 8" xfId="32546" xr:uid="{00000000-0005-0000-0000-0000207F0000}"/>
    <cellStyle name="Normal 5 10 2 34 9" xfId="32547" xr:uid="{00000000-0005-0000-0000-0000217F0000}"/>
    <cellStyle name="Normal 5 10 2 35" xfId="32548" xr:uid="{00000000-0005-0000-0000-0000227F0000}"/>
    <cellStyle name="Normal 5 10 2 35 10" xfId="32549" xr:uid="{00000000-0005-0000-0000-0000237F0000}"/>
    <cellStyle name="Normal 5 10 2 35 2" xfId="32550" xr:uid="{00000000-0005-0000-0000-0000247F0000}"/>
    <cellStyle name="Normal 5 10 2 35 3" xfId="32551" xr:uid="{00000000-0005-0000-0000-0000257F0000}"/>
    <cellStyle name="Normal 5 10 2 35 4" xfId="32552" xr:uid="{00000000-0005-0000-0000-0000267F0000}"/>
    <cellStyle name="Normal 5 10 2 35 5" xfId="32553" xr:uid="{00000000-0005-0000-0000-0000277F0000}"/>
    <cellStyle name="Normal 5 10 2 35 6" xfId="32554" xr:uid="{00000000-0005-0000-0000-0000287F0000}"/>
    <cellStyle name="Normal 5 10 2 35 7" xfId="32555" xr:uid="{00000000-0005-0000-0000-0000297F0000}"/>
    <cellStyle name="Normal 5 10 2 35 8" xfId="32556" xr:uid="{00000000-0005-0000-0000-00002A7F0000}"/>
    <cellStyle name="Normal 5 10 2 35 9" xfId="32557" xr:uid="{00000000-0005-0000-0000-00002B7F0000}"/>
    <cellStyle name="Normal 5 10 2 36" xfId="32558" xr:uid="{00000000-0005-0000-0000-00002C7F0000}"/>
    <cellStyle name="Normal 5 10 2 36 10" xfId="32559" xr:uid="{00000000-0005-0000-0000-00002D7F0000}"/>
    <cellStyle name="Normal 5 10 2 36 2" xfId="32560" xr:uid="{00000000-0005-0000-0000-00002E7F0000}"/>
    <cellStyle name="Normal 5 10 2 36 3" xfId="32561" xr:uid="{00000000-0005-0000-0000-00002F7F0000}"/>
    <cellStyle name="Normal 5 10 2 36 4" xfId="32562" xr:uid="{00000000-0005-0000-0000-0000307F0000}"/>
    <cellStyle name="Normal 5 10 2 36 5" xfId="32563" xr:uid="{00000000-0005-0000-0000-0000317F0000}"/>
    <cellStyle name="Normal 5 10 2 36 6" xfId="32564" xr:uid="{00000000-0005-0000-0000-0000327F0000}"/>
    <cellStyle name="Normal 5 10 2 36 7" xfId="32565" xr:uid="{00000000-0005-0000-0000-0000337F0000}"/>
    <cellStyle name="Normal 5 10 2 36 8" xfId="32566" xr:uid="{00000000-0005-0000-0000-0000347F0000}"/>
    <cellStyle name="Normal 5 10 2 36 9" xfId="32567" xr:uid="{00000000-0005-0000-0000-0000357F0000}"/>
    <cellStyle name="Normal 5 10 2 37" xfId="32568" xr:uid="{00000000-0005-0000-0000-0000367F0000}"/>
    <cellStyle name="Normal 5 10 2 37 10" xfId="32569" xr:uid="{00000000-0005-0000-0000-0000377F0000}"/>
    <cellStyle name="Normal 5 10 2 37 2" xfId="32570" xr:uid="{00000000-0005-0000-0000-0000387F0000}"/>
    <cellStyle name="Normal 5 10 2 37 3" xfId="32571" xr:uid="{00000000-0005-0000-0000-0000397F0000}"/>
    <cellStyle name="Normal 5 10 2 37 4" xfId="32572" xr:uid="{00000000-0005-0000-0000-00003A7F0000}"/>
    <cellStyle name="Normal 5 10 2 37 5" xfId="32573" xr:uid="{00000000-0005-0000-0000-00003B7F0000}"/>
    <cellStyle name="Normal 5 10 2 37 6" xfId="32574" xr:uid="{00000000-0005-0000-0000-00003C7F0000}"/>
    <cellStyle name="Normal 5 10 2 37 7" xfId="32575" xr:uid="{00000000-0005-0000-0000-00003D7F0000}"/>
    <cellStyle name="Normal 5 10 2 37 8" xfId="32576" xr:uid="{00000000-0005-0000-0000-00003E7F0000}"/>
    <cellStyle name="Normal 5 10 2 37 9" xfId="32577" xr:uid="{00000000-0005-0000-0000-00003F7F0000}"/>
    <cellStyle name="Normal 5 10 2 38" xfId="32578" xr:uid="{00000000-0005-0000-0000-0000407F0000}"/>
    <cellStyle name="Normal 5 10 2 39" xfId="32579" xr:uid="{00000000-0005-0000-0000-0000417F0000}"/>
    <cellStyle name="Normal 5 10 2 4" xfId="32580" xr:uid="{00000000-0005-0000-0000-0000427F0000}"/>
    <cellStyle name="Normal 5 10 2 4 10" xfId="32581" xr:uid="{00000000-0005-0000-0000-0000437F0000}"/>
    <cellStyle name="Normal 5 10 2 4 11" xfId="32582" xr:uid="{00000000-0005-0000-0000-0000447F0000}"/>
    <cellStyle name="Normal 5 10 2 4 12" xfId="32583" xr:uid="{00000000-0005-0000-0000-0000457F0000}"/>
    <cellStyle name="Normal 5 10 2 4 13" xfId="32584" xr:uid="{00000000-0005-0000-0000-0000467F0000}"/>
    <cellStyle name="Normal 5 10 2 4 14" xfId="32585" xr:uid="{00000000-0005-0000-0000-0000477F0000}"/>
    <cellStyle name="Normal 5 10 2 4 2" xfId="32586" xr:uid="{00000000-0005-0000-0000-0000487F0000}"/>
    <cellStyle name="Normal 5 10 2 4 2 10" xfId="32587" xr:uid="{00000000-0005-0000-0000-0000497F0000}"/>
    <cellStyle name="Normal 5 10 2 4 2 2" xfId="32588" xr:uid="{00000000-0005-0000-0000-00004A7F0000}"/>
    <cellStyle name="Normal 5 10 2 4 2 3" xfId="32589" xr:uid="{00000000-0005-0000-0000-00004B7F0000}"/>
    <cellStyle name="Normal 5 10 2 4 2 4" xfId="32590" xr:uid="{00000000-0005-0000-0000-00004C7F0000}"/>
    <cellStyle name="Normal 5 10 2 4 2 5" xfId="32591" xr:uid="{00000000-0005-0000-0000-00004D7F0000}"/>
    <cellStyle name="Normal 5 10 2 4 2 6" xfId="32592" xr:uid="{00000000-0005-0000-0000-00004E7F0000}"/>
    <cellStyle name="Normal 5 10 2 4 2 7" xfId="32593" xr:uid="{00000000-0005-0000-0000-00004F7F0000}"/>
    <cellStyle name="Normal 5 10 2 4 2 8" xfId="32594" xr:uid="{00000000-0005-0000-0000-0000507F0000}"/>
    <cellStyle name="Normal 5 10 2 4 2 9" xfId="32595" xr:uid="{00000000-0005-0000-0000-0000517F0000}"/>
    <cellStyle name="Normal 5 10 2 4 3" xfId="32596" xr:uid="{00000000-0005-0000-0000-0000527F0000}"/>
    <cellStyle name="Normal 5 10 2 4 3 10" xfId="32597" xr:uid="{00000000-0005-0000-0000-0000537F0000}"/>
    <cellStyle name="Normal 5 10 2 4 3 2" xfId="32598" xr:uid="{00000000-0005-0000-0000-0000547F0000}"/>
    <cellStyle name="Normal 5 10 2 4 3 3" xfId="32599" xr:uid="{00000000-0005-0000-0000-0000557F0000}"/>
    <cellStyle name="Normal 5 10 2 4 3 4" xfId="32600" xr:uid="{00000000-0005-0000-0000-0000567F0000}"/>
    <cellStyle name="Normal 5 10 2 4 3 5" xfId="32601" xr:uid="{00000000-0005-0000-0000-0000577F0000}"/>
    <cellStyle name="Normal 5 10 2 4 3 6" xfId="32602" xr:uid="{00000000-0005-0000-0000-0000587F0000}"/>
    <cellStyle name="Normal 5 10 2 4 3 7" xfId="32603" xr:uid="{00000000-0005-0000-0000-0000597F0000}"/>
    <cellStyle name="Normal 5 10 2 4 3 8" xfId="32604" xr:uid="{00000000-0005-0000-0000-00005A7F0000}"/>
    <cellStyle name="Normal 5 10 2 4 3 9" xfId="32605" xr:uid="{00000000-0005-0000-0000-00005B7F0000}"/>
    <cellStyle name="Normal 5 10 2 4 4" xfId="32606" xr:uid="{00000000-0005-0000-0000-00005C7F0000}"/>
    <cellStyle name="Normal 5 10 2 4 4 10" xfId="32607" xr:uid="{00000000-0005-0000-0000-00005D7F0000}"/>
    <cellStyle name="Normal 5 10 2 4 4 2" xfId="32608" xr:uid="{00000000-0005-0000-0000-00005E7F0000}"/>
    <cellStyle name="Normal 5 10 2 4 4 3" xfId="32609" xr:uid="{00000000-0005-0000-0000-00005F7F0000}"/>
    <cellStyle name="Normal 5 10 2 4 4 4" xfId="32610" xr:uid="{00000000-0005-0000-0000-0000607F0000}"/>
    <cellStyle name="Normal 5 10 2 4 4 5" xfId="32611" xr:uid="{00000000-0005-0000-0000-0000617F0000}"/>
    <cellStyle name="Normal 5 10 2 4 4 6" xfId="32612" xr:uid="{00000000-0005-0000-0000-0000627F0000}"/>
    <cellStyle name="Normal 5 10 2 4 4 7" xfId="32613" xr:uid="{00000000-0005-0000-0000-0000637F0000}"/>
    <cellStyle name="Normal 5 10 2 4 4 8" xfId="32614" xr:uid="{00000000-0005-0000-0000-0000647F0000}"/>
    <cellStyle name="Normal 5 10 2 4 4 9" xfId="32615" xr:uid="{00000000-0005-0000-0000-0000657F0000}"/>
    <cellStyle name="Normal 5 10 2 4 5" xfId="32616" xr:uid="{00000000-0005-0000-0000-0000667F0000}"/>
    <cellStyle name="Normal 5 10 2 4 5 10" xfId="32617" xr:uid="{00000000-0005-0000-0000-0000677F0000}"/>
    <cellStyle name="Normal 5 10 2 4 5 2" xfId="32618" xr:uid="{00000000-0005-0000-0000-0000687F0000}"/>
    <cellStyle name="Normal 5 10 2 4 5 3" xfId="32619" xr:uid="{00000000-0005-0000-0000-0000697F0000}"/>
    <cellStyle name="Normal 5 10 2 4 5 4" xfId="32620" xr:uid="{00000000-0005-0000-0000-00006A7F0000}"/>
    <cellStyle name="Normal 5 10 2 4 5 5" xfId="32621" xr:uid="{00000000-0005-0000-0000-00006B7F0000}"/>
    <cellStyle name="Normal 5 10 2 4 5 6" xfId="32622" xr:uid="{00000000-0005-0000-0000-00006C7F0000}"/>
    <cellStyle name="Normal 5 10 2 4 5 7" xfId="32623" xr:uid="{00000000-0005-0000-0000-00006D7F0000}"/>
    <cellStyle name="Normal 5 10 2 4 5 8" xfId="32624" xr:uid="{00000000-0005-0000-0000-00006E7F0000}"/>
    <cellStyle name="Normal 5 10 2 4 5 9" xfId="32625" xr:uid="{00000000-0005-0000-0000-00006F7F0000}"/>
    <cellStyle name="Normal 5 10 2 4 6" xfId="32626" xr:uid="{00000000-0005-0000-0000-0000707F0000}"/>
    <cellStyle name="Normal 5 10 2 4 7" xfId="32627" xr:uid="{00000000-0005-0000-0000-0000717F0000}"/>
    <cellStyle name="Normal 5 10 2 4 8" xfId="32628" xr:uid="{00000000-0005-0000-0000-0000727F0000}"/>
    <cellStyle name="Normal 5 10 2 4 9" xfId="32629" xr:uid="{00000000-0005-0000-0000-0000737F0000}"/>
    <cellStyle name="Normal 5 10 2 40" xfId="32630" xr:uid="{00000000-0005-0000-0000-0000747F0000}"/>
    <cellStyle name="Normal 5 10 2 41" xfId="32631" xr:uid="{00000000-0005-0000-0000-0000757F0000}"/>
    <cellStyle name="Normal 5 10 2 42" xfId="32632" xr:uid="{00000000-0005-0000-0000-0000767F0000}"/>
    <cellStyle name="Normal 5 10 2 43" xfId="32633" xr:uid="{00000000-0005-0000-0000-0000777F0000}"/>
    <cellStyle name="Normal 5 10 2 44" xfId="32634" xr:uid="{00000000-0005-0000-0000-0000787F0000}"/>
    <cellStyle name="Normal 5 10 2 45" xfId="32635" xr:uid="{00000000-0005-0000-0000-0000797F0000}"/>
    <cellStyle name="Normal 5 10 2 46" xfId="32636" xr:uid="{00000000-0005-0000-0000-00007A7F0000}"/>
    <cellStyle name="Normal 5 10 2 47" xfId="32637" xr:uid="{00000000-0005-0000-0000-00007B7F0000}"/>
    <cellStyle name="Normal 5 10 2 48" xfId="32638" xr:uid="{00000000-0005-0000-0000-00007C7F0000}"/>
    <cellStyle name="Normal 5 10 2 5" xfId="32639" xr:uid="{00000000-0005-0000-0000-00007D7F0000}"/>
    <cellStyle name="Normal 5 10 2 5 10" xfId="32640" xr:uid="{00000000-0005-0000-0000-00007E7F0000}"/>
    <cellStyle name="Normal 5 10 2 5 11" xfId="32641" xr:uid="{00000000-0005-0000-0000-00007F7F0000}"/>
    <cellStyle name="Normal 5 10 2 5 12" xfId="32642" xr:uid="{00000000-0005-0000-0000-0000807F0000}"/>
    <cellStyle name="Normal 5 10 2 5 13" xfId="32643" xr:uid="{00000000-0005-0000-0000-0000817F0000}"/>
    <cellStyle name="Normal 5 10 2 5 14" xfId="32644" xr:uid="{00000000-0005-0000-0000-0000827F0000}"/>
    <cellStyle name="Normal 5 10 2 5 2" xfId="32645" xr:uid="{00000000-0005-0000-0000-0000837F0000}"/>
    <cellStyle name="Normal 5 10 2 5 2 10" xfId="32646" xr:uid="{00000000-0005-0000-0000-0000847F0000}"/>
    <cellStyle name="Normal 5 10 2 5 2 2" xfId="32647" xr:uid="{00000000-0005-0000-0000-0000857F0000}"/>
    <cellStyle name="Normal 5 10 2 5 2 3" xfId="32648" xr:uid="{00000000-0005-0000-0000-0000867F0000}"/>
    <cellStyle name="Normal 5 10 2 5 2 4" xfId="32649" xr:uid="{00000000-0005-0000-0000-0000877F0000}"/>
    <cellStyle name="Normal 5 10 2 5 2 5" xfId="32650" xr:uid="{00000000-0005-0000-0000-0000887F0000}"/>
    <cellStyle name="Normal 5 10 2 5 2 6" xfId="32651" xr:uid="{00000000-0005-0000-0000-0000897F0000}"/>
    <cellStyle name="Normal 5 10 2 5 2 7" xfId="32652" xr:uid="{00000000-0005-0000-0000-00008A7F0000}"/>
    <cellStyle name="Normal 5 10 2 5 2 8" xfId="32653" xr:uid="{00000000-0005-0000-0000-00008B7F0000}"/>
    <cellStyle name="Normal 5 10 2 5 2 9" xfId="32654" xr:uid="{00000000-0005-0000-0000-00008C7F0000}"/>
    <cellStyle name="Normal 5 10 2 5 3" xfId="32655" xr:uid="{00000000-0005-0000-0000-00008D7F0000}"/>
    <cellStyle name="Normal 5 10 2 5 3 10" xfId="32656" xr:uid="{00000000-0005-0000-0000-00008E7F0000}"/>
    <cellStyle name="Normal 5 10 2 5 3 2" xfId="32657" xr:uid="{00000000-0005-0000-0000-00008F7F0000}"/>
    <cellStyle name="Normal 5 10 2 5 3 3" xfId="32658" xr:uid="{00000000-0005-0000-0000-0000907F0000}"/>
    <cellStyle name="Normal 5 10 2 5 3 4" xfId="32659" xr:uid="{00000000-0005-0000-0000-0000917F0000}"/>
    <cellStyle name="Normal 5 10 2 5 3 5" xfId="32660" xr:uid="{00000000-0005-0000-0000-0000927F0000}"/>
    <cellStyle name="Normal 5 10 2 5 3 6" xfId="32661" xr:uid="{00000000-0005-0000-0000-0000937F0000}"/>
    <cellStyle name="Normal 5 10 2 5 3 7" xfId="32662" xr:uid="{00000000-0005-0000-0000-0000947F0000}"/>
    <cellStyle name="Normal 5 10 2 5 3 8" xfId="32663" xr:uid="{00000000-0005-0000-0000-0000957F0000}"/>
    <cellStyle name="Normal 5 10 2 5 3 9" xfId="32664" xr:uid="{00000000-0005-0000-0000-0000967F0000}"/>
    <cellStyle name="Normal 5 10 2 5 4" xfId="32665" xr:uid="{00000000-0005-0000-0000-0000977F0000}"/>
    <cellStyle name="Normal 5 10 2 5 4 10" xfId="32666" xr:uid="{00000000-0005-0000-0000-0000987F0000}"/>
    <cellStyle name="Normal 5 10 2 5 4 2" xfId="32667" xr:uid="{00000000-0005-0000-0000-0000997F0000}"/>
    <cellStyle name="Normal 5 10 2 5 4 3" xfId="32668" xr:uid="{00000000-0005-0000-0000-00009A7F0000}"/>
    <cellStyle name="Normal 5 10 2 5 4 4" xfId="32669" xr:uid="{00000000-0005-0000-0000-00009B7F0000}"/>
    <cellStyle name="Normal 5 10 2 5 4 5" xfId="32670" xr:uid="{00000000-0005-0000-0000-00009C7F0000}"/>
    <cellStyle name="Normal 5 10 2 5 4 6" xfId="32671" xr:uid="{00000000-0005-0000-0000-00009D7F0000}"/>
    <cellStyle name="Normal 5 10 2 5 4 7" xfId="32672" xr:uid="{00000000-0005-0000-0000-00009E7F0000}"/>
    <cellStyle name="Normal 5 10 2 5 4 8" xfId="32673" xr:uid="{00000000-0005-0000-0000-00009F7F0000}"/>
    <cellStyle name="Normal 5 10 2 5 4 9" xfId="32674" xr:uid="{00000000-0005-0000-0000-0000A07F0000}"/>
    <cellStyle name="Normal 5 10 2 5 5" xfId="32675" xr:uid="{00000000-0005-0000-0000-0000A17F0000}"/>
    <cellStyle name="Normal 5 10 2 5 5 10" xfId="32676" xr:uid="{00000000-0005-0000-0000-0000A27F0000}"/>
    <cellStyle name="Normal 5 10 2 5 5 2" xfId="32677" xr:uid="{00000000-0005-0000-0000-0000A37F0000}"/>
    <cellStyle name="Normal 5 10 2 5 5 3" xfId="32678" xr:uid="{00000000-0005-0000-0000-0000A47F0000}"/>
    <cellStyle name="Normal 5 10 2 5 5 4" xfId="32679" xr:uid="{00000000-0005-0000-0000-0000A57F0000}"/>
    <cellStyle name="Normal 5 10 2 5 5 5" xfId="32680" xr:uid="{00000000-0005-0000-0000-0000A67F0000}"/>
    <cellStyle name="Normal 5 10 2 5 5 6" xfId="32681" xr:uid="{00000000-0005-0000-0000-0000A77F0000}"/>
    <cellStyle name="Normal 5 10 2 5 5 7" xfId="32682" xr:uid="{00000000-0005-0000-0000-0000A87F0000}"/>
    <cellStyle name="Normal 5 10 2 5 5 8" xfId="32683" xr:uid="{00000000-0005-0000-0000-0000A97F0000}"/>
    <cellStyle name="Normal 5 10 2 5 5 9" xfId="32684" xr:uid="{00000000-0005-0000-0000-0000AA7F0000}"/>
    <cellStyle name="Normal 5 10 2 5 6" xfId="32685" xr:uid="{00000000-0005-0000-0000-0000AB7F0000}"/>
    <cellStyle name="Normal 5 10 2 5 7" xfId="32686" xr:uid="{00000000-0005-0000-0000-0000AC7F0000}"/>
    <cellStyle name="Normal 5 10 2 5 8" xfId="32687" xr:uid="{00000000-0005-0000-0000-0000AD7F0000}"/>
    <cellStyle name="Normal 5 10 2 5 9" xfId="32688" xr:uid="{00000000-0005-0000-0000-0000AE7F0000}"/>
    <cellStyle name="Normal 5 10 2 6" xfId="32689" xr:uid="{00000000-0005-0000-0000-0000AF7F0000}"/>
    <cellStyle name="Normal 5 10 2 6 10" xfId="32690" xr:uid="{00000000-0005-0000-0000-0000B07F0000}"/>
    <cellStyle name="Normal 5 10 2 6 11" xfId="32691" xr:uid="{00000000-0005-0000-0000-0000B17F0000}"/>
    <cellStyle name="Normal 5 10 2 6 12" xfId="32692" xr:uid="{00000000-0005-0000-0000-0000B27F0000}"/>
    <cellStyle name="Normal 5 10 2 6 13" xfId="32693" xr:uid="{00000000-0005-0000-0000-0000B37F0000}"/>
    <cellStyle name="Normal 5 10 2 6 14" xfId="32694" xr:uid="{00000000-0005-0000-0000-0000B47F0000}"/>
    <cellStyle name="Normal 5 10 2 6 2" xfId="32695" xr:uid="{00000000-0005-0000-0000-0000B57F0000}"/>
    <cellStyle name="Normal 5 10 2 6 2 10" xfId="32696" xr:uid="{00000000-0005-0000-0000-0000B67F0000}"/>
    <cellStyle name="Normal 5 10 2 6 2 2" xfId="32697" xr:uid="{00000000-0005-0000-0000-0000B77F0000}"/>
    <cellStyle name="Normal 5 10 2 6 2 3" xfId="32698" xr:uid="{00000000-0005-0000-0000-0000B87F0000}"/>
    <cellStyle name="Normal 5 10 2 6 2 4" xfId="32699" xr:uid="{00000000-0005-0000-0000-0000B97F0000}"/>
    <cellStyle name="Normal 5 10 2 6 2 5" xfId="32700" xr:uid="{00000000-0005-0000-0000-0000BA7F0000}"/>
    <cellStyle name="Normal 5 10 2 6 2 6" xfId="32701" xr:uid="{00000000-0005-0000-0000-0000BB7F0000}"/>
    <cellStyle name="Normal 5 10 2 6 2 7" xfId="32702" xr:uid="{00000000-0005-0000-0000-0000BC7F0000}"/>
    <cellStyle name="Normal 5 10 2 6 2 8" xfId="32703" xr:uid="{00000000-0005-0000-0000-0000BD7F0000}"/>
    <cellStyle name="Normal 5 10 2 6 2 9" xfId="32704" xr:uid="{00000000-0005-0000-0000-0000BE7F0000}"/>
    <cellStyle name="Normal 5 10 2 6 3" xfId="32705" xr:uid="{00000000-0005-0000-0000-0000BF7F0000}"/>
    <cellStyle name="Normal 5 10 2 6 3 10" xfId="32706" xr:uid="{00000000-0005-0000-0000-0000C07F0000}"/>
    <cellStyle name="Normal 5 10 2 6 3 2" xfId="32707" xr:uid="{00000000-0005-0000-0000-0000C17F0000}"/>
    <cellStyle name="Normal 5 10 2 6 3 3" xfId="32708" xr:uid="{00000000-0005-0000-0000-0000C27F0000}"/>
    <cellStyle name="Normal 5 10 2 6 3 4" xfId="32709" xr:uid="{00000000-0005-0000-0000-0000C37F0000}"/>
    <cellStyle name="Normal 5 10 2 6 3 5" xfId="32710" xr:uid="{00000000-0005-0000-0000-0000C47F0000}"/>
    <cellStyle name="Normal 5 10 2 6 3 6" xfId="32711" xr:uid="{00000000-0005-0000-0000-0000C57F0000}"/>
    <cellStyle name="Normal 5 10 2 6 3 7" xfId="32712" xr:uid="{00000000-0005-0000-0000-0000C67F0000}"/>
    <cellStyle name="Normal 5 10 2 6 3 8" xfId="32713" xr:uid="{00000000-0005-0000-0000-0000C77F0000}"/>
    <cellStyle name="Normal 5 10 2 6 3 9" xfId="32714" xr:uid="{00000000-0005-0000-0000-0000C87F0000}"/>
    <cellStyle name="Normal 5 10 2 6 4" xfId="32715" xr:uid="{00000000-0005-0000-0000-0000C97F0000}"/>
    <cellStyle name="Normal 5 10 2 6 4 10" xfId="32716" xr:uid="{00000000-0005-0000-0000-0000CA7F0000}"/>
    <cellStyle name="Normal 5 10 2 6 4 2" xfId="32717" xr:uid="{00000000-0005-0000-0000-0000CB7F0000}"/>
    <cellStyle name="Normal 5 10 2 6 4 3" xfId="32718" xr:uid="{00000000-0005-0000-0000-0000CC7F0000}"/>
    <cellStyle name="Normal 5 10 2 6 4 4" xfId="32719" xr:uid="{00000000-0005-0000-0000-0000CD7F0000}"/>
    <cellStyle name="Normal 5 10 2 6 4 5" xfId="32720" xr:uid="{00000000-0005-0000-0000-0000CE7F0000}"/>
    <cellStyle name="Normal 5 10 2 6 4 6" xfId="32721" xr:uid="{00000000-0005-0000-0000-0000CF7F0000}"/>
    <cellStyle name="Normal 5 10 2 6 4 7" xfId="32722" xr:uid="{00000000-0005-0000-0000-0000D07F0000}"/>
    <cellStyle name="Normal 5 10 2 6 4 8" xfId="32723" xr:uid="{00000000-0005-0000-0000-0000D17F0000}"/>
    <cellStyle name="Normal 5 10 2 6 4 9" xfId="32724" xr:uid="{00000000-0005-0000-0000-0000D27F0000}"/>
    <cellStyle name="Normal 5 10 2 6 5" xfId="32725" xr:uid="{00000000-0005-0000-0000-0000D37F0000}"/>
    <cellStyle name="Normal 5 10 2 6 5 10" xfId="32726" xr:uid="{00000000-0005-0000-0000-0000D47F0000}"/>
    <cellStyle name="Normal 5 10 2 6 5 2" xfId="32727" xr:uid="{00000000-0005-0000-0000-0000D57F0000}"/>
    <cellStyle name="Normal 5 10 2 6 5 3" xfId="32728" xr:uid="{00000000-0005-0000-0000-0000D67F0000}"/>
    <cellStyle name="Normal 5 10 2 6 5 4" xfId="32729" xr:uid="{00000000-0005-0000-0000-0000D77F0000}"/>
    <cellStyle name="Normal 5 10 2 6 5 5" xfId="32730" xr:uid="{00000000-0005-0000-0000-0000D87F0000}"/>
    <cellStyle name="Normal 5 10 2 6 5 6" xfId="32731" xr:uid="{00000000-0005-0000-0000-0000D97F0000}"/>
    <cellStyle name="Normal 5 10 2 6 5 7" xfId="32732" xr:uid="{00000000-0005-0000-0000-0000DA7F0000}"/>
    <cellStyle name="Normal 5 10 2 6 5 8" xfId="32733" xr:uid="{00000000-0005-0000-0000-0000DB7F0000}"/>
    <cellStyle name="Normal 5 10 2 6 5 9" xfId="32734" xr:uid="{00000000-0005-0000-0000-0000DC7F0000}"/>
    <cellStyle name="Normal 5 10 2 6 6" xfId="32735" xr:uid="{00000000-0005-0000-0000-0000DD7F0000}"/>
    <cellStyle name="Normal 5 10 2 6 7" xfId="32736" xr:uid="{00000000-0005-0000-0000-0000DE7F0000}"/>
    <cellStyle name="Normal 5 10 2 6 8" xfId="32737" xr:uid="{00000000-0005-0000-0000-0000DF7F0000}"/>
    <cellStyle name="Normal 5 10 2 6 9" xfId="32738" xr:uid="{00000000-0005-0000-0000-0000E07F0000}"/>
    <cellStyle name="Normal 5 10 2 7" xfId="32739" xr:uid="{00000000-0005-0000-0000-0000E17F0000}"/>
    <cellStyle name="Normal 5 10 2 7 10" xfId="32740" xr:uid="{00000000-0005-0000-0000-0000E27F0000}"/>
    <cellStyle name="Normal 5 10 2 7 11" xfId="32741" xr:uid="{00000000-0005-0000-0000-0000E37F0000}"/>
    <cellStyle name="Normal 5 10 2 7 12" xfId="32742" xr:uid="{00000000-0005-0000-0000-0000E47F0000}"/>
    <cellStyle name="Normal 5 10 2 7 13" xfId="32743" xr:uid="{00000000-0005-0000-0000-0000E57F0000}"/>
    <cellStyle name="Normal 5 10 2 7 14" xfId="32744" xr:uid="{00000000-0005-0000-0000-0000E67F0000}"/>
    <cellStyle name="Normal 5 10 2 7 2" xfId="32745" xr:uid="{00000000-0005-0000-0000-0000E77F0000}"/>
    <cellStyle name="Normal 5 10 2 7 2 10" xfId="32746" xr:uid="{00000000-0005-0000-0000-0000E87F0000}"/>
    <cellStyle name="Normal 5 10 2 7 2 2" xfId="32747" xr:uid="{00000000-0005-0000-0000-0000E97F0000}"/>
    <cellStyle name="Normal 5 10 2 7 2 3" xfId="32748" xr:uid="{00000000-0005-0000-0000-0000EA7F0000}"/>
    <cellStyle name="Normal 5 10 2 7 2 4" xfId="32749" xr:uid="{00000000-0005-0000-0000-0000EB7F0000}"/>
    <cellStyle name="Normal 5 10 2 7 2 5" xfId="32750" xr:uid="{00000000-0005-0000-0000-0000EC7F0000}"/>
    <cellStyle name="Normal 5 10 2 7 2 6" xfId="32751" xr:uid="{00000000-0005-0000-0000-0000ED7F0000}"/>
    <cellStyle name="Normal 5 10 2 7 2 7" xfId="32752" xr:uid="{00000000-0005-0000-0000-0000EE7F0000}"/>
    <cellStyle name="Normal 5 10 2 7 2 8" xfId="32753" xr:uid="{00000000-0005-0000-0000-0000EF7F0000}"/>
    <cellStyle name="Normal 5 10 2 7 2 9" xfId="32754" xr:uid="{00000000-0005-0000-0000-0000F07F0000}"/>
    <cellStyle name="Normal 5 10 2 7 3" xfId="32755" xr:uid="{00000000-0005-0000-0000-0000F17F0000}"/>
    <cellStyle name="Normal 5 10 2 7 3 10" xfId="32756" xr:uid="{00000000-0005-0000-0000-0000F27F0000}"/>
    <cellStyle name="Normal 5 10 2 7 3 2" xfId="32757" xr:uid="{00000000-0005-0000-0000-0000F37F0000}"/>
    <cellStyle name="Normal 5 10 2 7 3 3" xfId="32758" xr:uid="{00000000-0005-0000-0000-0000F47F0000}"/>
    <cellStyle name="Normal 5 10 2 7 3 4" xfId="32759" xr:uid="{00000000-0005-0000-0000-0000F57F0000}"/>
    <cellStyle name="Normal 5 10 2 7 3 5" xfId="32760" xr:uid="{00000000-0005-0000-0000-0000F67F0000}"/>
    <cellStyle name="Normal 5 10 2 7 3 6" xfId="32761" xr:uid="{00000000-0005-0000-0000-0000F77F0000}"/>
    <cellStyle name="Normal 5 10 2 7 3 7" xfId="32762" xr:uid="{00000000-0005-0000-0000-0000F87F0000}"/>
    <cellStyle name="Normal 5 10 2 7 3 8" xfId="32763" xr:uid="{00000000-0005-0000-0000-0000F97F0000}"/>
    <cellStyle name="Normal 5 10 2 7 3 9" xfId="32764" xr:uid="{00000000-0005-0000-0000-0000FA7F0000}"/>
    <cellStyle name="Normal 5 10 2 7 4" xfId="32765" xr:uid="{00000000-0005-0000-0000-0000FB7F0000}"/>
    <cellStyle name="Normal 5 10 2 7 4 10" xfId="32766" xr:uid="{00000000-0005-0000-0000-0000FC7F0000}"/>
    <cellStyle name="Normal 5 10 2 7 4 2" xfId="32767" xr:uid="{00000000-0005-0000-0000-0000FD7F0000}"/>
    <cellStyle name="Normal 5 10 2 7 4 3" xfId="32768" xr:uid="{00000000-0005-0000-0000-0000FE7F0000}"/>
    <cellStyle name="Normal 5 10 2 7 4 4" xfId="32769" xr:uid="{00000000-0005-0000-0000-0000FF7F0000}"/>
    <cellStyle name="Normal 5 10 2 7 4 5" xfId="32770" xr:uid="{00000000-0005-0000-0000-000000800000}"/>
    <cellStyle name="Normal 5 10 2 7 4 6" xfId="32771" xr:uid="{00000000-0005-0000-0000-000001800000}"/>
    <cellStyle name="Normal 5 10 2 7 4 7" xfId="32772" xr:uid="{00000000-0005-0000-0000-000002800000}"/>
    <cellStyle name="Normal 5 10 2 7 4 8" xfId="32773" xr:uid="{00000000-0005-0000-0000-000003800000}"/>
    <cellStyle name="Normal 5 10 2 7 4 9" xfId="32774" xr:uid="{00000000-0005-0000-0000-000004800000}"/>
    <cellStyle name="Normal 5 10 2 7 5" xfId="32775" xr:uid="{00000000-0005-0000-0000-000005800000}"/>
    <cellStyle name="Normal 5 10 2 7 5 10" xfId="32776" xr:uid="{00000000-0005-0000-0000-000006800000}"/>
    <cellStyle name="Normal 5 10 2 7 5 2" xfId="32777" xr:uid="{00000000-0005-0000-0000-000007800000}"/>
    <cellStyle name="Normal 5 10 2 7 5 3" xfId="32778" xr:uid="{00000000-0005-0000-0000-000008800000}"/>
    <cellStyle name="Normal 5 10 2 7 5 4" xfId="32779" xr:uid="{00000000-0005-0000-0000-000009800000}"/>
    <cellStyle name="Normal 5 10 2 7 5 5" xfId="32780" xr:uid="{00000000-0005-0000-0000-00000A800000}"/>
    <cellStyle name="Normal 5 10 2 7 5 6" xfId="32781" xr:uid="{00000000-0005-0000-0000-00000B800000}"/>
    <cellStyle name="Normal 5 10 2 7 5 7" xfId="32782" xr:uid="{00000000-0005-0000-0000-00000C800000}"/>
    <cellStyle name="Normal 5 10 2 7 5 8" xfId="32783" xr:uid="{00000000-0005-0000-0000-00000D800000}"/>
    <cellStyle name="Normal 5 10 2 7 5 9" xfId="32784" xr:uid="{00000000-0005-0000-0000-00000E800000}"/>
    <cellStyle name="Normal 5 10 2 7 6" xfId="32785" xr:uid="{00000000-0005-0000-0000-00000F800000}"/>
    <cellStyle name="Normal 5 10 2 7 7" xfId="32786" xr:uid="{00000000-0005-0000-0000-000010800000}"/>
    <cellStyle name="Normal 5 10 2 7 8" xfId="32787" xr:uid="{00000000-0005-0000-0000-000011800000}"/>
    <cellStyle name="Normal 5 10 2 7 9" xfId="32788" xr:uid="{00000000-0005-0000-0000-000012800000}"/>
    <cellStyle name="Normal 5 10 2 8" xfId="32789" xr:uid="{00000000-0005-0000-0000-000013800000}"/>
    <cellStyle name="Normal 5 10 2 8 10" xfId="32790" xr:uid="{00000000-0005-0000-0000-000014800000}"/>
    <cellStyle name="Normal 5 10 2 8 11" xfId="32791" xr:uid="{00000000-0005-0000-0000-000015800000}"/>
    <cellStyle name="Normal 5 10 2 8 12" xfId="32792" xr:uid="{00000000-0005-0000-0000-000016800000}"/>
    <cellStyle name="Normal 5 10 2 8 13" xfId="32793" xr:uid="{00000000-0005-0000-0000-000017800000}"/>
    <cellStyle name="Normal 5 10 2 8 14" xfId="32794" xr:uid="{00000000-0005-0000-0000-000018800000}"/>
    <cellStyle name="Normal 5 10 2 8 2" xfId="32795" xr:uid="{00000000-0005-0000-0000-000019800000}"/>
    <cellStyle name="Normal 5 10 2 8 2 10" xfId="32796" xr:uid="{00000000-0005-0000-0000-00001A800000}"/>
    <cellStyle name="Normal 5 10 2 8 2 2" xfId="32797" xr:uid="{00000000-0005-0000-0000-00001B800000}"/>
    <cellStyle name="Normal 5 10 2 8 2 3" xfId="32798" xr:uid="{00000000-0005-0000-0000-00001C800000}"/>
    <cellStyle name="Normal 5 10 2 8 2 4" xfId="32799" xr:uid="{00000000-0005-0000-0000-00001D800000}"/>
    <cellStyle name="Normal 5 10 2 8 2 5" xfId="32800" xr:uid="{00000000-0005-0000-0000-00001E800000}"/>
    <cellStyle name="Normal 5 10 2 8 2 6" xfId="32801" xr:uid="{00000000-0005-0000-0000-00001F800000}"/>
    <cellStyle name="Normal 5 10 2 8 2 7" xfId="32802" xr:uid="{00000000-0005-0000-0000-000020800000}"/>
    <cellStyle name="Normal 5 10 2 8 2 8" xfId="32803" xr:uid="{00000000-0005-0000-0000-000021800000}"/>
    <cellStyle name="Normal 5 10 2 8 2 9" xfId="32804" xr:uid="{00000000-0005-0000-0000-000022800000}"/>
    <cellStyle name="Normal 5 10 2 8 3" xfId="32805" xr:uid="{00000000-0005-0000-0000-000023800000}"/>
    <cellStyle name="Normal 5 10 2 8 3 10" xfId="32806" xr:uid="{00000000-0005-0000-0000-000024800000}"/>
    <cellStyle name="Normal 5 10 2 8 3 2" xfId="32807" xr:uid="{00000000-0005-0000-0000-000025800000}"/>
    <cellStyle name="Normal 5 10 2 8 3 3" xfId="32808" xr:uid="{00000000-0005-0000-0000-000026800000}"/>
    <cellStyle name="Normal 5 10 2 8 3 4" xfId="32809" xr:uid="{00000000-0005-0000-0000-000027800000}"/>
    <cellStyle name="Normal 5 10 2 8 3 5" xfId="32810" xr:uid="{00000000-0005-0000-0000-000028800000}"/>
    <cellStyle name="Normal 5 10 2 8 3 6" xfId="32811" xr:uid="{00000000-0005-0000-0000-000029800000}"/>
    <cellStyle name="Normal 5 10 2 8 3 7" xfId="32812" xr:uid="{00000000-0005-0000-0000-00002A800000}"/>
    <cellStyle name="Normal 5 10 2 8 3 8" xfId="32813" xr:uid="{00000000-0005-0000-0000-00002B800000}"/>
    <cellStyle name="Normal 5 10 2 8 3 9" xfId="32814" xr:uid="{00000000-0005-0000-0000-00002C800000}"/>
    <cellStyle name="Normal 5 10 2 8 4" xfId="32815" xr:uid="{00000000-0005-0000-0000-00002D800000}"/>
    <cellStyle name="Normal 5 10 2 8 4 10" xfId="32816" xr:uid="{00000000-0005-0000-0000-00002E800000}"/>
    <cellStyle name="Normal 5 10 2 8 4 2" xfId="32817" xr:uid="{00000000-0005-0000-0000-00002F800000}"/>
    <cellStyle name="Normal 5 10 2 8 4 3" xfId="32818" xr:uid="{00000000-0005-0000-0000-000030800000}"/>
    <cellStyle name="Normal 5 10 2 8 4 4" xfId="32819" xr:uid="{00000000-0005-0000-0000-000031800000}"/>
    <cellStyle name="Normal 5 10 2 8 4 5" xfId="32820" xr:uid="{00000000-0005-0000-0000-000032800000}"/>
    <cellStyle name="Normal 5 10 2 8 4 6" xfId="32821" xr:uid="{00000000-0005-0000-0000-000033800000}"/>
    <cellStyle name="Normal 5 10 2 8 4 7" xfId="32822" xr:uid="{00000000-0005-0000-0000-000034800000}"/>
    <cellStyle name="Normal 5 10 2 8 4 8" xfId="32823" xr:uid="{00000000-0005-0000-0000-000035800000}"/>
    <cellStyle name="Normal 5 10 2 8 4 9" xfId="32824" xr:uid="{00000000-0005-0000-0000-000036800000}"/>
    <cellStyle name="Normal 5 10 2 8 5" xfId="32825" xr:uid="{00000000-0005-0000-0000-000037800000}"/>
    <cellStyle name="Normal 5 10 2 8 5 10" xfId="32826" xr:uid="{00000000-0005-0000-0000-000038800000}"/>
    <cellStyle name="Normal 5 10 2 8 5 2" xfId="32827" xr:uid="{00000000-0005-0000-0000-000039800000}"/>
    <cellStyle name="Normal 5 10 2 8 5 3" xfId="32828" xr:uid="{00000000-0005-0000-0000-00003A800000}"/>
    <cellStyle name="Normal 5 10 2 8 5 4" xfId="32829" xr:uid="{00000000-0005-0000-0000-00003B800000}"/>
    <cellStyle name="Normal 5 10 2 8 5 5" xfId="32830" xr:uid="{00000000-0005-0000-0000-00003C800000}"/>
    <cellStyle name="Normal 5 10 2 8 5 6" xfId="32831" xr:uid="{00000000-0005-0000-0000-00003D800000}"/>
    <cellStyle name="Normal 5 10 2 8 5 7" xfId="32832" xr:uid="{00000000-0005-0000-0000-00003E800000}"/>
    <cellStyle name="Normal 5 10 2 8 5 8" xfId="32833" xr:uid="{00000000-0005-0000-0000-00003F800000}"/>
    <cellStyle name="Normal 5 10 2 8 5 9" xfId="32834" xr:uid="{00000000-0005-0000-0000-000040800000}"/>
    <cellStyle name="Normal 5 10 2 8 6" xfId="32835" xr:uid="{00000000-0005-0000-0000-000041800000}"/>
    <cellStyle name="Normal 5 10 2 8 7" xfId="32836" xr:uid="{00000000-0005-0000-0000-000042800000}"/>
    <cellStyle name="Normal 5 10 2 8 8" xfId="32837" xr:uid="{00000000-0005-0000-0000-000043800000}"/>
    <cellStyle name="Normal 5 10 2 8 9" xfId="32838" xr:uid="{00000000-0005-0000-0000-000044800000}"/>
    <cellStyle name="Normal 5 10 2 9" xfId="32839" xr:uid="{00000000-0005-0000-0000-000045800000}"/>
    <cellStyle name="Normal 5 10 2 9 10" xfId="32840" xr:uid="{00000000-0005-0000-0000-000046800000}"/>
    <cellStyle name="Normal 5 10 2 9 11" xfId="32841" xr:uid="{00000000-0005-0000-0000-000047800000}"/>
    <cellStyle name="Normal 5 10 2 9 12" xfId="32842" xr:uid="{00000000-0005-0000-0000-000048800000}"/>
    <cellStyle name="Normal 5 10 2 9 13" xfId="32843" xr:uid="{00000000-0005-0000-0000-000049800000}"/>
    <cellStyle name="Normal 5 10 2 9 14" xfId="32844" xr:uid="{00000000-0005-0000-0000-00004A800000}"/>
    <cellStyle name="Normal 5 10 2 9 2" xfId="32845" xr:uid="{00000000-0005-0000-0000-00004B800000}"/>
    <cellStyle name="Normal 5 10 2 9 2 10" xfId="32846" xr:uid="{00000000-0005-0000-0000-00004C800000}"/>
    <cellStyle name="Normal 5 10 2 9 2 2" xfId="32847" xr:uid="{00000000-0005-0000-0000-00004D800000}"/>
    <cellStyle name="Normal 5 10 2 9 2 3" xfId="32848" xr:uid="{00000000-0005-0000-0000-00004E800000}"/>
    <cellStyle name="Normal 5 10 2 9 2 4" xfId="32849" xr:uid="{00000000-0005-0000-0000-00004F800000}"/>
    <cellStyle name="Normal 5 10 2 9 2 5" xfId="32850" xr:uid="{00000000-0005-0000-0000-000050800000}"/>
    <cellStyle name="Normal 5 10 2 9 2 6" xfId="32851" xr:uid="{00000000-0005-0000-0000-000051800000}"/>
    <cellStyle name="Normal 5 10 2 9 2 7" xfId="32852" xr:uid="{00000000-0005-0000-0000-000052800000}"/>
    <cellStyle name="Normal 5 10 2 9 2 8" xfId="32853" xr:uid="{00000000-0005-0000-0000-000053800000}"/>
    <cellStyle name="Normal 5 10 2 9 2 9" xfId="32854" xr:uid="{00000000-0005-0000-0000-000054800000}"/>
    <cellStyle name="Normal 5 10 2 9 3" xfId="32855" xr:uid="{00000000-0005-0000-0000-000055800000}"/>
    <cellStyle name="Normal 5 10 2 9 3 10" xfId="32856" xr:uid="{00000000-0005-0000-0000-000056800000}"/>
    <cellStyle name="Normal 5 10 2 9 3 2" xfId="32857" xr:uid="{00000000-0005-0000-0000-000057800000}"/>
    <cellStyle name="Normal 5 10 2 9 3 3" xfId="32858" xr:uid="{00000000-0005-0000-0000-000058800000}"/>
    <cellStyle name="Normal 5 10 2 9 3 4" xfId="32859" xr:uid="{00000000-0005-0000-0000-000059800000}"/>
    <cellStyle name="Normal 5 10 2 9 3 5" xfId="32860" xr:uid="{00000000-0005-0000-0000-00005A800000}"/>
    <cellStyle name="Normal 5 10 2 9 3 6" xfId="32861" xr:uid="{00000000-0005-0000-0000-00005B800000}"/>
    <cellStyle name="Normal 5 10 2 9 3 7" xfId="32862" xr:uid="{00000000-0005-0000-0000-00005C800000}"/>
    <cellStyle name="Normal 5 10 2 9 3 8" xfId="32863" xr:uid="{00000000-0005-0000-0000-00005D800000}"/>
    <cellStyle name="Normal 5 10 2 9 3 9" xfId="32864" xr:uid="{00000000-0005-0000-0000-00005E800000}"/>
    <cellStyle name="Normal 5 10 2 9 4" xfId="32865" xr:uid="{00000000-0005-0000-0000-00005F800000}"/>
    <cellStyle name="Normal 5 10 2 9 4 10" xfId="32866" xr:uid="{00000000-0005-0000-0000-000060800000}"/>
    <cellStyle name="Normal 5 10 2 9 4 2" xfId="32867" xr:uid="{00000000-0005-0000-0000-000061800000}"/>
    <cellStyle name="Normal 5 10 2 9 4 3" xfId="32868" xr:uid="{00000000-0005-0000-0000-000062800000}"/>
    <cellStyle name="Normal 5 10 2 9 4 4" xfId="32869" xr:uid="{00000000-0005-0000-0000-000063800000}"/>
    <cellStyle name="Normal 5 10 2 9 4 5" xfId="32870" xr:uid="{00000000-0005-0000-0000-000064800000}"/>
    <cellStyle name="Normal 5 10 2 9 4 6" xfId="32871" xr:uid="{00000000-0005-0000-0000-000065800000}"/>
    <cellStyle name="Normal 5 10 2 9 4 7" xfId="32872" xr:uid="{00000000-0005-0000-0000-000066800000}"/>
    <cellStyle name="Normal 5 10 2 9 4 8" xfId="32873" xr:uid="{00000000-0005-0000-0000-000067800000}"/>
    <cellStyle name="Normal 5 10 2 9 4 9" xfId="32874" xr:uid="{00000000-0005-0000-0000-000068800000}"/>
    <cellStyle name="Normal 5 10 2 9 5" xfId="32875" xr:uid="{00000000-0005-0000-0000-000069800000}"/>
    <cellStyle name="Normal 5 10 2 9 5 10" xfId="32876" xr:uid="{00000000-0005-0000-0000-00006A800000}"/>
    <cellStyle name="Normal 5 10 2 9 5 2" xfId="32877" xr:uid="{00000000-0005-0000-0000-00006B800000}"/>
    <cellStyle name="Normal 5 10 2 9 5 3" xfId="32878" xr:uid="{00000000-0005-0000-0000-00006C800000}"/>
    <cellStyle name="Normal 5 10 2 9 5 4" xfId="32879" xr:uid="{00000000-0005-0000-0000-00006D800000}"/>
    <cellStyle name="Normal 5 10 2 9 5 5" xfId="32880" xr:uid="{00000000-0005-0000-0000-00006E800000}"/>
    <cellStyle name="Normal 5 10 2 9 5 6" xfId="32881" xr:uid="{00000000-0005-0000-0000-00006F800000}"/>
    <cellStyle name="Normal 5 10 2 9 5 7" xfId="32882" xr:uid="{00000000-0005-0000-0000-000070800000}"/>
    <cellStyle name="Normal 5 10 2 9 5 8" xfId="32883" xr:uid="{00000000-0005-0000-0000-000071800000}"/>
    <cellStyle name="Normal 5 10 2 9 5 9" xfId="32884" xr:uid="{00000000-0005-0000-0000-000072800000}"/>
    <cellStyle name="Normal 5 10 2 9 6" xfId="32885" xr:uid="{00000000-0005-0000-0000-000073800000}"/>
    <cellStyle name="Normal 5 10 2 9 7" xfId="32886" xr:uid="{00000000-0005-0000-0000-000074800000}"/>
    <cellStyle name="Normal 5 10 2 9 8" xfId="32887" xr:uid="{00000000-0005-0000-0000-000075800000}"/>
    <cellStyle name="Normal 5 10 2 9 9" xfId="32888" xr:uid="{00000000-0005-0000-0000-000076800000}"/>
    <cellStyle name="Normal 5 10 20" xfId="32889" xr:uid="{00000000-0005-0000-0000-000077800000}"/>
    <cellStyle name="Normal 5 10 20 10" xfId="32890" xr:uid="{00000000-0005-0000-0000-000078800000}"/>
    <cellStyle name="Normal 5 10 20 11" xfId="32891" xr:uid="{00000000-0005-0000-0000-000079800000}"/>
    <cellStyle name="Normal 5 10 20 12" xfId="32892" xr:uid="{00000000-0005-0000-0000-00007A800000}"/>
    <cellStyle name="Normal 5 10 20 13" xfId="32893" xr:uid="{00000000-0005-0000-0000-00007B800000}"/>
    <cellStyle name="Normal 5 10 20 14" xfId="32894" xr:uid="{00000000-0005-0000-0000-00007C800000}"/>
    <cellStyle name="Normal 5 10 20 2" xfId="32895" xr:uid="{00000000-0005-0000-0000-00007D800000}"/>
    <cellStyle name="Normal 5 10 20 2 10" xfId="32896" xr:uid="{00000000-0005-0000-0000-00007E800000}"/>
    <cellStyle name="Normal 5 10 20 2 2" xfId="32897" xr:uid="{00000000-0005-0000-0000-00007F800000}"/>
    <cellStyle name="Normal 5 10 20 2 3" xfId="32898" xr:uid="{00000000-0005-0000-0000-000080800000}"/>
    <cellStyle name="Normal 5 10 20 2 4" xfId="32899" xr:uid="{00000000-0005-0000-0000-000081800000}"/>
    <cellStyle name="Normal 5 10 20 2 5" xfId="32900" xr:uid="{00000000-0005-0000-0000-000082800000}"/>
    <cellStyle name="Normal 5 10 20 2 6" xfId="32901" xr:uid="{00000000-0005-0000-0000-000083800000}"/>
    <cellStyle name="Normal 5 10 20 2 7" xfId="32902" xr:uid="{00000000-0005-0000-0000-000084800000}"/>
    <cellStyle name="Normal 5 10 20 2 8" xfId="32903" xr:uid="{00000000-0005-0000-0000-000085800000}"/>
    <cellStyle name="Normal 5 10 20 2 9" xfId="32904" xr:uid="{00000000-0005-0000-0000-000086800000}"/>
    <cellStyle name="Normal 5 10 20 3" xfId="32905" xr:uid="{00000000-0005-0000-0000-000087800000}"/>
    <cellStyle name="Normal 5 10 20 3 10" xfId="32906" xr:uid="{00000000-0005-0000-0000-000088800000}"/>
    <cellStyle name="Normal 5 10 20 3 2" xfId="32907" xr:uid="{00000000-0005-0000-0000-000089800000}"/>
    <cellStyle name="Normal 5 10 20 3 3" xfId="32908" xr:uid="{00000000-0005-0000-0000-00008A800000}"/>
    <cellStyle name="Normal 5 10 20 3 4" xfId="32909" xr:uid="{00000000-0005-0000-0000-00008B800000}"/>
    <cellStyle name="Normal 5 10 20 3 5" xfId="32910" xr:uid="{00000000-0005-0000-0000-00008C800000}"/>
    <cellStyle name="Normal 5 10 20 3 6" xfId="32911" xr:uid="{00000000-0005-0000-0000-00008D800000}"/>
    <cellStyle name="Normal 5 10 20 3 7" xfId="32912" xr:uid="{00000000-0005-0000-0000-00008E800000}"/>
    <cellStyle name="Normal 5 10 20 3 8" xfId="32913" xr:uid="{00000000-0005-0000-0000-00008F800000}"/>
    <cellStyle name="Normal 5 10 20 3 9" xfId="32914" xr:uid="{00000000-0005-0000-0000-000090800000}"/>
    <cellStyle name="Normal 5 10 20 4" xfId="32915" xr:uid="{00000000-0005-0000-0000-000091800000}"/>
    <cellStyle name="Normal 5 10 20 4 10" xfId="32916" xr:uid="{00000000-0005-0000-0000-000092800000}"/>
    <cellStyle name="Normal 5 10 20 4 2" xfId="32917" xr:uid="{00000000-0005-0000-0000-000093800000}"/>
    <cellStyle name="Normal 5 10 20 4 3" xfId="32918" xr:uid="{00000000-0005-0000-0000-000094800000}"/>
    <cellStyle name="Normal 5 10 20 4 4" xfId="32919" xr:uid="{00000000-0005-0000-0000-000095800000}"/>
    <cellStyle name="Normal 5 10 20 4 5" xfId="32920" xr:uid="{00000000-0005-0000-0000-000096800000}"/>
    <cellStyle name="Normal 5 10 20 4 6" xfId="32921" xr:uid="{00000000-0005-0000-0000-000097800000}"/>
    <cellStyle name="Normal 5 10 20 4 7" xfId="32922" xr:uid="{00000000-0005-0000-0000-000098800000}"/>
    <cellStyle name="Normal 5 10 20 4 8" xfId="32923" xr:uid="{00000000-0005-0000-0000-000099800000}"/>
    <cellStyle name="Normal 5 10 20 4 9" xfId="32924" xr:uid="{00000000-0005-0000-0000-00009A800000}"/>
    <cellStyle name="Normal 5 10 20 5" xfId="32925" xr:uid="{00000000-0005-0000-0000-00009B800000}"/>
    <cellStyle name="Normal 5 10 20 5 10" xfId="32926" xr:uid="{00000000-0005-0000-0000-00009C800000}"/>
    <cellStyle name="Normal 5 10 20 5 2" xfId="32927" xr:uid="{00000000-0005-0000-0000-00009D800000}"/>
    <cellStyle name="Normal 5 10 20 5 3" xfId="32928" xr:uid="{00000000-0005-0000-0000-00009E800000}"/>
    <cellStyle name="Normal 5 10 20 5 4" xfId="32929" xr:uid="{00000000-0005-0000-0000-00009F800000}"/>
    <cellStyle name="Normal 5 10 20 5 5" xfId="32930" xr:uid="{00000000-0005-0000-0000-0000A0800000}"/>
    <cellStyle name="Normal 5 10 20 5 6" xfId="32931" xr:uid="{00000000-0005-0000-0000-0000A1800000}"/>
    <cellStyle name="Normal 5 10 20 5 7" xfId="32932" xr:uid="{00000000-0005-0000-0000-0000A2800000}"/>
    <cellStyle name="Normal 5 10 20 5 8" xfId="32933" xr:uid="{00000000-0005-0000-0000-0000A3800000}"/>
    <cellStyle name="Normal 5 10 20 5 9" xfId="32934" xr:uid="{00000000-0005-0000-0000-0000A4800000}"/>
    <cellStyle name="Normal 5 10 20 6" xfId="32935" xr:uid="{00000000-0005-0000-0000-0000A5800000}"/>
    <cellStyle name="Normal 5 10 20 7" xfId="32936" xr:uid="{00000000-0005-0000-0000-0000A6800000}"/>
    <cellStyle name="Normal 5 10 20 8" xfId="32937" xr:uid="{00000000-0005-0000-0000-0000A7800000}"/>
    <cellStyle name="Normal 5 10 20 9" xfId="32938" xr:uid="{00000000-0005-0000-0000-0000A8800000}"/>
    <cellStyle name="Normal 5 10 21" xfId="32939" xr:uid="{00000000-0005-0000-0000-0000A9800000}"/>
    <cellStyle name="Normal 5 10 21 10" xfId="32940" xr:uid="{00000000-0005-0000-0000-0000AA800000}"/>
    <cellStyle name="Normal 5 10 21 11" xfId="32941" xr:uid="{00000000-0005-0000-0000-0000AB800000}"/>
    <cellStyle name="Normal 5 10 21 12" xfId="32942" xr:uid="{00000000-0005-0000-0000-0000AC800000}"/>
    <cellStyle name="Normal 5 10 21 13" xfId="32943" xr:uid="{00000000-0005-0000-0000-0000AD800000}"/>
    <cellStyle name="Normal 5 10 21 14" xfId="32944" xr:uid="{00000000-0005-0000-0000-0000AE800000}"/>
    <cellStyle name="Normal 5 10 21 2" xfId="32945" xr:uid="{00000000-0005-0000-0000-0000AF800000}"/>
    <cellStyle name="Normal 5 10 21 2 10" xfId="32946" xr:uid="{00000000-0005-0000-0000-0000B0800000}"/>
    <cellStyle name="Normal 5 10 21 2 2" xfId="32947" xr:uid="{00000000-0005-0000-0000-0000B1800000}"/>
    <cellStyle name="Normal 5 10 21 2 3" xfId="32948" xr:uid="{00000000-0005-0000-0000-0000B2800000}"/>
    <cellStyle name="Normal 5 10 21 2 4" xfId="32949" xr:uid="{00000000-0005-0000-0000-0000B3800000}"/>
    <cellStyle name="Normal 5 10 21 2 5" xfId="32950" xr:uid="{00000000-0005-0000-0000-0000B4800000}"/>
    <cellStyle name="Normal 5 10 21 2 6" xfId="32951" xr:uid="{00000000-0005-0000-0000-0000B5800000}"/>
    <cellStyle name="Normal 5 10 21 2 7" xfId="32952" xr:uid="{00000000-0005-0000-0000-0000B6800000}"/>
    <cellStyle name="Normal 5 10 21 2 8" xfId="32953" xr:uid="{00000000-0005-0000-0000-0000B7800000}"/>
    <cellStyle name="Normal 5 10 21 2 9" xfId="32954" xr:uid="{00000000-0005-0000-0000-0000B8800000}"/>
    <cellStyle name="Normal 5 10 21 3" xfId="32955" xr:uid="{00000000-0005-0000-0000-0000B9800000}"/>
    <cellStyle name="Normal 5 10 21 3 10" xfId="32956" xr:uid="{00000000-0005-0000-0000-0000BA800000}"/>
    <cellStyle name="Normal 5 10 21 3 2" xfId="32957" xr:uid="{00000000-0005-0000-0000-0000BB800000}"/>
    <cellStyle name="Normal 5 10 21 3 3" xfId="32958" xr:uid="{00000000-0005-0000-0000-0000BC800000}"/>
    <cellStyle name="Normal 5 10 21 3 4" xfId="32959" xr:uid="{00000000-0005-0000-0000-0000BD800000}"/>
    <cellStyle name="Normal 5 10 21 3 5" xfId="32960" xr:uid="{00000000-0005-0000-0000-0000BE800000}"/>
    <cellStyle name="Normal 5 10 21 3 6" xfId="32961" xr:uid="{00000000-0005-0000-0000-0000BF800000}"/>
    <cellStyle name="Normal 5 10 21 3 7" xfId="32962" xr:uid="{00000000-0005-0000-0000-0000C0800000}"/>
    <cellStyle name="Normal 5 10 21 3 8" xfId="32963" xr:uid="{00000000-0005-0000-0000-0000C1800000}"/>
    <cellStyle name="Normal 5 10 21 3 9" xfId="32964" xr:uid="{00000000-0005-0000-0000-0000C2800000}"/>
    <cellStyle name="Normal 5 10 21 4" xfId="32965" xr:uid="{00000000-0005-0000-0000-0000C3800000}"/>
    <cellStyle name="Normal 5 10 21 4 10" xfId="32966" xr:uid="{00000000-0005-0000-0000-0000C4800000}"/>
    <cellStyle name="Normal 5 10 21 4 2" xfId="32967" xr:uid="{00000000-0005-0000-0000-0000C5800000}"/>
    <cellStyle name="Normal 5 10 21 4 3" xfId="32968" xr:uid="{00000000-0005-0000-0000-0000C6800000}"/>
    <cellStyle name="Normal 5 10 21 4 4" xfId="32969" xr:uid="{00000000-0005-0000-0000-0000C7800000}"/>
    <cellStyle name="Normal 5 10 21 4 5" xfId="32970" xr:uid="{00000000-0005-0000-0000-0000C8800000}"/>
    <cellStyle name="Normal 5 10 21 4 6" xfId="32971" xr:uid="{00000000-0005-0000-0000-0000C9800000}"/>
    <cellStyle name="Normal 5 10 21 4 7" xfId="32972" xr:uid="{00000000-0005-0000-0000-0000CA800000}"/>
    <cellStyle name="Normal 5 10 21 4 8" xfId="32973" xr:uid="{00000000-0005-0000-0000-0000CB800000}"/>
    <cellStyle name="Normal 5 10 21 4 9" xfId="32974" xr:uid="{00000000-0005-0000-0000-0000CC800000}"/>
    <cellStyle name="Normal 5 10 21 5" xfId="32975" xr:uid="{00000000-0005-0000-0000-0000CD800000}"/>
    <cellStyle name="Normal 5 10 21 5 10" xfId="32976" xr:uid="{00000000-0005-0000-0000-0000CE800000}"/>
    <cellStyle name="Normal 5 10 21 5 2" xfId="32977" xr:uid="{00000000-0005-0000-0000-0000CF800000}"/>
    <cellStyle name="Normal 5 10 21 5 3" xfId="32978" xr:uid="{00000000-0005-0000-0000-0000D0800000}"/>
    <cellStyle name="Normal 5 10 21 5 4" xfId="32979" xr:uid="{00000000-0005-0000-0000-0000D1800000}"/>
    <cellStyle name="Normal 5 10 21 5 5" xfId="32980" xr:uid="{00000000-0005-0000-0000-0000D2800000}"/>
    <cellStyle name="Normal 5 10 21 5 6" xfId="32981" xr:uid="{00000000-0005-0000-0000-0000D3800000}"/>
    <cellStyle name="Normal 5 10 21 5 7" xfId="32982" xr:uid="{00000000-0005-0000-0000-0000D4800000}"/>
    <cellStyle name="Normal 5 10 21 5 8" xfId="32983" xr:uid="{00000000-0005-0000-0000-0000D5800000}"/>
    <cellStyle name="Normal 5 10 21 5 9" xfId="32984" xr:uid="{00000000-0005-0000-0000-0000D6800000}"/>
    <cellStyle name="Normal 5 10 21 6" xfId="32985" xr:uid="{00000000-0005-0000-0000-0000D7800000}"/>
    <cellStyle name="Normal 5 10 21 7" xfId="32986" xr:uid="{00000000-0005-0000-0000-0000D8800000}"/>
    <cellStyle name="Normal 5 10 21 8" xfId="32987" xr:uid="{00000000-0005-0000-0000-0000D9800000}"/>
    <cellStyle name="Normal 5 10 21 9" xfId="32988" xr:uid="{00000000-0005-0000-0000-0000DA800000}"/>
    <cellStyle name="Normal 5 10 22" xfId="32989" xr:uid="{00000000-0005-0000-0000-0000DB800000}"/>
    <cellStyle name="Normal 5 10 22 10" xfId="32990" xr:uid="{00000000-0005-0000-0000-0000DC800000}"/>
    <cellStyle name="Normal 5 10 22 11" xfId="32991" xr:uid="{00000000-0005-0000-0000-0000DD800000}"/>
    <cellStyle name="Normal 5 10 22 12" xfId="32992" xr:uid="{00000000-0005-0000-0000-0000DE800000}"/>
    <cellStyle name="Normal 5 10 22 13" xfId="32993" xr:uid="{00000000-0005-0000-0000-0000DF800000}"/>
    <cellStyle name="Normal 5 10 22 14" xfId="32994" xr:uid="{00000000-0005-0000-0000-0000E0800000}"/>
    <cellStyle name="Normal 5 10 22 2" xfId="32995" xr:uid="{00000000-0005-0000-0000-0000E1800000}"/>
    <cellStyle name="Normal 5 10 22 2 10" xfId="32996" xr:uid="{00000000-0005-0000-0000-0000E2800000}"/>
    <cellStyle name="Normal 5 10 22 2 2" xfId="32997" xr:uid="{00000000-0005-0000-0000-0000E3800000}"/>
    <cellStyle name="Normal 5 10 22 2 3" xfId="32998" xr:uid="{00000000-0005-0000-0000-0000E4800000}"/>
    <cellStyle name="Normal 5 10 22 2 4" xfId="32999" xr:uid="{00000000-0005-0000-0000-0000E5800000}"/>
    <cellStyle name="Normal 5 10 22 2 5" xfId="33000" xr:uid="{00000000-0005-0000-0000-0000E6800000}"/>
    <cellStyle name="Normal 5 10 22 2 6" xfId="33001" xr:uid="{00000000-0005-0000-0000-0000E7800000}"/>
    <cellStyle name="Normal 5 10 22 2 7" xfId="33002" xr:uid="{00000000-0005-0000-0000-0000E8800000}"/>
    <cellStyle name="Normal 5 10 22 2 8" xfId="33003" xr:uid="{00000000-0005-0000-0000-0000E9800000}"/>
    <cellStyle name="Normal 5 10 22 2 9" xfId="33004" xr:uid="{00000000-0005-0000-0000-0000EA800000}"/>
    <cellStyle name="Normal 5 10 22 3" xfId="33005" xr:uid="{00000000-0005-0000-0000-0000EB800000}"/>
    <cellStyle name="Normal 5 10 22 3 10" xfId="33006" xr:uid="{00000000-0005-0000-0000-0000EC800000}"/>
    <cellStyle name="Normal 5 10 22 3 2" xfId="33007" xr:uid="{00000000-0005-0000-0000-0000ED800000}"/>
    <cellStyle name="Normal 5 10 22 3 3" xfId="33008" xr:uid="{00000000-0005-0000-0000-0000EE800000}"/>
    <cellStyle name="Normal 5 10 22 3 4" xfId="33009" xr:uid="{00000000-0005-0000-0000-0000EF800000}"/>
    <cellStyle name="Normal 5 10 22 3 5" xfId="33010" xr:uid="{00000000-0005-0000-0000-0000F0800000}"/>
    <cellStyle name="Normal 5 10 22 3 6" xfId="33011" xr:uid="{00000000-0005-0000-0000-0000F1800000}"/>
    <cellStyle name="Normal 5 10 22 3 7" xfId="33012" xr:uid="{00000000-0005-0000-0000-0000F2800000}"/>
    <cellStyle name="Normal 5 10 22 3 8" xfId="33013" xr:uid="{00000000-0005-0000-0000-0000F3800000}"/>
    <cellStyle name="Normal 5 10 22 3 9" xfId="33014" xr:uid="{00000000-0005-0000-0000-0000F4800000}"/>
    <cellStyle name="Normal 5 10 22 4" xfId="33015" xr:uid="{00000000-0005-0000-0000-0000F5800000}"/>
    <cellStyle name="Normal 5 10 22 4 10" xfId="33016" xr:uid="{00000000-0005-0000-0000-0000F6800000}"/>
    <cellStyle name="Normal 5 10 22 4 2" xfId="33017" xr:uid="{00000000-0005-0000-0000-0000F7800000}"/>
    <cellStyle name="Normal 5 10 22 4 3" xfId="33018" xr:uid="{00000000-0005-0000-0000-0000F8800000}"/>
    <cellStyle name="Normal 5 10 22 4 4" xfId="33019" xr:uid="{00000000-0005-0000-0000-0000F9800000}"/>
    <cellStyle name="Normal 5 10 22 4 5" xfId="33020" xr:uid="{00000000-0005-0000-0000-0000FA800000}"/>
    <cellStyle name="Normal 5 10 22 4 6" xfId="33021" xr:uid="{00000000-0005-0000-0000-0000FB800000}"/>
    <cellStyle name="Normal 5 10 22 4 7" xfId="33022" xr:uid="{00000000-0005-0000-0000-0000FC800000}"/>
    <cellStyle name="Normal 5 10 22 4 8" xfId="33023" xr:uid="{00000000-0005-0000-0000-0000FD800000}"/>
    <cellStyle name="Normal 5 10 22 4 9" xfId="33024" xr:uid="{00000000-0005-0000-0000-0000FE800000}"/>
    <cellStyle name="Normal 5 10 22 5" xfId="33025" xr:uid="{00000000-0005-0000-0000-0000FF800000}"/>
    <cellStyle name="Normal 5 10 22 5 10" xfId="33026" xr:uid="{00000000-0005-0000-0000-000000810000}"/>
    <cellStyle name="Normal 5 10 22 5 2" xfId="33027" xr:uid="{00000000-0005-0000-0000-000001810000}"/>
    <cellStyle name="Normal 5 10 22 5 3" xfId="33028" xr:uid="{00000000-0005-0000-0000-000002810000}"/>
    <cellStyle name="Normal 5 10 22 5 4" xfId="33029" xr:uid="{00000000-0005-0000-0000-000003810000}"/>
    <cellStyle name="Normal 5 10 22 5 5" xfId="33030" xr:uid="{00000000-0005-0000-0000-000004810000}"/>
    <cellStyle name="Normal 5 10 22 5 6" xfId="33031" xr:uid="{00000000-0005-0000-0000-000005810000}"/>
    <cellStyle name="Normal 5 10 22 5 7" xfId="33032" xr:uid="{00000000-0005-0000-0000-000006810000}"/>
    <cellStyle name="Normal 5 10 22 5 8" xfId="33033" xr:uid="{00000000-0005-0000-0000-000007810000}"/>
    <cellStyle name="Normal 5 10 22 5 9" xfId="33034" xr:uid="{00000000-0005-0000-0000-000008810000}"/>
    <cellStyle name="Normal 5 10 22 6" xfId="33035" xr:uid="{00000000-0005-0000-0000-000009810000}"/>
    <cellStyle name="Normal 5 10 22 7" xfId="33036" xr:uid="{00000000-0005-0000-0000-00000A810000}"/>
    <cellStyle name="Normal 5 10 22 8" xfId="33037" xr:uid="{00000000-0005-0000-0000-00000B810000}"/>
    <cellStyle name="Normal 5 10 22 9" xfId="33038" xr:uid="{00000000-0005-0000-0000-00000C810000}"/>
    <cellStyle name="Normal 5 10 23" xfId="33039" xr:uid="{00000000-0005-0000-0000-00000D810000}"/>
    <cellStyle name="Normal 5 10 23 10" xfId="33040" xr:uid="{00000000-0005-0000-0000-00000E810000}"/>
    <cellStyle name="Normal 5 10 23 11" xfId="33041" xr:uid="{00000000-0005-0000-0000-00000F810000}"/>
    <cellStyle name="Normal 5 10 23 12" xfId="33042" xr:uid="{00000000-0005-0000-0000-000010810000}"/>
    <cellStyle name="Normal 5 10 23 13" xfId="33043" xr:uid="{00000000-0005-0000-0000-000011810000}"/>
    <cellStyle name="Normal 5 10 23 14" xfId="33044" xr:uid="{00000000-0005-0000-0000-000012810000}"/>
    <cellStyle name="Normal 5 10 23 2" xfId="33045" xr:uid="{00000000-0005-0000-0000-000013810000}"/>
    <cellStyle name="Normal 5 10 23 2 10" xfId="33046" xr:uid="{00000000-0005-0000-0000-000014810000}"/>
    <cellStyle name="Normal 5 10 23 2 2" xfId="33047" xr:uid="{00000000-0005-0000-0000-000015810000}"/>
    <cellStyle name="Normal 5 10 23 2 3" xfId="33048" xr:uid="{00000000-0005-0000-0000-000016810000}"/>
    <cellStyle name="Normal 5 10 23 2 4" xfId="33049" xr:uid="{00000000-0005-0000-0000-000017810000}"/>
    <cellStyle name="Normal 5 10 23 2 5" xfId="33050" xr:uid="{00000000-0005-0000-0000-000018810000}"/>
    <cellStyle name="Normal 5 10 23 2 6" xfId="33051" xr:uid="{00000000-0005-0000-0000-000019810000}"/>
    <cellStyle name="Normal 5 10 23 2 7" xfId="33052" xr:uid="{00000000-0005-0000-0000-00001A810000}"/>
    <cellStyle name="Normal 5 10 23 2 8" xfId="33053" xr:uid="{00000000-0005-0000-0000-00001B810000}"/>
    <cellStyle name="Normal 5 10 23 2 9" xfId="33054" xr:uid="{00000000-0005-0000-0000-00001C810000}"/>
    <cellStyle name="Normal 5 10 23 3" xfId="33055" xr:uid="{00000000-0005-0000-0000-00001D810000}"/>
    <cellStyle name="Normal 5 10 23 3 10" xfId="33056" xr:uid="{00000000-0005-0000-0000-00001E810000}"/>
    <cellStyle name="Normal 5 10 23 3 2" xfId="33057" xr:uid="{00000000-0005-0000-0000-00001F810000}"/>
    <cellStyle name="Normal 5 10 23 3 3" xfId="33058" xr:uid="{00000000-0005-0000-0000-000020810000}"/>
    <cellStyle name="Normal 5 10 23 3 4" xfId="33059" xr:uid="{00000000-0005-0000-0000-000021810000}"/>
    <cellStyle name="Normal 5 10 23 3 5" xfId="33060" xr:uid="{00000000-0005-0000-0000-000022810000}"/>
    <cellStyle name="Normal 5 10 23 3 6" xfId="33061" xr:uid="{00000000-0005-0000-0000-000023810000}"/>
    <cellStyle name="Normal 5 10 23 3 7" xfId="33062" xr:uid="{00000000-0005-0000-0000-000024810000}"/>
    <cellStyle name="Normal 5 10 23 3 8" xfId="33063" xr:uid="{00000000-0005-0000-0000-000025810000}"/>
    <cellStyle name="Normal 5 10 23 3 9" xfId="33064" xr:uid="{00000000-0005-0000-0000-000026810000}"/>
    <cellStyle name="Normal 5 10 23 4" xfId="33065" xr:uid="{00000000-0005-0000-0000-000027810000}"/>
    <cellStyle name="Normal 5 10 23 4 10" xfId="33066" xr:uid="{00000000-0005-0000-0000-000028810000}"/>
    <cellStyle name="Normal 5 10 23 4 2" xfId="33067" xr:uid="{00000000-0005-0000-0000-000029810000}"/>
    <cellStyle name="Normal 5 10 23 4 3" xfId="33068" xr:uid="{00000000-0005-0000-0000-00002A810000}"/>
    <cellStyle name="Normal 5 10 23 4 4" xfId="33069" xr:uid="{00000000-0005-0000-0000-00002B810000}"/>
    <cellStyle name="Normal 5 10 23 4 5" xfId="33070" xr:uid="{00000000-0005-0000-0000-00002C810000}"/>
    <cellStyle name="Normal 5 10 23 4 6" xfId="33071" xr:uid="{00000000-0005-0000-0000-00002D810000}"/>
    <cellStyle name="Normal 5 10 23 4 7" xfId="33072" xr:uid="{00000000-0005-0000-0000-00002E810000}"/>
    <cellStyle name="Normal 5 10 23 4 8" xfId="33073" xr:uid="{00000000-0005-0000-0000-00002F810000}"/>
    <cellStyle name="Normal 5 10 23 4 9" xfId="33074" xr:uid="{00000000-0005-0000-0000-000030810000}"/>
    <cellStyle name="Normal 5 10 23 5" xfId="33075" xr:uid="{00000000-0005-0000-0000-000031810000}"/>
    <cellStyle name="Normal 5 10 23 5 10" xfId="33076" xr:uid="{00000000-0005-0000-0000-000032810000}"/>
    <cellStyle name="Normal 5 10 23 5 2" xfId="33077" xr:uid="{00000000-0005-0000-0000-000033810000}"/>
    <cellStyle name="Normal 5 10 23 5 3" xfId="33078" xr:uid="{00000000-0005-0000-0000-000034810000}"/>
    <cellStyle name="Normal 5 10 23 5 4" xfId="33079" xr:uid="{00000000-0005-0000-0000-000035810000}"/>
    <cellStyle name="Normal 5 10 23 5 5" xfId="33080" xr:uid="{00000000-0005-0000-0000-000036810000}"/>
    <cellStyle name="Normal 5 10 23 5 6" xfId="33081" xr:uid="{00000000-0005-0000-0000-000037810000}"/>
    <cellStyle name="Normal 5 10 23 5 7" xfId="33082" xr:uid="{00000000-0005-0000-0000-000038810000}"/>
    <cellStyle name="Normal 5 10 23 5 8" xfId="33083" xr:uid="{00000000-0005-0000-0000-000039810000}"/>
    <cellStyle name="Normal 5 10 23 5 9" xfId="33084" xr:uid="{00000000-0005-0000-0000-00003A810000}"/>
    <cellStyle name="Normal 5 10 23 6" xfId="33085" xr:uid="{00000000-0005-0000-0000-00003B810000}"/>
    <cellStyle name="Normal 5 10 23 7" xfId="33086" xr:uid="{00000000-0005-0000-0000-00003C810000}"/>
    <cellStyle name="Normal 5 10 23 8" xfId="33087" xr:uid="{00000000-0005-0000-0000-00003D810000}"/>
    <cellStyle name="Normal 5 10 23 9" xfId="33088" xr:uid="{00000000-0005-0000-0000-00003E810000}"/>
    <cellStyle name="Normal 5 10 24" xfId="33089" xr:uid="{00000000-0005-0000-0000-00003F810000}"/>
    <cellStyle name="Normal 5 10 24 10" xfId="33090" xr:uid="{00000000-0005-0000-0000-000040810000}"/>
    <cellStyle name="Normal 5 10 24 11" xfId="33091" xr:uid="{00000000-0005-0000-0000-000041810000}"/>
    <cellStyle name="Normal 5 10 24 12" xfId="33092" xr:uid="{00000000-0005-0000-0000-000042810000}"/>
    <cellStyle name="Normal 5 10 24 13" xfId="33093" xr:uid="{00000000-0005-0000-0000-000043810000}"/>
    <cellStyle name="Normal 5 10 24 14" xfId="33094" xr:uid="{00000000-0005-0000-0000-000044810000}"/>
    <cellStyle name="Normal 5 10 24 2" xfId="33095" xr:uid="{00000000-0005-0000-0000-000045810000}"/>
    <cellStyle name="Normal 5 10 24 2 10" xfId="33096" xr:uid="{00000000-0005-0000-0000-000046810000}"/>
    <cellStyle name="Normal 5 10 24 2 2" xfId="33097" xr:uid="{00000000-0005-0000-0000-000047810000}"/>
    <cellStyle name="Normal 5 10 24 2 3" xfId="33098" xr:uid="{00000000-0005-0000-0000-000048810000}"/>
    <cellStyle name="Normal 5 10 24 2 4" xfId="33099" xr:uid="{00000000-0005-0000-0000-000049810000}"/>
    <cellStyle name="Normal 5 10 24 2 5" xfId="33100" xr:uid="{00000000-0005-0000-0000-00004A810000}"/>
    <cellStyle name="Normal 5 10 24 2 6" xfId="33101" xr:uid="{00000000-0005-0000-0000-00004B810000}"/>
    <cellStyle name="Normal 5 10 24 2 7" xfId="33102" xr:uid="{00000000-0005-0000-0000-00004C810000}"/>
    <cellStyle name="Normal 5 10 24 2 8" xfId="33103" xr:uid="{00000000-0005-0000-0000-00004D810000}"/>
    <cellStyle name="Normal 5 10 24 2 9" xfId="33104" xr:uid="{00000000-0005-0000-0000-00004E810000}"/>
    <cellStyle name="Normal 5 10 24 3" xfId="33105" xr:uid="{00000000-0005-0000-0000-00004F810000}"/>
    <cellStyle name="Normal 5 10 24 3 10" xfId="33106" xr:uid="{00000000-0005-0000-0000-000050810000}"/>
    <cellStyle name="Normal 5 10 24 3 2" xfId="33107" xr:uid="{00000000-0005-0000-0000-000051810000}"/>
    <cellStyle name="Normal 5 10 24 3 3" xfId="33108" xr:uid="{00000000-0005-0000-0000-000052810000}"/>
    <cellStyle name="Normal 5 10 24 3 4" xfId="33109" xr:uid="{00000000-0005-0000-0000-000053810000}"/>
    <cellStyle name="Normal 5 10 24 3 5" xfId="33110" xr:uid="{00000000-0005-0000-0000-000054810000}"/>
    <cellStyle name="Normal 5 10 24 3 6" xfId="33111" xr:uid="{00000000-0005-0000-0000-000055810000}"/>
    <cellStyle name="Normal 5 10 24 3 7" xfId="33112" xr:uid="{00000000-0005-0000-0000-000056810000}"/>
    <cellStyle name="Normal 5 10 24 3 8" xfId="33113" xr:uid="{00000000-0005-0000-0000-000057810000}"/>
    <cellStyle name="Normal 5 10 24 3 9" xfId="33114" xr:uid="{00000000-0005-0000-0000-000058810000}"/>
    <cellStyle name="Normal 5 10 24 4" xfId="33115" xr:uid="{00000000-0005-0000-0000-000059810000}"/>
    <cellStyle name="Normal 5 10 24 4 10" xfId="33116" xr:uid="{00000000-0005-0000-0000-00005A810000}"/>
    <cellStyle name="Normal 5 10 24 4 2" xfId="33117" xr:uid="{00000000-0005-0000-0000-00005B810000}"/>
    <cellStyle name="Normal 5 10 24 4 3" xfId="33118" xr:uid="{00000000-0005-0000-0000-00005C810000}"/>
    <cellStyle name="Normal 5 10 24 4 4" xfId="33119" xr:uid="{00000000-0005-0000-0000-00005D810000}"/>
    <cellStyle name="Normal 5 10 24 4 5" xfId="33120" xr:uid="{00000000-0005-0000-0000-00005E810000}"/>
    <cellStyle name="Normal 5 10 24 4 6" xfId="33121" xr:uid="{00000000-0005-0000-0000-00005F810000}"/>
    <cellStyle name="Normal 5 10 24 4 7" xfId="33122" xr:uid="{00000000-0005-0000-0000-000060810000}"/>
    <cellStyle name="Normal 5 10 24 4 8" xfId="33123" xr:uid="{00000000-0005-0000-0000-000061810000}"/>
    <cellStyle name="Normal 5 10 24 4 9" xfId="33124" xr:uid="{00000000-0005-0000-0000-000062810000}"/>
    <cellStyle name="Normal 5 10 24 5" xfId="33125" xr:uid="{00000000-0005-0000-0000-000063810000}"/>
    <cellStyle name="Normal 5 10 24 5 10" xfId="33126" xr:uid="{00000000-0005-0000-0000-000064810000}"/>
    <cellStyle name="Normal 5 10 24 5 2" xfId="33127" xr:uid="{00000000-0005-0000-0000-000065810000}"/>
    <cellStyle name="Normal 5 10 24 5 3" xfId="33128" xr:uid="{00000000-0005-0000-0000-000066810000}"/>
    <cellStyle name="Normal 5 10 24 5 4" xfId="33129" xr:uid="{00000000-0005-0000-0000-000067810000}"/>
    <cellStyle name="Normal 5 10 24 5 5" xfId="33130" xr:uid="{00000000-0005-0000-0000-000068810000}"/>
    <cellStyle name="Normal 5 10 24 5 6" xfId="33131" xr:uid="{00000000-0005-0000-0000-000069810000}"/>
    <cellStyle name="Normal 5 10 24 5 7" xfId="33132" xr:uid="{00000000-0005-0000-0000-00006A810000}"/>
    <cellStyle name="Normal 5 10 24 5 8" xfId="33133" xr:uid="{00000000-0005-0000-0000-00006B810000}"/>
    <cellStyle name="Normal 5 10 24 5 9" xfId="33134" xr:uid="{00000000-0005-0000-0000-00006C810000}"/>
    <cellStyle name="Normal 5 10 24 6" xfId="33135" xr:uid="{00000000-0005-0000-0000-00006D810000}"/>
    <cellStyle name="Normal 5 10 24 7" xfId="33136" xr:uid="{00000000-0005-0000-0000-00006E810000}"/>
    <cellStyle name="Normal 5 10 24 8" xfId="33137" xr:uid="{00000000-0005-0000-0000-00006F810000}"/>
    <cellStyle name="Normal 5 10 24 9" xfId="33138" xr:uid="{00000000-0005-0000-0000-000070810000}"/>
    <cellStyle name="Normal 5 10 25" xfId="33139" xr:uid="{00000000-0005-0000-0000-000071810000}"/>
    <cellStyle name="Normal 5 10 25 10" xfId="33140" xr:uid="{00000000-0005-0000-0000-000072810000}"/>
    <cellStyle name="Normal 5 10 25 11" xfId="33141" xr:uid="{00000000-0005-0000-0000-000073810000}"/>
    <cellStyle name="Normal 5 10 25 12" xfId="33142" xr:uid="{00000000-0005-0000-0000-000074810000}"/>
    <cellStyle name="Normal 5 10 25 13" xfId="33143" xr:uid="{00000000-0005-0000-0000-000075810000}"/>
    <cellStyle name="Normal 5 10 25 14" xfId="33144" xr:uid="{00000000-0005-0000-0000-000076810000}"/>
    <cellStyle name="Normal 5 10 25 2" xfId="33145" xr:uid="{00000000-0005-0000-0000-000077810000}"/>
    <cellStyle name="Normal 5 10 25 2 10" xfId="33146" xr:uid="{00000000-0005-0000-0000-000078810000}"/>
    <cellStyle name="Normal 5 10 25 2 2" xfId="33147" xr:uid="{00000000-0005-0000-0000-000079810000}"/>
    <cellStyle name="Normal 5 10 25 2 3" xfId="33148" xr:uid="{00000000-0005-0000-0000-00007A810000}"/>
    <cellStyle name="Normal 5 10 25 2 4" xfId="33149" xr:uid="{00000000-0005-0000-0000-00007B810000}"/>
    <cellStyle name="Normal 5 10 25 2 5" xfId="33150" xr:uid="{00000000-0005-0000-0000-00007C810000}"/>
    <cellStyle name="Normal 5 10 25 2 6" xfId="33151" xr:uid="{00000000-0005-0000-0000-00007D810000}"/>
    <cellStyle name="Normal 5 10 25 2 7" xfId="33152" xr:uid="{00000000-0005-0000-0000-00007E810000}"/>
    <cellStyle name="Normal 5 10 25 2 8" xfId="33153" xr:uid="{00000000-0005-0000-0000-00007F810000}"/>
    <cellStyle name="Normal 5 10 25 2 9" xfId="33154" xr:uid="{00000000-0005-0000-0000-000080810000}"/>
    <cellStyle name="Normal 5 10 25 3" xfId="33155" xr:uid="{00000000-0005-0000-0000-000081810000}"/>
    <cellStyle name="Normal 5 10 25 3 10" xfId="33156" xr:uid="{00000000-0005-0000-0000-000082810000}"/>
    <cellStyle name="Normal 5 10 25 3 2" xfId="33157" xr:uid="{00000000-0005-0000-0000-000083810000}"/>
    <cellStyle name="Normal 5 10 25 3 3" xfId="33158" xr:uid="{00000000-0005-0000-0000-000084810000}"/>
    <cellStyle name="Normal 5 10 25 3 4" xfId="33159" xr:uid="{00000000-0005-0000-0000-000085810000}"/>
    <cellStyle name="Normal 5 10 25 3 5" xfId="33160" xr:uid="{00000000-0005-0000-0000-000086810000}"/>
    <cellStyle name="Normal 5 10 25 3 6" xfId="33161" xr:uid="{00000000-0005-0000-0000-000087810000}"/>
    <cellStyle name="Normal 5 10 25 3 7" xfId="33162" xr:uid="{00000000-0005-0000-0000-000088810000}"/>
    <cellStyle name="Normal 5 10 25 3 8" xfId="33163" xr:uid="{00000000-0005-0000-0000-000089810000}"/>
    <cellStyle name="Normal 5 10 25 3 9" xfId="33164" xr:uid="{00000000-0005-0000-0000-00008A810000}"/>
    <cellStyle name="Normal 5 10 25 4" xfId="33165" xr:uid="{00000000-0005-0000-0000-00008B810000}"/>
    <cellStyle name="Normal 5 10 25 4 10" xfId="33166" xr:uid="{00000000-0005-0000-0000-00008C810000}"/>
    <cellStyle name="Normal 5 10 25 4 2" xfId="33167" xr:uid="{00000000-0005-0000-0000-00008D810000}"/>
    <cellStyle name="Normal 5 10 25 4 3" xfId="33168" xr:uid="{00000000-0005-0000-0000-00008E810000}"/>
    <cellStyle name="Normal 5 10 25 4 4" xfId="33169" xr:uid="{00000000-0005-0000-0000-00008F810000}"/>
    <cellStyle name="Normal 5 10 25 4 5" xfId="33170" xr:uid="{00000000-0005-0000-0000-000090810000}"/>
    <cellStyle name="Normal 5 10 25 4 6" xfId="33171" xr:uid="{00000000-0005-0000-0000-000091810000}"/>
    <cellStyle name="Normal 5 10 25 4 7" xfId="33172" xr:uid="{00000000-0005-0000-0000-000092810000}"/>
    <cellStyle name="Normal 5 10 25 4 8" xfId="33173" xr:uid="{00000000-0005-0000-0000-000093810000}"/>
    <cellStyle name="Normal 5 10 25 4 9" xfId="33174" xr:uid="{00000000-0005-0000-0000-000094810000}"/>
    <cellStyle name="Normal 5 10 25 5" xfId="33175" xr:uid="{00000000-0005-0000-0000-000095810000}"/>
    <cellStyle name="Normal 5 10 25 5 10" xfId="33176" xr:uid="{00000000-0005-0000-0000-000096810000}"/>
    <cellStyle name="Normal 5 10 25 5 2" xfId="33177" xr:uid="{00000000-0005-0000-0000-000097810000}"/>
    <cellStyle name="Normal 5 10 25 5 3" xfId="33178" xr:uid="{00000000-0005-0000-0000-000098810000}"/>
    <cellStyle name="Normal 5 10 25 5 4" xfId="33179" xr:uid="{00000000-0005-0000-0000-000099810000}"/>
    <cellStyle name="Normal 5 10 25 5 5" xfId="33180" xr:uid="{00000000-0005-0000-0000-00009A810000}"/>
    <cellStyle name="Normal 5 10 25 5 6" xfId="33181" xr:uid="{00000000-0005-0000-0000-00009B810000}"/>
    <cellStyle name="Normal 5 10 25 5 7" xfId="33182" xr:uid="{00000000-0005-0000-0000-00009C810000}"/>
    <cellStyle name="Normal 5 10 25 5 8" xfId="33183" xr:uid="{00000000-0005-0000-0000-00009D810000}"/>
    <cellStyle name="Normal 5 10 25 5 9" xfId="33184" xr:uid="{00000000-0005-0000-0000-00009E810000}"/>
    <cellStyle name="Normal 5 10 25 6" xfId="33185" xr:uid="{00000000-0005-0000-0000-00009F810000}"/>
    <cellStyle name="Normal 5 10 25 7" xfId="33186" xr:uid="{00000000-0005-0000-0000-0000A0810000}"/>
    <cellStyle name="Normal 5 10 25 8" xfId="33187" xr:uid="{00000000-0005-0000-0000-0000A1810000}"/>
    <cellStyle name="Normal 5 10 25 9" xfId="33188" xr:uid="{00000000-0005-0000-0000-0000A2810000}"/>
    <cellStyle name="Normal 5 10 26" xfId="33189" xr:uid="{00000000-0005-0000-0000-0000A3810000}"/>
    <cellStyle name="Normal 5 10 26 10" xfId="33190" xr:uid="{00000000-0005-0000-0000-0000A4810000}"/>
    <cellStyle name="Normal 5 10 26 11" xfId="33191" xr:uid="{00000000-0005-0000-0000-0000A5810000}"/>
    <cellStyle name="Normal 5 10 26 12" xfId="33192" xr:uid="{00000000-0005-0000-0000-0000A6810000}"/>
    <cellStyle name="Normal 5 10 26 13" xfId="33193" xr:uid="{00000000-0005-0000-0000-0000A7810000}"/>
    <cellStyle name="Normal 5 10 26 14" xfId="33194" xr:uid="{00000000-0005-0000-0000-0000A8810000}"/>
    <cellStyle name="Normal 5 10 26 2" xfId="33195" xr:uid="{00000000-0005-0000-0000-0000A9810000}"/>
    <cellStyle name="Normal 5 10 26 2 10" xfId="33196" xr:uid="{00000000-0005-0000-0000-0000AA810000}"/>
    <cellStyle name="Normal 5 10 26 2 2" xfId="33197" xr:uid="{00000000-0005-0000-0000-0000AB810000}"/>
    <cellStyle name="Normal 5 10 26 2 3" xfId="33198" xr:uid="{00000000-0005-0000-0000-0000AC810000}"/>
    <cellStyle name="Normal 5 10 26 2 4" xfId="33199" xr:uid="{00000000-0005-0000-0000-0000AD810000}"/>
    <cellStyle name="Normal 5 10 26 2 5" xfId="33200" xr:uid="{00000000-0005-0000-0000-0000AE810000}"/>
    <cellStyle name="Normal 5 10 26 2 6" xfId="33201" xr:uid="{00000000-0005-0000-0000-0000AF810000}"/>
    <cellStyle name="Normal 5 10 26 2 7" xfId="33202" xr:uid="{00000000-0005-0000-0000-0000B0810000}"/>
    <cellStyle name="Normal 5 10 26 2 8" xfId="33203" xr:uid="{00000000-0005-0000-0000-0000B1810000}"/>
    <cellStyle name="Normal 5 10 26 2 9" xfId="33204" xr:uid="{00000000-0005-0000-0000-0000B2810000}"/>
    <cellStyle name="Normal 5 10 26 3" xfId="33205" xr:uid="{00000000-0005-0000-0000-0000B3810000}"/>
    <cellStyle name="Normal 5 10 26 3 10" xfId="33206" xr:uid="{00000000-0005-0000-0000-0000B4810000}"/>
    <cellStyle name="Normal 5 10 26 3 2" xfId="33207" xr:uid="{00000000-0005-0000-0000-0000B5810000}"/>
    <cellStyle name="Normal 5 10 26 3 3" xfId="33208" xr:uid="{00000000-0005-0000-0000-0000B6810000}"/>
    <cellStyle name="Normal 5 10 26 3 4" xfId="33209" xr:uid="{00000000-0005-0000-0000-0000B7810000}"/>
    <cellStyle name="Normal 5 10 26 3 5" xfId="33210" xr:uid="{00000000-0005-0000-0000-0000B8810000}"/>
    <cellStyle name="Normal 5 10 26 3 6" xfId="33211" xr:uid="{00000000-0005-0000-0000-0000B9810000}"/>
    <cellStyle name="Normal 5 10 26 3 7" xfId="33212" xr:uid="{00000000-0005-0000-0000-0000BA810000}"/>
    <cellStyle name="Normal 5 10 26 3 8" xfId="33213" xr:uid="{00000000-0005-0000-0000-0000BB810000}"/>
    <cellStyle name="Normal 5 10 26 3 9" xfId="33214" xr:uid="{00000000-0005-0000-0000-0000BC810000}"/>
    <cellStyle name="Normal 5 10 26 4" xfId="33215" xr:uid="{00000000-0005-0000-0000-0000BD810000}"/>
    <cellStyle name="Normal 5 10 26 4 10" xfId="33216" xr:uid="{00000000-0005-0000-0000-0000BE810000}"/>
    <cellStyle name="Normal 5 10 26 4 2" xfId="33217" xr:uid="{00000000-0005-0000-0000-0000BF810000}"/>
    <cellStyle name="Normal 5 10 26 4 3" xfId="33218" xr:uid="{00000000-0005-0000-0000-0000C0810000}"/>
    <cellStyle name="Normal 5 10 26 4 4" xfId="33219" xr:uid="{00000000-0005-0000-0000-0000C1810000}"/>
    <cellStyle name="Normal 5 10 26 4 5" xfId="33220" xr:uid="{00000000-0005-0000-0000-0000C2810000}"/>
    <cellStyle name="Normal 5 10 26 4 6" xfId="33221" xr:uid="{00000000-0005-0000-0000-0000C3810000}"/>
    <cellStyle name="Normal 5 10 26 4 7" xfId="33222" xr:uid="{00000000-0005-0000-0000-0000C4810000}"/>
    <cellStyle name="Normal 5 10 26 4 8" xfId="33223" xr:uid="{00000000-0005-0000-0000-0000C5810000}"/>
    <cellStyle name="Normal 5 10 26 4 9" xfId="33224" xr:uid="{00000000-0005-0000-0000-0000C6810000}"/>
    <cellStyle name="Normal 5 10 26 5" xfId="33225" xr:uid="{00000000-0005-0000-0000-0000C7810000}"/>
    <cellStyle name="Normal 5 10 26 5 10" xfId="33226" xr:uid="{00000000-0005-0000-0000-0000C8810000}"/>
    <cellStyle name="Normal 5 10 26 5 2" xfId="33227" xr:uid="{00000000-0005-0000-0000-0000C9810000}"/>
    <cellStyle name="Normal 5 10 26 5 3" xfId="33228" xr:uid="{00000000-0005-0000-0000-0000CA810000}"/>
    <cellStyle name="Normal 5 10 26 5 4" xfId="33229" xr:uid="{00000000-0005-0000-0000-0000CB810000}"/>
    <cellStyle name="Normal 5 10 26 5 5" xfId="33230" xr:uid="{00000000-0005-0000-0000-0000CC810000}"/>
    <cellStyle name="Normal 5 10 26 5 6" xfId="33231" xr:uid="{00000000-0005-0000-0000-0000CD810000}"/>
    <cellStyle name="Normal 5 10 26 5 7" xfId="33232" xr:uid="{00000000-0005-0000-0000-0000CE810000}"/>
    <cellStyle name="Normal 5 10 26 5 8" xfId="33233" xr:uid="{00000000-0005-0000-0000-0000CF810000}"/>
    <cellStyle name="Normal 5 10 26 5 9" xfId="33234" xr:uid="{00000000-0005-0000-0000-0000D0810000}"/>
    <cellStyle name="Normal 5 10 26 6" xfId="33235" xr:uid="{00000000-0005-0000-0000-0000D1810000}"/>
    <cellStyle name="Normal 5 10 26 7" xfId="33236" xr:uid="{00000000-0005-0000-0000-0000D2810000}"/>
    <cellStyle name="Normal 5 10 26 8" xfId="33237" xr:uid="{00000000-0005-0000-0000-0000D3810000}"/>
    <cellStyle name="Normal 5 10 26 9" xfId="33238" xr:uid="{00000000-0005-0000-0000-0000D4810000}"/>
    <cellStyle name="Normal 5 10 27" xfId="33239" xr:uid="{00000000-0005-0000-0000-0000D5810000}"/>
    <cellStyle name="Normal 5 10 27 10" xfId="33240" xr:uid="{00000000-0005-0000-0000-0000D6810000}"/>
    <cellStyle name="Normal 5 10 27 11" xfId="33241" xr:uid="{00000000-0005-0000-0000-0000D7810000}"/>
    <cellStyle name="Normal 5 10 27 12" xfId="33242" xr:uid="{00000000-0005-0000-0000-0000D8810000}"/>
    <cellStyle name="Normal 5 10 27 13" xfId="33243" xr:uid="{00000000-0005-0000-0000-0000D9810000}"/>
    <cellStyle name="Normal 5 10 27 14" xfId="33244" xr:uid="{00000000-0005-0000-0000-0000DA810000}"/>
    <cellStyle name="Normal 5 10 27 2" xfId="33245" xr:uid="{00000000-0005-0000-0000-0000DB810000}"/>
    <cellStyle name="Normal 5 10 27 2 10" xfId="33246" xr:uid="{00000000-0005-0000-0000-0000DC810000}"/>
    <cellStyle name="Normal 5 10 27 2 2" xfId="33247" xr:uid="{00000000-0005-0000-0000-0000DD810000}"/>
    <cellStyle name="Normal 5 10 27 2 3" xfId="33248" xr:uid="{00000000-0005-0000-0000-0000DE810000}"/>
    <cellStyle name="Normal 5 10 27 2 4" xfId="33249" xr:uid="{00000000-0005-0000-0000-0000DF810000}"/>
    <cellStyle name="Normal 5 10 27 2 5" xfId="33250" xr:uid="{00000000-0005-0000-0000-0000E0810000}"/>
    <cellStyle name="Normal 5 10 27 2 6" xfId="33251" xr:uid="{00000000-0005-0000-0000-0000E1810000}"/>
    <cellStyle name="Normal 5 10 27 2 7" xfId="33252" xr:uid="{00000000-0005-0000-0000-0000E2810000}"/>
    <cellStyle name="Normal 5 10 27 2 8" xfId="33253" xr:uid="{00000000-0005-0000-0000-0000E3810000}"/>
    <cellStyle name="Normal 5 10 27 2 9" xfId="33254" xr:uid="{00000000-0005-0000-0000-0000E4810000}"/>
    <cellStyle name="Normal 5 10 27 3" xfId="33255" xr:uid="{00000000-0005-0000-0000-0000E5810000}"/>
    <cellStyle name="Normal 5 10 27 3 10" xfId="33256" xr:uid="{00000000-0005-0000-0000-0000E6810000}"/>
    <cellStyle name="Normal 5 10 27 3 2" xfId="33257" xr:uid="{00000000-0005-0000-0000-0000E7810000}"/>
    <cellStyle name="Normal 5 10 27 3 3" xfId="33258" xr:uid="{00000000-0005-0000-0000-0000E8810000}"/>
    <cellStyle name="Normal 5 10 27 3 4" xfId="33259" xr:uid="{00000000-0005-0000-0000-0000E9810000}"/>
    <cellStyle name="Normal 5 10 27 3 5" xfId="33260" xr:uid="{00000000-0005-0000-0000-0000EA810000}"/>
    <cellStyle name="Normal 5 10 27 3 6" xfId="33261" xr:uid="{00000000-0005-0000-0000-0000EB810000}"/>
    <cellStyle name="Normal 5 10 27 3 7" xfId="33262" xr:uid="{00000000-0005-0000-0000-0000EC810000}"/>
    <cellStyle name="Normal 5 10 27 3 8" xfId="33263" xr:uid="{00000000-0005-0000-0000-0000ED810000}"/>
    <cellStyle name="Normal 5 10 27 3 9" xfId="33264" xr:uid="{00000000-0005-0000-0000-0000EE810000}"/>
    <cellStyle name="Normal 5 10 27 4" xfId="33265" xr:uid="{00000000-0005-0000-0000-0000EF810000}"/>
    <cellStyle name="Normal 5 10 27 4 10" xfId="33266" xr:uid="{00000000-0005-0000-0000-0000F0810000}"/>
    <cellStyle name="Normal 5 10 27 4 2" xfId="33267" xr:uid="{00000000-0005-0000-0000-0000F1810000}"/>
    <cellStyle name="Normal 5 10 27 4 3" xfId="33268" xr:uid="{00000000-0005-0000-0000-0000F2810000}"/>
    <cellStyle name="Normal 5 10 27 4 4" xfId="33269" xr:uid="{00000000-0005-0000-0000-0000F3810000}"/>
    <cellStyle name="Normal 5 10 27 4 5" xfId="33270" xr:uid="{00000000-0005-0000-0000-0000F4810000}"/>
    <cellStyle name="Normal 5 10 27 4 6" xfId="33271" xr:uid="{00000000-0005-0000-0000-0000F5810000}"/>
    <cellStyle name="Normal 5 10 27 4 7" xfId="33272" xr:uid="{00000000-0005-0000-0000-0000F6810000}"/>
    <cellStyle name="Normal 5 10 27 4 8" xfId="33273" xr:uid="{00000000-0005-0000-0000-0000F7810000}"/>
    <cellStyle name="Normal 5 10 27 4 9" xfId="33274" xr:uid="{00000000-0005-0000-0000-0000F8810000}"/>
    <cellStyle name="Normal 5 10 27 5" xfId="33275" xr:uid="{00000000-0005-0000-0000-0000F9810000}"/>
    <cellStyle name="Normal 5 10 27 5 10" xfId="33276" xr:uid="{00000000-0005-0000-0000-0000FA810000}"/>
    <cellStyle name="Normal 5 10 27 5 2" xfId="33277" xr:uid="{00000000-0005-0000-0000-0000FB810000}"/>
    <cellStyle name="Normal 5 10 27 5 3" xfId="33278" xr:uid="{00000000-0005-0000-0000-0000FC810000}"/>
    <cellStyle name="Normal 5 10 27 5 4" xfId="33279" xr:uid="{00000000-0005-0000-0000-0000FD810000}"/>
    <cellStyle name="Normal 5 10 27 5 5" xfId="33280" xr:uid="{00000000-0005-0000-0000-0000FE810000}"/>
    <cellStyle name="Normal 5 10 27 5 6" xfId="33281" xr:uid="{00000000-0005-0000-0000-0000FF810000}"/>
    <cellStyle name="Normal 5 10 27 5 7" xfId="33282" xr:uid="{00000000-0005-0000-0000-000000820000}"/>
    <cellStyle name="Normal 5 10 27 5 8" xfId="33283" xr:uid="{00000000-0005-0000-0000-000001820000}"/>
    <cellStyle name="Normal 5 10 27 5 9" xfId="33284" xr:uid="{00000000-0005-0000-0000-000002820000}"/>
    <cellStyle name="Normal 5 10 27 6" xfId="33285" xr:uid="{00000000-0005-0000-0000-000003820000}"/>
    <cellStyle name="Normal 5 10 27 7" xfId="33286" xr:uid="{00000000-0005-0000-0000-000004820000}"/>
    <cellStyle name="Normal 5 10 27 8" xfId="33287" xr:uid="{00000000-0005-0000-0000-000005820000}"/>
    <cellStyle name="Normal 5 10 27 9" xfId="33288" xr:uid="{00000000-0005-0000-0000-000006820000}"/>
    <cellStyle name="Normal 5 10 28" xfId="33289" xr:uid="{00000000-0005-0000-0000-000007820000}"/>
    <cellStyle name="Normal 5 10 28 10" xfId="33290" xr:uid="{00000000-0005-0000-0000-000008820000}"/>
    <cellStyle name="Normal 5 10 28 11" xfId="33291" xr:uid="{00000000-0005-0000-0000-000009820000}"/>
    <cellStyle name="Normal 5 10 28 12" xfId="33292" xr:uid="{00000000-0005-0000-0000-00000A820000}"/>
    <cellStyle name="Normal 5 10 28 13" xfId="33293" xr:uid="{00000000-0005-0000-0000-00000B820000}"/>
    <cellStyle name="Normal 5 10 28 14" xfId="33294" xr:uid="{00000000-0005-0000-0000-00000C820000}"/>
    <cellStyle name="Normal 5 10 28 2" xfId="33295" xr:uid="{00000000-0005-0000-0000-00000D820000}"/>
    <cellStyle name="Normal 5 10 28 2 10" xfId="33296" xr:uid="{00000000-0005-0000-0000-00000E820000}"/>
    <cellStyle name="Normal 5 10 28 2 2" xfId="33297" xr:uid="{00000000-0005-0000-0000-00000F820000}"/>
    <cellStyle name="Normal 5 10 28 2 3" xfId="33298" xr:uid="{00000000-0005-0000-0000-000010820000}"/>
    <cellStyle name="Normal 5 10 28 2 4" xfId="33299" xr:uid="{00000000-0005-0000-0000-000011820000}"/>
    <cellStyle name="Normal 5 10 28 2 5" xfId="33300" xr:uid="{00000000-0005-0000-0000-000012820000}"/>
    <cellStyle name="Normal 5 10 28 2 6" xfId="33301" xr:uid="{00000000-0005-0000-0000-000013820000}"/>
    <cellStyle name="Normal 5 10 28 2 7" xfId="33302" xr:uid="{00000000-0005-0000-0000-000014820000}"/>
    <cellStyle name="Normal 5 10 28 2 8" xfId="33303" xr:uid="{00000000-0005-0000-0000-000015820000}"/>
    <cellStyle name="Normal 5 10 28 2 9" xfId="33304" xr:uid="{00000000-0005-0000-0000-000016820000}"/>
    <cellStyle name="Normal 5 10 28 3" xfId="33305" xr:uid="{00000000-0005-0000-0000-000017820000}"/>
    <cellStyle name="Normal 5 10 28 3 10" xfId="33306" xr:uid="{00000000-0005-0000-0000-000018820000}"/>
    <cellStyle name="Normal 5 10 28 3 2" xfId="33307" xr:uid="{00000000-0005-0000-0000-000019820000}"/>
    <cellStyle name="Normal 5 10 28 3 3" xfId="33308" xr:uid="{00000000-0005-0000-0000-00001A820000}"/>
    <cellStyle name="Normal 5 10 28 3 4" xfId="33309" xr:uid="{00000000-0005-0000-0000-00001B820000}"/>
    <cellStyle name="Normal 5 10 28 3 5" xfId="33310" xr:uid="{00000000-0005-0000-0000-00001C820000}"/>
    <cellStyle name="Normal 5 10 28 3 6" xfId="33311" xr:uid="{00000000-0005-0000-0000-00001D820000}"/>
    <cellStyle name="Normal 5 10 28 3 7" xfId="33312" xr:uid="{00000000-0005-0000-0000-00001E820000}"/>
    <cellStyle name="Normal 5 10 28 3 8" xfId="33313" xr:uid="{00000000-0005-0000-0000-00001F820000}"/>
    <cellStyle name="Normal 5 10 28 3 9" xfId="33314" xr:uid="{00000000-0005-0000-0000-000020820000}"/>
    <cellStyle name="Normal 5 10 28 4" xfId="33315" xr:uid="{00000000-0005-0000-0000-000021820000}"/>
    <cellStyle name="Normal 5 10 28 4 10" xfId="33316" xr:uid="{00000000-0005-0000-0000-000022820000}"/>
    <cellStyle name="Normal 5 10 28 4 2" xfId="33317" xr:uid="{00000000-0005-0000-0000-000023820000}"/>
    <cellStyle name="Normal 5 10 28 4 3" xfId="33318" xr:uid="{00000000-0005-0000-0000-000024820000}"/>
    <cellStyle name="Normal 5 10 28 4 4" xfId="33319" xr:uid="{00000000-0005-0000-0000-000025820000}"/>
    <cellStyle name="Normal 5 10 28 4 5" xfId="33320" xr:uid="{00000000-0005-0000-0000-000026820000}"/>
    <cellStyle name="Normal 5 10 28 4 6" xfId="33321" xr:uid="{00000000-0005-0000-0000-000027820000}"/>
    <cellStyle name="Normal 5 10 28 4 7" xfId="33322" xr:uid="{00000000-0005-0000-0000-000028820000}"/>
    <cellStyle name="Normal 5 10 28 4 8" xfId="33323" xr:uid="{00000000-0005-0000-0000-000029820000}"/>
    <cellStyle name="Normal 5 10 28 4 9" xfId="33324" xr:uid="{00000000-0005-0000-0000-00002A820000}"/>
    <cellStyle name="Normal 5 10 28 5" xfId="33325" xr:uid="{00000000-0005-0000-0000-00002B820000}"/>
    <cellStyle name="Normal 5 10 28 5 10" xfId="33326" xr:uid="{00000000-0005-0000-0000-00002C820000}"/>
    <cellStyle name="Normal 5 10 28 5 2" xfId="33327" xr:uid="{00000000-0005-0000-0000-00002D820000}"/>
    <cellStyle name="Normal 5 10 28 5 3" xfId="33328" xr:uid="{00000000-0005-0000-0000-00002E820000}"/>
    <cellStyle name="Normal 5 10 28 5 4" xfId="33329" xr:uid="{00000000-0005-0000-0000-00002F820000}"/>
    <cellStyle name="Normal 5 10 28 5 5" xfId="33330" xr:uid="{00000000-0005-0000-0000-000030820000}"/>
    <cellStyle name="Normal 5 10 28 5 6" xfId="33331" xr:uid="{00000000-0005-0000-0000-000031820000}"/>
    <cellStyle name="Normal 5 10 28 5 7" xfId="33332" xr:uid="{00000000-0005-0000-0000-000032820000}"/>
    <cellStyle name="Normal 5 10 28 5 8" xfId="33333" xr:uid="{00000000-0005-0000-0000-000033820000}"/>
    <cellStyle name="Normal 5 10 28 5 9" xfId="33334" xr:uid="{00000000-0005-0000-0000-000034820000}"/>
    <cellStyle name="Normal 5 10 28 6" xfId="33335" xr:uid="{00000000-0005-0000-0000-000035820000}"/>
    <cellStyle name="Normal 5 10 28 7" xfId="33336" xr:uid="{00000000-0005-0000-0000-000036820000}"/>
    <cellStyle name="Normal 5 10 28 8" xfId="33337" xr:uid="{00000000-0005-0000-0000-000037820000}"/>
    <cellStyle name="Normal 5 10 28 9" xfId="33338" xr:uid="{00000000-0005-0000-0000-000038820000}"/>
    <cellStyle name="Normal 5 10 29" xfId="33339" xr:uid="{00000000-0005-0000-0000-000039820000}"/>
    <cellStyle name="Normal 5 10 29 10" xfId="33340" xr:uid="{00000000-0005-0000-0000-00003A820000}"/>
    <cellStyle name="Normal 5 10 29 11" xfId="33341" xr:uid="{00000000-0005-0000-0000-00003B820000}"/>
    <cellStyle name="Normal 5 10 29 12" xfId="33342" xr:uid="{00000000-0005-0000-0000-00003C820000}"/>
    <cellStyle name="Normal 5 10 29 13" xfId="33343" xr:uid="{00000000-0005-0000-0000-00003D820000}"/>
    <cellStyle name="Normal 5 10 29 14" xfId="33344" xr:uid="{00000000-0005-0000-0000-00003E820000}"/>
    <cellStyle name="Normal 5 10 29 2" xfId="33345" xr:uid="{00000000-0005-0000-0000-00003F820000}"/>
    <cellStyle name="Normal 5 10 29 2 10" xfId="33346" xr:uid="{00000000-0005-0000-0000-000040820000}"/>
    <cellStyle name="Normal 5 10 29 2 2" xfId="33347" xr:uid="{00000000-0005-0000-0000-000041820000}"/>
    <cellStyle name="Normal 5 10 29 2 3" xfId="33348" xr:uid="{00000000-0005-0000-0000-000042820000}"/>
    <cellStyle name="Normal 5 10 29 2 4" xfId="33349" xr:uid="{00000000-0005-0000-0000-000043820000}"/>
    <cellStyle name="Normal 5 10 29 2 5" xfId="33350" xr:uid="{00000000-0005-0000-0000-000044820000}"/>
    <cellStyle name="Normal 5 10 29 2 6" xfId="33351" xr:uid="{00000000-0005-0000-0000-000045820000}"/>
    <cellStyle name="Normal 5 10 29 2 7" xfId="33352" xr:uid="{00000000-0005-0000-0000-000046820000}"/>
    <cellStyle name="Normal 5 10 29 2 8" xfId="33353" xr:uid="{00000000-0005-0000-0000-000047820000}"/>
    <cellStyle name="Normal 5 10 29 2 9" xfId="33354" xr:uid="{00000000-0005-0000-0000-000048820000}"/>
    <cellStyle name="Normal 5 10 29 3" xfId="33355" xr:uid="{00000000-0005-0000-0000-000049820000}"/>
    <cellStyle name="Normal 5 10 29 3 10" xfId="33356" xr:uid="{00000000-0005-0000-0000-00004A820000}"/>
    <cellStyle name="Normal 5 10 29 3 2" xfId="33357" xr:uid="{00000000-0005-0000-0000-00004B820000}"/>
    <cellStyle name="Normal 5 10 29 3 3" xfId="33358" xr:uid="{00000000-0005-0000-0000-00004C820000}"/>
    <cellStyle name="Normal 5 10 29 3 4" xfId="33359" xr:uid="{00000000-0005-0000-0000-00004D820000}"/>
    <cellStyle name="Normal 5 10 29 3 5" xfId="33360" xr:uid="{00000000-0005-0000-0000-00004E820000}"/>
    <cellStyle name="Normal 5 10 29 3 6" xfId="33361" xr:uid="{00000000-0005-0000-0000-00004F820000}"/>
    <cellStyle name="Normal 5 10 29 3 7" xfId="33362" xr:uid="{00000000-0005-0000-0000-000050820000}"/>
    <cellStyle name="Normal 5 10 29 3 8" xfId="33363" xr:uid="{00000000-0005-0000-0000-000051820000}"/>
    <cellStyle name="Normal 5 10 29 3 9" xfId="33364" xr:uid="{00000000-0005-0000-0000-000052820000}"/>
    <cellStyle name="Normal 5 10 29 4" xfId="33365" xr:uid="{00000000-0005-0000-0000-000053820000}"/>
    <cellStyle name="Normal 5 10 29 4 10" xfId="33366" xr:uid="{00000000-0005-0000-0000-000054820000}"/>
    <cellStyle name="Normal 5 10 29 4 2" xfId="33367" xr:uid="{00000000-0005-0000-0000-000055820000}"/>
    <cellStyle name="Normal 5 10 29 4 3" xfId="33368" xr:uid="{00000000-0005-0000-0000-000056820000}"/>
    <cellStyle name="Normal 5 10 29 4 4" xfId="33369" xr:uid="{00000000-0005-0000-0000-000057820000}"/>
    <cellStyle name="Normal 5 10 29 4 5" xfId="33370" xr:uid="{00000000-0005-0000-0000-000058820000}"/>
    <cellStyle name="Normal 5 10 29 4 6" xfId="33371" xr:uid="{00000000-0005-0000-0000-000059820000}"/>
    <cellStyle name="Normal 5 10 29 4 7" xfId="33372" xr:uid="{00000000-0005-0000-0000-00005A820000}"/>
    <cellStyle name="Normal 5 10 29 4 8" xfId="33373" xr:uid="{00000000-0005-0000-0000-00005B820000}"/>
    <cellStyle name="Normal 5 10 29 4 9" xfId="33374" xr:uid="{00000000-0005-0000-0000-00005C820000}"/>
    <cellStyle name="Normal 5 10 29 5" xfId="33375" xr:uid="{00000000-0005-0000-0000-00005D820000}"/>
    <cellStyle name="Normal 5 10 29 5 10" xfId="33376" xr:uid="{00000000-0005-0000-0000-00005E820000}"/>
    <cellStyle name="Normal 5 10 29 5 2" xfId="33377" xr:uid="{00000000-0005-0000-0000-00005F820000}"/>
    <cellStyle name="Normal 5 10 29 5 3" xfId="33378" xr:uid="{00000000-0005-0000-0000-000060820000}"/>
    <cellStyle name="Normal 5 10 29 5 4" xfId="33379" xr:uid="{00000000-0005-0000-0000-000061820000}"/>
    <cellStyle name="Normal 5 10 29 5 5" xfId="33380" xr:uid="{00000000-0005-0000-0000-000062820000}"/>
    <cellStyle name="Normal 5 10 29 5 6" xfId="33381" xr:uid="{00000000-0005-0000-0000-000063820000}"/>
    <cellStyle name="Normal 5 10 29 5 7" xfId="33382" xr:uid="{00000000-0005-0000-0000-000064820000}"/>
    <cellStyle name="Normal 5 10 29 5 8" xfId="33383" xr:uid="{00000000-0005-0000-0000-000065820000}"/>
    <cellStyle name="Normal 5 10 29 5 9" xfId="33384" xr:uid="{00000000-0005-0000-0000-000066820000}"/>
    <cellStyle name="Normal 5 10 29 6" xfId="33385" xr:uid="{00000000-0005-0000-0000-000067820000}"/>
    <cellStyle name="Normal 5 10 29 7" xfId="33386" xr:uid="{00000000-0005-0000-0000-000068820000}"/>
    <cellStyle name="Normal 5 10 29 8" xfId="33387" xr:uid="{00000000-0005-0000-0000-000069820000}"/>
    <cellStyle name="Normal 5 10 29 9" xfId="33388" xr:uid="{00000000-0005-0000-0000-00006A820000}"/>
    <cellStyle name="Normal 5 10 3" xfId="33389" xr:uid="{00000000-0005-0000-0000-00006B820000}"/>
    <cellStyle name="Normal 5 10 3 10" xfId="33390" xr:uid="{00000000-0005-0000-0000-00006C820000}"/>
    <cellStyle name="Normal 5 10 3 11" xfId="33391" xr:uid="{00000000-0005-0000-0000-00006D820000}"/>
    <cellStyle name="Normal 5 10 3 12" xfId="33392" xr:uid="{00000000-0005-0000-0000-00006E820000}"/>
    <cellStyle name="Normal 5 10 3 13" xfId="33393" xr:uid="{00000000-0005-0000-0000-00006F820000}"/>
    <cellStyle name="Normal 5 10 3 14" xfId="33394" xr:uid="{00000000-0005-0000-0000-000070820000}"/>
    <cellStyle name="Normal 5 10 3 2" xfId="33395" xr:uid="{00000000-0005-0000-0000-000071820000}"/>
    <cellStyle name="Normal 5 10 3 2 10" xfId="33396" xr:uid="{00000000-0005-0000-0000-000072820000}"/>
    <cellStyle name="Normal 5 10 3 2 2" xfId="33397" xr:uid="{00000000-0005-0000-0000-000073820000}"/>
    <cellStyle name="Normal 5 10 3 2 3" xfId="33398" xr:uid="{00000000-0005-0000-0000-000074820000}"/>
    <cellStyle name="Normal 5 10 3 2 4" xfId="33399" xr:uid="{00000000-0005-0000-0000-000075820000}"/>
    <cellStyle name="Normal 5 10 3 2 5" xfId="33400" xr:uid="{00000000-0005-0000-0000-000076820000}"/>
    <cellStyle name="Normal 5 10 3 2 6" xfId="33401" xr:uid="{00000000-0005-0000-0000-000077820000}"/>
    <cellStyle name="Normal 5 10 3 2 7" xfId="33402" xr:uid="{00000000-0005-0000-0000-000078820000}"/>
    <cellStyle name="Normal 5 10 3 2 8" xfId="33403" xr:uid="{00000000-0005-0000-0000-000079820000}"/>
    <cellStyle name="Normal 5 10 3 2 9" xfId="33404" xr:uid="{00000000-0005-0000-0000-00007A820000}"/>
    <cellStyle name="Normal 5 10 3 3" xfId="33405" xr:uid="{00000000-0005-0000-0000-00007B820000}"/>
    <cellStyle name="Normal 5 10 3 3 10" xfId="33406" xr:uid="{00000000-0005-0000-0000-00007C820000}"/>
    <cellStyle name="Normal 5 10 3 3 2" xfId="33407" xr:uid="{00000000-0005-0000-0000-00007D820000}"/>
    <cellStyle name="Normal 5 10 3 3 3" xfId="33408" xr:uid="{00000000-0005-0000-0000-00007E820000}"/>
    <cellStyle name="Normal 5 10 3 3 4" xfId="33409" xr:uid="{00000000-0005-0000-0000-00007F820000}"/>
    <cellStyle name="Normal 5 10 3 3 5" xfId="33410" xr:uid="{00000000-0005-0000-0000-000080820000}"/>
    <cellStyle name="Normal 5 10 3 3 6" xfId="33411" xr:uid="{00000000-0005-0000-0000-000081820000}"/>
    <cellStyle name="Normal 5 10 3 3 7" xfId="33412" xr:uid="{00000000-0005-0000-0000-000082820000}"/>
    <cellStyle name="Normal 5 10 3 3 8" xfId="33413" xr:uid="{00000000-0005-0000-0000-000083820000}"/>
    <cellStyle name="Normal 5 10 3 3 9" xfId="33414" xr:uid="{00000000-0005-0000-0000-000084820000}"/>
    <cellStyle name="Normal 5 10 3 4" xfId="33415" xr:uid="{00000000-0005-0000-0000-000085820000}"/>
    <cellStyle name="Normal 5 10 3 4 10" xfId="33416" xr:uid="{00000000-0005-0000-0000-000086820000}"/>
    <cellStyle name="Normal 5 10 3 4 2" xfId="33417" xr:uid="{00000000-0005-0000-0000-000087820000}"/>
    <cellStyle name="Normal 5 10 3 4 3" xfId="33418" xr:uid="{00000000-0005-0000-0000-000088820000}"/>
    <cellStyle name="Normal 5 10 3 4 4" xfId="33419" xr:uid="{00000000-0005-0000-0000-000089820000}"/>
    <cellStyle name="Normal 5 10 3 4 5" xfId="33420" xr:uid="{00000000-0005-0000-0000-00008A820000}"/>
    <cellStyle name="Normal 5 10 3 4 6" xfId="33421" xr:uid="{00000000-0005-0000-0000-00008B820000}"/>
    <cellStyle name="Normal 5 10 3 4 7" xfId="33422" xr:uid="{00000000-0005-0000-0000-00008C820000}"/>
    <cellStyle name="Normal 5 10 3 4 8" xfId="33423" xr:uid="{00000000-0005-0000-0000-00008D820000}"/>
    <cellStyle name="Normal 5 10 3 4 9" xfId="33424" xr:uid="{00000000-0005-0000-0000-00008E820000}"/>
    <cellStyle name="Normal 5 10 3 5" xfId="33425" xr:uid="{00000000-0005-0000-0000-00008F820000}"/>
    <cellStyle name="Normal 5 10 3 5 10" xfId="33426" xr:uid="{00000000-0005-0000-0000-000090820000}"/>
    <cellStyle name="Normal 5 10 3 5 2" xfId="33427" xr:uid="{00000000-0005-0000-0000-000091820000}"/>
    <cellStyle name="Normal 5 10 3 5 3" xfId="33428" xr:uid="{00000000-0005-0000-0000-000092820000}"/>
    <cellStyle name="Normal 5 10 3 5 4" xfId="33429" xr:uid="{00000000-0005-0000-0000-000093820000}"/>
    <cellStyle name="Normal 5 10 3 5 5" xfId="33430" xr:uid="{00000000-0005-0000-0000-000094820000}"/>
    <cellStyle name="Normal 5 10 3 5 6" xfId="33431" xr:uid="{00000000-0005-0000-0000-000095820000}"/>
    <cellStyle name="Normal 5 10 3 5 7" xfId="33432" xr:uid="{00000000-0005-0000-0000-000096820000}"/>
    <cellStyle name="Normal 5 10 3 5 8" xfId="33433" xr:uid="{00000000-0005-0000-0000-000097820000}"/>
    <cellStyle name="Normal 5 10 3 5 9" xfId="33434" xr:uid="{00000000-0005-0000-0000-000098820000}"/>
    <cellStyle name="Normal 5 10 3 6" xfId="33435" xr:uid="{00000000-0005-0000-0000-000099820000}"/>
    <cellStyle name="Normal 5 10 3 7" xfId="33436" xr:uid="{00000000-0005-0000-0000-00009A820000}"/>
    <cellStyle name="Normal 5 10 3 8" xfId="33437" xr:uid="{00000000-0005-0000-0000-00009B820000}"/>
    <cellStyle name="Normal 5 10 3 9" xfId="33438" xr:uid="{00000000-0005-0000-0000-00009C820000}"/>
    <cellStyle name="Normal 5 10 30" xfId="33439" xr:uid="{00000000-0005-0000-0000-00009D820000}"/>
    <cellStyle name="Normal 5 10 30 10" xfId="33440" xr:uid="{00000000-0005-0000-0000-00009E820000}"/>
    <cellStyle name="Normal 5 10 30 11" xfId="33441" xr:uid="{00000000-0005-0000-0000-00009F820000}"/>
    <cellStyle name="Normal 5 10 30 12" xfId="33442" xr:uid="{00000000-0005-0000-0000-0000A0820000}"/>
    <cellStyle name="Normal 5 10 30 13" xfId="33443" xr:uid="{00000000-0005-0000-0000-0000A1820000}"/>
    <cellStyle name="Normal 5 10 30 14" xfId="33444" xr:uid="{00000000-0005-0000-0000-0000A2820000}"/>
    <cellStyle name="Normal 5 10 30 2" xfId="33445" xr:uid="{00000000-0005-0000-0000-0000A3820000}"/>
    <cellStyle name="Normal 5 10 30 2 10" xfId="33446" xr:uid="{00000000-0005-0000-0000-0000A4820000}"/>
    <cellStyle name="Normal 5 10 30 2 2" xfId="33447" xr:uid="{00000000-0005-0000-0000-0000A5820000}"/>
    <cellStyle name="Normal 5 10 30 2 3" xfId="33448" xr:uid="{00000000-0005-0000-0000-0000A6820000}"/>
    <cellStyle name="Normal 5 10 30 2 4" xfId="33449" xr:uid="{00000000-0005-0000-0000-0000A7820000}"/>
    <cellStyle name="Normal 5 10 30 2 5" xfId="33450" xr:uid="{00000000-0005-0000-0000-0000A8820000}"/>
    <cellStyle name="Normal 5 10 30 2 6" xfId="33451" xr:uid="{00000000-0005-0000-0000-0000A9820000}"/>
    <cellStyle name="Normal 5 10 30 2 7" xfId="33452" xr:uid="{00000000-0005-0000-0000-0000AA820000}"/>
    <cellStyle name="Normal 5 10 30 2 8" xfId="33453" xr:uid="{00000000-0005-0000-0000-0000AB820000}"/>
    <cellStyle name="Normal 5 10 30 2 9" xfId="33454" xr:uid="{00000000-0005-0000-0000-0000AC820000}"/>
    <cellStyle name="Normal 5 10 30 3" xfId="33455" xr:uid="{00000000-0005-0000-0000-0000AD820000}"/>
    <cellStyle name="Normal 5 10 30 3 10" xfId="33456" xr:uid="{00000000-0005-0000-0000-0000AE820000}"/>
    <cellStyle name="Normal 5 10 30 3 2" xfId="33457" xr:uid="{00000000-0005-0000-0000-0000AF820000}"/>
    <cellStyle name="Normal 5 10 30 3 3" xfId="33458" xr:uid="{00000000-0005-0000-0000-0000B0820000}"/>
    <cellStyle name="Normal 5 10 30 3 4" xfId="33459" xr:uid="{00000000-0005-0000-0000-0000B1820000}"/>
    <cellStyle name="Normal 5 10 30 3 5" xfId="33460" xr:uid="{00000000-0005-0000-0000-0000B2820000}"/>
    <cellStyle name="Normal 5 10 30 3 6" xfId="33461" xr:uid="{00000000-0005-0000-0000-0000B3820000}"/>
    <cellStyle name="Normal 5 10 30 3 7" xfId="33462" xr:uid="{00000000-0005-0000-0000-0000B4820000}"/>
    <cellStyle name="Normal 5 10 30 3 8" xfId="33463" xr:uid="{00000000-0005-0000-0000-0000B5820000}"/>
    <cellStyle name="Normal 5 10 30 3 9" xfId="33464" xr:uid="{00000000-0005-0000-0000-0000B6820000}"/>
    <cellStyle name="Normal 5 10 30 4" xfId="33465" xr:uid="{00000000-0005-0000-0000-0000B7820000}"/>
    <cellStyle name="Normal 5 10 30 4 10" xfId="33466" xr:uid="{00000000-0005-0000-0000-0000B8820000}"/>
    <cellStyle name="Normal 5 10 30 4 2" xfId="33467" xr:uid="{00000000-0005-0000-0000-0000B9820000}"/>
    <cellStyle name="Normal 5 10 30 4 3" xfId="33468" xr:uid="{00000000-0005-0000-0000-0000BA820000}"/>
    <cellStyle name="Normal 5 10 30 4 4" xfId="33469" xr:uid="{00000000-0005-0000-0000-0000BB820000}"/>
    <cellStyle name="Normal 5 10 30 4 5" xfId="33470" xr:uid="{00000000-0005-0000-0000-0000BC820000}"/>
    <cellStyle name="Normal 5 10 30 4 6" xfId="33471" xr:uid="{00000000-0005-0000-0000-0000BD820000}"/>
    <cellStyle name="Normal 5 10 30 4 7" xfId="33472" xr:uid="{00000000-0005-0000-0000-0000BE820000}"/>
    <cellStyle name="Normal 5 10 30 4 8" xfId="33473" xr:uid="{00000000-0005-0000-0000-0000BF820000}"/>
    <cellStyle name="Normal 5 10 30 4 9" xfId="33474" xr:uid="{00000000-0005-0000-0000-0000C0820000}"/>
    <cellStyle name="Normal 5 10 30 5" xfId="33475" xr:uid="{00000000-0005-0000-0000-0000C1820000}"/>
    <cellStyle name="Normal 5 10 30 5 10" xfId="33476" xr:uid="{00000000-0005-0000-0000-0000C2820000}"/>
    <cellStyle name="Normal 5 10 30 5 2" xfId="33477" xr:uid="{00000000-0005-0000-0000-0000C3820000}"/>
    <cellStyle name="Normal 5 10 30 5 3" xfId="33478" xr:uid="{00000000-0005-0000-0000-0000C4820000}"/>
    <cellStyle name="Normal 5 10 30 5 4" xfId="33479" xr:uid="{00000000-0005-0000-0000-0000C5820000}"/>
    <cellStyle name="Normal 5 10 30 5 5" xfId="33480" xr:uid="{00000000-0005-0000-0000-0000C6820000}"/>
    <cellStyle name="Normal 5 10 30 5 6" xfId="33481" xr:uid="{00000000-0005-0000-0000-0000C7820000}"/>
    <cellStyle name="Normal 5 10 30 5 7" xfId="33482" xr:uid="{00000000-0005-0000-0000-0000C8820000}"/>
    <cellStyle name="Normal 5 10 30 5 8" xfId="33483" xr:uid="{00000000-0005-0000-0000-0000C9820000}"/>
    <cellStyle name="Normal 5 10 30 5 9" xfId="33484" xr:uid="{00000000-0005-0000-0000-0000CA820000}"/>
    <cellStyle name="Normal 5 10 30 6" xfId="33485" xr:uid="{00000000-0005-0000-0000-0000CB820000}"/>
    <cellStyle name="Normal 5 10 30 7" xfId="33486" xr:uid="{00000000-0005-0000-0000-0000CC820000}"/>
    <cellStyle name="Normal 5 10 30 8" xfId="33487" xr:uid="{00000000-0005-0000-0000-0000CD820000}"/>
    <cellStyle name="Normal 5 10 30 9" xfId="33488" xr:uid="{00000000-0005-0000-0000-0000CE820000}"/>
    <cellStyle name="Normal 5 10 31" xfId="33489" xr:uid="{00000000-0005-0000-0000-0000CF820000}"/>
    <cellStyle name="Normal 5 10 31 10" xfId="33490" xr:uid="{00000000-0005-0000-0000-0000D0820000}"/>
    <cellStyle name="Normal 5 10 31 11" xfId="33491" xr:uid="{00000000-0005-0000-0000-0000D1820000}"/>
    <cellStyle name="Normal 5 10 31 12" xfId="33492" xr:uid="{00000000-0005-0000-0000-0000D2820000}"/>
    <cellStyle name="Normal 5 10 31 13" xfId="33493" xr:uid="{00000000-0005-0000-0000-0000D3820000}"/>
    <cellStyle name="Normal 5 10 31 14" xfId="33494" xr:uid="{00000000-0005-0000-0000-0000D4820000}"/>
    <cellStyle name="Normal 5 10 31 2" xfId="33495" xr:uid="{00000000-0005-0000-0000-0000D5820000}"/>
    <cellStyle name="Normal 5 10 31 2 10" xfId="33496" xr:uid="{00000000-0005-0000-0000-0000D6820000}"/>
    <cellStyle name="Normal 5 10 31 2 2" xfId="33497" xr:uid="{00000000-0005-0000-0000-0000D7820000}"/>
    <cellStyle name="Normal 5 10 31 2 3" xfId="33498" xr:uid="{00000000-0005-0000-0000-0000D8820000}"/>
    <cellStyle name="Normal 5 10 31 2 4" xfId="33499" xr:uid="{00000000-0005-0000-0000-0000D9820000}"/>
    <cellStyle name="Normal 5 10 31 2 5" xfId="33500" xr:uid="{00000000-0005-0000-0000-0000DA820000}"/>
    <cellStyle name="Normal 5 10 31 2 6" xfId="33501" xr:uid="{00000000-0005-0000-0000-0000DB820000}"/>
    <cellStyle name="Normal 5 10 31 2 7" xfId="33502" xr:uid="{00000000-0005-0000-0000-0000DC820000}"/>
    <cellStyle name="Normal 5 10 31 2 8" xfId="33503" xr:uid="{00000000-0005-0000-0000-0000DD820000}"/>
    <cellStyle name="Normal 5 10 31 2 9" xfId="33504" xr:uid="{00000000-0005-0000-0000-0000DE820000}"/>
    <cellStyle name="Normal 5 10 31 3" xfId="33505" xr:uid="{00000000-0005-0000-0000-0000DF820000}"/>
    <cellStyle name="Normal 5 10 31 3 10" xfId="33506" xr:uid="{00000000-0005-0000-0000-0000E0820000}"/>
    <cellStyle name="Normal 5 10 31 3 2" xfId="33507" xr:uid="{00000000-0005-0000-0000-0000E1820000}"/>
    <cellStyle name="Normal 5 10 31 3 3" xfId="33508" xr:uid="{00000000-0005-0000-0000-0000E2820000}"/>
    <cellStyle name="Normal 5 10 31 3 4" xfId="33509" xr:uid="{00000000-0005-0000-0000-0000E3820000}"/>
    <cellStyle name="Normal 5 10 31 3 5" xfId="33510" xr:uid="{00000000-0005-0000-0000-0000E4820000}"/>
    <cellStyle name="Normal 5 10 31 3 6" xfId="33511" xr:uid="{00000000-0005-0000-0000-0000E5820000}"/>
    <cellStyle name="Normal 5 10 31 3 7" xfId="33512" xr:uid="{00000000-0005-0000-0000-0000E6820000}"/>
    <cellStyle name="Normal 5 10 31 3 8" xfId="33513" xr:uid="{00000000-0005-0000-0000-0000E7820000}"/>
    <cellStyle name="Normal 5 10 31 3 9" xfId="33514" xr:uid="{00000000-0005-0000-0000-0000E8820000}"/>
    <cellStyle name="Normal 5 10 31 4" xfId="33515" xr:uid="{00000000-0005-0000-0000-0000E9820000}"/>
    <cellStyle name="Normal 5 10 31 4 10" xfId="33516" xr:uid="{00000000-0005-0000-0000-0000EA820000}"/>
    <cellStyle name="Normal 5 10 31 4 2" xfId="33517" xr:uid="{00000000-0005-0000-0000-0000EB820000}"/>
    <cellStyle name="Normal 5 10 31 4 3" xfId="33518" xr:uid="{00000000-0005-0000-0000-0000EC820000}"/>
    <cellStyle name="Normal 5 10 31 4 4" xfId="33519" xr:uid="{00000000-0005-0000-0000-0000ED820000}"/>
    <cellStyle name="Normal 5 10 31 4 5" xfId="33520" xr:uid="{00000000-0005-0000-0000-0000EE820000}"/>
    <cellStyle name="Normal 5 10 31 4 6" xfId="33521" xr:uid="{00000000-0005-0000-0000-0000EF820000}"/>
    <cellStyle name="Normal 5 10 31 4 7" xfId="33522" xr:uid="{00000000-0005-0000-0000-0000F0820000}"/>
    <cellStyle name="Normal 5 10 31 4 8" xfId="33523" xr:uid="{00000000-0005-0000-0000-0000F1820000}"/>
    <cellStyle name="Normal 5 10 31 4 9" xfId="33524" xr:uid="{00000000-0005-0000-0000-0000F2820000}"/>
    <cellStyle name="Normal 5 10 31 5" xfId="33525" xr:uid="{00000000-0005-0000-0000-0000F3820000}"/>
    <cellStyle name="Normal 5 10 31 5 10" xfId="33526" xr:uid="{00000000-0005-0000-0000-0000F4820000}"/>
    <cellStyle name="Normal 5 10 31 5 2" xfId="33527" xr:uid="{00000000-0005-0000-0000-0000F5820000}"/>
    <cellStyle name="Normal 5 10 31 5 3" xfId="33528" xr:uid="{00000000-0005-0000-0000-0000F6820000}"/>
    <cellStyle name="Normal 5 10 31 5 4" xfId="33529" xr:uid="{00000000-0005-0000-0000-0000F7820000}"/>
    <cellStyle name="Normal 5 10 31 5 5" xfId="33530" xr:uid="{00000000-0005-0000-0000-0000F8820000}"/>
    <cellStyle name="Normal 5 10 31 5 6" xfId="33531" xr:uid="{00000000-0005-0000-0000-0000F9820000}"/>
    <cellStyle name="Normal 5 10 31 5 7" xfId="33532" xr:uid="{00000000-0005-0000-0000-0000FA820000}"/>
    <cellStyle name="Normal 5 10 31 5 8" xfId="33533" xr:uid="{00000000-0005-0000-0000-0000FB820000}"/>
    <cellStyle name="Normal 5 10 31 5 9" xfId="33534" xr:uid="{00000000-0005-0000-0000-0000FC820000}"/>
    <cellStyle name="Normal 5 10 31 6" xfId="33535" xr:uid="{00000000-0005-0000-0000-0000FD820000}"/>
    <cellStyle name="Normal 5 10 31 7" xfId="33536" xr:uid="{00000000-0005-0000-0000-0000FE820000}"/>
    <cellStyle name="Normal 5 10 31 8" xfId="33537" xr:uid="{00000000-0005-0000-0000-0000FF820000}"/>
    <cellStyle name="Normal 5 10 31 9" xfId="33538" xr:uid="{00000000-0005-0000-0000-000000830000}"/>
    <cellStyle name="Normal 5 10 32" xfId="33539" xr:uid="{00000000-0005-0000-0000-000001830000}"/>
    <cellStyle name="Normal 5 10 32 10" xfId="33540" xr:uid="{00000000-0005-0000-0000-000002830000}"/>
    <cellStyle name="Normal 5 10 32 11" xfId="33541" xr:uid="{00000000-0005-0000-0000-000003830000}"/>
    <cellStyle name="Normal 5 10 32 12" xfId="33542" xr:uid="{00000000-0005-0000-0000-000004830000}"/>
    <cellStyle name="Normal 5 10 32 13" xfId="33543" xr:uid="{00000000-0005-0000-0000-000005830000}"/>
    <cellStyle name="Normal 5 10 32 14" xfId="33544" xr:uid="{00000000-0005-0000-0000-000006830000}"/>
    <cellStyle name="Normal 5 10 32 2" xfId="33545" xr:uid="{00000000-0005-0000-0000-000007830000}"/>
    <cellStyle name="Normal 5 10 32 2 10" xfId="33546" xr:uid="{00000000-0005-0000-0000-000008830000}"/>
    <cellStyle name="Normal 5 10 32 2 2" xfId="33547" xr:uid="{00000000-0005-0000-0000-000009830000}"/>
    <cellStyle name="Normal 5 10 32 2 3" xfId="33548" xr:uid="{00000000-0005-0000-0000-00000A830000}"/>
    <cellStyle name="Normal 5 10 32 2 4" xfId="33549" xr:uid="{00000000-0005-0000-0000-00000B830000}"/>
    <cellStyle name="Normal 5 10 32 2 5" xfId="33550" xr:uid="{00000000-0005-0000-0000-00000C830000}"/>
    <cellStyle name="Normal 5 10 32 2 6" xfId="33551" xr:uid="{00000000-0005-0000-0000-00000D830000}"/>
    <cellStyle name="Normal 5 10 32 2 7" xfId="33552" xr:uid="{00000000-0005-0000-0000-00000E830000}"/>
    <cellStyle name="Normal 5 10 32 2 8" xfId="33553" xr:uid="{00000000-0005-0000-0000-00000F830000}"/>
    <cellStyle name="Normal 5 10 32 2 9" xfId="33554" xr:uid="{00000000-0005-0000-0000-000010830000}"/>
    <cellStyle name="Normal 5 10 32 3" xfId="33555" xr:uid="{00000000-0005-0000-0000-000011830000}"/>
    <cellStyle name="Normal 5 10 32 3 10" xfId="33556" xr:uid="{00000000-0005-0000-0000-000012830000}"/>
    <cellStyle name="Normal 5 10 32 3 2" xfId="33557" xr:uid="{00000000-0005-0000-0000-000013830000}"/>
    <cellStyle name="Normal 5 10 32 3 3" xfId="33558" xr:uid="{00000000-0005-0000-0000-000014830000}"/>
    <cellStyle name="Normal 5 10 32 3 4" xfId="33559" xr:uid="{00000000-0005-0000-0000-000015830000}"/>
    <cellStyle name="Normal 5 10 32 3 5" xfId="33560" xr:uid="{00000000-0005-0000-0000-000016830000}"/>
    <cellStyle name="Normal 5 10 32 3 6" xfId="33561" xr:uid="{00000000-0005-0000-0000-000017830000}"/>
    <cellStyle name="Normal 5 10 32 3 7" xfId="33562" xr:uid="{00000000-0005-0000-0000-000018830000}"/>
    <cellStyle name="Normal 5 10 32 3 8" xfId="33563" xr:uid="{00000000-0005-0000-0000-000019830000}"/>
    <cellStyle name="Normal 5 10 32 3 9" xfId="33564" xr:uid="{00000000-0005-0000-0000-00001A830000}"/>
    <cellStyle name="Normal 5 10 32 4" xfId="33565" xr:uid="{00000000-0005-0000-0000-00001B830000}"/>
    <cellStyle name="Normal 5 10 32 4 10" xfId="33566" xr:uid="{00000000-0005-0000-0000-00001C830000}"/>
    <cellStyle name="Normal 5 10 32 4 2" xfId="33567" xr:uid="{00000000-0005-0000-0000-00001D830000}"/>
    <cellStyle name="Normal 5 10 32 4 3" xfId="33568" xr:uid="{00000000-0005-0000-0000-00001E830000}"/>
    <cellStyle name="Normal 5 10 32 4 4" xfId="33569" xr:uid="{00000000-0005-0000-0000-00001F830000}"/>
    <cellStyle name="Normal 5 10 32 4 5" xfId="33570" xr:uid="{00000000-0005-0000-0000-000020830000}"/>
    <cellStyle name="Normal 5 10 32 4 6" xfId="33571" xr:uid="{00000000-0005-0000-0000-000021830000}"/>
    <cellStyle name="Normal 5 10 32 4 7" xfId="33572" xr:uid="{00000000-0005-0000-0000-000022830000}"/>
    <cellStyle name="Normal 5 10 32 4 8" xfId="33573" xr:uid="{00000000-0005-0000-0000-000023830000}"/>
    <cellStyle name="Normal 5 10 32 4 9" xfId="33574" xr:uid="{00000000-0005-0000-0000-000024830000}"/>
    <cellStyle name="Normal 5 10 32 5" xfId="33575" xr:uid="{00000000-0005-0000-0000-000025830000}"/>
    <cellStyle name="Normal 5 10 32 5 10" xfId="33576" xr:uid="{00000000-0005-0000-0000-000026830000}"/>
    <cellStyle name="Normal 5 10 32 5 2" xfId="33577" xr:uid="{00000000-0005-0000-0000-000027830000}"/>
    <cellStyle name="Normal 5 10 32 5 3" xfId="33578" xr:uid="{00000000-0005-0000-0000-000028830000}"/>
    <cellStyle name="Normal 5 10 32 5 4" xfId="33579" xr:uid="{00000000-0005-0000-0000-000029830000}"/>
    <cellStyle name="Normal 5 10 32 5 5" xfId="33580" xr:uid="{00000000-0005-0000-0000-00002A830000}"/>
    <cellStyle name="Normal 5 10 32 5 6" xfId="33581" xr:uid="{00000000-0005-0000-0000-00002B830000}"/>
    <cellStyle name="Normal 5 10 32 5 7" xfId="33582" xr:uid="{00000000-0005-0000-0000-00002C830000}"/>
    <cellStyle name="Normal 5 10 32 5 8" xfId="33583" xr:uid="{00000000-0005-0000-0000-00002D830000}"/>
    <cellStyle name="Normal 5 10 32 5 9" xfId="33584" xr:uid="{00000000-0005-0000-0000-00002E830000}"/>
    <cellStyle name="Normal 5 10 32 6" xfId="33585" xr:uid="{00000000-0005-0000-0000-00002F830000}"/>
    <cellStyle name="Normal 5 10 32 7" xfId="33586" xr:uid="{00000000-0005-0000-0000-000030830000}"/>
    <cellStyle name="Normal 5 10 32 8" xfId="33587" xr:uid="{00000000-0005-0000-0000-000031830000}"/>
    <cellStyle name="Normal 5 10 32 9" xfId="33588" xr:uid="{00000000-0005-0000-0000-000032830000}"/>
    <cellStyle name="Normal 5 10 33" xfId="33589" xr:uid="{00000000-0005-0000-0000-000033830000}"/>
    <cellStyle name="Normal 5 10 33 10" xfId="33590" xr:uid="{00000000-0005-0000-0000-000034830000}"/>
    <cellStyle name="Normal 5 10 33 11" xfId="33591" xr:uid="{00000000-0005-0000-0000-000035830000}"/>
    <cellStyle name="Normal 5 10 33 12" xfId="33592" xr:uid="{00000000-0005-0000-0000-000036830000}"/>
    <cellStyle name="Normal 5 10 33 13" xfId="33593" xr:uid="{00000000-0005-0000-0000-000037830000}"/>
    <cellStyle name="Normal 5 10 33 14" xfId="33594" xr:uid="{00000000-0005-0000-0000-000038830000}"/>
    <cellStyle name="Normal 5 10 33 2" xfId="33595" xr:uid="{00000000-0005-0000-0000-000039830000}"/>
    <cellStyle name="Normal 5 10 33 2 10" xfId="33596" xr:uid="{00000000-0005-0000-0000-00003A830000}"/>
    <cellStyle name="Normal 5 10 33 2 2" xfId="33597" xr:uid="{00000000-0005-0000-0000-00003B830000}"/>
    <cellStyle name="Normal 5 10 33 2 3" xfId="33598" xr:uid="{00000000-0005-0000-0000-00003C830000}"/>
    <cellStyle name="Normal 5 10 33 2 4" xfId="33599" xr:uid="{00000000-0005-0000-0000-00003D830000}"/>
    <cellStyle name="Normal 5 10 33 2 5" xfId="33600" xr:uid="{00000000-0005-0000-0000-00003E830000}"/>
    <cellStyle name="Normal 5 10 33 2 6" xfId="33601" xr:uid="{00000000-0005-0000-0000-00003F830000}"/>
    <cellStyle name="Normal 5 10 33 2 7" xfId="33602" xr:uid="{00000000-0005-0000-0000-000040830000}"/>
    <cellStyle name="Normal 5 10 33 2 8" xfId="33603" xr:uid="{00000000-0005-0000-0000-000041830000}"/>
    <cellStyle name="Normal 5 10 33 2 9" xfId="33604" xr:uid="{00000000-0005-0000-0000-000042830000}"/>
    <cellStyle name="Normal 5 10 33 3" xfId="33605" xr:uid="{00000000-0005-0000-0000-000043830000}"/>
    <cellStyle name="Normal 5 10 33 3 10" xfId="33606" xr:uid="{00000000-0005-0000-0000-000044830000}"/>
    <cellStyle name="Normal 5 10 33 3 2" xfId="33607" xr:uid="{00000000-0005-0000-0000-000045830000}"/>
    <cellStyle name="Normal 5 10 33 3 3" xfId="33608" xr:uid="{00000000-0005-0000-0000-000046830000}"/>
    <cellStyle name="Normal 5 10 33 3 4" xfId="33609" xr:uid="{00000000-0005-0000-0000-000047830000}"/>
    <cellStyle name="Normal 5 10 33 3 5" xfId="33610" xr:uid="{00000000-0005-0000-0000-000048830000}"/>
    <cellStyle name="Normal 5 10 33 3 6" xfId="33611" xr:uid="{00000000-0005-0000-0000-000049830000}"/>
    <cellStyle name="Normal 5 10 33 3 7" xfId="33612" xr:uid="{00000000-0005-0000-0000-00004A830000}"/>
    <cellStyle name="Normal 5 10 33 3 8" xfId="33613" xr:uid="{00000000-0005-0000-0000-00004B830000}"/>
    <cellStyle name="Normal 5 10 33 3 9" xfId="33614" xr:uid="{00000000-0005-0000-0000-00004C830000}"/>
    <cellStyle name="Normal 5 10 33 4" xfId="33615" xr:uid="{00000000-0005-0000-0000-00004D830000}"/>
    <cellStyle name="Normal 5 10 33 4 10" xfId="33616" xr:uid="{00000000-0005-0000-0000-00004E830000}"/>
    <cellStyle name="Normal 5 10 33 4 2" xfId="33617" xr:uid="{00000000-0005-0000-0000-00004F830000}"/>
    <cellStyle name="Normal 5 10 33 4 3" xfId="33618" xr:uid="{00000000-0005-0000-0000-000050830000}"/>
    <cellStyle name="Normal 5 10 33 4 4" xfId="33619" xr:uid="{00000000-0005-0000-0000-000051830000}"/>
    <cellStyle name="Normal 5 10 33 4 5" xfId="33620" xr:uid="{00000000-0005-0000-0000-000052830000}"/>
    <cellStyle name="Normal 5 10 33 4 6" xfId="33621" xr:uid="{00000000-0005-0000-0000-000053830000}"/>
    <cellStyle name="Normal 5 10 33 4 7" xfId="33622" xr:uid="{00000000-0005-0000-0000-000054830000}"/>
    <cellStyle name="Normal 5 10 33 4 8" xfId="33623" xr:uid="{00000000-0005-0000-0000-000055830000}"/>
    <cellStyle name="Normal 5 10 33 4 9" xfId="33624" xr:uid="{00000000-0005-0000-0000-000056830000}"/>
    <cellStyle name="Normal 5 10 33 5" xfId="33625" xr:uid="{00000000-0005-0000-0000-000057830000}"/>
    <cellStyle name="Normal 5 10 33 5 10" xfId="33626" xr:uid="{00000000-0005-0000-0000-000058830000}"/>
    <cellStyle name="Normal 5 10 33 5 2" xfId="33627" xr:uid="{00000000-0005-0000-0000-000059830000}"/>
    <cellStyle name="Normal 5 10 33 5 3" xfId="33628" xr:uid="{00000000-0005-0000-0000-00005A830000}"/>
    <cellStyle name="Normal 5 10 33 5 4" xfId="33629" xr:uid="{00000000-0005-0000-0000-00005B830000}"/>
    <cellStyle name="Normal 5 10 33 5 5" xfId="33630" xr:uid="{00000000-0005-0000-0000-00005C830000}"/>
    <cellStyle name="Normal 5 10 33 5 6" xfId="33631" xr:uid="{00000000-0005-0000-0000-00005D830000}"/>
    <cellStyle name="Normal 5 10 33 5 7" xfId="33632" xr:uid="{00000000-0005-0000-0000-00005E830000}"/>
    <cellStyle name="Normal 5 10 33 5 8" xfId="33633" xr:uid="{00000000-0005-0000-0000-00005F830000}"/>
    <cellStyle name="Normal 5 10 33 5 9" xfId="33634" xr:uid="{00000000-0005-0000-0000-000060830000}"/>
    <cellStyle name="Normal 5 10 33 6" xfId="33635" xr:uid="{00000000-0005-0000-0000-000061830000}"/>
    <cellStyle name="Normal 5 10 33 7" xfId="33636" xr:uid="{00000000-0005-0000-0000-000062830000}"/>
    <cellStyle name="Normal 5 10 33 8" xfId="33637" xr:uid="{00000000-0005-0000-0000-000063830000}"/>
    <cellStyle name="Normal 5 10 33 9" xfId="33638" xr:uid="{00000000-0005-0000-0000-000064830000}"/>
    <cellStyle name="Normal 5 10 34" xfId="33639" xr:uid="{00000000-0005-0000-0000-000065830000}"/>
    <cellStyle name="Normal 5 10 34 10" xfId="33640" xr:uid="{00000000-0005-0000-0000-000066830000}"/>
    <cellStyle name="Normal 5 10 34 11" xfId="33641" xr:uid="{00000000-0005-0000-0000-000067830000}"/>
    <cellStyle name="Normal 5 10 34 12" xfId="33642" xr:uid="{00000000-0005-0000-0000-000068830000}"/>
    <cellStyle name="Normal 5 10 34 13" xfId="33643" xr:uid="{00000000-0005-0000-0000-000069830000}"/>
    <cellStyle name="Normal 5 10 34 14" xfId="33644" xr:uid="{00000000-0005-0000-0000-00006A830000}"/>
    <cellStyle name="Normal 5 10 34 2" xfId="33645" xr:uid="{00000000-0005-0000-0000-00006B830000}"/>
    <cellStyle name="Normal 5 10 34 2 10" xfId="33646" xr:uid="{00000000-0005-0000-0000-00006C830000}"/>
    <cellStyle name="Normal 5 10 34 2 2" xfId="33647" xr:uid="{00000000-0005-0000-0000-00006D830000}"/>
    <cellStyle name="Normal 5 10 34 2 3" xfId="33648" xr:uid="{00000000-0005-0000-0000-00006E830000}"/>
    <cellStyle name="Normal 5 10 34 2 4" xfId="33649" xr:uid="{00000000-0005-0000-0000-00006F830000}"/>
    <cellStyle name="Normal 5 10 34 2 5" xfId="33650" xr:uid="{00000000-0005-0000-0000-000070830000}"/>
    <cellStyle name="Normal 5 10 34 2 6" xfId="33651" xr:uid="{00000000-0005-0000-0000-000071830000}"/>
    <cellStyle name="Normal 5 10 34 2 7" xfId="33652" xr:uid="{00000000-0005-0000-0000-000072830000}"/>
    <cellStyle name="Normal 5 10 34 2 8" xfId="33653" xr:uid="{00000000-0005-0000-0000-000073830000}"/>
    <cellStyle name="Normal 5 10 34 2 9" xfId="33654" xr:uid="{00000000-0005-0000-0000-000074830000}"/>
    <cellStyle name="Normal 5 10 34 3" xfId="33655" xr:uid="{00000000-0005-0000-0000-000075830000}"/>
    <cellStyle name="Normal 5 10 34 3 10" xfId="33656" xr:uid="{00000000-0005-0000-0000-000076830000}"/>
    <cellStyle name="Normal 5 10 34 3 2" xfId="33657" xr:uid="{00000000-0005-0000-0000-000077830000}"/>
    <cellStyle name="Normal 5 10 34 3 3" xfId="33658" xr:uid="{00000000-0005-0000-0000-000078830000}"/>
    <cellStyle name="Normal 5 10 34 3 4" xfId="33659" xr:uid="{00000000-0005-0000-0000-000079830000}"/>
    <cellStyle name="Normal 5 10 34 3 5" xfId="33660" xr:uid="{00000000-0005-0000-0000-00007A830000}"/>
    <cellStyle name="Normal 5 10 34 3 6" xfId="33661" xr:uid="{00000000-0005-0000-0000-00007B830000}"/>
    <cellStyle name="Normal 5 10 34 3 7" xfId="33662" xr:uid="{00000000-0005-0000-0000-00007C830000}"/>
    <cellStyle name="Normal 5 10 34 3 8" xfId="33663" xr:uid="{00000000-0005-0000-0000-00007D830000}"/>
    <cellStyle name="Normal 5 10 34 3 9" xfId="33664" xr:uid="{00000000-0005-0000-0000-00007E830000}"/>
    <cellStyle name="Normal 5 10 34 4" xfId="33665" xr:uid="{00000000-0005-0000-0000-00007F830000}"/>
    <cellStyle name="Normal 5 10 34 4 10" xfId="33666" xr:uid="{00000000-0005-0000-0000-000080830000}"/>
    <cellStyle name="Normal 5 10 34 4 2" xfId="33667" xr:uid="{00000000-0005-0000-0000-000081830000}"/>
    <cellStyle name="Normal 5 10 34 4 3" xfId="33668" xr:uid="{00000000-0005-0000-0000-000082830000}"/>
    <cellStyle name="Normal 5 10 34 4 4" xfId="33669" xr:uid="{00000000-0005-0000-0000-000083830000}"/>
    <cellStyle name="Normal 5 10 34 4 5" xfId="33670" xr:uid="{00000000-0005-0000-0000-000084830000}"/>
    <cellStyle name="Normal 5 10 34 4 6" xfId="33671" xr:uid="{00000000-0005-0000-0000-000085830000}"/>
    <cellStyle name="Normal 5 10 34 4 7" xfId="33672" xr:uid="{00000000-0005-0000-0000-000086830000}"/>
    <cellStyle name="Normal 5 10 34 4 8" xfId="33673" xr:uid="{00000000-0005-0000-0000-000087830000}"/>
    <cellStyle name="Normal 5 10 34 4 9" xfId="33674" xr:uid="{00000000-0005-0000-0000-000088830000}"/>
    <cellStyle name="Normal 5 10 34 5" xfId="33675" xr:uid="{00000000-0005-0000-0000-000089830000}"/>
    <cellStyle name="Normal 5 10 34 5 10" xfId="33676" xr:uid="{00000000-0005-0000-0000-00008A830000}"/>
    <cellStyle name="Normal 5 10 34 5 2" xfId="33677" xr:uid="{00000000-0005-0000-0000-00008B830000}"/>
    <cellStyle name="Normal 5 10 34 5 3" xfId="33678" xr:uid="{00000000-0005-0000-0000-00008C830000}"/>
    <cellStyle name="Normal 5 10 34 5 4" xfId="33679" xr:uid="{00000000-0005-0000-0000-00008D830000}"/>
    <cellStyle name="Normal 5 10 34 5 5" xfId="33680" xr:uid="{00000000-0005-0000-0000-00008E830000}"/>
    <cellStyle name="Normal 5 10 34 5 6" xfId="33681" xr:uid="{00000000-0005-0000-0000-00008F830000}"/>
    <cellStyle name="Normal 5 10 34 5 7" xfId="33682" xr:uid="{00000000-0005-0000-0000-000090830000}"/>
    <cellStyle name="Normal 5 10 34 5 8" xfId="33683" xr:uid="{00000000-0005-0000-0000-000091830000}"/>
    <cellStyle name="Normal 5 10 34 5 9" xfId="33684" xr:uid="{00000000-0005-0000-0000-000092830000}"/>
    <cellStyle name="Normal 5 10 34 6" xfId="33685" xr:uid="{00000000-0005-0000-0000-000093830000}"/>
    <cellStyle name="Normal 5 10 34 7" xfId="33686" xr:uid="{00000000-0005-0000-0000-000094830000}"/>
    <cellStyle name="Normal 5 10 34 8" xfId="33687" xr:uid="{00000000-0005-0000-0000-000095830000}"/>
    <cellStyle name="Normal 5 10 34 9" xfId="33688" xr:uid="{00000000-0005-0000-0000-000096830000}"/>
    <cellStyle name="Normal 5 10 35" xfId="33689" xr:uid="{00000000-0005-0000-0000-000097830000}"/>
    <cellStyle name="Normal 5 10 35 10" xfId="33690" xr:uid="{00000000-0005-0000-0000-000098830000}"/>
    <cellStyle name="Normal 5 10 35 2" xfId="33691" xr:uid="{00000000-0005-0000-0000-000099830000}"/>
    <cellStyle name="Normal 5 10 35 3" xfId="33692" xr:uid="{00000000-0005-0000-0000-00009A830000}"/>
    <cellStyle name="Normal 5 10 35 4" xfId="33693" xr:uid="{00000000-0005-0000-0000-00009B830000}"/>
    <cellStyle name="Normal 5 10 35 5" xfId="33694" xr:uid="{00000000-0005-0000-0000-00009C830000}"/>
    <cellStyle name="Normal 5 10 35 6" xfId="33695" xr:uid="{00000000-0005-0000-0000-00009D830000}"/>
    <cellStyle name="Normal 5 10 35 7" xfId="33696" xr:uid="{00000000-0005-0000-0000-00009E830000}"/>
    <cellStyle name="Normal 5 10 35 8" xfId="33697" xr:uid="{00000000-0005-0000-0000-00009F830000}"/>
    <cellStyle name="Normal 5 10 35 9" xfId="33698" xr:uid="{00000000-0005-0000-0000-0000A0830000}"/>
    <cellStyle name="Normal 5 10 36" xfId="33699" xr:uid="{00000000-0005-0000-0000-0000A1830000}"/>
    <cellStyle name="Normal 5 10 36 10" xfId="33700" xr:uid="{00000000-0005-0000-0000-0000A2830000}"/>
    <cellStyle name="Normal 5 10 36 2" xfId="33701" xr:uid="{00000000-0005-0000-0000-0000A3830000}"/>
    <cellStyle name="Normal 5 10 36 3" xfId="33702" xr:uid="{00000000-0005-0000-0000-0000A4830000}"/>
    <cellStyle name="Normal 5 10 36 4" xfId="33703" xr:uid="{00000000-0005-0000-0000-0000A5830000}"/>
    <cellStyle name="Normal 5 10 36 5" xfId="33704" xr:uid="{00000000-0005-0000-0000-0000A6830000}"/>
    <cellStyle name="Normal 5 10 36 6" xfId="33705" xr:uid="{00000000-0005-0000-0000-0000A7830000}"/>
    <cellStyle name="Normal 5 10 36 7" xfId="33706" xr:uid="{00000000-0005-0000-0000-0000A8830000}"/>
    <cellStyle name="Normal 5 10 36 8" xfId="33707" xr:uid="{00000000-0005-0000-0000-0000A9830000}"/>
    <cellStyle name="Normal 5 10 36 9" xfId="33708" xr:uid="{00000000-0005-0000-0000-0000AA830000}"/>
    <cellStyle name="Normal 5 10 37" xfId="33709" xr:uid="{00000000-0005-0000-0000-0000AB830000}"/>
    <cellStyle name="Normal 5 10 37 10" xfId="33710" xr:uid="{00000000-0005-0000-0000-0000AC830000}"/>
    <cellStyle name="Normal 5 10 37 2" xfId="33711" xr:uid="{00000000-0005-0000-0000-0000AD830000}"/>
    <cellStyle name="Normal 5 10 37 3" xfId="33712" xr:uid="{00000000-0005-0000-0000-0000AE830000}"/>
    <cellStyle name="Normal 5 10 37 4" xfId="33713" xr:uid="{00000000-0005-0000-0000-0000AF830000}"/>
    <cellStyle name="Normal 5 10 37 5" xfId="33714" xr:uid="{00000000-0005-0000-0000-0000B0830000}"/>
    <cellStyle name="Normal 5 10 37 6" xfId="33715" xr:uid="{00000000-0005-0000-0000-0000B1830000}"/>
    <cellStyle name="Normal 5 10 37 7" xfId="33716" xr:uid="{00000000-0005-0000-0000-0000B2830000}"/>
    <cellStyle name="Normal 5 10 37 8" xfId="33717" xr:uid="{00000000-0005-0000-0000-0000B3830000}"/>
    <cellStyle name="Normal 5 10 37 9" xfId="33718" xr:uid="{00000000-0005-0000-0000-0000B4830000}"/>
    <cellStyle name="Normal 5 10 38" xfId="33719" xr:uid="{00000000-0005-0000-0000-0000B5830000}"/>
    <cellStyle name="Normal 5 10 38 10" xfId="33720" xr:uid="{00000000-0005-0000-0000-0000B6830000}"/>
    <cellStyle name="Normal 5 10 38 2" xfId="33721" xr:uid="{00000000-0005-0000-0000-0000B7830000}"/>
    <cellStyle name="Normal 5 10 38 3" xfId="33722" xr:uid="{00000000-0005-0000-0000-0000B8830000}"/>
    <cellStyle name="Normal 5 10 38 4" xfId="33723" xr:uid="{00000000-0005-0000-0000-0000B9830000}"/>
    <cellStyle name="Normal 5 10 38 5" xfId="33724" xr:uid="{00000000-0005-0000-0000-0000BA830000}"/>
    <cellStyle name="Normal 5 10 38 6" xfId="33725" xr:uid="{00000000-0005-0000-0000-0000BB830000}"/>
    <cellStyle name="Normal 5 10 38 7" xfId="33726" xr:uid="{00000000-0005-0000-0000-0000BC830000}"/>
    <cellStyle name="Normal 5 10 38 8" xfId="33727" xr:uid="{00000000-0005-0000-0000-0000BD830000}"/>
    <cellStyle name="Normal 5 10 38 9" xfId="33728" xr:uid="{00000000-0005-0000-0000-0000BE830000}"/>
    <cellStyle name="Normal 5 10 39" xfId="33729" xr:uid="{00000000-0005-0000-0000-0000BF830000}"/>
    <cellStyle name="Normal 5 10 4" xfId="33730" xr:uid="{00000000-0005-0000-0000-0000C0830000}"/>
    <cellStyle name="Normal 5 10 4 10" xfId="33731" xr:uid="{00000000-0005-0000-0000-0000C1830000}"/>
    <cellStyle name="Normal 5 10 4 11" xfId="33732" xr:uid="{00000000-0005-0000-0000-0000C2830000}"/>
    <cellStyle name="Normal 5 10 4 12" xfId="33733" xr:uid="{00000000-0005-0000-0000-0000C3830000}"/>
    <cellStyle name="Normal 5 10 4 13" xfId="33734" xr:uid="{00000000-0005-0000-0000-0000C4830000}"/>
    <cellStyle name="Normal 5 10 4 14" xfId="33735" xr:uid="{00000000-0005-0000-0000-0000C5830000}"/>
    <cellStyle name="Normal 5 10 4 2" xfId="33736" xr:uid="{00000000-0005-0000-0000-0000C6830000}"/>
    <cellStyle name="Normal 5 10 4 2 10" xfId="33737" xr:uid="{00000000-0005-0000-0000-0000C7830000}"/>
    <cellStyle name="Normal 5 10 4 2 2" xfId="33738" xr:uid="{00000000-0005-0000-0000-0000C8830000}"/>
    <cellStyle name="Normal 5 10 4 2 3" xfId="33739" xr:uid="{00000000-0005-0000-0000-0000C9830000}"/>
    <cellStyle name="Normal 5 10 4 2 4" xfId="33740" xr:uid="{00000000-0005-0000-0000-0000CA830000}"/>
    <cellStyle name="Normal 5 10 4 2 5" xfId="33741" xr:uid="{00000000-0005-0000-0000-0000CB830000}"/>
    <cellStyle name="Normal 5 10 4 2 6" xfId="33742" xr:uid="{00000000-0005-0000-0000-0000CC830000}"/>
    <cellStyle name="Normal 5 10 4 2 7" xfId="33743" xr:uid="{00000000-0005-0000-0000-0000CD830000}"/>
    <cellStyle name="Normal 5 10 4 2 8" xfId="33744" xr:uid="{00000000-0005-0000-0000-0000CE830000}"/>
    <cellStyle name="Normal 5 10 4 2 9" xfId="33745" xr:uid="{00000000-0005-0000-0000-0000CF830000}"/>
    <cellStyle name="Normal 5 10 4 3" xfId="33746" xr:uid="{00000000-0005-0000-0000-0000D0830000}"/>
    <cellStyle name="Normal 5 10 4 3 10" xfId="33747" xr:uid="{00000000-0005-0000-0000-0000D1830000}"/>
    <cellStyle name="Normal 5 10 4 3 2" xfId="33748" xr:uid="{00000000-0005-0000-0000-0000D2830000}"/>
    <cellStyle name="Normal 5 10 4 3 3" xfId="33749" xr:uid="{00000000-0005-0000-0000-0000D3830000}"/>
    <cellStyle name="Normal 5 10 4 3 4" xfId="33750" xr:uid="{00000000-0005-0000-0000-0000D4830000}"/>
    <cellStyle name="Normal 5 10 4 3 5" xfId="33751" xr:uid="{00000000-0005-0000-0000-0000D5830000}"/>
    <cellStyle name="Normal 5 10 4 3 6" xfId="33752" xr:uid="{00000000-0005-0000-0000-0000D6830000}"/>
    <cellStyle name="Normal 5 10 4 3 7" xfId="33753" xr:uid="{00000000-0005-0000-0000-0000D7830000}"/>
    <cellStyle name="Normal 5 10 4 3 8" xfId="33754" xr:uid="{00000000-0005-0000-0000-0000D8830000}"/>
    <cellStyle name="Normal 5 10 4 3 9" xfId="33755" xr:uid="{00000000-0005-0000-0000-0000D9830000}"/>
    <cellStyle name="Normal 5 10 4 4" xfId="33756" xr:uid="{00000000-0005-0000-0000-0000DA830000}"/>
    <cellStyle name="Normal 5 10 4 4 10" xfId="33757" xr:uid="{00000000-0005-0000-0000-0000DB830000}"/>
    <cellStyle name="Normal 5 10 4 4 2" xfId="33758" xr:uid="{00000000-0005-0000-0000-0000DC830000}"/>
    <cellStyle name="Normal 5 10 4 4 3" xfId="33759" xr:uid="{00000000-0005-0000-0000-0000DD830000}"/>
    <cellStyle name="Normal 5 10 4 4 4" xfId="33760" xr:uid="{00000000-0005-0000-0000-0000DE830000}"/>
    <cellStyle name="Normal 5 10 4 4 5" xfId="33761" xr:uid="{00000000-0005-0000-0000-0000DF830000}"/>
    <cellStyle name="Normal 5 10 4 4 6" xfId="33762" xr:uid="{00000000-0005-0000-0000-0000E0830000}"/>
    <cellStyle name="Normal 5 10 4 4 7" xfId="33763" xr:uid="{00000000-0005-0000-0000-0000E1830000}"/>
    <cellStyle name="Normal 5 10 4 4 8" xfId="33764" xr:uid="{00000000-0005-0000-0000-0000E2830000}"/>
    <cellStyle name="Normal 5 10 4 4 9" xfId="33765" xr:uid="{00000000-0005-0000-0000-0000E3830000}"/>
    <cellStyle name="Normal 5 10 4 5" xfId="33766" xr:uid="{00000000-0005-0000-0000-0000E4830000}"/>
    <cellStyle name="Normal 5 10 4 5 10" xfId="33767" xr:uid="{00000000-0005-0000-0000-0000E5830000}"/>
    <cellStyle name="Normal 5 10 4 5 2" xfId="33768" xr:uid="{00000000-0005-0000-0000-0000E6830000}"/>
    <cellStyle name="Normal 5 10 4 5 3" xfId="33769" xr:uid="{00000000-0005-0000-0000-0000E7830000}"/>
    <cellStyle name="Normal 5 10 4 5 4" xfId="33770" xr:uid="{00000000-0005-0000-0000-0000E8830000}"/>
    <cellStyle name="Normal 5 10 4 5 5" xfId="33771" xr:uid="{00000000-0005-0000-0000-0000E9830000}"/>
    <cellStyle name="Normal 5 10 4 5 6" xfId="33772" xr:uid="{00000000-0005-0000-0000-0000EA830000}"/>
    <cellStyle name="Normal 5 10 4 5 7" xfId="33773" xr:uid="{00000000-0005-0000-0000-0000EB830000}"/>
    <cellStyle name="Normal 5 10 4 5 8" xfId="33774" xr:uid="{00000000-0005-0000-0000-0000EC830000}"/>
    <cellStyle name="Normal 5 10 4 5 9" xfId="33775" xr:uid="{00000000-0005-0000-0000-0000ED830000}"/>
    <cellStyle name="Normal 5 10 4 6" xfId="33776" xr:uid="{00000000-0005-0000-0000-0000EE830000}"/>
    <cellStyle name="Normal 5 10 4 7" xfId="33777" xr:uid="{00000000-0005-0000-0000-0000EF830000}"/>
    <cellStyle name="Normal 5 10 4 8" xfId="33778" xr:uid="{00000000-0005-0000-0000-0000F0830000}"/>
    <cellStyle name="Normal 5 10 4 9" xfId="33779" xr:uid="{00000000-0005-0000-0000-0000F1830000}"/>
    <cellStyle name="Normal 5 10 40" xfId="33780" xr:uid="{00000000-0005-0000-0000-0000F2830000}"/>
    <cellStyle name="Normal 5 10 41" xfId="33781" xr:uid="{00000000-0005-0000-0000-0000F3830000}"/>
    <cellStyle name="Normal 5 10 42" xfId="33782" xr:uid="{00000000-0005-0000-0000-0000F4830000}"/>
    <cellStyle name="Normal 5 10 43" xfId="33783" xr:uid="{00000000-0005-0000-0000-0000F5830000}"/>
    <cellStyle name="Normal 5 10 44" xfId="33784" xr:uid="{00000000-0005-0000-0000-0000F6830000}"/>
    <cellStyle name="Normal 5 10 45" xfId="33785" xr:uid="{00000000-0005-0000-0000-0000F7830000}"/>
    <cellStyle name="Normal 5 10 46" xfId="33786" xr:uid="{00000000-0005-0000-0000-0000F8830000}"/>
    <cellStyle name="Normal 5 10 47" xfId="33787" xr:uid="{00000000-0005-0000-0000-0000F9830000}"/>
    <cellStyle name="Normal 5 10 48" xfId="33788" xr:uid="{00000000-0005-0000-0000-0000FA830000}"/>
    <cellStyle name="Normal 5 10 49" xfId="33789" xr:uid="{00000000-0005-0000-0000-0000FB830000}"/>
    <cellStyle name="Normal 5 10 5" xfId="33790" xr:uid="{00000000-0005-0000-0000-0000FC830000}"/>
    <cellStyle name="Normal 5 10 5 10" xfId="33791" xr:uid="{00000000-0005-0000-0000-0000FD830000}"/>
    <cellStyle name="Normal 5 10 5 11" xfId="33792" xr:uid="{00000000-0005-0000-0000-0000FE830000}"/>
    <cellStyle name="Normal 5 10 5 12" xfId="33793" xr:uid="{00000000-0005-0000-0000-0000FF830000}"/>
    <cellStyle name="Normal 5 10 5 13" xfId="33794" xr:uid="{00000000-0005-0000-0000-000000840000}"/>
    <cellStyle name="Normal 5 10 5 14" xfId="33795" xr:uid="{00000000-0005-0000-0000-000001840000}"/>
    <cellStyle name="Normal 5 10 5 2" xfId="33796" xr:uid="{00000000-0005-0000-0000-000002840000}"/>
    <cellStyle name="Normal 5 10 5 2 10" xfId="33797" xr:uid="{00000000-0005-0000-0000-000003840000}"/>
    <cellStyle name="Normal 5 10 5 2 2" xfId="33798" xr:uid="{00000000-0005-0000-0000-000004840000}"/>
    <cellStyle name="Normal 5 10 5 2 3" xfId="33799" xr:uid="{00000000-0005-0000-0000-000005840000}"/>
    <cellStyle name="Normal 5 10 5 2 4" xfId="33800" xr:uid="{00000000-0005-0000-0000-000006840000}"/>
    <cellStyle name="Normal 5 10 5 2 5" xfId="33801" xr:uid="{00000000-0005-0000-0000-000007840000}"/>
    <cellStyle name="Normal 5 10 5 2 6" xfId="33802" xr:uid="{00000000-0005-0000-0000-000008840000}"/>
    <cellStyle name="Normal 5 10 5 2 7" xfId="33803" xr:uid="{00000000-0005-0000-0000-000009840000}"/>
    <cellStyle name="Normal 5 10 5 2 8" xfId="33804" xr:uid="{00000000-0005-0000-0000-00000A840000}"/>
    <cellStyle name="Normal 5 10 5 2 9" xfId="33805" xr:uid="{00000000-0005-0000-0000-00000B840000}"/>
    <cellStyle name="Normal 5 10 5 3" xfId="33806" xr:uid="{00000000-0005-0000-0000-00000C840000}"/>
    <cellStyle name="Normal 5 10 5 3 10" xfId="33807" xr:uid="{00000000-0005-0000-0000-00000D840000}"/>
    <cellStyle name="Normal 5 10 5 3 2" xfId="33808" xr:uid="{00000000-0005-0000-0000-00000E840000}"/>
    <cellStyle name="Normal 5 10 5 3 3" xfId="33809" xr:uid="{00000000-0005-0000-0000-00000F840000}"/>
    <cellStyle name="Normal 5 10 5 3 4" xfId="33810" xr:uid="{00000000-0005-0000-0000-000010840000}"/>
    <cellStyle name="Normal 5 10 5 3 5" xfId="33811" xr:uid="{00000000-0005-0000-0000-000011840000}"/>
    <cellStyle name="Normal 5 10 5 3 6" xfId="33812" xr:uid="{00000000-0005-0000-0000-000012840000}"/>
    <cellStyle name="Normal 5 10 5 3 7" xfId="33813" xr:uid="{00000000-0005-0000-0000-000013840000}"/>
    <cellStyle name="Normal 5 10 5 3 8" xfId="33814" xr:uid="{00000000-0005-0000-0000-000014840000}"/>
    <cellStyle name="Normal 5 10 5 3 9" xfId="33815" xr:uid="{00000000-0005-0000-0000-000015840000}"/>
    <cellStyle name="Normal 5 10 5 4" xfId="33816" xr:uid="{00000000-0005-0000-0000-000016840000}"/>
    <cellStyle name="Normal 5 10 5 4 10" xfId="33817" xr:uid="{00000000-0005-0000-0000-000017840000}"/>
    <cellStyle name="Normal 5 10 5 4 2" xfId="33818" xr:uid="{00000000-0005-0000-0000-000018840000}"/>
    <cellStyle name="Normal 5 10 5 4 3" xfId="33819" xr:uid="{00000000-0005-0000-0000-000019840000}"/>
    <cellStyle name="Normal 5 10 5 4 4" xfId="33820" xr:uid="{00000000-0005-0000-0000-00001A840000}"/>
    <cellStyle name="Normal 5 10 5 4 5" xfId="33821" xr:uid="{00000000-0005-0000-0000-00001B840000}"/>
    <cellStyle name="Normal 5 10 5 4 6" xfId="33822" xr:uid="{00000000-0005-0000-0000-00001C840000}"/>
    <cellStyle name="Normal 5 10 5 4 7" xfId="33823" xr:uid="{00000000-0005-0000-0000-00001D840000}"/>
    <cellStyle name="Normal 5 10 5 4 8" xfId="33824" xr:uid="{00000000-0005-0000-0000-00001E840000}"/>
    <cellStyle name="Normal 5 10 5 4 9" xfId="33825" xr:uid="{00000000-0005-0000-0000-00001F840000}"/>
    <cellStyle name="Normal 5 10 5 5" xfId="33826" xr:uid="{00000000-0005-0000-0000-000020840000}"/>
    <cellStyle name="Normal 5 10 5 5 10" xfId="33827" xr:uid="{00000000-0005-0000-0000-000021840000}"/>
    <cellStyle name="Normal 5 10 5 5 2" xfId="33828" xr:uid="{00000000-0005-0000-0000-000022840000}"/>
    <cellStyle name="Normal 5 10 5 5 3" xfId="33829" xr:uid="{00000000-0005-0000-0000-000023840000}"/>
    <cellStyle name="Normal 5 10 5 5 4" xfId="33830" xr:uid="{00000000-0005-0000-0000-000024840000}"/>
    <cellStyle name="Normal 5 10 5 5 5" xfId="33831" xr:uid="{00000000-0005-0000-0000-000025840000}"/>
    <cellStyle name="Normal 5 10 5 5 6" xfId="33832" xr:uid="{00000000-0005-0000-0000-000026840000}"/>
    <cellStyle name="Normal 5 10 5 5 7" xfId="33833" xr:uid="{00000000-0005-0000-0000-000027840000}"/>
    <cellStyle name="Normal 5 10 5 5 8" xfId="33834" xr:uid="{00000000-0005-0000-0000-000028840000}"/>
    <cellStyle name="Normal 5 10 5 5 9" xfId="33835" xr:uid="{00000000-0005-0000-0000-000029840000}"/>
    <cellStyle name="Normal 5 10 5 6" xfId="33836" xr:uid="{00000000-0005-0000-0000-00002A840000}"/>
    <cellStyle name="Normal 5 10 5 7" xfId="33837" xr:uid="{00000000-0005-0000-0000-00002B840000}"/>
    <cellStyle name="Normal 5 10 5 8" xfId="33838" xr:uid="{00000000-0005-0000-0000-00002C840000}"/>
    <cellStyle name="Normal 5 10 5 9" xfId="33839" xr:uid="{00000000-0005-0000-0000-00002D840000}"/>
    <cellStyle name="Normal 5 10 6" xfId="33840" xr:uid="{00000000-0005-0000-0000-00002E840000}"/>
    <cellStyle name="Normal 5 10 6 10" xfId="33841" xr:uid="{00000000-0005-0000-0000-00002F840000}"/>
    <cellStyle name="Normal 5 10 6 11" xfId="33842" xr:uid="{00000000-0005-0000-0000-000030840000}"/>
    <cellStyle name="Normal 5 10 6 12" xfId="33843" xr:uid="{00000000-0005-0000-0000-000031840000}"/>
    <cellStyle name="Normal 5 10 6 13" xfId="33844" xr:uid="{00000000-0005-0000-0000-000032840000}"/>
    <cellStyle name="Normal 5 10 6 14" xfId="33845" xr:uid="{00000000-0005-0000-0000-000033840000}"/>
    <cellStyle name="Normal 5 10 6 2" xfId="33846" xr:uid="{00000000-0005-0000-0000-000034840000}"/>
    <cellStyle name="Normal 5 10 6 2 10" xfId="33847" xr:uid="{00000000-0005-0000-0000-000035840000}"/>
    <cellStyle name="Normal 5 10 6 2 2" xfId="33848" xr:uid="{00000000-0005-0000-0000-000036840000}"/>
    <cellStyle name="Normal 5 10 6 2 3" xfId="33849" xr:uid="{00000000-0005-0000-0000-000037840000}"/>
    <cellStyle name="Normal 5 10 6 2 4" xfId="33850" xr:uid="{00000000-0005-0000-0000-000038840000}"/>
    <cellStyle name="Normal 5 10 6 2 5" xfId="33851" xr:uid="{00000000-0005-0000-0000-000039840000}"/>
    <cellStyle name="Normal 5 10 6 2 6" xfId="33852" xr:uid="{00000000-0005-0000-0000-00003A840000}"/>
    <cellStyle name="Normal 5 10 6 2 7" xfId="33853" xr:uid="{00000000-0005-0000-0000-00003B840000}"/>
    <cellStyle name="Normal 5 10 6 2 8" xfId="33854" xr:uid="{00000000-0005-0000-0000-00003C840000}"/>
    <cellStyle name="Normal 5 10 6 2 9" xfId="33855" xr:uid="{00000000-0005-0000-0000-00003D840000}"/>
    <cellStyle name="Normal 5 10 6 3" xfId="33856" xr:uid="{00000000-0005-0000-0000-00003E840000}"/>
    <cellStyle name="Normal 5 10 6 3 10" xfId="33857" xr:uid="{00000000-0005-0000-0000-00003F840000}"/>
    <cellStyle name="Normal 5 10 6 3 2" xfId="33858" xr:uid="{00000000-0005-0000-0000-000040840000}"/>
    <cellStyle name="Normal 5 10 6 3 3" xfId="33859" xr:uid="{00000000-0005-0000-0000-000041840000}"/>
    <cellStyle name="Normal 5 10 6 3 4" xfId="33860" xr:uid="{00000000-0005-0000-0000-000042840000}"/>
    <cellStyle name="Normal 5 10 6 3 5" xfId="33861" xr:uid="{00000000-0005-0000-0000-000043840000}"/>
    <cellStyle name="Normal 5 10 6 3 6" xfId="33862" xr:uid="{00000000-0005-0000-0000-000044840000}"/>
    <cellStyle name="Normal 5 10 6 3 7" xfId="33863" xr:uid="{00000000-0005-0000-0000-000045840000}"/>
    <cellStyle name="Normal 5 10 6 3 8" xfId="33864" xr:uid="{00000000-0005-0000-0000-000046840000}"/>
    <cellStyle name="Normal 5 10 6 3 9" xfId="33865" xr:uid="{00000000-0005-0000-0000-000047840000}"/>
    <cellStyle name="Normal 5 10 6 4" xfId="33866" xr:uid="{00000000-0005-0000-0000-000048840000}"/>
    <cellStyle name="Normal 5 10 6 4 10" xfId="33867" xr:uid="{00000000-0005-0000-0000-000049840000}"/>
    <cellStyle name="Normal 5 10 6 4 2" xfId="33868" xr:uid="{00000000-0005-0000-0000-00004A840000}"/>
    <cellStyle name="Normal 5 10 6 4 3" xfId="33869" xr:uid="{00000000-0005-0000-0000-00004B840000}"/>
    <cellStyle name="Normal 5 10 6 4 4" xfId="33870" xr:uid="{00000000-0005-0000-0000-00004C840000}"/>
    <cellStyle name="Normal 5 10 6 4 5" xfId="33871" xr:uid="{00000000-0005-0000-0000-00004D840000}"/>
    <cellStyle name="Normal 5 10 6 4 6" xfId="33872" xr:uid="{00000000-0005-0000-0000-00004E840000}"/>
    <cellStyle name="Normal 5 10 6 4 7" xfId="33873" xr:uid="{00000000-0005-0000-0000-00004F840000}"/>
    <cellStyle name="Normal 5 10 6 4 8" xfId="33874" xr:uid="{00000000-0005-0000-0000-000050840000}"/>
    <cellStyle name="Normal 5 10 6 4 9" xfId="33875" xr:uid="{00000000-0005-0000-0000-000051840000}"/>
    <cellStyle name="Normal 5 10 6 5" xfId="33876" xr:uid="{00000000-0005-0000-0000-000052840000}"/>
    <cellStyle name="Normal 5 10 6 5 10" xfId="33877" xr:uid="{00000000-0005-0000-0000-000053840000}"/>
    <cellStyle name="Normal 5 10 6 5 2" xfId="33878" xr:uid="{00000000-0005-0000-0000-000054840000}"/>
    <cellStyle name="Normal 5 10 6 5 3" xfId="33879" xr:uid="{00000000-0005-0000-0000-000055840000}"/>
    <cellStyle name="Normal 5 10 6 5 4" xfId="33880" xr:uid="{00000000-0005-0000-0000-000056840000}"/>
    <cellStyle name="Normal 5 10 6 5 5" xfId="33881" xr:uid="{00000000-0005-0000-0000-000057840000}"/>
    <cellStyle name="Normal 5 10 6 5 6" xfId="33882" xr:uid="{00000000-0005-0000-0000-000058840000}"/>
    <cellStyle name="Normal 5 10 6 5 7" xfId="33883" xr:uid="{00000000-0005-0000-0000-000059840000}"/>
    <cellStyle name="Normal 5 10 6 5 8" xfId="33884" xr:uid="{00000000-0005-0000-0000-00005A840000}"/>
    <cellStyle name="Normal 5 10 6 5 9" xfId="33885" xr:uid="{00000000-0005-0000-0000-00005B840000}"/>
    <cellStyle name="Normal 5 10 6 6" xfId="33886" xr:uid="{00000000-0005-0000-0000-00005C840000}"/>
    <cellStyle name="Normal 5 10 6 7" xfId="33887" xr:uid="{00000000-0005-0000-0000-00005D840000}"/>
    <cellStyle name="Normal 5 10 6 8" xfId="33888" xr:uid="{00000000-0005-0000-0000-00005E840000}"/>
    <cellStyle name="Normal 5 10 6 9" xfId="33889" xr:uid="{00000000-0005-0000-0000-00005F840000}"/>
    <cellStyle name="Normal 5 10 7" xfId="33890" xr:uid="{00000000-0005-0000-0000-000060840000}"/>
    <cellStyle name="Normal 5 10 7 10" xfId="33891" xr:uid="{00000000-0005-0000-0000-000061840000}"/>
    <cellStyle name="Normal 5 10 7 11" xfId="33892" xr:uid="{00000000-0005-0000-0000-000062840000}"/>
    <cellStyle name="Normal 5 10 7 12" xfId="33893" xr:uid="{00000000-0005-0000-0000-000063840000}"/>
    <cellStyle name="Normal 5 10 7 13" xfId="33894" xr:uid="{00000000-0005-0000-0000-000064840000}"/>
    <cellStyle name="Normal 5 10 7 14" xfId="33895" xr:uid="{00000000-0005-0000-0000-000065840000}"/>
    <cellStyle name="Normal 5 10 7 2" xfId="33896" xr:uid="{00000000-0005-0000-0000-000066840000}"/>
    <cellStyle name="Normal 5 10 7 2 10" xfId="33897" xr:uid="{00000000-0005-0000-0000-000067840000}"/>
    <cellStyle name="Normal 5 10 7 2 2" xfId="33898" xr:uid="{00000000-0005-0000-0000-000068840000}"/>
    <cellStyle name="Normal 5 10 7 2 3" xfId="33899" xr:uid="{00000000-0005-0000-0000-000069840000}"/>
    <cellStyle name="Normal 5 10 7 2 4" xfId="33900" xr:uid="{00000000-0005-0000-0000-00006A840000}"/>
    <cellStyle name="Normal 5 10 7 2 5" xfId="33901" xr:uid="{00000000-0005-0000-0000-00006B840000}"/>
    <cellStyle name="Normal 5 10 7 2 6" xfId="33902" xr:uid="{00000000-0005-0000-0000-00006C840000}"/>
    <cellStyle name="Normal 5 10 7 2 7" xfId="33903" xr:uid="{00000000-0005-0000-0000-00006D840000}"/>
    <cellStyle name="Normal 5 10 7 2 8" xfId="33904" xr:uid="{00000000-0005-0000-0000-00006E840000}"/>
    <cellStyle name="Normal 5 10 7 2 9" xfId="33905" xr:uid="{00000000-0005-0000-0000-00006F840000}"/>
    <cellStyle name="Normal 5 10 7 3" xfId="33906" xr:uid="{00000000-0005-0000-0000-000070840000}"/>
    <cellStyle name="Normal 5 10 7 3 10" xfId="33907" xr:uid="{00000000-0005-0000-0000-000071840000}"/>
    <cellStyle name="Normal 5 10 7 3 2" xfId="33908" xr:uid="{00000000-0005-0000-0000-000072840000}"/>
    <cellStyle name="Normal 5 10 7 3 3" xfId="33909" xr:uid="{00000000-0005-0000-0000-000073840000}"/>
    <cellStyle name="Normal 5 10 7 3 4" xfId="33910" xr:uid="{00000000-0005-0000-0000-000074840000}"/>
    <cellStyle name="Normal 5 10 7 3 5" xfId="33911" xr:uid="{00000000-0005-0000-0000-000075840000}"/>
    <cellStyle name="Normal 5 10 7 3 6" xfId="33912" xr:uid="{00000000-0005-0000-0000-000076840000}"/>
    <cellStyle name="Normal 5 10 7 3 7" xfId="33913" xr:uid="{00000000-0005-0000-0000-000077840000}"/>
    <cellStyle name="Normal 5 10 7 3 8" xfId="33914" xr:uid="{00000000-0005-0000-0000-000078840000}"/>
    <cellStyle name="Normal 5 10 7 3 9" xfId="33915" xr:uid="{00000000-0005-0000-0000-000079840000}"/>
    <cellStyle name="Normal 5 10 7 4" xfId="33916" xr:uid="{00000000-0005-0000-0000-00007A840000}"/>
    <cellStyle name="Normal 5 10 7 4 10" xfId="33917" xr:uid="{00000000-0005-0000-0000-00007B840000}"/>
    <cellStyle name="Normal 5 10 7 4 2" xfId="33918" xr:uid="{00000000-0005-0000-0000-00007C840000}"/>
    <cellStyle name="Normal 5 10 7 4 3" xfId="33919" xr:uid="{00000000-0005-0000-0000-00007D840000}"/>
    <cellStyle name="Normal 5 10 7 4 4" xfId="33920" xr:uid="{00000000-0005-0000-0000-00007E840000}"/>
    <cellStyle name="Normal 5 10 7 4 5" xfId="33921" xr:uid="{00000000-0005-0000-0000-00007F840000}"/>
    <cellStyle name="Normal 5 10 7 4 6" xfId="33922" xr:uid="{00000000-0005-0000-0000-000080840000}"/>
    <cellStyle name="Normal 5 10 7 4 7" xfId="33923" xr:uid="{00000000-0005-0000-0000-000081840000}"/>
    <cellStyle name="Normal 5 10 7 4 8" xfId="33924" xr:uid="{00000000-0005-0000-0000-000082840000}"/>
    <cellStyle name="Normal 5 10 7 4 9" xfId="33925" xr:uid="{00000000-0005-0000-0000-000083840000}"/>
    <cellStyle name="Normal 5 10 7 5" xfId="33926" xr:uid="{00000000-0005-0000-0000-000084840000}"/>
    <cellStyle name="Normal 5 10 7 5 10" xfId="33927" xr:uid="{00000000-0005-0000-0000-000085840000}"/>
    <cellStyle name="Normal 5 10 7 5 2" xfId="33928" xr:uid="{00000000-0005-0000-0000-000086840000}"/>
    <cellStyle name="Normal 5 10 7 5 3" xfId="33929" xr:uid="{00000000-0005-0000-0000-000087840000}"/>
    <cellStyle name="Normal 5 10 7 5 4" xfId="33930" xr:uid="{00000000-0005-0000-0000-000088840000}"/>
    <cellStyle name="Normal 5 10 7 5 5" xfId="33931" xr:uid="{00000000-0005-0000-0000-000089840000}"/>
    <cellStyle name="Normal 5 10 7 5 6" xfId="33932" xr:uid="{00000000-0005-0000-0000-00008A840000}"/>
    <cellStyle name="Normal 5 10 7 5 7" xfId="33933" xr:uid="{00000000-0005-0000-0000-00008B840000}"/>
    <cellStyle name="Normal 5 10 7 5 8" xfId="33934" xr:uid="{00000000-0005-0000-0000-00008C840000}"/>
    <cellStyle name="Normal 5 10 7 5 9" xfId="33935" xr:uid="{00000000-0005-0000-0000-00008D840000}"/>
    <cellStyle name="Normal 5 10 7 6" xfId="33936" xr:uid="{00000000-0005-0000-0000-00008E840000}"/>
    <cellStyle name="Normal 5 10 7 7" xfId="33937" xr:uid="{00000000-0005-0000-0000-00008F840000}"/>
    <cellStyle name="Normal 5 10 7 8" xfId="33938" xr:uid="{00000000-0005-0000-0000-000090840000}"/>
    <cellStyle name="Normal 5 10 7 9" xfId="33939" xr:uid="{00000000-0005-0000-0000-000091840000}"/>
    <cellStyle name="Normal 5 10 8" xfId="33940" xr:uid="{00000000-0005-0000-0000-000092840000}"/>
    <cellStyle name="Normal 5 10 8 10" xfId="33941" xr:uid="{00000000-0005-0000-0000-000093840000}"/>
    <cellStyle name="Normal 5 10 8 11" xfId="33942" xr:uid="{00000000-0005-0000-0000-000094840000}"/>
    <cellStyle name="Normal 5 10 8 12" xfId="33943" xr:uid="{00000000-0005-0000-0000-000095840000}"/>
    <cellStyle name="Normal 5 10 8 13" xfId="33944" xr:uid="{00000000-0005-0000-0000-000096840000}"/>
    <cellStyle name="Normal 5 10 8 14" xfId="33945" xr:uid="{00000000-0005-0000-0000-000097840000}"/>
    <cellStyle name="Normal 5 10 8 2" xfId="33946" xr:uid="{00000000-0005-0000-0000-000098840000}"/>
    <cellStyle name="Normal 5 10 8 2 10" xfId="33947" xr:uid="{00000000-0005-0000-0000-000099840000}"/>
    <cellStyle name="Normal 5 10 8 2 2" xfId="33948" xr:uid="{00000000-0005-0000-0000-00009A840000}"/>
    <cellStyle name="Normal 5 10 8 2 3" xfId="33949" xr:uid="{00000000-0005-0000-0000-00009B840000}"/>
    <cellStyle name="Normal 5 10 8 2 4" xfId="33950" xr:uid="{00000000-0005-0000-0000-00009C840000}"/>
    <cellStyle name="Normal 5 10 8 2 5" xfId="33951" xr:uid="{00000000-0005-0000-0000-00009D840000}"/>
    <cellStyle name="Normal 5 10 8 2 6" xfId="33952" xr:uid="{00000000-0005-0000-0000-00009E840000}"/>
    <cellStyle name="Normal 5 10 8 2 7" xfId="33953" xr:uid="{00000000-0005-0000-0000-00009F840000}"/>
    <cellStyle name="Normal 5 10 8 2 8" xfId="33954" xr:uid="{00000000-0005-0000-0000-0000A0840000}"/>
    <cellStyle name="Normal 5 10 8 2 9" xfId="33955" xr:uid="{00000000-0005-0000-0000-0000A1840000}"/>
    <cellStyle name="Normal 5 10 8 3" xfId="33956" xr:uid="{00000000-0005-0000-0000-0000A2840000}"/>
    <cellStyle name="Normal 5 10 8 3 10" xfId="33957" xr:uid="{00000000-0005-0000-0000-0000A3840000}"/>
    <cellStyle name="Normal 5 10 8 3 2" xfId="33958" xr:uid="{00000000-0005-0000-0000-0000A4840000}"/>
    <cellStyle name="Normal 5 10 8 3 3" xfId="33959" xr:uid="{00000000-0005-0000-0000-0000A5840000}"/>
    <cellStyle name="Normal 5 10 8 3 4" xfId="33960" xr:uid="{00000000-0005-0000-0000-0000A6840000}"/>
    <cellStyle name="Normal 5 10 8 3 5" xfId="33961" xr:uid="{00000000-0005-0000-0000-0000A7840000}"/>
    <cellStyle name="Normal 5 10 8 3 6" xfId="33962" xr:uid="{00000000-0005-0000-0000-0000A8840000}"/>
    <cellStyle name="Normal 5 10 8 3 7" xfId="33963" xr:uid="{00000000-0005-0000-0000-0000A9840000}"/>
    <cellStyle name="Normal 5 10 8 3 8" xfId="33964" xr:uid="{00000000-0005-0000-0000-0000AA840000}"/>
    <cellStyle name="Normal 5 10 8 3 9" xfId="33965" xr:uid="{00000000-0005-0000-0000-0000AB840000}"/>
    <cellStyle name="Normal 5 10 8 4" xfId="33966" xr:uid="{00000000-0005-0000-0000-0000AC840000}"/>
    <cellStyle name="Normal 5 10 8 4 10" xfId="33967" xr:uid="{00000000-0005-0000-0000-0000AD840000}"/>
    <cellStyle name="Normal 5 10 8 4 2" xfId="33968" xr:uid="{00000000-0005-0000-0000-0000AE840000}"/>
    <cellStyle name="Normal 5 10 8 4 3" xfId="33969" xr:uid="{00000000-0005-0000-0000-0000AF840000}"/>
    <cellStyle name="Normal 5 10 8 4 4" xfId="33970" xr:uid="{00000000-0005-0000-0000-0000B0840000}"/>
    <cellStyle name="Normal 5 10 8 4 5" xfId="33971" xr:uid="{00000000-0005-0000-0000-0000B1840000}"/>
    <cellStyle name="Normal 5 10 8 4 6" xfId="33972" xr:uid="{00000000-0005-0000-0000-0000B2840000}"/>
    <cellStyle name="Normal 5 10 8 4 7" xfId="33973" xr:uid="{00000000-0005-0000-0000-0000B3840000}"/>
    <cellStyle name="Normal 5 10 8 4 8" xfId="33974" xr:uid="{00000000-0005-0000-0000-0000B4840000}"/>
    <cellStyle name="Normal 5 10 8 4 9" xfId="33975" xr:uid="{00000000-0005-0000-0000-0000B5840000}"/>
    <cellStyle name="Normal 5 10 8 5" xfId="33976" xr:uid="{00000000-0005-0000-0000-0000B6840000}"/>
    <cellStyle name="Normal 5 10 8 5 10" xfId="33977" xr:uid="{00000000-0005-0000-0000-0000B7840000}"/>
    <cellStyle name="Normal 5 10 8 5 2" xfId="33978" xr:uid="{00000000-0005-0000-0000-0000B8840000}"/>
    <cellStyle name="Normal 5 10 8 5 3" xfId="33979" xr:uid="{00000000-0005-0000-0000-0000B9840000}"/>
    <cellStyle name="Normal 5 10 8 5 4" xfId="33980" xr:uid="{00000000-0005-0000-0000-0000BA840000}"/>
    <cellStyle name="Normal 5 10 8 5 5" xfId="33981" xr:uid="{00000000-0005-0000-0000-0000BB840000}"/>
    <cellStyle name="Normal 5 10 8 5 6" xfId="33982" xr:uid="{00000000-0005-0000-0000-0000BC840000}"/>
    <cellStyle name="Normal 5 10 8 5 7" xfId="33983" xr:uid="{00000000-0005-0000-0000-0000BD840000}"/>
    <cellStyle name="Normal 5 10 8 5 8" xfId="33984" xr:uid="{00000000-0005-0000-0000-0000BE840000}"/>
    <cellStyle name="Normal 5 10 8 5 9" xfId="33985" xr:uid="{00000000-0005-0000-0000-0000BF840000}"/>
    <cellStyle name="Normal 5 10 8 6" xfId="33986" xr:uid="{00000000-0005-0000-0000-0000C0840000}"/>
    <cellStyle name="Normal 5 10 8 7" xfId="33987" xr:uid="{00000000-0005-0000-0000-0000C1840000}"/>
    <cellStyle name="Normal 5 10 8 8" xfId="33988" xr:uid="{00000000-0005-0000-0000-0000C2840000}"/>
    <cellStyle name="Normal 5 10 8 9" xfId="33989" xr:uid="{00000000-0005-0000-0000-0000C3840000}"/>
    <cellStyle name="Normal 5 10 9" xfId="33990" xr:uid="{00000000-0005-0000-0000-0000C4840000}"/>
    <cellStyle name="Normal 5 10 9 10" xfId="33991" xr:uid="{00000000-0005-0000-0000-0000C5840000}"/>
    <cellStyle name="Normal 5 10 9 11" xfId="33992" xr:uid="{00000000-0005-0000-0000-0000C6840000}"/>
    <cellStyle name="Normal 5 10 9 12" xfId="33993" xr:uid="{00000000-0005-0000-0000-0000C7840000}"/>
    <cellStyle name="Normal 5 10 9 13" xfId="33994" xr:uid="{00000000-0005-0000-0000-0000C8840000}"/>
    <cellStyle name="Normal 5 10 9 14" xfId="33995" xr:uid="{00000000-0005-0000-0000-0000C9840000}"/>
    <cellStyle name="Normal 5 10 9 2" xfId="33996" xr:uid="{00000000-0005-0000-0000-0000CA840000}"/>
    <cellStyle name="Normal 5 10 9 2 10" xfId="33997" xr:uid="{00000000-0005-0000-0000-0000CB840000}"/>
    <cellStyle name="Normal 5 10 9 2 2" xfId="33998" xr:uid="{00000000-0005-0000-0000-0000CC840000}"/>
    <cellStyle name="Normal 5 10 9 2 3" xfId="33999" xr:uid="{00000000-0005-0000-0000-0000CD840000}"/>
    <cellStyle name="Normal 5 10 9 2 4" xfId="34000" xr:uid="{00000000-0005-0000-0000-0000CE840000}"/>
    <cellStyle name="Normal 5 10 9 2 5" xfId="34001" xr:uid="{00000000-0005-0000-0000-0000CF840000}"/>
    <cellStyle name="Normal 5 10 9 2 6" xfId="34002" xr:uid="{00000000-0005-0000-0000-0000D0840000}"/>
    <cellStyle name="Normal 5 10 9 2 7" xfId="34003" xr:uid="{00000000-0005-0000-0000-0000D1840000}"/>
    <cellStyle name="Normal 5 10 9 2 8" xfId="34004" xr:uid="{00000000-0005-0000-0000-0000D2840000}"/>
    <cellStyle name="Normal 5 10 9 2 9" xfId="34005" xr:uid="{00000000-0005-0000-0000-0000D3840000}"/>
    <cellStyle name="Normal 5 10 9 3" xfId="34006" xr:uid="{00000000-0005-0000-0000-0000D4840000}"/>
    <cellStyle name="Normal 5 10 9 3 10" xfId="34007" xr:uid="{00000000-0005-0000-0000-0000D5840000}"/>
    <cellStyle name="Normal 5 10 9 3 2" xfId="34008" xr:uid="{00000000-0005-0000-0000-0000D6840000}"/>
    <cellStyle name="Normal 5 10 9 3 3" xfId="34009" xr:uid="{00000000-0005-0000-0000-0000D7840000}"/>
    <cellStyle name="Normal 5 10 9 3 4" xfId="34010" xr:uid="{00000000-0005-0000-0000-0000D8840000}"/>
    <cellStyle name="Normal 5 10 9 3 5" xfId="34011" xr:uid="{00000000-0005-0000-0000-0000D9840000}"/>
    <cellStyle name="Normal 5 10 9 3 6" xfId="34012" xr:uid="{00000000-0005-0000-0000-0000DA840000}"/>
    <cellStyle name="Normal 5 10 9 3 7" xfId="34013" xr:uid="{00000000-0005-0000-0000-0000DB840000}"/>
    <cellStyle name="Normal 5 10 9 3 8" xfId="34014" xr:uid="{00000000-0005-0000-0000-0000DC840000}"/>
    <cellStyle name="Normal 5 10 9 3 9" xfId="34015" xr:uid="{00000000-0005-0000-0000-0000DD840000}"/>
    <cellStyle name="Normal 5 10 9 4" xfId="34016" xr:uid="{00000000-0005-0000-0000-0000DE840000}"/>
    <cellStyle name="Normal 5 10 9 4 10" xfId="34017" xr:uid="{00000000-0005-0000-0000-0000DF840000}"/>
    <cellStyle name="Normal 5 10 9 4 2" xfId="34018" xr:uid="{00000000-0005-0000-0000-0000E0840000}"/>
    <cellStyle name="Normal 5 10 9 4 3" xfId="34019" xr:uid="{00000000-0005-0000-0000-0000E1840000}"/>
    <cellStyle name="Normal 5 10 9 4 4" xfId="34020" xr:uid="{00000000-0005-0000-0000-0000E2840000}"/>
    <cellStyle name="Normal 5 10 9 4 5" xfId="34021" xr:uid="{00000000-0005-0000-0000-0000E3840000}"/>
    <cellStyle name="Normal 5 10 9 4 6" xfId="34022" xr:uid="{00000000-0005-0000-0000-0000E4840000}"/>
    <cellStyle name="Normal 5 10 9 4 7" xfId="34023" xr:uid="{00000000-0005-0000-0000-0000E5840000}"/>
    <cellStyle name="Normal 5 10 9 4 8" xfId="34024" xr:uid="{00000000-0005-0000-0000-0000E6840000}"/>
    <cellStyle name="Normal 5 10 9 4 9" xfId="34025" xr:uid="{00000000-0005-0000-0000-0000E7840000}"/>
    <cellStyle name="Normal 5 10 9 5" xfId="34026" xr:uid="{00000000-0005-0000-0000-0000E8840000}"/>
    <cellStyle name="Normal 5 10 9 5 10" xfId="34027" xr:uid="{00000000-0005-0000-0000-0000E9840000}"/>
    <cellStyle name="Normal 5 10 9 5 2" xfId="34028" xr:uid="{00000000-0005-0000-0000-0000EA840000}"/>
    <cellStyle name="Normal 5 10 9 5 3" xfId="34029" xr:uid="{00000000-0005-0000-0000-0000EB840000}"/>
    <cellStyle name="Normal 5 10 9 5 4" xfId="34030" xr:uid="{00000000-0005-0000-0000-0000EC840000}"/>
    <cellStyle name="Normal 5 10 9 5 5" xfId="34031" xr:uid="{00000000-0005-0000-0000-0000ED840000}"/>
    <cellStyle name="Normal 5 10 9 5 6" xfId="34032" xr:uid="{00000000-0005-0000-0000-0000EE840000}"/>
    <cellStyle name="Normal 5 10 9 5 7" xfId="34033" xr:uid="{00000000-0005-0000-0000-0000EF840000}"/>
    <cellStyle name="Normal 5 10 9 5 8" xfId="34034" xr:uid="{00000000-0005-0000-0000-0000F0840000}"/>
    <cellStyle name="Normal 5 10 9 5 9" xfId="34035" xr:uid="{00000000-0005-0000-0000-0000F1840000}"/>
    <cellStyle name="Normal 5 10 9 6" xfId="34036" xr:uid="{00000000-0005-0000-0000-0000F2840000}"/>
    <cellStyle name="Normal 5 10 9 7" xfId="34037" xr:uid="{00000000-0005-0000-0000-0000F3840000}"/>
    <cellStyle name="Normal 5 10 9 8" xfId="34038" xr:uid="{00000000-0005-0000-0000-0000F4840000}"/>
    <cellStyle name="Normal 5 10 9 9" xfId="34039" xr:uid="{00000000-0005-0000-0000-0000F5840000}"/>
    <cellStyle name="Normal 5 11" xfId="34040" xr:uid="{00000000-0005-0000-0000-0000F6840000}"/>
    <cellStyle name="Normal 5 11 2" xfId="34041" xr:uid="{00000000-0005-0000-0000-0000F7840000}"/>
    <cellStyle name="Normal 5 11 2 2" xfId="34042" xr:uid="{00000000-0005-0000-0000-0000F8840000}"/>
    <cellStyle name="Normal 5 11 3" xfId="34043" xr:uid="{00000000-0005-0000-0000-0000F9840000}"/>
    <cellStyle name="Normal 5 11 4" xfId="34044" xr:uid="{00000000-0005-0000-0000-0000FA840000}"/>
    <cellStyle name="Normal 5 12" xfId="34045" xr:uid="{00000000-0005-0000-0000-0000FB840000}"/>
    <cellStyle name="Normal 5 12 2" xfId="34046" xr:uid="{00000000-0005-0000-0000-0000FC840000}"/>
    <cellStyle name="Normal 5 12 2 2" xfId="34047" xr:uid="{00000000-0005-0000-0000-0000FD840000}"/>
    <cellStyle name="Normal 5 12 3" xfId="34048" xr:uid="{00000000-0005-0000-0000-0000FE840000}"/>
    <cellStyle name="Normal 5 12 4" xfId="34049" xr:uid="{00000000-0005-0000-0000-0000FF840000}"/>
    <cellStyle name="Normal 5 13" xfId="34050" xr:uid="{00000000-0005-0000-0000-000000850000}"/>
    <cellStyle name="Normal 5 13 2" xfId="34051" xr:uid="{00000000-0005-0000-0000-000001850000}"/>
    <cellStyle name="Normal 5 13 2 2" xfId="34052" xr:uid="{00000000-0005-0000-0000-000002850000}"/>
    <cellStyle name="Normal 5 13 3" xfId="34053" xr:uid="{00000000-0005-0000-0000-000003850000}"/>
    <cellStyle name="Normal 5 13 4" xfId="34054" xr:uid="{00000000-0005-0000-0000-000004850000}"/>
    <cellStyle name="Normal 5 14" xfId="34055" xr:uid="{00000000-0005-0000-0000-000005850000}"/>
    <cellStyle name="Normal 5 14 2" xfId="34056" xr:uid="{00000000-0005-0000-0000-000006850000}"/>
    <cellStyle name="Normal 5 14 2 2" xfId="34057" xr:uid="{00000000-0005-0000-0000-000007850000}"/>
    <cellStyle name="Normal 5 14 3" xfId="34058" xr:uid="{00000000-0005-0000-0000-000008850000}"/>
    <cellStyle name="Normal 5 14 4" xfId="34059" xr:uid="{00000000-0005-0000-0000-000009850000}"/>
    <cellStyle name="Normal 5 15" xfId="34060" xr:uid="{00000000-0005-0000-0000-00000A850000}"/>
    <cellStyle name="Normal 5 15 2" xfId="34061" xr:uid="{00000000-0005-0000-0000-00000B850000}"/>
    <cellStyle name="Normal 5 15 2 2" xfId="34062" xr:uid="{00000000-0005-0000-0000-00000C850000}"/>
    <cellStyle name="Normal 5 15 3" xfId="34063" xr:uid="{00000000-0005-0000-0000-00000D850000}"/>
    <cellStyle name="Normal 5 15 4" xfId="34064" xr:uid="{00000000-0005-0000-0000-00000E850000}"/>
    <cellStyle name="Normal 5 16" xfId="34065" xr:uid="{00000000-0005-0000-0000-00000F850000}"/>
    <cellStyle name="Normal 5 16 2" xfId="34066" xr:uid="{00000000-0005-0000-0000-000010850000}"/>
    <cellStyle name="Normal 5 16 2 2" xfId="34067" xr:uid="{00000000-0005-0000-0000-000011850000}"/>
    <cellStyle name="Normal 5 16 3" xfId="34068" xr:uid="{00000000-0005-0000-0000-000012850000}"/>
    <cellStyle name="Normal 5 16 4" xfId="34069" xr:uid="{00000000-0005-0000-0000-000013850000}"/>
    <cellStyle name="Normal 5 17" xfId="34070" xr:uid="{00000000-0005-0000-0000-000014850000}"/>
    <cellStyle name="Normal 5 17 10" xfId="34071" xr:uid="{00000000-0005-0000-0000-000015850000}"/>
    <cellStyle name="Normal 5 17 10 10" xfId="34072" xr:uid="{00000000-0005-0000-0000-000016850000}"/>
    <cellStyle name="Normal 5 17 10 11" xfId="34073" xr:uid="{00000000-0005-0000-0000-000017850000}"/>
    <cellStyle name="Normal 5 17 10 12" xfId="34074" xr:uid="{00000000-0005-0000-0000-000018850000}"/>
    <cellStyle name="Normal 5 17 10 13" xfId="34075" xr:uid="{00000000-0005-0000-0000-000019850000}"/>
    <cellStyle name="Normal 5 17 10 14" xfId="34076" xr:uid="{00000000-0005-0000-0000-00001A850000}"/>
    <cellStyle name="Normal 5 17 10 2" xfId="34077" xr:uid="{00000000-0005-0000-0000-00001B850000}"/>
    <cellStyle name="Normal 5 17 10 2 10" xfId="34078" xr:uid="{00000000-0005-0000-0000-00001C850000}"/>
    <cellStyle name="Normal 5 17 10 2 2" xfId="34079" xr:uid="{00000000-0005-0000-0000-00001D850000}"/>
    <cellStyle name="Normal 5 17 10 2 3" xfId="34080" xr:uid="{00000000-0005-0000-0000-00001E850000}"/>
    <cellStyle name="Normal 5 17 10 2 4" xfId="34081" xr:uid="{00000000-0005-0000-0000-00001F850000}"/>
    <cellStyle name="Normal 5 17 10 2 5" xfId="34082" xr:uid="{00000000-0005-0000-0000-000020850000}"/>
    <cellStyle name="Normal 5 17 10 2 6" xfId="34083" xr:uid="{00000000-0005-0000-0000-000021850000}"/>
    <cellStyle name="Normal 5 17 10 2 7" xfId="34084" xr:uid="{00000000-0005-0000-0000-000022850000}"/>
    <cellStyle name="Normal 5 17 10 2 8" xfId="34085" xr:uid="{00000000-0005-0000-0000-000023850000}"/>
    <cellStyle name="Normal 5 17 10 2 9" xfId="34086" xr:uid="{00000000-0005-0000-0000-000024850000}"/>
    <cellStyle name="Normal 5 17 10 3" xfId="34087" xr:uid="{00000000-0005-0000-0000-000025850000}"/>
    <cellStyle name="Normal 5 17 10 3 10" xfId="34088" xr:uid="{00000000-0005-0000-0000-000026850000}"/>
    <cellStyle name="Normal 5 17 10 3 2" xfId="34089" xr:uid="{00000000-0005-0000-0000-000027850000}"/>
    <cellStyle name="Normal 5 17 10 3 3" xfId="34090" xr:uid="{00000000-0005-0000-0000-000028850000}"/>
    <cellStyle name="Normal 5 17 10 3 4" xfId="34091" xr:uid="{00000000-0005-0000-0000-000029850000}"/>
    <cellStyle name="Normal 5 17 10 3 5" xfId="34092" xr:uid="{00000000-0005-0000-0000-00002A850000}"/>
    <cellStyle name="Normal 5 17 10 3 6" xfId="34093" xr:uid="{00000000-0005-0000-0000-00002B850000}"/>
    <cellStyle name="Normal 5 17 10 3 7" xfId="34094" xr:uid="{00000000-0005-0000-0000-00002C850000}"/>
    <cellStyle name="Normal 5 17 10 3 8" xfId="34095" xr:uid="{00000000-0005-0000-0000-00002D850000}"/>
    <cellStyle name="Normal 5 17 10 3 9" xfId="34096" xr:uid="{00000000-0005-0000-0000-00002E850000}"/>
    <cellStyle name="Normal 5 17 10 4" xfId="34097" xr:uid="{00000000-0005-0000-0000-00002F850000}"/>
    <cellStyle name="Normal 5 17 10 4 10" xfId="34098" xr:uid="{00000000-0005-0000-0000-000030850000}"/>
    <cellStyle name="Normal 5 17 10 4 2" xfId="34099" xr:uid="{00000000-0005-0000-0000-000031850000}"/>
    <cellStyle name="Normal 5 17 10 4 3" xfId="34100" xr:uid="{00000000-0005-0000-0000-000032850000}"/>
    <cellStyle name="Normal 5 17 10 4 4" xfId="34101" xr:uid="{00000000-0005-0000-0000-000033850000}"/>
    <cellStyle name="Normal 5 17 10 4 5" xfId="34102" xr:uid="{00000000-0005-0000-0000-000034850000}"/>
    <cellStyle name="Normal 5 17 10 4 6" xfId="34103" xr:uid="{00000000-0005-0000-0000-000035850000}"/>
    <cellStyle name="Normal 5 17 10 4 7" xfId="34104" xr:uid="{00000000-0005-0000-0000-000036850000}"/>
    <cellStyle name="Normal 5 17 10 4 8" xfId="34105" xr:uid="{00000000-0005-0000-0000-000037850000}"/>
    <cellStyle name="Normal 5 17 10 4 9" xfId="34106" xr:uid="{00000000-0005-0000-0000-000038850000}"/>
    <cellStyle name="Normal 5 17 10 5" xfId="34107" xr:uid="{00000000-0005-0000-0000-000039850000}"/>
    <cellStyle name="Normal 5 17 10 5 10" xfId="34108" xr:uid="{00000000-0005-0000-0000-00003A850000}"/>
    <cellStyle name="Normal 5 17 10 5 2" xfId="34109" xr:uid="{00000000-0005-0000-0000-00003B850000}"/>
    <cellStyle name="Normal 5 17 10 5 3" xfId="34110" xr:uid="{00000000-0005-0000-0000-00003C850000}"/>
    <cellStyle name="Normal 5 17 10 5 4" xfId="34111" xr:uid="{00000000-0005-0000-0000-00003D850000}"/>
    <cellStyle name="Normal 5 17 10 5 5" xfId="34112" xr:uid="{00000000-0005-0000-0000-00003E850000}"/>
    <cellStyle name="Normal 5 17 10 5 6" xfId="34113" xr:uid="{00000000-0005-0000-0000-00003F850000}"/>
    <cellStyle name="Normal 5 17 10 5 7" xfId="34114" xr:uid="{00000000-0005-0000-0000-000040850000}"/>
    <cellStyle name="Normal 5 17 10 5 8" xfId="34115" xr:uid="{00000000-0005-0000-0000-000041850000}"/>
    <cellStyle name="Normal 5 17 10 5 9" xfId="34116" xr:uid="{00000000-0005-0000-0000-000042850000}"/>
    <cellStyle name="Normal 5 17 10 6" xfId="34117" xr:uid="{00000000-0005-0000-0000-000043850000}"/>
    <cellStyle name="Normal 5 17 10 7" xfId="34118" xr:uid="{00000000-0005-0000-0000-000044850000}"/>
    <cellStyle name="Normal 5 17 10 8" xfId="34119" xr:uid="{00000000-0005-0000-0000-000045850000}"/>
    <cellStyle name="Normal 5 17 10 9" xfId="34120" xr:uid="{00000000-0005-0000-0000-000046850000}"/>
    <cellStyle name="Normal 5 17 11" xfId="34121" xr:uid="{00000000-0005-0000-0000-000047850000}"/>
    <cellStyle name="Normal 5 17 11 10" xfId="34122" xr:uid="{00000000-0005-0000-0000-000048850000}"/>
    <cellStyle name="Normal 5 17 11 11" xfId="34123" xr:uid="{00000000-0005-0000-0000-000049850000}"/>
    <cellStyle name="Normal 5 17 11 12" xfId="34124" xr:uid="{00000000-0005-0000-0000-00004A850000}"/>
    <cellStyle name="Normal 5 17 11 13" xfId="34125" xr:uid="{00000000-0005-0000-0000-00004B850000}"/>
    <cellStyle name="Normal 5 17 11 14" xfId="34126" xr:uid="{00000000-0005-0000-0000-00004C850000}"/>
    <cellStyle name="Normal 5 17 11 2" xfId="34127" xr:uid="{00000000-0005-0000-0000-00004D850000}"/>
    <cellStyle name="Normal 5 17 11 2 10" xfId="34128" xr:uid="{00000000-0005-0000-0000-00004E850000}"/>
    <cellStyle name="Normal 5 17 11 2 2" xfId="34129" xr:uid="{00000000-0005-0000-0000-00004F850000}"/>
    <cellStyle name="Normal 5 17 11 2 3" xfId="34130" xr:uid="{00000000-0005-0000-0000-000050850000}"/>
    <cellStyle name="Normal 5 17 11 2 4" xfId="34131" xr:uid="{00000000-0005-0000-0000-000051850000}"/>
    <cellStyle name="Normal 5 17 11 2 5" xfId="34132" xr:uid="{00000000-0005-0000-0000-000052850000}"/>
    <cellStyle name="Normal 5 17 11 2 6" xfId="34133" xr:uid="{00000000-0005-0000-0000-000053850000}"/>
    <cellStyle name="Normal 5 17 11 2 7" xfId="34134" xr:uid="{00000000-0005-0000-0000-000054850000}"/>
    <cellStyle name="Normal 5 17 11 2 8" xfId="34135" xr:uid="{00000000-0005-0000-0000-000055850000}"/>
    <cellStyle name="Normal 5 17 11 2 9" xfId="34136" xr:uid="{00000000-0005-0000-0000-000056850000}"/>
    <cellStyle name="Normal 5 17 11 3" xfId="34137" xr:uid="{00000000-0005-0000-0000-000057850000}"/>
    <cellStyle name="Normal 5 17 11 3 10" xfId="34138" xr:uid="{00000000-0005-0000-0000-000058850000}"/>
    <cellStyle name="Normal 5 17 11 3 2" xfId="34139" xr:uid="{00000000-0005-0000-0000-000059850000}"/>
    <cellStyle name="Normal 5 17 11 3 3" xfId="34140" xr:uid="{00000000-0005-0000-0000-00005A850000}"/>
    <cellStyle name="Normal 5 17 11 3 4" xfId="34141" xr:uid="{00000000-0005-0000-0000-00005B850000}"/>
    <cellStyle name="Normal 5 17 11 3 5" xfId="34142" xr:uid="{00000000-0005-0000-0000-00005C850000}"/>
    <cellStyle name="Normal 5 17 11 3 6" xfId="34143" xr:uid="{00000000-0005-0000-0000-00005D850000}"/>
    <cellStyle name="Normal 5 17 11 3 7" xfId="34144" xr:uid="{00000000-0005-0000-0000-00005E850000}"/>
    <cellStyle name="Normal 5 17 11 3 8" xfId="34145" xr:uid="{00000000-0005-0000-0000-00005F850000}"/>
    <cellStyle name="Normal 5 17 11 3 9" xfId="34146" xr:uid="{00000000-0005-0000-0000-000060850000}"/>
    <cellStyle name="Normal 5 17 11 4" xfId="34147" xr:uid="{00000000-0005-0000-0000-000061850000}"/>
    <cellStyle name="Normal 5 17 11 4 10" xfId="34148" xr:uid="{00000000-0005-0000-0000-000062850000}"/>
    <cellStyle name="Normal 5 17 11 4 2" xfId="34149" xr:uid="{00000000-0005-0000-0000-000063850000}"/>
    <cellStyle name="Normal 5 17 11 4 3" xfId="34150" xr:uid="{00000000-0005-0000-0000-000064850000}"/>
    <cellStyle name="Normal 5 17 11 4 4" xfId="34151" xr:uid="{00000000-0005-0000-0000-000065850000}"/>
    <cellStyle name="Normal 5 17 11 4 5" xfId="34152" xr:uid="{00000000-0005-0000-0000-000066850000}"/>
    <cellStyle name="Normal 5 17 11 4 6" xfId="34153" xr:uid="{00000000-0005-0000-0000-000067850000}"/>
    <cellStyle name="Normal 5 17 11 4 7" xfId="34154" xr:uid="{00000000-0005-0000-0000-000068850000}"/>
    <cellStyle name="Normal 5 17 11 4 8" xfId="34155" xr:uid="{00000000-0005-0000-0000-000069850000}"/>
    <cellStyle name="Normal 5 17 11 4 9" xfId="34156" xr:uid="{00000000-0005-0000-0000-00006A850000}"/>
    <cellStyle name="Normal 5 17 11 5" xfId="34157" xr:uid="{00000000-0005-0000-0000-00006B850000}"/>
    <cellStyle name="Normal 5 17 11 5 10" xfId="34158" xr:uid="{00000000-0005-0000-0000-00006C850000}"/>
    <cellStyle name="Normal 5 17 11 5 2" xfId="34159" xr:uid="{00000000-0005-0000-0000-00006D850000}"/>
    <cellStyle name="Normal 5 17 11 5 3" xfId="34160" xr:uid="{00000000-0005-0000-0000-00006E850000}"/>
    <cellStyle name="Normal 5 17 11 5 4" xfId="34161" xr:uid="{00000000-0005-0000-0000-00006F850000}"/>
    <cellStyle name="Normal 5 17 11 5 5" xfId="34162" xr:uid="{00000000-0005-0000-0000-000070850000}"/>
    <cellStyle name="Normal 5 17 11 5 6" xfId="34163" xr:uid="{00000000-0005-0000-0000-000071850000}"/>
    <cellStyle name="Normal 5 17 11 5 7" xfId="34164" xr:uid="{00000000-0005-0000-0000-000072850000}"/>
    <cellStyle name="Normal 5 17 11 5 8" xfId="34165" xr:uid="{00000000-0005-0000-0000-000073850000}"/>
    <cellStyle name="Normal 5 17 11 5 9" xfId="34166" xr:uid="{00000000-0005-0000-0000-000074850000}"/>
    <cellStyle name="Normal 5 17 11 6" xfId="34167" xr:uid="{00000000-0005-0000-0000-000075850000}"/>
    <cellStyle name="Normal 5 17 11 7" xfId="34168" xr:uid="{00000000-0005-0000-0000-000076850000}"/>
    <cellStyle name="Normal 5 17 11 8" xfId="34169" xr:uid="{00000000-0005-0000-0000-000077850000}"/>
    <cellStyle name="Normal 5 17 11 9" xfId="34170" xr:uid="{00000000-0005-0000-0000-000078850000}"/>
    <cellStyle name="Normal 5 17 12" xfId="34171" xr:uid="{00000000-0005-0000-0000-000079850000}"/>
    <cellStyle name="Normal 5 17 12 10" xfId="34172" xr:uid="{00000000-0005-0000-0000-00007A850000}"/>
    <cellStyle name="Normal 5 17 12 11" xfId="34173" xr:uid="{00000000-0005-0000-0000-00007B850000}"/>
    <cellStyle name="Normal 5 17 12 12" xfId="34174" xr:uid="{00000000-0005-0000-0000-00007C850000}"/>
    <cellStyle name="Normal 5 17 12 13" xfId="34175" xr:uid="{00000000-0005-0000-0000-00007D850000}"/>
    <cellStyle name="Normal 5 17 12 14" xfId="34176" xr:uid="{00000000-0005-0000-0000-00007E850000}"/>
    <cellStyle name="Normal 5 17 12 2" xfId="34177" xr:uid="{00000000-0005-0000-0000-00007F850000}"/>
    <cellStyle name="Normal 5 17 12 2 10" xfId="34178" xr:uid="{00000000-0005-0000-0000-000080850000}"/>
    <cellStyle name="Normal 5 17 12 2 2" xfId="34179" xr:uid="{00000000-0005-0000-0000-000081850000}"/>
    <cellStyle name="Normal 5 17 12 2 3" xfId="34180" xr:uid="{00000000-0005-0000-0000-000082850000}"/>
    <cellStyle name="Normal 5 17 12 2 4" xfId="34181" xr:uid="{00000000-0005-0000-0000-000083850000}"/>
    <cellStyle name="Normal 5 17 12 2 5" xfId="34182" xr:uid="{00000000-0005-0000-0000-000084850000}"/>
    <cellStyle name="Normal 5 17 12 2 6" xfId="34183" xr:uid="{00000000-0005-0000-0000-000085850000}"/>
    <cellStyle name="Normal 5 17 12 2 7" xfId="34184" xr:uid="{00000000-0005-0000-0000-000086850000}"/>
    <cellStyle name="Normal 5 17 12 2 8" xfId="34185" xr:uid="{00000000-0005-0000-0000-000087850000}"/>
    <cellStyle name="Normal 5 17 12 2 9" xfId="34186" xr:uid="{00000000-0005-0000-0000-000088850000}"/>
    <cellStyle name="Normal 5 17 12 3" xfId="34187" xr:uid="{00000000-0005-0000-0000-000089850000}"/>
    <cellStyle name="Normal 5 17 12 3 10" xfId="34188" xr:uid="{00000000-0005-0000-0000-00008A850000}"/>
    <cellStyle name="Normal 5 17 12 3 2" xfId="34189" xr:uid="{00000000-0005-0000-0000-00008B850000}"/>
    <cellStyle name="Normal 5 17 12 3 3" xfId="34190" xr:uid="{00000000-0005-0000-0000-00008C850000}"/>
    <cellStyle name="Normal 5 17 12 3 4" xfId="34191" xr:uid="{00000000-0005-0000-0000-00008D850000}"/>
    <cellStyle name="Normal 5 17 12 3 5" xfId="34192" xr:uid="{00000000-0005-0000-0000-00008E850000}"/>
    <cellStyle name="Normal 5 17 12 3 6" xfId="34193" xr:uid="{00000000-0005-0000-0000-00008F850000}"/>
    <cellStyle name="Normal 5 17 12 3 7" xfId="34194" xr:uid="{00000000-0005-0000-0000-000090850000}"/>
    <cellStyle name="Normal 5 17 12 3 8" xfId="34195" xr:uid="{00000000-0005-0000-0000-000091850000}"/>
    <cellStyle name="Normal 5 17 12 3 9" xfId="34196" xr:uid="{00000000-0005-0000-0000-000092850000}"/>
    <cellStyle name="Normal 5 17 12 4" xfId="34197" xr:uid="{00000000-0005-0000-0000-000093850000}"/>
    <cellStyle name="Normal 5 17 12 4 10" xfId="34198" xr:uid="{00000000-0005-0000-0000-000094850000}"/>
    <cellStyle name="Normal 5 17 12 4 2" xfId="34199" xr:uid="{00000000-0005-0000-0000-000095850000}"/>
    <cellStyle name="Normal 5 17 12 4 3" xfId="34200" xr:uid="{00000000-0005-0000-0000-000096850000}"/>
    <cellStyle name="Normal 5 17 12 4 4" xfId="34201" xr:uid="{00000000-0005-0000-0000-000097850000}"/>
    <cellStyle name="Normal 5 17 12 4 5" xfId="34202" xr:uid="{00000000-0005-0000-0000-000098850000}"/>
    <cellStyle name="Normal 5 17 12 4 6" xfId="34203" xr:uid="{00000000-0005-0000-0000-000099850000}"/>
    <cellStyle name="Normal 5 17 12 4 7" xfId="34204" xr:uid="{00000000-0005-0000-0000-00009A850000}"/>
    <cellStyle name="Normal 5 17 12 4 8" xfId="34205" xr:uid="{00000000-0005-0000-0000-00009B850000}"/>
    <cellStyle name="Normal 5 17 12 4 9" xfId="34206" xr:uid="{00000000-0005-0000-0000-00009C850000}"/>
    <cellStyle name="Normal 5 17 12 5" xfId="34207" xr:uid="{00000000-0005-0000-0000-00009D850000}"/>
    <cellStyle name="Normal 5 17 12 5 10" xfId="34208" xr:uid="{00000000-0005-0000-0000-00009E850000}"/>
    <cellStyle name="Normal 5 17 12 5 2" xfId="34209" xr:uid="{00000000-0005-0000-0000-00009F850000}"/>
    <cellStyle name="Normal 5 17 12 5 3" xfId="34210" xr:uid="{00000000-0005-0000-0000-0000A0850000}"/>
    <cellStyle name="Normal 5 17 12 5 4" xfId="34211" xr:uid="{00000000-0005-0000-0000-0000A1850000}"/>
    <cellStyle name="Normal 5 17 12 5 5" xfId="34212" xr:uid="{00000000-0005-0000-0000-0000A2850000}"/>
    <cellStyle name="Normal 5 17 12 5 6" xfId="34213" xr:uid="{00000000-0005-0000-0000-0000A3850000}"/>
    <cellStyle name="Normal 5 17 12 5 7" xfId="34214" xr:uid="{00000000-0005-0000-0000-0000A4850000}"/>
    <cellStyle name="Normal 5 17 12 5 8" xfId="34215" xr:uid="{00000000-0005-0000-0000-0000A5850000}"/>
    <cellStyle name="Normal 5 17 12 5 9" xfId="34216" xr:uid="{00000000-0005-0000-0000-0000A6850000}"/>
    <cellStyle name="Normal 5 17 12 6" xfId="34217" xr:uid="{00000000-0005-0000-0000-0000A7850000}"/>
    <cellStyle name="Normal 5 17 12 7" xfId="34218" xr:uid="{00000000-0005-0000-0000-0000A8850000}"/>
    <cellStyle name="Normal 5 17 12 8" xfId="34219" xr:uid="{00000000-0005-0000-0000-0000A9850000}"/>
    <cellStyle name="Normal 5 17 12 9" xfId="34220" xr:uid="{00000000-0005-0000-0000-0000AA850000}"/>
    <cellStyle name="Normal 5 17 13" xfId="34221" xr:uid="{00000000-0005-0000-0000-0000AB850000}"/>
    <cellStyle name="Normal 5 17 13 10" xfId="34222" xr:uid="{00000000-0005-0000-0000-0000AC850000}"/>
    <cellStyle name="Normal 5 17 13 11" xfId="34223" xr:uid="{00000000-0005-0000-0000-0000AD850000}"/>
    <cellStyle name="Normal 5 17 13 12" xfId="34224" xr:uid="{00000000-0005-0000-0000-0000AE850000}"/>
    <cellStyle name="Normal 5 17 13 13" xfId="34225" xr:uid="{00000000-0005-0000-0000-0000AF850000}"/>
    <cellStyle name="Normal 5 17 13 14" xfId="34226" xr:uid="{00000000-0005-0000-0000-0000B0850000}"/>
    <cellStyle name="Normal 5 17 13 2" xfId="34227" xr:uid="{00000000-0005-0000-0000-0000B1850000}"/>
    <cellStyle name="Normal 5 17 13 2 10" xfId="34228" xr:uid="{00000000-0005-0000-0000-0000B2850000}"/>
    <cellStyle name="Normal 5 17 13 2 2" xfId="34229" xr:uid="{00000000-0005-0000-0000-0000B3850000}"/>
    <cellStyle name="Normal 5 17 13 2 3" xfId="34230" xr:uid="{00000000-0005-0000-0000-0000B4850000}"/>
    <cellStyle name="Normal 5 17 13 2 4" xfId="34231" xr:uid="{00000000-0005-0000-0000-0000B5850000}"/>
    <cellStyle name="Normal 5 17 13 2 5" xfId="34232" xr:uid="{00000000-0005-0000-0000-0000B6850000}"/>
    <cellStyle name="Normal 5 17 13 2 6" xfId="34233" xr:uid="{00000000-0005-0000-0000-0000B7850000}"/>
    <cellStyle name="Normal 5 17 13 2 7" xfId="34234" xr:uid="{00000000-0005-0000-0000-0000B8850000}"/>
    <cellStyle name="Normal 5 17 13 2 8" xfId="34235" xr:uid="{00000000-0005-0000-0000-0000B9850000}"/>
    <cellStyle name="Normal 5 17 13 2 9" xfId="34236" xr:uid="{00000000-0005-0000-0000-0000BA850000}"/>
    <cellStyle name="Normal 5 17 13 3" xfId="34237" xr:uid="{00000000-0005-0000-0000-0000BB850000}"/>
    <cellStyle name="Normal 5 17 13 3 10" xfId="34238" xr:uid="{00000000-0005-0000-0000-0000BC850000}"/>
    <cellStyle name="Normal 5 17 13 3 2" xfId="34239" xr:uid="{00000000-0005-0000-0000-0000BD850000}"/>
    <cellStyle name="Normal 5 17 13 3 3" xfId="34240" xr:uid="{00000000-0005-0000-0000-0000BE850000}"/>
    <cellStyle name="Normal 5 17 13 3 4" xfId="34241" xr:uid="{00000000-0005-0000-0000-0000BF850000}"/>
    <cellStyle name="Normal 5 17 13 3 5" xfId="34242" xr:uid="{00000000-0005-0000-0000-0000C0850000}"/>
    <cellStyle name="Normal 5 17 13 3 6" xfId="34243" xr:uid="{00000000-0005-0000-0000-0000C1850000}"/>
    <cellStyle name="Normal 5 17 13 3 7" xfId="34244" xr:uid="{00000000-0005-0000-0000-0000C2850000}"/>
    <cellStyle name="Normal 5 17 13 3 8" xfId="34245" xr:uid="{00000000-0005-0000-0000-0000C3850000}"/>
    <cellStyle name="Normal 5 17 13 3 9" xfId="34246" xr:uid="{00000000-0005-0000-0000-0000C4850000}"/>
    <cellStyle name="Normal 5 17 13 4" xfId="34247" xr:uid="{00000000-0005-0000-0000-0000C5850000}"/>
    <cellStyle name="Normal 5 17 13 4 10" xfId="34248" xr:uid="{00000000-0005-0000-0000-0000C6850000}"/>
    <cellStyle name="Normal 5 17 13 4 2" xfId="34249" xr:uid="{00000000-0005-0000-0000-0000C7850000}"/>
    <cellStyle name="Normal 5 17 13 4 3" xfId="34250" xr:uid="{00000000-0005-0000-0000-0000C8850000}"/>
    <cellStyle name="Normal 5 17 13 4 4" xfId="34251" xr:uid="{00000000-0005-0000-0000-0000C9850000}"/>
    <cellStyle name="Normal 5 17 13 4 5" xfId="34252" xr:uid="{00000000-0005-0000-0000-0000CA850000}"/>
    <cellStyle name="Normal 5 17 13 4 6" xfId="34253" xr:uid="{00000000-0005-0000-0000-0000CB850000}"/>
    <cellStyle name="Normal 5 17 13 4 7" xfId="34254" xr:uid="{00000000-0005-0000-0000-0000CC850000}"/>
    <cellStyle name="Normal 5 17 13 4 8" xfId="34255" xr:uid="{00000000-0005-0000-0000-0000CD850000}"/>
    <cellStyle name="Normal 5 17 13 4 9" xfId="34256" xr:uid="{00000000-0005-0000-0000-0000CE850000}"/>
    <cellStyle name="Normal 5 17 13 5" xfId="34257" xr:uid="{00000000-0005-0000-0000-0000CF850000}"/>
    <cellStyle name="Normal 5 17 13 5 10" xfId="34258" xr:uid="{00000000-0005-0000-0000-0000D0850000}"/>
    <cellStyle name="Normal 5 17 13 5 2" xfId="34259" xr:uid="{00000000-0005-0000-0000-0000D1850000}"/>
    <cellStyle name="Normal 5 17 13 5 3" xfId="34260" xr:uid="{00000000-0005-0000-0000-0000D2850000}"/>
    <cellStyle name="Normal 5 17 13 5 4" xfId="34261" xr:uid="{00000000-0005-0000-0000-0000D3850000}"/>
    <cellStyle name="Normal 5 17 13 5 5" xfId="34262" xr:uid="{00000000-0005-0000-0000-0000D4850000}"/>
    <cellStyle name="Normal 5 17 13 5 6" xfId="34263" xr:uid="{00000000-0005-0000-0000-0000D5850000}"/>
    <cellStyle name="Normal 5 17 13 5 7" xfId="34264" xr:uid="{00000000-0005-0000-0000-0000D6850000}"/>
    <cellStyle name="Normal 5 17 13 5 8" xfId="34265" xr:uid="{00000000-0005-0000-0000-0000D7850000}"/>
    <cellStyle name="Normal 5 17 13 5 9" xfId="34266" xr:uid="{00000000-0005-0000-0000-0000D8850000}"/>
    <cellStyle name="Normal 5 17 13 6" xfId="34267" xr:uid="{00000000-0005-0000-0000-0000D9850000}"/>
    <cellStyle name="Normal 5 17 13 7" xfId="34268" xr:uid="{00000000-0005-0000-0000-0000DA850000}"/>
    <cellStyle name="Normal 5 17 13 8" xfId="34269" xr:uid="{00000000-0005-0000-0000-0000DB850000}"/>
    <cellStyle name="Normal 5 17 13 9" xfId="34270" xr:uid="{00000000-0005-0000-0000-0000DC850000}"/>
    <cellStyle name="Normal 5 17 14" xfId="34271" xr:uid="{00000000-0005-0000-0000-0000DD850000}"/>
    <cellStyle name="Normal 5 17 14 10" xfId="34272" xr:uid="{00000000-0005-0000-0000-0000DE850000}"/>
    <cellStyle name="Normal 5 17 14 11" xfId="34273" xr:uid="{00000000-0005-0000-0000-0000DF850000}"/>
    <cellStyle name="Normal 5 17 14 12" xfId="34274" xr:uid="{00000000-0005-0000-0000-0000E0850000}"/>
    <cellStyle name="Normal 5 17 14 13" xfId="34275" xr:uid="{00000000-0005-0000-0000-0000E1850000}"/>
    <cellStyle name="Normal 5 17 14 14" xfId="34276" xr:uid="{00000000-0005-0000-0000-0000E2850000}"/>
    <cellStyle name="Normal 5 17 14 2" xfId="34277" xr:uid="{00000000-0005-0000-0000-0000E3850000}"/>
    <cellStyle name="Normal 5 17 14 2 10" xfId="34278" xr:uid="{00000000-0005-0000-0000-0000E4850000}"/>
    <cellStyle name="Normal 5 17 14 2 2" xfId="34279" xr:uid="{00000000-0005-0000-0000-0000E5850000}"/>
    <cellStyle name="Normal 5 17 14 2 3" xfId="34280" xr:uid="{00000000-0005-0000-0000-0000E6850000}"/>
    <cellStyle name="Normal 5 17 14 2 4" xfId="34281" xr:uid="{00000000-0005-0000-0000-0000E7850000}"/>
    <cellStyle name="Normal 5 17 14 2 5" xfId="34282" xr:uid="{00000000-0005-0000-0000-0000E8850000}"/>
    <cellStyle name="Normal 5 17 14 2 6" xfId="34283" xr:uid="{00000000-0005-0000-0000-0000E9850000}"/>
    <cellStyle name="Normal 5 17 14 2 7" xfId="34284" xr:uid="{00000000-0005-0000-0000-0000EA850000}"/>
    <cellStyle name="Normal 5 17 14 2 8" xfId="34285" xr:uid="{00000000-0005-0000-0000-0000EB850000}"/>
    <cellStyle name="Normal 5 17 14 2 9" xfId="34286" xr:uid="{00000000-0005-0000-0000-0000EC850000}"/>
    <cellStyle name="Normal 5 17 14 3" xfId="34287" xr:uid="{00000000-0005-0000-0000-0000ED850000}"/>
    <cellStyle name="Normal 5 17 14 3 10" xfId="34288" xr:uid="{00000000-0005-0000-0000-0000EE850000}"/>
    <cellStyle name="Normal 5 17 14 3 2" xfId="34289" xr:uid="{00000000-0005-0000-0000-0000EF850000}"/>
    <cellStyle name="Normal 5 17 14 3 3" xfId="34290" xr:uid="{00000000-0005-0000-0000-0000F0850000}"/>
    <cellStyle name="Normal 5 17 14 3 4" xfId="34291" xr:uid="{00000000-0005-0000-0000-0000F1850000}"/>
    <cellStyle name="Normal 5 17 14 3 5" xfId="34292" xr:uid="{00000000-0005-0000-0000-0000F2850000}"/>
    <cellStyle name="Normal 5 17 14 3 6" xfId="34293" xr:uid="{00000000-0005-0000-0000-0000F3850000}"/>
    <cellStyle name="Normal 5 17 14 3 7" xfId="34294" xr:uid="{00000000-0005-0000-0000-0000F4850000}"/>
    <cellStyle name="Normal 5 17 14 3 8" xfId="34295" xr:uid="{00000000-0005-0000-0000-0000F5850000}"/>
    <cellStyle name="Normal 5 17 14 3 9" xfId="34296" xr:uid="{00000000-0005-0000-0000-0000F6850000}"/>
    <cellStyle name="Normal 5 17 14 4" xfId="34297" xr:uid="{00000000-0005-0000-0000-0000F7850000}"/>
    <cellStyle name="Normal 5 17 14 4 10" xfId="34298" xr:uid="{00000000-0005-0000-0000-0000F8850000}"/>
    <cellStyle name="Normal 5 17 14 4 2" xfId="34299" xr:uid="{00000000-0005-0000-0000-0000F9850000}"/>
    <cellStyle name="Normal 5 17 14 4 3" xfId="34300" xr:uid="{00000000-0005-0000-0000-0000FA850000}"/>
    <cellStyle name="Normal 5 17 14 4 4" xfId="34301" xr:uid="{00000000-0005-0000-0000-0000FB850000}"/>
    <cellStyle name="Normal 5 17 14 4 5" xfId="34302" xr:uid="{00000000-0005-0000-0000-0000FC850000}"/>
    <cellStyle name="Normal 5 17 14 4 6" xfId="34303" xr:uid="{00000000-0005-0000-0000-0000FD850000}"/>
    <cellStyle name="Normal 5 17 14 4 7" xfId="34304" xr:uid="{00000000-0005-0000-0000-0000FE850000}"/>
    <cellStyle name="Normal 5 17 14 4 8" xfId="34305" xr:uid="{00000000-0005-0000-0000-0000FF850000}"/>
    <cellStyle name="Normal 5 17 14 4 9" xfId="34306" xr:uid="{00000000-0005-0000-0000-000000860000}"/>
    <cellStyle name="Normal 5 17 14 5" xfId="34307" xr:uid="{00000000-0005-0000-0000-000001860000}"/>
    <cellStyle name="Normal 5 17 14 5 10" xfId="34308" xr:uid="{00000000-0005-0000-0000-000002860000}"/>
    <cellStyle name="Normal 5 17 14 5 2" xfId="34309" xr:uid="{00000000-0005-0000-0000-000003860000}"/>
    <cellStyle name="Normal 5 17 14 5 3" xfId="34310" xr:uid="{00000000-0005-0000-0000-000004860000}"/>
    <cellStyle name="Normal 5 17 14 5 4" xfId="34311" xr:uid="{00000000-0005-0000-0000-000005860000}"/>
    <cellStyle name="Normal 5 17 14 5 5" xfId="34312" xr:uid="{00000000-0005-0000-0000-000006860000}"/>
    <cellStyle name="Normal 5 17 14 5 6" xfId="34313" xr:uid="{00000000-0005-0000-0000-000007860000}"/>
    <cellStyle name="Normal 5 17 14 5 7" xfId="34314" xr:uid="{00000000-0005-0000-0000-000008860000}"/>
    <cellStyle name="Normal 5 17 14 5 8" xfId="34315" xr:uid="{00000000-0005-0000-0000-000009860000}"/>
    <cellStyle name="Normal 5 17 14 5 9" xfId="34316" xr:uid="{00000000-0005-0000-0000-00000A860000}"/>
    <cellStyle name="Normal 5 17 14 6" xfId="34317" xr:uid="{00000000-0005-0000-0000-00000B860000}"/>
    <cellStyle name="Normal 5 17 14 7" xfId="34318" xr:uid="{00000000-0005-0000-0000-00000C860000}"/>
    <cellStyle name="Normal 5 17 14 8" xfId="34319" xr:uid="{00000000-0005-0000-0000-00000D860000}"/>
    <cellStyle name="Normal 5 17 14 9" xfId="34320" xr:uid="{00000000-0005-0000-0000-00000E860000}"/>
    <cellStyle name="Normal 5 17 15" xfId="34321" xr:uid="{00000000-0005-0000-0000-00000F860000}"/>
    <cellStyle name="Normal 5 17 15 10" xfId="34322" xr:uid="{00000000-0005-0000-0000-000010860000}"/>
    <cellStyle name="Normal 5 17 15 11" xfId="34323" xr:uid="{00000000-0005-0000-0000-000011860000}"/>
    <cellStyle name="Normal 5 17 15 12" xfId="34324" xr:uid="{00000000-0005-0000-0000-000012860000}"/>
    <cellStyle name="Normal 5 17 15 13" xfId="34325" xr:uid="{00000000-0005-0000-0000-000013860000}"/>
    <cellStyle name="Normal 5 17 15 14" xfId="34326" xr:uid="{00000000-0005-0000-0000-000014860000}"/>
    <cellStyle name="Normal 5 17 15 2" xfId="34327" xr:uid="{00000000-0005-0000-0000-000015860000}"/>
    <cellStyle name="Normal 5 17 15 2 10" xfId="34328" xr:uid="{00000000-0005-0000-0000-000016860000}"/>
    <cellStyle name="Normal 5 17 15 2 2" xfId="34329" xr:uid="{00000000-0005-0000-0000-000017860000}"/>
    <cellStyle name="Normal 5 17 15 2 3" xfId="34330" xr:uid="{00000000-0005-0000-0000-000018860000}"/>
    <cellStyle name="Normal 5 17 15 2 4" xfId="34331" xr:uid="{00000000-0005-0000-0000-000019860000}"/>
    <cellStyle name="Normal 5 17 15 2 5" xfId="34332" xr:uid="{00000000-0005-0000-0000-00001A860000}"/>
    <cellStyle name="Normal 5 17 15 2 6" xfId="34333" xr:uid="{00000000-0005-0000-0000-00001B860000}"/>
    <cellStyle name="Normal 5 17 15 2 7" xfId="34334" xr:uid="{00000000-0005-0000-0000-00001C860000}"/>
    <cellStyle name="Normal 5 17 15 2 8" xfId="34335" xr:uid="{00000000-0005-0000-0000-00001D860000}"/>
    <cellStyle name="Normal 5 17 15 2 9" xfId="34336" xr:uid="{00000000-0005-0000-0000-00001E860000}"/>
    <cellStyle name="Normal 5 17 15 3" xfId="34337" xr:uid="{00000000-0005-0000-0000-00001F860000}"/>
    <cellStyle name="Normal 5 17 15 3 10" xfId="34338" xr:uid="{00000000-0005-0000-0000-000020860000}"/>
    <cellStyle name="Normal 5 17 15 3 2" xfId="34339" xr:uid="{00000000-0005-0000-0000-000021860000}"/>
    <cellStyle name="Normal 5 17 15 3 3" xfId="34340" xr:uid="{00000000-0005-0000-0000-000022860000}"/>
    <cellStyle name="Normal 5 17 15 3 4" xfId="34341" xr:uid="{00000000-0005-0000-0000-000023860000}"/>
    <cellStyle name="Normal 5 17 15 3 5" xfId="34342" xr:uid="{00000000-0005-0000-0000-000024860000}"/>
    <cellStyle name="Normal 5 17 15 3 6" xfId="34343" xr:uid="{00000000-0005-0000-0000-000025860000}"/>
    <cellStyle name="Normal 5 17 15 3 7" xfId="34344" xr:uid="{00000000-0005-0000-0000-000026860000}"/>
    <cellStyle name="Normal 5 17 15 3 8" xfId="34345" xr:uid="{00000000-0005-0000-0000-000027860000}"/>
    <cellStyle name="Normal 5 17 15 3 9" xfId="34346" xr:uid="{00000000-0005-0000-0000-000028860000}"/>
    <cellStyle name="Normal 5 17 15 4" xfId="34347" xr:uid="{00000000-0005-0000-0000-000029860000}"/>
    <cellStyle name="Normal 5 17 15 4 10" xfId="34348" xr:uid="{00000000-0005-0000-0000-00002A860000}"/>
    <cellStyle name="Normal 5 17 15 4 2" xfId="34349" xr:uid="{00000000-0005-0000-0000-00002B860000}"/>
    <cellStyle name="Normal 5 17 15 4 3" xfId="34350" xr:uid="{00000000-0005-0000-0000-00002C860000}"/>
    <cellStyle name="Normal 5 17 15 4 4" xfId="34351" xr:uid="{00000000-0005-0000-0000-00002D860000}"/>
    <cellStyle name="Normal 5 17 15 4 5" xfId="34352" xr:uid="{00000000-0005-0000-0000-00002E860000}"/>
    <cellStyle name="Normal 5 17 15 4 6" xfId="34353" xr:uid="{00000000-0005-0000-0000-00002F860000}"/>
    <cellStyle name="Normal 5 17 15 4 7" xfId="34354" xr:uid="{00000000-0005-0000-0000-000030860000}"/>
    <cellStyle name="Normal 5 17 15 4 8" xfId="34355" xr:uid="{00000000-0005-0000-0000-000031860000}"/>
    <cellStyle name="Normal 5 17 15 4 9" xfId="34356" xr:uid="{00000000-0005-0000-0000-000032860000}"/>
    <cellStyle name="Normal 5 17 15 5" xfId="34357" xr:uid="{00000000-0005-0000-0000-000033860000}"/>
    <cellStyle name="Normal 5 17 15 5 10" xfId="34358" xr:uid="{00000000-0005-0000-0000-000034860000}"/>
    <cellStyle name="Normal 5 17 15 5 2" xfId="34359" xr:uid="{00000000-0005-0000-0000-000035860000}"/>
    <cellStyle name="Normal 5 17 15 5 3" xfId="34360" xr:uid="{00000000-0005-0000-0000-000036860000}"/>
    <cellStyle name="Normal 5 17 15 5 4" xfId="34361" xr:uid="{00000000-0005-0000-0000-000037860000}"/>
    <cellStyle name="Normal 5 17 15 5 5" xfId="34362" xr:uid="{00000000-0005-0000-0000-000038860000}"/>
    <cellStyle name="Normal 5 17 15 5 6" xfId="34363" xr:uid="{00000000-0005-0000-0000-000039860000}"/>
    <cellStyle name="Normal 5 17 15 5 7" xfId="34364" xr:uid="{00000000-0005-0000-0000-00003A860000}"/>
    <cellStyle name="Normal 5 17 15 5 8" xfId="34365" xr:uid="{00000000-0005-0000-0000-00003B860000}"/>
    <cellStyle name="Normal 5 17 15 5 9" xfId="34366" xr:uid="{00000000-0005-0000-0000-00003C860000}"/>
    <cellStyle name="Normal 5 17 15 6" xfId="34367" xr:uid="{00000000-0005-0000-0000-00003D860000}"/>
    <cellStyle name="Normal 5 17 15 7" xfId="34368" xr:uid="{00000000-0005-0000-0000-00003E860000}"/>
    <cellStyle name="Normal 5 17 15 8" xfId="34369" xr:uid="{00000000-0005-0000-0000-00003F860000}"/>
    <cellStyle name="Normal 5 17 15 9" xfId="34370" xr:uid="{00000000-0005-0000-0000-000040860000}"/>
    <cellStyle name="Normal 5 17 16" xfId="34371" xr:uid="{00000000-0005-0000-0000-000041860000}"/>
    <cellStyle name="Normal 5 17 16 10" xfId="34372" xr:uid="{00000000-0005-0000-0000-000042860000}"/>
    <cellStyle name="Normal 5 17 16 11" xfId="34373" xr:uid="{00000000-0005-0000-0000-000043860000}"/>
    <cellStyle name="Normal 5 17 16 12" xfId="34374" xr:uid="{00000000-0005-0000-0000-000044860000}"/>
    <cellStyle name="Normal 5 17 16 13" xfId="34375" xr:uid="{00000000-0005-0000-0000-000045860000}"/>
    <cellStyle name="Normal 5 17 16 14" xfId="34376" xr:uid="{00000000-0005-0000-0000-000046860000}"/>
    <cellStyle name="Normal 5 17 16 2" xfId="34377" xr:uid="{00000000-0005-0000-0000-000047860000}"/>
    <cellStyle name="Normal 5 17 16 2 10" xfId="34378" xr:uid="{00000000-0005-0000-0000-000048860000}"/>
    <cellStyle name="Normal 5 17 16 2 2" xfId="34379" xr:uid="{00000000-0005-0000-0000-000049860000}"/>
    <cellStyle name="Normal 5 17 16 2 3" xfId="34380" xr:uid="{00000000-0005-0000-0000-00004A860000}"/>
    <cellStyle name="Normal 5 17 16 2 4" xfId="34381" xr:uid="{00000000-0005-0000-0000-00004B860000}"/>
    <cellStyle name="Normal 5 17 16 2 5" xfId="34382" xr:uid="{00000000-0005-0000-0000-00004C860000}"/>
    <cellStyle name="Normal 5 17 16 2 6" xfId="34383" xr:uid="{00000000-0005-0000-0000-00004D860000}"/>
    <cellStyle name="Normal 5 17 16 2 7" xfId="34384" xr:uid="{00000000-0005-0000-0000-00004E860000}"/>
    <cellStyle name="Normal 5 17 16 2 8" xfId="34385" xr:uid="{00000000-0005-0000-0000-00004F860000}"/>
    <cellStyle name="Normal 5 17 16 2 9" xfId="34386" xr:uid="{00000000-0005-0000-0000-000050860000}"/>
    <cellStyle name="Normal 5 17 16 3" xfId="34387" xr:uid="{00000000-0005-0000-0000-000051860000}"/>
    <cellStyle name="Normal 5 17 16 3 10" xfId="34388" xr:uid="{00000000-0005-0000-0000-000052860000}"/>
    <cellStyle name="Normal 5 17 16 3 2" xfId="34389" xr:uid="{00000000-0005-0000-0000-000053860000}"/>
    <cellStyle name="Normal 5 17 16 3 3" xfId="34390" xr:uid="{00000000-0005-0000-0000-000054860000}"/>
    <cellStyle name="Normal 5 17 16 3 4" xfId="34391" xr:uid="{00000000-0005-0000-0000-000055860000}"/>
    <cellStyle name="Normal 5 17 16 3 5" xfId="34392" xr:uid="{00000000-0005-0000-0000-000056860000}"/>
    <cellStyle name="Normal 5 17 16 3 6" xfId="34393" xr:uid="{00000000-0005-0000-0000-000057860000}"/>
    <cellStyle name="Normal 5 17 16 3 7" xfId="34394" xr:uid="{00000000-0005-0000-0000-000058860000}"/>
    <cellStyle name="Normal 5 17 16 3 8" xfId="34395" xr:uid="{00000000-0005-0000-0000-000059860000}"/>
    <cellStyle name="Normal 5 17 16 3 9" xfId="34396" xr:uid="{00000000-0005-0000-0000-00005A860000}"/>
    <cellStyle name="Normal 5 17 16 4" xfId="34397" xr:uid="{00000000-0005-0000-0000-00005B860000}"/>
    <cellStyle name="Normal 5 17 16 4 10" xfId="34398" xr:uid="{00000000-0005-0000-0000-00005C860000}"/>
    <cellStyle name="Normal 5 17 16 4 2" xfId="34399" xr:uid="{00000000-0005-0000-0000-00005D860000}"/>
    <cellStyle name="Normal 5 17 16 4 3" xfId="34400" xr:uid="{00000000-0005-0000-0000-00005E860000}"/>
    <cellStyle name="Normal 5 17 16 4 4" xfId="34401" xr:uid="{00000000-0005-0000-0000-00005F860000}"/>
    <cellStyle name="Normal 5 17 16 4 5" xfId="34402" xr:uid="{00000000-0005-0000-0000-000060860000}"/>
    <cellStyle name="Normal 5 17 16 4 6" xfId="34403" xr:uid="{00000000-0005-0000-0000-000061860000}"/>
    <cellStyle name="Normal 5 17 16 4 7" xfId="34404" xr:uid="{00000000-0005-0000-0000-000062860000}"/>
    <cellStyle name="Normal 5 17 16 4 8" xfId="34405" xr:uid="{00000000-0005-0000-0000-000063860000}"/>
    <cellStyle name="Normal 5 17 16 4 9" xfId="34406" xr:uid="{00000000-0005-0000-0000-000064860000}"/>
    <cellStyle name="Normal 5 17 16 5" xfId="34407" xr:uid="{00000000-0005-0000-0000-000065860000}"/>
    <cellStyle name="Normal 5 17 16 5 10" xfId="34408" xr:uid="{00000000-0005-0000-0000-000066860000}"/>
    <cellStyle name="Normal 5 17 16 5 2" xfId="34409" xr:uid="{00000000-0005-0000-0000-000067860000}"/>
    <cellStyle name="Normal 5 17 16 5 3" xfId="34410" xr:uid="{00000000-0005-0000-0000-000068860000}"/>
    <cellStyle name="Normal 5 17 16 5 4" xfId="34411" xr:uid="{00000000-0005-0000-0000-000069860000}"/>
    <cellStyle name="Normal 5 17 16 5 5" xfId="34412" xr:uid="{00000000-0005-0000-0000-00006A860000}"/>
    <cellStyle name="Normal 5 17 16 5 6" xfId="34413" xr:uid="{00000000-0005-0000-0000-00006B860000}"/>
    <cellStyle name="Normal 5 17 16 5 7" xfId="34414" xr:uid="{00000000-0005-0000-0000-00006C860000}"/>
    <cellStyle name="Normal 5 17 16 5 8" xfId="34415" xr:uid="{00000000-0005-0000-0000-00006D860000}"/>
    <cellStyle name="Normal 5 17 16 5 9" xfId="34416" xr:uid="{00000000-0005-0000-0000-00006E860000}"/>
    <cellStyle name="Normal 5 17 16 6" xfId="34417" xr:uid="{00000000-0005-0000-0000-00006F860000}"/>
    <cellStyle name="Normal 5 17 16 7" xfId="34418" xr:uid="{00000000-0005-0000-0000-000070860000}"/>
    <cellStyle name="Normal 5 17 16 8" xfId="34419" xr:uid="{00000000-0005-0000-0000-000071860000}"/>
    <cellStyle name="Normal 5 17 16 9" xfId="34420" xr:uid="{00000000-0005-0000-0000-000072860000}"/>
    <cellStyle name="Normal 5 17 17" xfId="34421" xr:uid="{00000000-0005-0000-0000-000073860000}"/>
    <cellStyle name="Normal 5 17 17 10" xfId="34422" xr:uid="{00000000-0005-0000-0000-000074860000}"/>
    <cellStyle name="Normal 5 17 17 11" xfId="34423" xr:uid="{00000000-0005-0000-0000-000075860000}"/>
    <cellStyle name="Normal 5 17 17 12" xfId="34424" xr:uid="{00000000-0005-0000-0000-000076860000}"/>
    <cellStyle name="Normal 5 17 17 13" xfId="34425" xr:uid="{00000000-0005-0000-0000-000077860000}"/>
    <cellStyle name="Normal 5 17 17 14" xfId="34426" xr:uid="{00000000-0005-0000-0000-000078860000}"/>
    <cellStyle name="Normal 5 17 17 2" xfId="34427" xr:uid="{00000000-0005-0000-0000-000079860000}"/>
    <cellStyle name="Normal 5 17 17 2 10" xfId="34428" xr:uid="{00000000-0005-0000-0000-00007A860000}"/>
    <cellStyle name="Normal 5 17 17 2 2" xfId="34429" xr:uid="{00000000-0005-0000-0000-00007B860000}"/>
    <cellStyle name="Normal 5 17 17 2 3" xfId="34430" xr:uid="{00000000-0005-0000-0000-00007C860000}"/>
    <cellStyle name="Normal 5 17 17 2 4" xfId="34431" xr:uid="{00000000-0005-0000-0000-00007D860000}"/>
    <cellStyle name="Normal 5 17 17 2 5" xfId="34432" xr:uid="{00000000-0005-0000-0000-00007E860000}"/>
    <cellStyle name="Normal 5 17 17 2 6" xfId="34433" xr:uid="{00000000-0005-0000-0000-00007F860000}"/>
    <cellStyle name="Normal 5 17 17 2 7" xfId="34434" xr:uid="{00000000-0005-0000-0000-000080860000}"/>
    <cellStyle name="Normal 5 17 17 2 8" xfId="34435" xr:uid="{00000000-0005-0000-0000-000081860000}"/>
    <cellStyle name="Normal 5 17 17 2 9" xfId="34436" xr:uid="{00000000-0005-0000-0000-000082860000}"/>
    <cellStyle name="Normal 5 17 17 3" xfId="34437" xr:uid="{00000000-0005-0000-0000-000083860000}"/>
    <cellStyle name="Normal 5 17 17 3 10" xfId="34438" xr:uid="{00000000-0005-0000-0000-000084860000}"/>
    <cellStyle name="Normal 5 17 17 3 2" xfId="34439" xr:uid="{00000000-0005-0000-0000-000085860000}"/>
    <cellStyle name="Normal 5 17 17 3 3" xfId="34440" xr:uid="{00000000-0005-0000-0000-000086860000}"/>
    <cellStyle name="Normal 5 17 17 3 4" xfId="34441" xr:uid="{00000000-0005-0000-0000-000087860000}"/>
    <cellStyle name="Normal 5 17 17 3 5" xfId="34442" xr:uid="{00000000-0005-0000-0000-000088860000}"/>
    <cellStyle name="Normal 5 17 17 3 6" xfId="34443" xr:uid="{00000000-0005-0000-0000-000089860000}"/>
    <cellStyle name="Normal 5 17 17 3 7" xfId="34444" xr:uid="{00000000-0005-0000-0000-00008A860000}"/>
    <cellStyle name="Normal 5 17 17 3 8" xfId="34445" xr:uid="{00000000-0005-0000-0000-00008B860000}"/>
    <cellStyle name="Normal 5 17 17 3 9" xfId="34446" xr:uid="{00000000-0005-0000-0000-00008C860000}"/>
    <cellStyle name="Normal 5 17 17 4" xfId="34447" xr:uid="{00000000-0005-0000-0000-00008D860000}"/>
    <cellStyle name="Normal 5 17 17 4 10" xfId="34448" xr:uid="{00000000-0005-0000-0000-00008E860000}"/>
    <cellStyle name="Normal 5 17 17 4 2" xfId="34449" xr:uid="{00000000-0005-0000-0000-00008F860000}"/>
    <cellStyle name="Normal 5 17 17 4 3" xfId="34450" xr:uid="{00000000-0005-0000-0000-000090860000}"/>
    <cellStyle name="Normal 5 17 17 4 4" xfId="34451" xr:uid="{00000000-0005-0000-0000-000091860000}"/>
    <cellStyle name="Normal 5 17 17 4 5" xfId="34452" xr:uid="{00000000-0005-0000-0000-000092860000}"/>
    <cellStyle name="Normal 5 17 17 4 6" xfId="34453" xr:uid="{00000000-0005-0000-0000-000093860000}"/>
    <cellStyle name="Normal 5 17 17 4 7" xfId="34454" xr:uid="{00000000-0005-0000-0000-000094860000}"/>
    <cellStyle name="Normal 5 17 17 4 8" xfId="34455" xr:uid="{00000000-0005-0000-0000-000095860000}"/>
    <cellStyle name="Normal 5 17 17 4 9" xfId="34456" xr:uid="{00000000-0005-0000-0000-000096860000}"/>
    <cellStyle name="Normal 5 17 17 5" xfId="34457" xr:uid="{00000000-0005-0000-0000-000097860000}"/>
    <cellStyle name="Normal 5 17 17 5 10" xfId="34458" xr:uid="{00000000-0005-0000-0000-000098860000}"/>
    <cellStyle name="Normal 5 17 17 5 2" xfId="34459" xr:uid="{00000000-0005-0000-0000-000099860000}"/>
    <cellStyle name="Normal 5 17 17 5 3" xfId="34460" xr:uid="{00000000-0005-0000-0000-00009A860000}"/>
    <cellStyle name="Normal 5 17 17 5 4" xfId="34461" xr:uid="{00000000-0005-0000-0000-00009B860000}"/>
    <cellStyle name="Normal 5 17 17 5 5" xfId="34462" xr:uid="{00000000-0005-0000-0000-00009C860000}"/>
    <cellStyle name="Normal 5 17 17 5 6" xfId="34463" xr:uid="{00000000-0005-0000-0000-00009D860000}"/>
    <cellStyle name="Normal 5 17 17 5 7" xfId="34464" xr:uid="{00000000-0005-0000-0000-00009E860000}"/>
    <cellStyle name="Normal 5 17 17 5 8" xfId="34465" xr:uid="{00000000-0005-0000-0000-00009F860000}"/>
    <cellStyle name="Normal 5 17 17 5 9" xfId="34466" xr:uid="{00000000-0005-0000-0000-0000A0860000}"/>
    <cellStyle name="Normal 5 17 17 6" xfId="34467" xr:uid="{00000000-0005-0000-0000-0000A1860000}"/>
    <cellStyle name="Normal 5 17 17 7" xfId="34468" xr:uid="{00000000-0005-0000-0000-0000A2860000}"/>
    <cellStyle name="Normal 5 17 17 8" xfId="34469" xr:uid="{00000000-0005-0000-0000-0000A3860000}"/>
    <cellStyle name="Normal 5 17 17 9" xfId="34470" xr:uid="{00000000-0005-0000-0000-0000A4860000}"/>
    <cellStyle name="Normal 5 17 18" xfId="34471" xr:uid="{00000000-0005-0000-0000-0000A5860000}"/>
    <cellStyle name="Normal 5 17 18 10" xfId="34472" xr:uid="{00000000-0005-0000-0000-0000A6860000}"/>
    <cellStyle name="Normal 5 17 18 11" xfId="34473" xr:uid="{00000000-0005-0000-0000-0000A7860000}"/>
    <cellStyle name="Normal 5 17 18 12" xfId="34474" xr:uid="{00000000-0005-0000-0000-0000A8860000}"/>
    <cellStyle name="Normal 5 17 18 13" xfId="34475" xr:uid="{00000000-0005-0000-0000-0000A9860000}"/>
    <cellStyle name="Normal 5 17 18 14" xfId="34476" xr:uid="{00000000-0005-0000-0000-0000AA860000}"/>
    <cellStyle name="Normal 5 17 18 2" xfId="34477" xr:uid="{00000000-0005-0000-0000-0000AB860000}"/>
    <cellStyle name="Normal 5 17 18 2 10" xfId="34478" xr:uid="{00000000-0005-0000-0000-0000AC860000}"/>
    <cellStyle name="Normal 5 17 18 2 2" xfId="34479" xr:uid="{00000000-0005-0000-0000-0000AD860000}"/>
    <cellStyle name="Normal 5 17 18 2 3" xfId="34480" xr:uid="{00000000-0005-0000-0000-0000AE860000}"/>
    <cellStyle name="Normal 5 17 18 2 4" xfId="34481" xr:uid="{00000000-0005-0000-0000-0000AF860000}"/>
    <cellStyle name="Normal 5 17 18 2 5" xfId="34482" xr:uid="{00000000-0005-0000-0000-0000B0860000}"/>
    <cellStyle name="Normal 5 17 18 2 6" xfId="34483" xr:uid="{00000000-0005-0000-0000-0000B1860000}"/>
    <cellStyle name="Normal 5 17 18 2 7" xfId="34484" xr:uid="{00000000-0005-0000-0000-0000B2860000}"/>
    <cellStyle name="Normal 5 17 18 2 8" xfId="34485" xr:uid="{00000000-0005-0000-0000-0000B3860000}"/>
    <cellStyle name="Normal 5 17 18 2 9" xfId="34486" xr:uid="{00000000-0005-0000-0000-0000B4860000}"/>
    <cellStyle name="Normal 5 17 18 3" xfId="34487" xr:uid="{00000000-0005-0000-0000-0000B5860000}"/>
    <cellStyle name="Normal 5 17 18 3 10" xfId="34488" xr:uid="{00000000-0005-0000-0000-0000B6860000}"/>
    <cellStyle name="Normal 5 17 18 3 2" xfId="34489" xr:uid="{00000000-0005-0000-0000-0000B7860000}"/>
    <cellStyle name="Normal 5 17 18 3 3" xfId="34490" xr:uid="{00000000-0005-0000-0000-0000B8860000}"/>
    <cellStyle name="Normal 5 17 18 3 4" xfId="34491" xr:uid="{00000000-0005-0000-0000-0000B9860000}"/>
    <cellStyle name="Normal 5 17 18 3 5" xfId="34492" xr:uid="{00000000-0005-0000-0000-0000BA860000}"/>
    <cellStyle name="Normal 5 17 18 3 6" xfId="34493" xr:uid="{00000000-0005-0000-0000-0000BB860000}"/>
    <cellStyle name="Normal 5 17 18 3 7" xfId="34494" xr:uid="{00000000-0005-0000-0000-0000BC860000}"/>
    <cellStyle name="Normal 5 17 18 3 8" xfId="34495" xr:uid="{00000000-0005-0000-0000-0000BD860000}"/>
    <cellStyle name="Normal 5 17 18 3 9" xfId="34496" xr:uid="{00000000-0005-0000-0000-0000BE860000}"/>
    <cellStyle name="Normal 5 17 18 4" xfId="34497" xr:uid="{00000000-0005-0000-0000-0000BF860000}"/>
    <cellStyle name="Normal 5 17 18 4 10" xfId="34498" xr:uid="{00000000-0005-0000-0000-0000C0860000}"/>
    <cellStyle name="Normal 5 17 18 4 2" xfId="34499" xr:uid="{00000000-0005-0000-0000-0000C1860000}"/>
    <cellStyle name="Normal 5 17 18 4 3" xfId="34500" xr:uid="{00000000-0005-0000-0000-0000C2860000}"/>
    <cellStyle name="Normal 5 17 18 4 4" xfId="34501" xr:uid="{00000000-0005-0000-0000-0000C3860000}"/>
    <cellStyle name="Normal 5 17 18 4 5" xfId="34502" xr:uid="{00000000-0005-0000-0000-0000C4860000}"/>
    <cellStyle name="Normal 5 17 18 4 6" xfId="34503" xr:uid="{00000000-0005-0000-0000-0000C5860000}"/>
    <cellStyle name="Normal 5 17 18 4 7" xfId="34504" xr:uid="{00000000-0005-0000-0000-0000C6860000}"/>
    <cellStyle name="Normal 5 17 18 4 8" xfId="34505" xr:uid="{00000000-0005-0000-0000-0000C7860000}"/>
    <cellStyle name="Normal 5 17 18 4 9" xfId="34506" xr:uid="{00000000-0005-0000-0000-0000C8860000}"/>
    <cellStyle name="Normal 5 17 18 5" xfId="34507" xr:uid="{00000000-0005-0000-0000-0000C9860000}"/>
    <cellStyle name="Normal 5 17 18 5 10" xfId="34508" xr:uid="{00000000-0005-0000-0000-0000CA860000}"/>
    <cellStyle name="Normal 5 17 18 5 2" xfId="34509" xr:uid="{00000000-0005-0000-0000-0000CB860000}"/>
    <cellStyle name="Normal 5 17 18 5 3" xfId="34510" xr:uid="{00000000-0005-0000-0000-0000CC860000}"/>
    <cellStyle name="Normal 5 17 18 5 4" xfId="34511" xr:uid="{00000000-0005-0000-0000-0000CD860000}"/>
    <cellStyle name="Normal 5 17 18 5 5" xfId="34512" xr:uid="{00000000-0005-0000-0000-0000CE860000}"/>
    <cellStyle name="Normal 5 17 18 5 6" xfId="34513" xr:uid="{00000000-0005-0000-0000-0000CF860000}"/>
    <cellStyle name="Normal 5 17 18 5 7" xfId="34514" xr:uid="{00000000-0005-0000-0000-0000D0860000}"/>
    <cellStyle name="Normal 5 17 18 5 8" xfId="34515" xr:uid="{00000000-0005-0000-0000-0000D1860000}"/>
    <cellStyle name="Normal 5 17 18 5 9" xfId="34516" xr:uid="{00000000-0005-0000-0000-0000D2860000}"/>
    <cellStyle name="Normal 5 17 18 6" xfId="34517" xr:uid="{00000000-0005-0000-0000-0000D3860000}"/>
    <cellStyle name="Normal 5 17 18 7" xfId="34518" xr:uid="{00000000-0005-0000-0000-0000D4860000}"/>
    <cellStyle name="Normal 5 17 18 8" xfId="34519" xr:uid="{00000000-0005-0000-0000-0000D5860000}"/>
    <cellStyle name="Normal 5 17 18 9" xfId="34520" xr:uid="{00000000-0005-0000-0000-0000D6860000}"/>
    <cellStyle name="Normal 5 17 19" xfId="34521" xr:uid="{00000000-0005-0000-0000-0000D7860000}"/>
    <cellStyle name="Normal 5 17 19 10" xfId="34522" xr:uid="{00000000-0005-0000-0000-0000D8860000}"/>
    <cellStyle name="Normal 5 17 19 11" xfId="34523" xr:uid="{00000000-0005-0000-0000-0000D9860000}"/>
    <cellStyle name="Normal 5 17 19 12" xfId="34524" xr:uid="{00000000-0005-0000-0000-0000DA860000}"/>
    <cellStyle name="Normal 5 17 19 13" xfId="34525" xr:uid="{00000000-0005-0000-0000-0000DB860000}"/>
    <cellStyle name="Normal 5 17 19 14" xfId="34526" xr:uid="{00000000-0005-0000-0000-0000DC860000}"/>
    <cellStyle name="Normal 5 17 19 2" xfId="34527" xr:uid="{00000000-0005-0000-0000-0000DD860000}"/>
    <cellStyle name="Normal 5 17 19 2 10" xfId="34528" xr:uid="{00000000-0005-0000-0000-0000DE860000}"/>
    <cellStyle name="Normal 5 17 19 2 2" xfId="34529" xr:uid="{00000000-0005-0000-0000-0000DF860000}"/>
    <cellStyle name="Normal 5 17 19 2 3" xfId="34530" xr:uid="{00000000-0005-0000-0000-0000E0860000}"/>
    <cellStyle name="Normal 5 17 19 2 4" xfId="34531" xr:uid="{00000000-0005-0000-0000-0000E1860000}"/>
    <cellStyle name="Normal 5 17 19 2 5" xfId="34532" xr:uid="{00000000-0005-0000-0000-0000E2860000}"/>
    <cellStyle name="Normal 5 17 19 2 6" xfId="34533" xr:uid="{00000000-0005-0000-0000-0000E3860000}"/>
    <cellStyle name="Normal 5 17 19 2 7" xfId="34534" xr:uid="{00000000-0005-0000-0000-0000E4860000}"/>
    <cellStyle name="Normal 5 17 19 2 8" xfId="34535" xr:uid="{00000000-0005-0000-0000-0000E5860000}"/>
    <cellStyle name="Normal 5 17 19 2 9" xfId="34536" xr:uid="{00000000-0005-0000-0000-0000E6860000}"/>
    <cellStyle name="Normal 5 17 19 3" xfId="34537" xr:uid="{00000000-0005-0000-0000-0000E7860000}"/>
    <cellStyle name="Normal 5 17 19 3 10" xfId="34538" xr:uid="{00000000-0005-0000-0000-0000E8860000}"/>
    <cellStyle name="Normal 5 17 19 3 2" xfId="34539" xr:uid="{00000000-0005-0000-0000-0000E9860000}"/>
    <cellStyle name="Normal 5 17 19 3 3" xfId="34540" xr:uid="{00000000-0005-0000-0000-0000EA860000}"/>
    <cellStyle name="Normal 5 17 19 3 4" xfId="34541" xr:uid="{00000000-0005-0000-0000-0000EB860000}"/>
    <cellStyle name="Normal 5 17 19 3 5" xfId="34542" xr:uid="{00000000-0005-0000-0000-0000EC860000}"/>
    <cellStyle name="Normal 5 17 19 3 6" xfId="34543" xr:uid="{00000000-0005-0000-0000-0000ED860000}"/>
    <cellStyle name="Normal 5 17 19 3 7" xfId="34544" xr:uid="{00000000-0005-0000-0000-0000EE860000}"/>
    <cellStyle name="Normal 5 17 19 3 8" xfId="34545" xr:uid="{00000000-0005-0000-0000-0000EF860000}"/>
    <cellStyle name="Normal 5 17 19 3 9" xfId="34546" xr:uid="{00000000-0005-0000-0000-0000F0860000}"/>
    <cellStyle name="Normal 5 17 19 4" xfId="34547" xr:uid="{00000000-0005-0000-0000-0000F1860000}"/>
    <cellStyle name="Normal 5 17 19 4 10" xfId="34548" xr:uid="{00000000-0005-0000-0000-0000F2860000}"/>
    <cellStyle name="Normal 5 17 19 4 2" xfId="34549" xr:uid="{00000000-0005-0000-0000-0000F3860000}"/>
    <cellStyle name="Normal 5 17 19 4 3" xfId="34550" xr:uid="{00000000-0005-0000-0000-0000F4860000}"/>
    <cellStyle name="Normal 5 17 19 4 4" xfId="34551" xr:uid="{00000000-0005-0000-0000-0000F5860000}"/>
    <cellStyle name="Normal 5 17 19 4 5" xfId="34552" xr:uid="{00000000-0005-0000-0000-0000F6860000}"/>
    <cellStyle name="Normal 5 17 19 4 6" xfId="34553" xr:uid="{00000000-0005-0000-0000-0000F7860000}"/>
    <cellStyle name="Normal 5 17 19 4 7" xfId="34554" xr:uid="{00000000-0005-0000-0000-0000F8860000}"/>
    <cellStyle name="Normal 5 17 19 4 8" xfId="34555" xr:uid="{00000000-0005-0000-0000-0000F9860000}"/>
    <cellStyle name="Normal 5 17 19 4 9" xfId="34556" xr:uid="{00000000-0005-0000-0000-0000FA860000}"/>
    <cellStyle name="Normal 5 17 19 5" xfId="34557" xr:uid="{00000000-0005-0000-0000-0000FB860000}"/>
    <cellStyle name="Normal 5 17 19 5 10" xfId="34558" xr:uid="{00000000-0005-0000-0000-0000FC860000}"/>
    <cellStyle name="Normal 5 17 19 5 2" xfId="34559" xr:uid="{00000000-0005-0000-0000-0000FD860000}"/>
    <cellStyle name="Normal 5 17 19 5 3" xfId="34560" xr:uid="{00000000-0005-0000-0000-0000FE860000}"/>
    <cellStyle name="Normal 5 17 19 5 4" xfId="34561" xr:uid="{00000000-0005-0000-0000-0000FF860000}"/>
    <cellStyle name="Normal 5 17 19 5 5" xfId="34562" xr:uid="{00000000-0005-0000-0000-000000870000}"/>
    <cellStyle name="Normal 5 17 19 5 6" xfId="34563" xr:uid="{00000000-0005-0000-0000-000001870000}"/>
    <cellStyle name="Normal 5 17 19 5 7" xfId="34564" xr:uid="{00000000-0005-0000-0000-000002870000}"/>
    <cellStyle name="Normal 5 17 19 5 8" xfId="34565" xr:uid="{00000000-0005-0000-0000-000003870000}"/>
    <cellStyle name="Normal 5 17 19 5 9" xfId="34566" xr:uid="{00000000-0005-0000-0000-000004870000}"/>
    <cellStyle name="Normal 5 17 19 6" xfId="34567" xr:uid="{00000000-0005-0000-0000-000005870000}"/>
    <cellStyle name="Normal 5 17 19 7" xfId="34568" xr:uid="{00000000-0005-0000-0000-000006870000}"/>
    <cellStyle name="Normal 5 17 19 8" xfId="34569" xr:uid="{00000000-0005-0000-0000-000007870000}"/>
    <cellStyle name="Normal 5 17 19 9" xfId="34570" xr:uid="{00000000-0005-0000-0000-000008870000}"/>
    <cellStyle name="Normal 5 17 2" xfId="34571" xr:uid="{00000000-0005-0000-0000-000009870000}"/>
    <cellStyle name="Normal 5 17 2 10" xfId="34572" xr:uid="{00000000-0005-0000-0000-00000A870000}"/>
    <cellStyle name="Normal 5 17 2 10 10" xfId="34573" xr:uid="{00000000-0005-0000-0000-00000B870000}"/>
    <cellStyle name="Normal 5 17 2 10 11" xfId="34574" xr:uid="{00000000-0005-0000-0000-00000C870000}"/>
    <cellStyle name="Normal 5 17 2 10 12" xfId="34575" xr:uid="{00000000-0005-0000-0000-00000D870000}"/>
    <cellStyle name="Normal 5 17 2 10 13" xfId="34576" xr:uid="{00000000-0005-0000-0000-00000E870000}"/>
    <cellStyle name="Normal 5 17 2 10 14" xfId="34577" xr:uid="{00000000-0005-0000-0000-00000F870000}"/>
    <cellStyle name="Normal 5 17 2 10 2" xfId="34578" xr:uid="{00000000-0005-0000-0000-000010870000}"/>
    <cellStyle name="Normal 5 17 2 10 2 10" xfId="34579" xr:uid="{00000000-0005-0000-0000-000011870000}"/>
    <cellStyle name="Normal 5 17 2 10 2 2" xfId="34580" xr:uid="{00000000-0005-0000-0000-000012870000}"/>
    <cellStyle name="Normal 5 17 2 10 2 3" xfId="34581" xr:uid="{00000000-0005-0000-0000-000013870000}"/>
    <cellStyle name="Normal 5 17 2 10 2 4" xfId="34582" xr:uid="{00000000-0005-0000-0000-000014870000}"/>
    <cellStyle name="Normal 5 17 2 10 2 5" xfId="34583" xr:uid="{00000000-0005-0000-0000-000015870000}"/>
    <cellStyle name="Normal 5 17 2 10 2 6" xfId="34584" xr:uid="{00000000-0005-0000-0000-000016870000}"/>
    <cellStyle name="Normal 5 17 2 10 2 7" xfId="34585" xr:uid="{00000000-0005-0000-0000-000017870000}"/>
    <cellStyle name="Normal 5 17 2 10 2 8" xfId="34586" xr:uid="{00000000-0005-0000-0000-000018870000}"/>
    <cellStyle name="Normal 5 17 2 10 2 9" xfId="34587" xr:uid="{00000000-0005-0000-0000-000019870000}"/>
    <cellStyle name="Normal 5 17 2 10 3" xfId="34588" xr:uid="{00000000-0005-0000-0000-00001A870000}"/>
    <cellStyle name="Normal 5 17 2 10 3 10" xfId="34589" xr:uid="{00000000-0005-0000-0000-00001B870000}"/>
    <cellStyle name="Normal 5 17 2 10 3 2" xfId="34590" xr:uid="{00000000-0005-0000-0000-00001C870000}"/>
    <cellStyle name="Normal 5 17 2 10 3 3" xfId="34591" xr:uid="{00000000-0005-0000-0000-00001D870000}"/>
    <cellStyle name="Normal 5 17 2 10 3 4" xfId="34592" xr:uid="{00000000-0005-0000-0000-00001E870000}"/>
    <cellStyle name="Normal 5 17 2 10 3 5" xfId="34593" xr:uid="{00000000-0005-0000-0000-00001F870000}"/>
    <cellStyle name="Normal 5 17 2 10 3 6" xfId="34594" xr:uid="{00000000-0005-0000-0000-000020870000}"/>
    <cellStyle name="Normal 5 17 2 10 3 7" xfId="34595" xr:uid="{00000000-0005-0000-0000-000021870000}"/>
    <cellStyle name="Normal 5 17 2 10 3 8" xfId="34596" xr:uid="{00000000-0005-0000-0000-000022870000}"/>
    <cellStyle name="Normal 5 17 2 10 3 9" xfId="34597" xr:uid="{00000000-0005-0000-0000-000023870000}"/>
    <cellStyle name="Normal 5 17 2 10 4" xfId="34598" xr:uid="{00000000-0005-0000-0000-000024870000}"/>
    <cellStyle name="Normal 5 17 2 10 4 10" xfId="34599" xr:uid="{00000000-0005-0000-0000-000025870000}"/>
    <cellStyle name="Normal 5 17 2 10 4 2" xfId="34600" xr:uid="{00000000-0005-0000-0000-000026870000}"/>
    <cellStyle name="Normal 5 17 2 10 4 3" xfId="34601" xr:uid="{00000000-0005-0000-0000-000027870000}"/>
    <cellStyle name="Normal 5 17 2 10 4 4" xfId="34602" xr:uid="{00000000-0005-0000-0000-000028870000}"/>
    <cellStyle name="Normal 5 17 2 10 4 5" xfId="34603" xr:uid="{00000000-0005-0000-0000-000029870000}"/>
    <cellStyle name="Normal 5 17 2 10 4 6" xfId="34604" xr:uid="{00000000-0005-0000-0000-00002A870000}"/>
    <cellStyle name="Normal 5 17 2 10 4 7" xfId="34605" xr:uid="{00000000-0005-0000-0000-00002B870000}"/>
    <cellStyle name="Normal 5 17 2 10 4 8" xfId="34606" xr:uid="{00000000-0005-0000-0000-00002C870000}"/>
    <cellStyle name="Normal 5 17 2 10 4 9" xfId="34607" xr:uid="{00000000-0005-0000-0000-00002D870000}"/>
    <cellStyle name="Normal 5 17 2 10 5" xfId="34608" xr:uid="{00000000-0005-0000-0000-00002E870000}"/>
    <cellStyle name="Normal 5 17 2 10 5 10" xfId="34609" xr:uid="{00000000-0005-0000-0000-00002F870000}"/>
    <cellStyle name="Normal 5 17 2 10 5 2" xfId="34610" xr:uid="{00000000-0005-0000-0000-000030870000}"/>
    <cellStyle name="Normal 5 17 2 10 5 3" xfId="34611" xr:uid="{00000000-0005-0000-0000-000031870000}"/>
    <cellStyle name="Normal 5 17 2 10 5 4" xfId="34612" xr:uid="{00000000-0005-0000-0000-000032870000}"/>
    <cellStyle name="Normal 5 17 2 10 5 5" xfId="34613" xr:uid="{00000000-0005-0000-0000-000033870000}"/>
    <cellStyle name="Normal 5 17 2 10 5 6" xfId="34614" xr:uid="{00000000-0005-0000-0000-000034870000}"/>
    <cellStyle name="Normal 5 17 2 10 5 7" xfId="34615" xr:uid="{00000000-0005-0000-0000-000035870000}"/>
    <cellStyle name="Normal 5 17 2 10 5 8" xfId="34616" xr:uid="{00000000-0005-0000-0000-000036870000}"/>
    <cellStyle name="Normal 5 17 2 10 5 9" xfId="34617" xr:uid="{00000000-0005-0000-0000-000037870000}"/>
    <cellStyle name="Normal 5 17 2 10 6" xfId="34618" xr:uid="{00000000-0005-0000-0000-000038870000}"/>
    <cellStyle name="Normal 5 17 2 10 7" xfId="34619" xr:uid="{00000000-0005-0000-0000-000039870000}"/>
    <cellStyle name="Normal 5 17 2 10 8" xfId="34620" xr:uid="{00000000-0005-0000-0000-00003A870000}"/>
    <cellStyle name="Normal 5 17 2 10 9" xfId="34621" xr:uid="{00000000-0005-0000-0000-00003B870000}"/>
    <cellStyle name="Normal 5 17 2 11" xfId="34622" xr:uid="{00000000-0005-0000-0000-00003C870000}"/>
    <cellStyle name="Normal 5 17 2 11 10" xfId="34623" xr:uid="{00000000-0005-0000-0000-00003D870000}"/>
    <cellStyle name="Normal 5 17 2 11 11" xfId="34624" xr:uid="{00000000-0005-0000-0000-00003E870000}"/>
    <cellStyle name="Normal 5 17 2 11 12" xfId="34625" xr:uid="{00000000-0005-0000-0000-00003F870000}"/>
    <cellStyle name="Normal 5 17 2 11 13" xfId="34626" xr:uid="{00000000-0005-0000-0000-000040870000}"/>
    <cellStyle name="Normal 5 17 2 11 14" xfId="34627" xr:uid="{00000000-0005-0000-0000-000041870000}"/>
    <cellStyle name="Normal 5 17 2 11 2" xfId="34628" xr:uid="{00000000-0005-0000-0000-000042870000}"/>
    <cellStyle name="Normal 5 17 2 11 2 10" xfId="34629" xr:uid="{00000000-0005-0000-0000-000043870000}"/>
    <cellStyle name="Normal 5 17 2 11 2 2" xfId="34630" xr:uid="{00000000-0005-0000-0000-000044870000}"/>
    <cellStyle name="Normal 5 17 2 11 2 3" xfId="34631" xr:uid="{00000000-0005-0000-0000-000045870000}"/>
    <cellStyle name="Normal 5 17 2 11 2 4" xfId="34632" xr:uid="{00000000-0005-0000-0000-000046870000}"/>
    <cellStyle name="Normal 5 17 2 11 2 5" xfId="34633" xr:uid="{00000000-0005-0000-0000-000047870000}"/>
    <cellStyle name="Normal 5 17 2 11 2 6" xfId="34634" xr:uid="{00000000-0005-0000-0000-000048870000}"/>
    <cellStyle name="Normal 5 17 2 11 2 7" xfId="34635" xr:uid="{00000000-0005-0000-0000-000049870000}"/>
    <cellStyle name="Normal 5 17 2 11 2 8" xfId="34636" xr:uid="{00000000-0005-0000-0000-00004A870000}"/>
    <cellStyle name="Normal 5 17 2 11 2 9" xfId="34637" xr:uid="{00000000-0005-0000-0000-00004B870000}"/>
    <cellStyle name="Normal 5 17 2 11 3" xfId="34638" xr:uid="{00000000-0005-0000-0000-00004C870000}"/>
    <cellStyle name="Normal 5 17 2 11 3 10" xfId="34639" xr:uid="{00000000-0005-0000-0000-00004D870000}"/>
    <cellStyle name="Normal 5 17 2 11 3 2" xfId="34640" xr:uid="{00000000-0005-0000-0000-00004E870000}"/>
    <cellStyle name="Normal 5 17 2 11 3 3" xfId="34641" xr:uid="{00000000-0005-0000-0000-00004F870000}"/>
    <cellStyle name="Normal 5 17 2 11 3 4" xfId="34642" xr:uid="{00000000-0005-0000-0000-000050870000}"/>
    <cellStyle name="Normal 5 17 2 11 3 5" xfId="34643" xr:uid="{00000000-0005-0000-0000-000051870000}"/>
    <cellStyle name="Normal 5 17 2 11 3 6" xfId="34644" xr:uid="{00000000-0005-0000-0000-000052870000}"/>
    <cellStyle name="Normal 5 17 2 11 3 7" xfId="34645" xr:uid="{00000000-0005-0000-0000-000053870000}"/>
    <cellStyle name="Normal 5 17 2 11 3 8" xfId="34646" xr:uid="{00000000-0005-0000-0000-000054870000}"/>
    <cellStyle name="Normal 5 17 2 11 3 9" xfId="34647" xr:uid="{00000000-0005-0000-0000-000055870000}"/>
    <cellStyle name="Normal 5 17 2 11 4" xfId="34648" xr:uid="{00000000-0005-0000-0000-000056870000}"/>
    <cellStyle name="Normal 5 17 2 11 4 10" xfId="34649" xr:uid="{00000000-0005-0000-0000-000057870000}"/>
    <cellStyle name="Normal 5 17 2 11 4 2" xfId="34650" xr:uid="{00000000-0005-0000-0000-000058870000}"/>
    <cellStyle name="Normal 5 17 2 11 4 3" xfId="34651" xr:uid="{00000000-0005-0000-0000-000059870000}"/>
    <cellStyle name="Normal 5 17 2 11 4 4" xfId="34652" xr:uid="{00000000-0005-0000-0000-00005A870000}"/>
    <cellStyle name="Normal 5 17 2 11 4 5" xfId="34653" xr:uid="{00000000-0005-0000-0000-00005B870000}"/>
    <cellStyle name="Normal 5 17 2 11 4 6" xfId="34654" xr:uid="{00000000-0005-0000-0000-00005C870000}"/>
    <cellStyle name="Normal 5 17 2 11 4 7" xfId="34655" xr:uid="{00000000-0005-0000-0000-00005D870000}"/>
    <cellStyle name="Normal 5 17 2 11 4 8" xfId="34656" xr:uid="{00000000-0005-0000-0000-00005E870000}"/>
    <cellStyle name="Normal 5 17 2 11 4 9" xfId="34657" xr:uid="{00000000-0005-0000-0000-00005F870000}"/>
    <cellStyle name="Normal 5 17 2 11 5" xfId="34658" xr:uid="{00000000-0005-0000-0000-000060870000}"/>
    <cellStyle name="Normal 5 17 2 11 5 10" xfId="34659" xr:uid="{00000000-0005-0000-0000-000061870000}"/>
    <cellStyle name="Normal 5 17 2 11 5 2" xfId="34660" xr:uid="{00000000-0005-0000-0000-000062870000}"/>
    <cellStyle name="Normal 5 17 2 11 5 3" xfId="34661" xr:uid="{00000000-0005-0000-0000-000063870000}"/>
    <cellStyle name="Normal 5 17 2 11 5 4" xfId="34662" xr:uid="{00000000-0005-0000-0000-000064870000}"/>
    <cellStyle name="Normal 5 17 2 11 5 5" xfId="34663" xr:uid="{00000000-0005-0000-0000-000065870000}"/>
    <cellStyle name="Normal 5 17 2 11 5 6" xfId="34664" xr:uid="{00000000-0005-0000-0000-000066870000}"/>
    <cellStyle name="Normal 5 17 2 11 5 7" xfId="34665" xr:uid="{00000000-0005-0000-0000-000067870000}"/>
    <cellStyle name="Normal 5 17 2 11 5 8" xfId="34666" xr:uid="{00000000-0005-0000-0000-000068870000}"/>
    <cellStyle name="Normal 5 17 2 11 5 9" xfId="34667" xr:uid="{00000000-0005-0000-0000-000069870000}"/>
    <cellStyle name="Normal 5 17 2 11 6" xfId="34668" xr:uid="{00000000-0005-0000-0000-00006A870000}"/>
    <cellStyle name="Normal 5 17 2 11 7" xfId="34669" xr:uid="{00000000-0005-0000-0000-00006B870000}"/>
    <cellStyle name="Normal 5 17 2 11 8" xfId="34670" xr:uid="{00000000-0005-0000-0000-00006C870000}"/>
    <cellStyle name="Normal 5 17 2 11 9" xfId="34671" xr:uid="{00000000-0005-0000-0000-00006D870000}"/>
    <cellStyle name="Normal 5 17 2 12" xfId="34672" xr:uid="{00000000-0005-0000-0000-00006E870000}"/>
    <cellStyle name="Normal 5 17 2 12 10" xfId="34673" xr:uid="{00000000-0005-0000-0000-00006F870000}"/>
    <cellStyle name="Normal 5 17 2 12 11" xfId="34674" xr:uid="{00000000-0005-0000-0000-000070870000}"/>
    <cellStyle name="Normal 5 17 2 12 12" xfId="34675" xr:uid="{00000000-0005-0000-0000-000071870000}"/>
    <cellStyle name="Normal 5 17 2 12 13" xfId="34676" xr:uid="{00000000-0005-0000-0000-000072870000}"/>
    <cellStyle name="Normal 5 17 2 12 14" xfId="34677" xr:uid="{00000000-0005-0000-0000-000073870000}"/>
    <cellStyle name="Normal 5 17 2 12 2" xfId="34678" xr:uid="{00000000-0005-0000-0000-000074870000}"/>
    <cellStyle name="Normal 5 17 2 12 2 10" xfId="34679" xr:uid="{00000000-0005-0000-0000-000075870000}"/>
    <cellStyle name="Normal 5 17 2 12 2 2" xfId="34680" xr:uid="{00000000-0005-0000-0000-000076870000}"/>
    <cellStyle name="Normal 5 17 2 12 2 3" xfId="34681" xr:uid="{00000000-0005-0000-0000-000077870000}"/>
    <cellStyle name="Normal 5 17 2 12 2 4" xfId="34682" xr:uid="{00000000-0005-0000-0000-000078870000}"/>
    <cellStyle name="Normal 5 17 2 12 2 5" xfId="34683" xr:uid="{00000000-0005-0000-0000-000079870000}"/>
    <cellStyle name="Normal 5 17 2 12 2 6" xfId="34684" xr:uid="{00000000-0005-0000-0000-00007A870000}"/>
    <cellStyle name="Normal 5 17 2 12 2 7" xfId="34685" xr:uid="{00000000-0005-0000-0000-00007B870000}"/>
    <cellStyle name="Normal 5 17 2 12 2 8" xfId="34686" xr:uid="{00000000-0005-0000-0000-00007C870000}"/>
    <cellStyle name="Normal 5 17 2 12 2 9" xfId="34687" xr:uid="{00000000-0005-0000-0000-00007D870000}"/>
    <cellStyle name="Normal 5 17 2 12 3" xfId="34688" xr:uid="{00000000-0005-0000-0000-00007E870000}"/>
    <cellStyle name="Normal 5 17 2 12 3 10" xfId="34689" xr:uid="{00000000-0005-0000-0000-00007F870000}"/>
    <cellStyle name="Normal 5 17 2 12 3 2" xfId="34690" xr:uid="{00000000-0005-0000-0000-000080870000}"/>
    <cellStyle name="Normal 5 17 2 12 3 3" xfId="34691" xr:uid="{00000000-0005-0000-0000-000081870000}"/>
    <cellStyle name="Normal 5 17 2 12 3 4" xfId="34692" xr:uid="{00000000-0005-0000-0000-000082870000}"/>
    <cellStyle name="Normal 5 17 2 12 3 5" xfId="34693" xr:uid="{00000000-0005-0000-0000-000083870000}"/>
    <cellStyle name="Normal 5 17 2 12 3 6" xfId="34694" xr:uid="{00000000-0005-0000-0000-000084870000}"/>
    <cellStyle name="Normal 5 17 2 12 3 7" xfId="34695" xr:uid="{00000000-0005-0000-0000-000085870000}"/>
    <cellStyle name="Normal 5 17 2 12 3 8" xfId="34696" xr:uid="{00000000-0005-0000-0000-000086870000}"/>
    <cellStyle name="Normal 5 17 2 12 3 9" xfId="34697" xr:uid="{00000000-0005-0000-0000-000087870000}"/>
    <cellStyle name="Normal 5 17 2 12 4" xfId="34698" xr:uid="{00000000-0005-0000-0000-000088870000}"/>
    <cellStyle name="Normal 5 17 2 12 4 10" xfId="34699" xr:uid="{00000000-0005-0000-0000-000089870000}"/>
    <cellStyle name="Normal 5 17 2 12 4 2" xfId="34700" xr:uid="{00000000-0005-0000-0000-00008A870000}"/>
    <cellStyle name="Normal 5 17 2 12 4 3" xfId="34701" xr:uid="{00000000-0005-0000-0000-00008B870000}"/>
    <cellStyle name="Normal 5 17 2 12 4 4" xfId="34702" xr:uid="{00000000-0005-0000-0000-00008C870000}"/>
    <cellStyle name="Normal 5 17 2 12 4 5" xfId="34703" xr:uid="{00000000-0005-0000-0000-00008D870000}"/>
    <cellStyle name="Normal 5 17 2 12 4 6" xfId="34704" xr:uid="{00000000-0005-0000-0000-00008E870000}"/>
    <cellStyle name="Normal 5 17 2 12 4 7" xfId="34705" xr:uid="{00000000-0005-0000-0000-00008F870000}"/>
    <cellStyle name="Normal 5 17 2 12 4 8" xfId="34706" xr:uid="{00000000-0005-0000-0000-000090870000}"/>
    <cellStyle name="Normal 5 17 2 12 4 9" xfId="34707" xr:uid="{00000000-0005-0000-0000-000091870000}"/>
    <cellStyle name="Normal 5 17 2 12 5" xfId="34708" xr:uid="{00000000-0005-0000-0000-000092870000}"/>
    <cellStyle name="Normal 5 17 2 12 5 10" xfId="34709" xr:uid="{00000000-0005-0000-0000-000093870000}"/>
    <cellStyle name="Normal 5 17 2 12 5 2" xfId="34710" xr:uid="{00000000-0005-0000-0000-000094870000}"/>
    <cellStyle name="Normal 5 17 2 12 5 3" xfId="34711" xr:uid="{00000000-0005-0000-0000-000095870000}"/>
    <cellStyle name="Normal 5 17 2 12 5 4" xfId="34712" xr:uid="{00000000-0005-0000-0000-000096870000}"/>
    <cellStyle name="Normal 5 17 2 12 5 5" xfId="34713" xr:uid="{00000000-0005-0000-0000-000097870000}"/>
    <cellStyle name="Normal 5 17 2 12 5 6" xfId="34714" xr:uid="{00000000-0005-0000-0000-000098870000}"/>
    <cellStyle name="Normal 5 17 2 12 5 7" xfId="34715" xr:uid="{00000000-0005-0000-0000-000099870000}"/>
    <cellStyle name="Normal 5 17 2 12 5 8" xfId="34716" xr:uid="{00000000-0005-0000-0000-00009A870000}"/>
    <cellStyle name="Normal 5 17 2 12 5 9" xfId="34717" xr:uid="{00000000-0005-0000-0000-00009B870000}"/>
    <cellStyle name="Normal 5 17 2 12 6" xfId="34718" xr:uid="{00000000-0005-0000-0000-00009C870000}"/>
    <cellStyle name="Normal 5 17 2 12 7" xfId="34719" xr:uid="{00000000-0005-0000-0000-00009D870000}"/>
    <cellStyle name="Normal 5 17 2 12 8" xfId="34720" xr:uid="{00000000-0005-0000-0000-00009E870000}"/>
    <cellStyle name="Normal 5 17 2 12 9" xfId="34721" xr:uid="{00000000-0005-0000-0000-00009F870000}"/>
    <cellStyle name="Normal 5 17 2 13" xfId="34722" xr:uid="{00000000-0005-0000-0000-0000A0870000}"/>
    <cellStyle name="Normal 5 17 2 13 10" xfId="34723" xr:uid="{00000000-0005-0000-0000-0000A1870000}"/>
    <cellStyle name="Normal 5 17 2 13 11" xfId="34724" xr:uid="{00000000-0005-0000-0000-0000A2870000}"/>
    <cellStyle name="Normal 5 17 2 13 12" xfId="34725" xr:uid="{00000000-0005-0000-0000-0000A3870000}"/>
    <cellStyle name="Normal 5 17 2 13 13" xfId="34726" xr:uid="{00000000-0005-0000-0000-0000A4870000}"/>
    <cellStyle name="Normal 5 17 2 13 14" xfId="34727" xr:uid="{00000000-0005-0000-0000-0000A5870000}"/>
    <cellStyle name="Normal 5 17 2 13 2" xfId="34728" xr:uid="{00000000-0005-0000-0000-0000A6870000}"/>
    <cellStyle name="Normal 5 17 2 13 2 10" xfId="34729" xr:uid="{00000000-0005-0000-0000-0000A7870000}"/>
    <cellStyle name="Normal 5 17 2 13 2 2" xfId="34730" xr:uid="{00000000-0005-0000-0000-0000A8870000}"/>
    <cellStyle name="Normal 5 17 2 13 2 3" xfId="34731" xr:uid="{00000000-0005-0000-0000-0000A9870000}"/>
    <cellStyle name="Normal 5 17 2 13 2 4" xfId="34732" xr:uid="{00000000-0005-0000-0000-0000AA870000}"/>
    <cellStyle name="Normal 5 17 2 13 2 5" xfId="34733" xr:uid="{00000000-0005-0000-0000-0000AB870000}"/>
    <cellStyle name="Normal 5 17 2 13 2 6" xfId="34734" xr:uid="{00000000-0005-0000-0000-0000AC870000}"/>
    <cellStyle name="Normal 5 17 2 13 2 7" xfId="34735" xr:uid="{00000000-0005-0000-0000-0000AD870000}"/>
    <cellStyle name="Normal 5 17 2 13 2 8" xfId="34736" xr:uid="{00000000-0005-0000-0000-0000AE870000}"/>
    <cellStyle name="Normal 5 17 2 13 2 9" xfId="34737" xr:uid="{00000000-0005-0000-0000-0000AF870000}"/>
    <cellStyle name="Normal 5 17 2 13 3" xfId="34738" xr:uid="{00000000-0005-0000-0000-0000B0870000}"/>
    <cellStyle name="Normal 5 17 2 13 3 10" xfId="34739" xr:uid="{00000000-0005-0000-0000-0000B1870000}"/>
    <cellStyle name="Normal 5 17 2 13 3 2" xfId="34740" xr:uid="{00000000-0005-0000-0000-0000B2870000}"/>
    <cellStyle name="Normal 5 17 2 13 3 3" xfId="34741" xr:uid="{00000000-0005-0000-0000-0000B3870000}"/>
    <cellStyle name="Normal 5 17 2 13 3 4" xfId="34742" xr:uid="{00000000-0005-0000-0000-0000B4870000}"/>
    <cellStyle name="Normal 5 17 2 13 3 5" xfId="34743" xr:uid="{00000000-0005-0000-0000-0000B5870000}"/>
    <cellStyle name="Normal 5 17 2 13 3 6" xfId="34744" xr:uid="{00000000-0005-0000-0000-0000B6870000}"/>
    <cellStyle name="Normal 5 17 2 13 3 7" xfId="34745" xr:uid="{00000000-0005-0000-0000-0000B7870000}"/>
    <cellStyle name="Normal 5 17 2 13 3 8" xfId="34746" xr:uid="{00000000-0005-0000-0000-0000B8870000}"/>
    <cellStyle name="Normal 5 17 2 13 3 9" xfId="34747" xr:uid="{00000000-0005-0000-0000-0000B9870000}"/>
    <cellStyle name="Normal 5 17 2 13 4" xfId="34748" xr:uid="{00000000-0005-0000-0000-0000BA870000}"/>
    <cellStyle name="Normal 5 17 2 13 4 10" xfId="34749" xr:uid="{00000000-0005-0000-0000-0000BB870000}"/>
    <cellStyle name="Normal 5 17 2 13 4 2" xfId="34750" xr:uid="{00000000-0005-0000-0000-0000BC870000}"/>
    <cellStyle name="Normal 5 17 2 13 4 3" xfId="34751" xr:uid="{00000000-0005-0000-0000-0000BD870000}"/>
    <cellStyle name="Normal 5 17 2 13 4 4" xfId="34752" xr:uid="{00000000-0005-0000-0000-0000BE870000}"/>
    <cellStyle name="Normal 5 17 2 13 4 5" xfId="34753" xr:uid="{00000000-0005-0000-0000-0000BF870000}"/>
    <cellStyle name="Normal 5 17 2 13 4 6" xfId="34754" xr:uid="{00000000-0005-0000-0000-0000C0870000}"/>
    <cellStyle name="Normal 5 17 2 13 4 7" xfId="34755" xr:uid="{00000000-0005-0000-0000-0000C1870000}"/>
    <cellStyle name="Normal 5 17 2 13 4 8" xfId="34756" xr:uid="{00000000-0005-0000-0000-0000C2870000}"/>
    <cellStyle name="Normal 5 17 2 13 4 9" xfId="34757" xr:uid="{00000000-0005-0000-0000-0000C3870000}"/>
    <cellStyle name="Normal 5 17 2 13 5" xfId="34758" xr:uid="{00000000-0005-0000-0000-0000C4870000}"/>
    <cellStyle name="Normal 5 17 2 13 5 10" xfId="34759" xr:uid="{00000000-0005-0000-0000-0000C5870000}"/>
    <cellStyle name="Normal 5 17 2 13 5 2" xfId="34760" xr:uid="{00000000-0005-0000-0000-0000C6870000}"/>
    <cellStyle name="Normal 5 17 2 13 5 3" xfId="34761" xr:uid="{00000000-0005-0000-0000-0000C7870000}"/>
    <cellStyle name="Normal 5 17 2 13 5 4" xfId="34762" xr:uid="{00000000-0005-0000-0000-0000C8870000}"/>
    <cellStyle name="Normal 5 17 2 13 5 5" xfId="34763" xr:uid="{00000000-0005-0000-0000-0000C9870000}"/>
    <cellStyle name="Normal 5 17 2 13 5 6" xfId="34764" xr:uid="{00000000-0005-0000-0000-0000CA870000}"/>
    <cellStyle name="Normal 5 17 2 13 5 7" xfId="34765" xr:uid="{00000000-0005-0000-0000-0000CB870000}"/>
    <cellStyle name="Normal 5 17 2 13 5 8" xfId="34766" xr:uid="{00000000-0005-0000-0000-0000CC870000}"/>
    <cellStyle name="Normal 5 17 2 13 5 9" xfId="34767" xr:uid="{00000000-0005-0000-0000-0000CD870000}"/>
    <cellStyle name="Normal 5 17 2 13 6" xfId="34768" xr:uid="{00000000-0005-0000-0000-0000CE870000}"/>
    <cellStyle name="Normal 5 17 2 13 7" xfId="34769" xr:uid="{00000000-0005-0000-0000-0000CF870000}"/>
    <cellStyle name="Normal 5 17 2 13 8" xfId="34770" xr:uid="{00000000-0005-0000-0000-0000D0870000}"/>
    <cellStyle name="Normal 5 17 2 13 9" xfId="34771" xr:uid="{00000000-0005-0000-0000-0000D1870000}"/>
    <cellStyle name="Normal 5 17 2 14" xfId="34772" xr:uid="{00000000-0005-0000-0000-0000D2870000}"/>
    <cellStyle name="Normal 5 17 2 14 10" xfId="34773" xr:uid="{00000000-0005-0000-0000-0000D3870000}"/>
    <cellStyle name="Normal 5 17 2 14 11" xfId="34774" xr:uid="{00000000-0005-0000-0000-0000D4870000}"/>
    <cellStyle name="Normal 5 17 2 14 12" xfId="34775" xr:uid="{00000000-0005-0000-0000-0000D5870000}"/>
    <cellStyle name="Normal 5 17 2 14 13" xfId="34776" xr:uid="{00000000-0005-0000-0000-0000D6870000}"/>
    <cellStyle name="Normal 5 17 2 14 14" xfId="34777" xr:uid="{00000000-0005-0000-0000-0000D7870000}"/>
    <cellStyle name="Normal 5 17 2 14 2" xfId="34778" xr:uid="{00000000-0005-0000-0000-0000D8870000}"/>
    <cellStyle name="Normal 5 17 2 14 2 10" xfId="34779" xr:uid="{00000000-0005-0000-0000-0000D9870000}"/>
    <cellStyle name="Normal 5 17 2 14 2 2" xfId="34780" xr:uid="{00000000-0005-0000-0000-0000DA870000}"/>
    <cellStyle name="Normal 5 17 2 14 2 3" xfId="34781" xr:uid="{00000000-0005-0000-0000-0000DB870000}"/>
    <cellStyle name="Normal 5 17 2 14 2 4" xfId="34782" xr:uid="{00000000-0005-0000-0000-0000DC870000}"/>
    <cellStyle name="Normal 5 17 2 14 2 5" xfId="34783" xr:uid="{00000000-0005-0000-0000-0000DD870000}"/>
    <cellStyle name="Normal 5 17 2 14 2 6" xfId="34784" xr:uid="{00000000-0005-0000-0000-0000DE870000}"/>
    <cellStyle name="Normal 5 17 2 14 2 7" xfId="34785" xr:uid="{00000000-0005-0000-0000-0000DF870000}"/>
    <cellStyle name="Normal 5 17 2 14 2 8" xfId="34786" xr:uid="{00000000-0005-0000-0000-0000E0870000}"/>
    <cellStyle name="Normal 5 17 2 14 2 9" xfId="34787" xr:uid="{00000000-0005-0000-0000-0000E1870000}"/>
    <cellStyle name="Normal 5 17 2 14 3" xfId="34788" xr:uid="{00000000-0005-0000-0000-0000E2870000}"/>
    <cellStyle name="Normal 5 17 2 14 3 10" xfId="34789" xr:uid="{00000000-0005-0000-0000-0000E3870000}"/>
    <cellStyle name="Normal 5 17 2 14 3 2" xfId="34790" xr:uid="{00000000-0005-0000-0000-0000E4870000}"/>
    <cellStyle name="Normal 5 17 2 14 3 3" xfId="34791" xr:uid="{00000000-0005-0000-0000-0000E5870000}"/>
    <cellStyle name="Normal 5 17 2 14 3 4" xfId="34792" xr:uid="{00000000-0005-0000-0000-0000E6870000}"/>
    <cellStyle name="Normal 5 17 2 14 3 5" xfId="34793" xr:uid="{00000000-0005-0000-0000-0000E7870000}"/>
    <cellStyle name="Normal 5 17 2 14 3 6" xfId="34794" xr:uid="{00000000-0005-0000-0000-0000E8870000}"/>
    <cellStyle name="Normal 5 17 2 14 3 7" xfId="34795" xr:uid="{00000000-0005-0000-0000-0000E9870000}"/>
    <cellStyle name="Normal 5 17 2 14 3 8" xfId="34796" xr:uid="{00000000-0005-0000-0000-0000EA870000}"/>
    <cellStyle name="Normal 5 17 2 14 3 9" xfId="34797" xr:uid="{00000000-0005-0000-0000-0000EB870000}"/>
    <cellStyle name="Normal 5 17 2 14 4" xfId="34798" xr:uid="{00000000-0005-0000-0000-0000EC870000}"/>
    <cellStyle name="Normal 5 17 2 14 4 10" xfId="34799" xr:uid="{00000000-0005-0000-0000-0000ED870000}"/>
    <cellStyle name="Normal 5 17 2 14 4 2" xfId="34800" xr:uid="{00000000-0005-0000-0000-0000EE870000}"/>
    <cellStyle name="Normal 5 17 2 14 4 3" xfId="34801" xr:uid="{00000000-0005-0000-0000-0000EF870000}"/>
    <cellStyle name="Normal 5 17 2 14 4 4" xfId="34802" xr:uid="{00000000-0005-0000-0000-0000F0870000}"/>
    <cellStyle name="Normal 5 17 2 14 4 5" xfId="34803" xr:uid="{00000000-0005-0000-0000-0000F1870000}"/>
    <cellStyle name="Normal 5 17 2 14 4 6" xfId="34804" xr:uid="{00000000-0005-0000-0000-0000F2870000}"/>
    <cellStyle name="Normal 5 17 2 14 4 7" xfId="34805" xr:uid="{00000000-0005-0000-0000-0000F3870000}"/>
    <cellStyle name="Normal 5 17 2 14 4 8" xfId="34806" xr:uid="{00000000-0005-0000-0000-0000F4870000}"/>
    <cellStyle name="Normal 5 17 2 14 4 9" xfId="34807" xr:uid="{00000000-0005-0000-0000-0000F5870000}"/>
    <cellStyle name="Normal 5 17 2 14 5" xfId="34808" xr:uid="{00000000-0005-0000-0000-0000F6870000}"/>
    <cellStyle name="Normal 5 17 2 14 5 10" xfId="34809" xr:uid="{00000000-0005-0000-0000-0000F7870000}"/>
    <cellStyle name="Normal 5 17 2 14 5 2" xfId="34810" xr:uid="{00000000-0005-0000-0000-0000F8870000}"/>
    <cellStyle name="Normal 5 17 2 14 5 3" xfId="34811" xr:uid="{00000000-0005-0000-0000-0000F9870000}"/>
    <cellStyle name="Normal 5 17 2 14 5 4" xfId="34812" xr:uid="{00000000-0005-0000-0000-0000FA870000}"/>
    <cellStyle name="Normal 5 17 2 14 5 5" xfId="34813" xr:uid="{00000000-0005-0000-0000-0000FB870000}"/>
    <cellStyle name="Normal 5 17 2 14 5 6" xfId="34814" xr:uid="{00000000-0005-0000-0000-0000FC870000}"/>
    <cellStyle name="Normal 5 17 2 14 5 7" xfId="34815" xr:uid="{00000000-0005-0000-0000-0000FD870000}"/>
    <cellStyle name="Normal 5 17 2 14 5 8" xfId="34816" xr:uid="{00000000-0005-0000-0000-0000FE870000}"/>
    <cellStyle name="Normal 5 17 2 14 5 9" xfId="34817" xr:uid="{00000000-0005-0000-0000-0000FF870000}"/>
    <cellStyle name="Normal 5 17 2 14 6" xfId="34818" xr:uid="{00000000-0005-0000-0000-000000880000}"/>
    <cellStyle name="Normal 5 17 2 14 7" xfId="34819" xr:uid="{00000000-0005-0000-0000-000001880000}"/>
    <cellStyle name="Normal 5 17 2 14 8" xfId="34820" xr:uid="{00000000-0005-0000-0000-000002880000}"/>
    <cellStyle name="Normal 5 17 2 14 9" xfId="34821" xr:uid="{00000000-0005-0000-0000-000003880000}"/>
    <cellStyle name="Normal 5 17 2 15" xfId="34822" xr:uid="{00000000-0005-0000-0000-000004880000}"/>
    <cellStyle name="Normal 5 17 2 15 10" xfId="34823" xr:uid="{00000000-0005-0000-0000-000005880000}"/>
    <cellStyle name="Normal 5 17 2 15 11" xfId="34824" xr:uid="{00000000-0005-0000-0000-000006880000}"/>
    <cellStyle name="Normal 5 17 2 15 12" xfId="34825" xr:uid="{00000000-0005-0000-0000-000007880000}"/>
    <cellStyle name="Normal 5 17 2 15 13" xfId="34826" xr:uid="{00000000-0005-0000-0000-000008880000}"/>
    <cellStyle name="Normal 5 17 2 15 14" xfId="34827" xr:uid="{00000000-0005-0000-0000-000009880000}"/>
    <cellStyle name="Normal 5 17 2 15 2" xfId="34828" xr:uid="{00000000-0005-0000-0000-00000A880000}"/>
    <cellStyle name="Normal 5 17 2 15 2 10" xfId="34829" xr:uid="{00000000-0005-0000-0000-00000B880000}"/>
    <cellStyle name="Normal 5 17 2 15 2 2" xfId="34830" xr:uid="{00000000-0005-0000-0000-00000C880000}"/>
    <cellStyle name="Normal 5 17 2 15 2 3" xfId="34831" xr:uid="{00000000-0005-0000-0000-00000D880000}"/>
    <cellStyle name="Normal 5 17 2 15 2 4" xfId="34832" xr:uid="{00000000-0005-0000-0000-00000E880000}"/>
    <cellStyle name="Normal 5 17 2 15 2 5" xfId="34833" xr:uid="{00000000-0005-0000-0000-00000F880000}"/>
    <cellStyle name="Normal 5 17 2 15 2 6" xfId="34834" xr:uid="{00000000-0005-0000-0000-000010880000}"/>
    <cellStyle name="Normal 5 17 2 15 2 7" xfId="34835" xr:uid="{00000000-0005-0000-0000-000011880000}"/>
    <cellStyle name="Normal 5 17 2 15 2 8" xfId="34836" xr:uid="{00000000-0005-0000-0000-000012880000}"/>
    <cellStyle name="Normal 5 17 2 15 2 9" xfId="34837" xr:uid="{00000000-0005-0000-0000-000013880000}"/>
    <cellStyle name="Normal 5 17 2 15 3" xfId="34838" xr:uid="{00000000-0005-0000-0000-000014880000}"/>
    <cellStyle name="Normal 5 17 2 15 3 10" xfId="34839" xr:uid="{00000000-0005-0000-0000-000015880000}"/>
    <cellStyle name="Normal 5 17 2 15 3 2" xfId="34840" xr:uid="{00000000-0005-0000-0000-000016880000}"/>
    <cellStyle name="Normal 5 17 2 15 3 3" xfId="34841" xr:uid="{00000000-0005-0000-0000-000017880000}"/>
    <cellStyle name="Normal 5 17 2 15 3 4" xfId="34842" xr:uid="{00000000-0005-0000-0000-000018880000}"/>
    <cellStyle name="Normal 5 17 2 15 3 5" xfId="34843" xr:uid="{00000000-0005-0000-0000-000019880000}"/>
    <cellStyle name="Normal 5 17 2 15 3 6" xfId="34844" xr:uid="{00000000-0005-0000-0000-00001A880000}"/>
    <cellStyle name="Normal 5 17 2 15 3 7" xfId="34845" xr:uid="{00000000-0005-0000-0000-00001B880000}"/>
    <cellStyle name="Normal 5 17 2 15 3 8" xfId="34846" xr:uid="{00000000-0005-0000-0000-00001C880000}"/>
    <cellStyle name="Normal 5 17 2 15 3 9" xfId="34847" xr:uid="{00000000-0005-0000-0000-00001D880000}"/>
    <cellStyle name="Normal 5 17 2 15 4" xfId="34848" xr:uid="{00000000-0005-0000-0000-00001E880000}"/>
    <cellStyle name="Normal 5 17 2 15 4 10" xfId="34849" xr:uid="{00000000-0005-0000-0000-00001F880000}"/>
    <cellStyle name="Normal 5 17 2 15 4 2" xfId="34850" xr:uid="{00000000-0005-0000-0000-000020880000}"/>
    <cellStyle name="Normal 5 17 2 15 4 3" xfId="34851" xr:uid="{00000000-0005-0000-0000-000021880000}"/>
    <cellStyle name="Normal 5 17 2 15 4 4" xfId="34852" xr:uid="{00000000-0005-0000-0000-000022880000}"/>
    <cellStyle name="Normal 5 17 2 15 4 5" xfId="34853" xr:uid="{00000000-0005-0000-0000-000023880000}"/>
    <cellStyle name="Normal 5 17 2 15 4 6" xfId="34854" xr:uid="{00000000-0005-0000-0000-000024880000}"/>
    <cellStyle name="Normal 5 17 2 15 4 7" xfId="34855" xr:uid="{00000000-0005-0000-0000-000025880000}"/>
    <cellStyle name="Normal 5 17 2 15 4 8" xfId="34856" xr:uid="{00000000-0005-0000-0000-000026880000}"/>
    <cellStyle name="Normal 5 17 2 15 4 9" xfId="34857" xr:uid="{00000000-0005-0000-0000-000027880000}"/>
    <cellStyle name="Normal 5 17 2 15 5" xfId="34858" xr:uid="{00000000-0005-0000-0000-000028880000}"/>
    <cellStyle name="Normal 5 17 2 15 5 10" xfId="34859" xr:uid="{00000000-0005-0000-0000-000029880000}"/>
    <cellStyle name="Normal 5 17 2 15 5 2" xfId="34860" xr:uid="{00000000-0005-0000-0000-00002A880000}"/>
    <cellStyle name="Normal 5 17 2 15 5 3" xfId="34861" xr:uid="{00000000-0005-0000-0000-00002B880000}"/>
    <cellStyle name="Normal 5 17 2 15 5 4" xfId="34862" xr:uid="{00000000-0005-0000-0000-00002C880000}"/>
    <cellStyle name="Normal 5 17 2 15 5 5" xfId="34863" xr:uid="{00000000-0005-0000-0000-00002D880000}"/>
    <cellStyle name="Normal 5 17 2 15 5 6" xfId="34864" xr:uid="{00000000-0005-0000-0000-00002E880000}"/>
    <cellStyle name="Normal 5 17 2 15 5 7" xfId="34865" xr:uid="{00000000-0005-0000-0000-00002F880000}"/>
    <cellStyle name="Normal 5 17 2 15 5 8" xfId="34866" xr:uid="{00000000-0005-0000-0000-000030880000}"/>
    <cellStyle name="Normal 5 17 2 15 5 9" xfId="34867" xr:uid="{00000000-0005-0000-0000-000031880000}"/>
    <cellStyle name="Normal 5 17 2 15 6" xfId="34868" xr:uid="{00000000-0005-0000-0000-000032880000}"/>
    <cellStyle name="Normal 5 17 2 15 7" xfId="34869" xr:uid="{00000000-0005-0000-0000-000033880000}"/>
    <cellStyle name="Normal 5 17 2 15 8" xfId="34870" xr:uid="{00000000-0005-0000-0000-000034880000}"/>
    <cellStyle name="Normal 5 17 2 15 9" xfId="34871" xr:uid="{00000000-0005-0000-0000-000035880000}"/>
    <cellStyle name="Normal 5 17 2 16" xfId="34872" xr:uid="{00000000-0005-0000-0000-000036880000}"/>
    <cellStyle name="Normal 5 17 2 16 10" xfId="34873" xr:uid="{00000000-0005-0000-0000-000037880000}"/>
    <cellStyle name="Normal 5 17 2 16 11" xfId="34874" xr:uid="{00000000-0005-0000-0000-000038880000}"/>
    <cellStyle name="Normal 5 17 2 16 12" xfId="34875" xr:uid="{00000000-0005-0000-0000-000039880000}"/>
    <cellStyle name="Normal 5 17 2 16 13" xfId="34876" xr:uid="{00000000-0005-0000-0000-00003A880000}"/>
    <cellStyle name="Normal 5 17 2 16 14" xfId="34877" xr:uid="{00000000-0005-0000-0000-00003B880000}"/>
    <cellStyle name="Normal 5 17 2 16 2" xfId="34878" xr:uid="{00000000-0005-0000-0000-00003C880000}"/>
    <cellStyle name="Normal 5 17 2 16 2 10" xfId="34879" xr:uid="{00000000-0005-0000-0000-00003D880000}"/>
    <cellStyle name="Normal 5 17 2 16 2 2" xfId="34880" xr:uid="{00000000-0005-0000-0000-00003E880000}"/>
    <cellStyle name="Normal 5 17 2 16 2 3" xfId="34881" xr:uid="{00000000-0005-0000-0000-00003F880000}"/>
    <cellStyle name="Normal 5 17 2 16 2 4" xfId="34882" xr:uid="{00000000-0005-0000-0000-000040880000}"/>
    <cellStyle name="Normal 5 17 2 16 2 5" xfId="34883" xr:uid="{00000000-0005-0000-0000-000041880000}"/>
    <cellStyle name="Normal 5 17 2 16 2 6" xfId="34884" xr:uid="{00000000-0005-0000-0000-000042880000}"/>
    <cellStyle name="Normal 5 17 2 16 2 7" xfId="34885" xr:uid="{00000000-0005-0000-0000-000043880000}"/>
    <cellStyle name="Normal 5 17 2 16 2 8" xfId="34886" xr:uid="{00000000-0005-0000-0000-000044880000}"/>
    <cellStyle name="Normal 5 17 2 16 2 9" xfId="34887" xr:uid="{00000000-0005-0000-0000-000045880000}"/>
    <cellStyle name="Normal 5 17 2 16 3" xfId="34888" xr:uid="{00000000-0005-0000-0000-000046880000}"/>
    <cellStyle name="Normal 5 17 2 16 3 10" xfId="34889" xr:uid="{00000000-0005-0000-0000-000047880000}"/>
    <cellStyle name="Normal 5 17 2 16 3 2" xfId="34890" xr:uid="{00000000-0005-0000-0000-000048880000}"/>
    <cellStyle name="Normal 5 17 2 16 3 3" xfId="34891" xr:uid="{00000000-0005-0000-0000-000049880000}"/>
    <cellStyle name="Normal 5 17 2 16 3 4" xfId="34892" xr:uid="{00000000-0005-0000-0000-00004A880000}"/>
    <cellStyle name="Normal 5 17 2 16 3 5" xfId="34893" xr:uid="{00000000-0005-0000-0000-00004B880000}"/>
    <cellStyle name="Normal 5 17 2 16 3 6" xfId="34894" xr:uid="{00000000-0005-0000-0000-00004C880000}"/>
    <cellStyle name="Normal 5 17 2 16 3 7" xfId="34895" xr:uid="{00000000-0005-0000-0000-00004D880000}"/>
    <cellStyle name="Normal 5 17 2 16 3 8" xfId="34896" xr:uid="{00000000-0005-0000-0000-00004E880000}"/>
    <cellStyle name="Normal 5 17 2 16 3 9" xfId="34897" xr:uid="{00000000-0005-0000-0000-00004F880000}"/>
    <cellStyle name="Normal 5 17 2 16 4" xfId="34898" xr:uid="{00000000-0005-0000-0000-000050880000}"/>
    <cellStyle name="Normal 5 17 2 16 4 10" xfId="34899" xr:uid="{00000000-0005-0000-0000-000051880000}"/>
    <cellStyle name="Normal 5 17 2 16 4 2" xfId="34900" xr:uid="{00000000-0005-0000-0000-000052880000}"/>
    <cellStyle name="Normal 5 17 2 16 4 3" xfId="34901" xr:uid="{00000000-0005-0000-0000-000053880000}"/>
    <cellStyle name="Normal 5 17 2 16 4 4" xfId="34902" xr:uid="{00000000-0005-0000-0000-000054880000}"/>
    <cellStyle name="Normal 5 17 2 16 4 5" xfId="34903" xr:uid="{00000000-0005-0000-0000-000055880000}"/>
    <cellStyle name="Normal 5 17 2 16 4 6" xfId="34904" xr:uid="{00000000-0005-0000-0000-000056880000}"/>
    <cellStyle name="Normal 5 17 2 16 4 7" xfId="34905" xr:uid="{00000000-0005-0000-0000-000057880000}"/>
    <cellStyle name="Normal 5 17 2 16 4 8" xfId="34906" xr:uid="{00000000-0005-0000-0000-000058880000}"/>
    <cellStyle name="Normal 5 17 2 16 4 9" xfId="34907" xr:uid="{00000000-0005-0000-0000-000059880000}"/>
    <cellStyle name="Normal 5 17 2 16 5" xfId="34908" xr:uid="{00000000-0005-0000-0000-00005A880000}"/>
    <cellStyle name="Normal 5 17 2 16 5 10" xfId="34909" xr:uid="{00000000-0005-0000-0000-00005B880000}"/>
    <cellStyle name="Normal 5 17 2 16 5 2" xfId="34910" xr:uid="{00000000-0005-0000-0000-00005C880000}"/>
    <cellStyle name="Normal 5 17 2 16 5 3" xfId="34911" xr:uid="{00000000-0005-0000-0000-00005D880000}"/>
    <cellStyle name="Normal 5 17 2 16 5 4" xfId="34912" xr:uid="{00000000-0005-0000-0000-00005E880000}"/>
    <cellStyle name="Normal 5 17 2 16 5 5" xfId="34913" xr:uid="{00000000-0005-0000-0000-00005F880000}"/>
    <cellStyle name="Normal 5 17 2 16 5 6" xfId="34914" xr:uid="{00000000-0005-0000-0000-000060880000}"/>
    <cellStyle name="Normal 5 17 2 16 5 7" xfId="34915" xr:uid="{00000000-0005-0000-0000-000061880000}"/>
    <cellStyle name="Normal 5 17 2 16 5 8" xfId="34916" xr:uid="{00000000-0005-0000-0000-000062880000}"/>
    <cellStyle name="Normal 5 17 2 16 5 9" xfId="34917" xr:uid="{00000000-0005-0000-0000-000063880000}"/>
    <cellStyle name="Normal 5 17 2 16 6" xfId="34918" xr:uid="{00000000-0005-0000-0000-000064880000}"/>
    <cellStyle name="Normal 5 17 2 16 7" xfId="34919" xr:uid="{00000000-0005-0000-0000-000065880000}"/>
    <cellStyle name="Normal 5 17 2 16 8" xfId="34920" xr:uid="{00000000-0005-0000-0000-000066880000}"/>
    <cellStyle name="Normal 5 17 2 16 9" xfId="34921" xr:uid="{00000000-0005-0000-0000-000067880000}"/>
    <cellStyle name="Normal 5 17 2 17" xfId="34922" xr:uid="{00000000-0005-0000-0000-000068880000}"/>
    <cellStyle name="Normal 5 17 2 17 10" xfId="34923" xr:uid="{00000000-0005-0000-0000-000069880000}"/>
    <cellStyle name="Normal 5 17 2 17 11" xfId="34924" xr:uid="{00000000-0005-0000-0000-00006A880000}"/>
    <cellStyle name="Normal 5 17 2 17 12" xfId="34925" xr:uid="{00000000-0005-0000-0000-00006B880000}"/>
    <cellStyle name="Normal 5 17 2 17 13" xfId="34926" xr:uid="{00000000-0005-0000-0000-00006C880000}"/>
    <cellStyle name="Normal 5 17 2 17 14" xfId="34927" xr:uid="{00000000-0005-0000-0000-00006D880000}"/>
    <cellStyle name="Normal 5 17 2 17 2" xfId="34928" xr:uid="{00000000-0005-0000-0000-00006E880000}"/>
    <cellStyle name="Normal 5 17 2 17 2 10" xfId="34929" xr:uid="{00000000-0005-0000-0000-00006F880000}"/>
    <cellStyle name="Normal 5 17 2 17 2 2" xfId="34930" xr:uid="{00000000-0005-0000-0000-000070880000}"/>
    <cellStyle name="Normal 5 17 2 17 2 3" xfId="34931" xr:uid="{00000000-0005-0000-0000-000071880000}"/>
    <cellStyle name="Normal 5 17 2 17 2 4" xfId="34932" xr:uid="{00000000-0005-0000-0000-000072880000}"/>
    <cellStyle name="Normal 5 17 2 17 2 5" xfId="34933" xr:uid="{00000000-0005-0000-0000-000073880000}"/>
    <cellStyle name="Normal 5 17 2 17 2 6" xfId="34934" xr:uid="{00000000-0005-0000-0000-000074880000}"/>
    <cellStyle name="Normal 5 17 2 17 2 7" xfId="34935" xr:uid="{00000000-0005-0000-0000-000075880000}"/>
    <cellStyle name="Normal 5 17 2 17 2 8" xfId="34936" xr:uid="{00000000-0005-0000-0000-000076880000}"/>
    <cellStyle name="Normal 5 17 2 17 2 9" xfId="34937" xr:uid="{00000000-0005-0000-0000-000077880000}"/>
    <cellStyle name="Normal 5 17 2 17 3" xfId="34938" xr:uid="{00000000-0005-0000-0000-000078880000}"/>
    <cellStyle name="Normal 5 17 2 17 3 10" xfId="34939" xr:uid="{00000000-0005-0000-0000-000079880000}"/>
    <cellStyle name="Normal 5 17 2 17 3 2" xfId="34940" xr:uid="{00000000-0005-0000-0000-00007A880000}"/>
    <cellStyle name="Normal 5 17 2 17 3 3" xfId="34941" xr:uid="{00000000-0005-0000-0000-00007B880000}"/>
    <cellStyle name="Normal 5 17 2 17 3 4" xfId="34942" xr:uid="{00000000-0005-0000-0000-00007C880000}"/>
    <cellStyle name="Normal 5 17 2 17 3 5" xfId="34943" xr:uid="{00000000-0005-0000-0000-00007D880000}"/>
    <cellStyle name="Normal 5 17 2 17 3 6" xfId="34944" xr:uid="{00000000-0005-0000-0000-00007E880000}"/>
    <cellStyle name="Normal 5 17 2 17 3 7" xfId="34945" xr:uid="{00000000-0005-0000-0000-00007F880000}"/>
    <cellStyle name="Normal 5 17 2 17 3 8" xfId="34946" xr:uid="{00000000-0005-0000-0000-000080880000}"/>
    <cellStyle name="Normal 5 17 2 17 3 9" xfId="34947" xr:uid="{00000000-0005-0000-0000-000081880000}"/>
    <cellStyle name="Normal 5 17 2 17 4" xfId="34948" xr:uid="{00000000-0005-0000-0000-000082880000}"/>
    <cellStyle name="Normal 5 17 2 17 4 10" xfId="34949" xr:uid="{00000000-0005-0000-0000-000083880000}"/>
    <cellStyle name="Normal 5 17 2 17 4 2" xfId="34950" xr:uid="{00000000-0005-0000-0000-000084880000}"/>
    <cellStyle name="Normal 5 17 2 17 4 3" xfId="34951" xr:uid="{00000000-0005-0000-0000-000085880000}"/>
    <cellStyle name="Normal 5 17 2 17 4 4" xfId="34952" xr:uid="{00000000-0005-0000-0000-000086880000}"/>
    <cellStyle name="Normal 5 17 2 17 4 5" xfId="34953" xr:uid="{00000000-0005-0000-0000-000087880000}"/>
    <cellStyle name="Normal 5 17 2 17 4 6" xfId="34954" xr:uid="{00000000-0005-0000-0000-000088880000}"/>
    <cellStyle name="Normal 5 17 2 17 4 7" xfId="34955" xr:uid="{00000000-0005-0000-0000-000089880000}"/>
    <cellStyle name="Normal 5 17 2 17 4 8" xfId="34956" xr:uid="{00000000-0005-0000-0000-00008A880000}"/>
    <cellStyle name="Normal 5 17 2 17 4 9" xfId="34957" xr:uid="{00000000-0005-0000-0000-00008B880000}"/>
    <cellStyle name="Normal 5 17 2 17 5" xfId="34958" xr:uid="{00000000-0005-0000-0000-00008C880000}"/>
    <cellStyle name="Normal 5 17 2 17 5 10" xfId="34959" xr:uid="{00000000-0005-0000-0000-00008D880000}"/>
    <cellStyle name="Normal 5 17 2 17 5 2" xfId="34960" xr:uid="{00000000-0005-0000-0000-00008E880000}"/>
    <cellStyle name="Normal 5 17 2 17 5 3" xfId="34961" xr:uid="{00000000-0005-0000-0000-00008F880000}"/>
    <cellStyle name="Normal 5 17 2 17 5 4" xfId="34962" xr:uid="{00000000-0005-0000-0000-000090880000}"/>
    <cellStyle name="Normal 5 17 2 17 5 5" xfId="34963" xr:uid="{00000000-0005-0000-0000-000091880000}"/>
    <cellStyle name="Normal 5 17 2 17 5 6" xfId="34964" xr:uid="{00000000-0005-0000-0000-000092880000}"/>
    <cellStyle name="Normal 5 17 2 17 5 7" xfId="34965" xr:uid="{00000000-0005-0000-0000-000093880000}"/>
    <cellStyle name="Normal 5 17 2 17 5 8" xfId="34966" xr:uid="{00000000-0005-0000-0000-000094880000}"/>
    <cellStyle name="Normal 5 17 2 17 5 9" xfId="34967" xr:uid="{00000000-0005-0000-0000-000095880000}"/>
    <cellStyle name="Normal 5 17 2 17 6" xfId="34968" xr:uid="{00000000-0005-0000-0000-000096880000}"/>
    <cellStyle name="Normal 5 17 2 17 7" xfId="34969" xr:uid="{00000000-0005-0000-0000-000097880000}"/>
    <cellStyle name="Normal 5 17 2 17 8" xfId="34970" xr:uid="{00000000-0005-0000-0000-000098880000}"/>
    <cellStyle name="Normal 5 17 2 17 9" xfId="34971" xr:uid="{00000000-0005-0000-0000-000099880000}"/>
    <cellStyle name="Normal 5 17 2 18" xfId="34972" xr:uid="{00000000-0005-0000-0000-00009A880000}"/>
    <cellStyle name="Normal 5 17 2 18 10" xfId="34973" xr:uid="{00000000-0005-0000-0000-00009B880000}"/>
    <cellStyle name="Normal 5 17 2 18 11" xfId="34974" xr:uid="{00000000-0005-0000-0000-00009C880000}"/>
    <cellStyle name="Normal 5 17 2 18 12" xfId="34975" xr:uid="{00000000-0005-0000-0000-00009D880000}"/>
    <cellStyle name="Normal 5 17 2 18 13" xfId="34976" xr:uid="{00000000-0005-0000-0000-00009E880000}"/>
    <cellStyle name="Normal 5 17 2 18 14" xfId="34977" xr:uid="{00000000-0005-0000-0000-00009F880000}"/>
    <cellStyle name="Normal 5 17 2 18 2" xfId="34978" xr:uid="{00000000-0005-0000-0000-0000A0880000}"/>
    <cellStyle name="Normal 5 17 2 18 2 10" xfId="34979" xr:uid="{00000000-0005-0000-0000-0000A1880000}"/>
    <cellStyle name="Normal 5 17 2 18 2 2" xfId="34980" xr:uid="{00000000-0005-0000-0000-0000A2880000}"/>
    <cellStyle name="Normal 5 17 2 18 2 3" xfId="34981" xr:uid="{00000000-0005-0000-0000-0000A3880000}"/>
    <cellStyle name="Normal 5 17 2 18 2 4" xfId="34982" xr:uid="{00000000-0005-0000-0000-0000A4880000}"/>
    <cellStyle name="Normal 5 17 2 18 2 5" xfId="34983" xr:uid="{00000000-0005-0000-0000-0000A5880000}"/>
    <cellStyle name="Normal 5 17 2 18 2 6" xfId="34984" xr:uid="{00000000-0005-0000-0000-0000A6880000}"/>
    <cellStyle name="Normal 5 17 2 18 2 7" xfId="34985" xr:uid="{00000000-0005-0000-0000-0000A7880000}"/>
    <cellStyle name="Normal 5 17 2 18 2 8" xfId="34986" xr:uid="{00000000-0005-0000-0000-0000A8880000}"/>
    <cellStyle name="Normal 5 17 2 18 2 9" xfId="34987" xr:uid="{00000000-0005-0000-0000-0000A9880000}"/>
    <cellStyle name="Normal 5 17 2 18 3" xfId="34988" xr:uid="{00000000-0005-0000-0000-0000AA880000}"/>
    <cellStyle name="Normal 5 17 2 18 3 10" xfId="34989" xr:uid="{00000000-0005-0000-0000-0000AB880000}"/>
    <cellStyle name="Normal 5 17 2 18 3 2" xfId="34990" xr:uid="{00000000-0005-0000-0000-0000AC880000}"/>
    <cellStyle name="Normal 5 17 2 18 3 3" xfId="34991" xr:uid="{00000000-0005-0000-0000-0000AD880000}"/>
    <cellStyle name="Normal 5 17 2 18 3 4" xfId="34992" xr:uid="{00000000-0005-0000-0000-0000AE880000}"/>
    <cellStyle name="Normal 5 17 2 18 3 5" xfId="34993" xr:uid="{00000000-0005-0000-0000-0000AF880000}"/>
    <cellStyle name="Normal 5 17 2 18 3 6" xfId="34994" xr:uid="{00000000-0005-0000-0000-0000B0880000}"/>
    <cellStyle name="Normal 5 17 2 18 3 7" xfId="34995" xr:uid="{00000000-0005-0000-0000-0000B1880000}"/>
    <cellStyle name="Normal 5 17 2 18 3 8" xfId="34996" xr:uid="{00000000-0005-0000-0000-0000B2880000}"/>
    <cellStyle name="Normal 5 17 2 18 3 9" xfId="34997" xr:uid="{00000000-0005-0000-0000-0000B3880000}"/>
    <cellStyle name="Normal 5 17 2 18 4" xfId="34998" xr:uid="{00000000-0005-0000-0000-0000B4880000}"/>
    <cellStyle name="Normal 5 17 2 18 4 10" xfId="34999" xr:uid="{00000000-0005-0000-0000-0000B5880000}"/>
    <cellStyle name="Normal 5 17 2 18 4 2" xfId="35000" xr:uid="{00000000-0005-0000-0000-0000B6880000}"/>
    <cellStyle name="Normal 5 17 2 18 4 3" xfId="35001" xr:uid="{00000000-0005-0000-0000-0000B7880000}"/>
    <cellStyle name="Normal 5 17 2 18 4 4" xfId="35002" xr:uid="{00000000-0005-0000-0000-0000B8880000}"/>
    <cellStyle name="Normal 5 17 2 18 4 5" xfId="35003" xr:uid="{00000000-0005-0000-0000-0000B9880000}"/>
    <cellStyle name="Normal 5 17 2 18 4 6" xfId="35004" xr:uid="{00000000-0005-0000-0000-0000BA880000}"/>
    <cellStyle name="Normal 5 17 2 18 4 7" xfId="35005" xr:uid="{00000000-0005-0000-0000-0000BB880000}"/>
    <cellStyle name="Normal 5 17 2 18 4 8" xfId="35006" xr:uid="{00000000-0005-0000-0000-0000BC880000}"/>
    <cellStyle name="Normal 5 17 2 18 4 9" xfId="35007" xr:uid="{00000000-0005-0000-0000-0000BD880000}"/>
    <cellStyle name="Normal 5 17 2 18 5" xfId="35008" xr:uid="{00000000-0005-0000-0000-0000BE880000}"/>
    <cellStyle name="Normal 5 17 2 18 5 10" xfId="35009" xr:uid="{00000000-0005-0000-0000-0000BF880000}"/>
    <cellStyle name="Normal 5 17 2 18 5 2" xfId="35010" xr:uid="{00000000-0005-0000-0000-0000C0880000}"/>
    <cellStyle name="Normal 5 17 2 18 5 3" xfId="35011" xr:uid="{00000000-0005-0000-0000-0000C1880000}"/>
    <cellStyle name="Normal 5 17 2 18 5 4" xfId="35012" xr:uid="{00000000-0005-0000-0000-0000C2880000}"/>
    <cellStyle name="Normal 5 17 2 18 5 5" xfId="35013" xr:uid="{00000000-0005-0000-0000-0000C3880000}"/>
    <cellStyle name="Normal 5 17 2 18 5 6" xfId="35014" xr:uid="{00000000-0005-0000-0000-0000C4880000}"/>
    <cellStyle name="Normal 5 17 2 18 5 7" xfId="35015" xr:uid="{00000000-0005-0000-0000-0000C5880000}"/>
    <cellStyle name="Normal 5 17 2 18 5 8" xfId="35016" xr:uid="{00000000-0005-0000-0000-0000C6880000}"/>
    <cellStyle name="Normal 5 17 2 18 5 9" xfId="35017" xr:uid="{00000000-0005-0000-0000-0000C7880000}"/>
    <cellStyle name="Normal 5 17 2 18 6" xfId="35018" xr:uid="{00000000-0005-0000-0000-0000C8880000}"/>
    <cellStyle name="Normal 5 17 2 18 7" xfId="35019" xr:uid="{00000000-0005-0000-0000-0000C9880000}"/>
    <cellStyle name="Normal 5 17 2 18 8" xfId="35020" xr:uid="{00000000-0005-0000-0000-0000CA880000}"/>
    <cellStyle name="Normal 5 17 2 18 9" xfId="35021" xr:uid="{00000000-0005-0000-0000-0000CB880000}"/>
    <cellStyle name="Normal 5 17 2 19" xfId="35022" xr:uid="{00000000-0005-0000-0000-0000CC880000}"/>
    <cellStyle name="Normal 5 17 2 19 10" xfId="35023" xr:uid="{00000000-0005-0000-0000-0000CD880000}"/>
    <cellStyle name="Normal 5 17 2 19 11" xfId="35024" xr:uid="{00000000-0005-0000-0000-0000CE880000}"/>
    <cellStyle name="Normal 5 17 2 19 12" xfId="35025" xr:uid="{00000000-0005-0000-0000-0000CF880000}"/>
    <cellStyle name="Normal 5 17 2 19 13" xfId="35026" xr:uid="{00000000-0005-0000-0000-0000D0880000}"/>
    <cellStyle name="Normal 5 17 2 19 14" xfId="35027" xr:uid="{00000000-0005-0000-0000-0000D1880000}"/>
    <cellStyle name="Normal 5 17 2 19 2" xfId="35028" xr:uid="{00000000-0005-0000-0000-0000D2880000}"/>
    <cellStyle name="Normal 5 17 2 19 2 10" xfId="35029" xr:uid="{00000000-0005-0000-0000-0000D3880000}"/>
    <cellStyle name="Normal 5 17 2 19 2 2" xfId="35030" xr:uid="{00000000-0005-0000-0000-0000D4880000}"/>
    <cellStyle name="Normal 5 17 2 19 2 3" xfId="35031" xr:uid="{00000000-0005-0000-0000-0000D5880000}"/>
    <cellStyle name="Normal 5 17 2 19 2 4" xfId="35032" xr:uid="{00000000-0005-0000-0000-0000D6880000}"/>
    <cellStyle name="Normal 5 17 2 19 2 5" xfId="35033" xr:uid="{00000000-0005-0000-0000-0000D7880000}"/>
    <cellStyle name="Normal 5 17 2 19 2 6" xfId="35034" xr:uid="{00000000-0005-0000-0000-0000D8880000}"/>
    <cellStyle name="Normal 5 17 2 19 2 7" xfId="35035" xr:uid="{00000000-0005-0000-0000-0000D9880000}"/>
    <cellStyle name="Normal 5 17 2 19 2 8" xfId="35036" xr:uid="{00000000-0005-0000-0000-0000DA880000}"/>
    <cellStyle name="Normal 5 17 2 19 2 9" xfId="35037" xr:uid="{00000000-0005-0000-0000-0000DB880000}"/>
    <cellStyle name="Normal 5 17 2 19 3" xfId="35038" xr:uid="{00000000-0005-0000-0000-0000DC880000}"/>
    <cellStyle name="Normal 5 17 2 19 3 10" xfId="35039" xr:uid="{00000000-0005-0000-0000-0000DD880000}"/>
    <cellStyle name="Normal 5 17 2 19 3 2" xfId="35040" xr:uid="{00000000-0005-0000-0000-0000DE880000}"/>
    <cellStyle name="Normal 5 17 2 19 3 3" xfId="35041" xr:uid="{00000000-0005-0000-0000-0000DF880000}"/>
    <cellStyle name="Normal 5 17 2 19 3 4" xfId="35042" xr:uid="{00000000-0005-0000-0000-0000E0880000}"/>
    <cellStyle name="Normal 5 17 2 19 3 5" xfId="35043" xr:uid="{00000000-0005-0000-0000-0000E1880000}"/>
    <cellStyle name="Normal 5 17 2 19 3 6" xfId="35044" xr:uid="{00000000-0005-0000-0000-0000E2880000}"/>
    <cellStyle name="Normal 5 17 2 19 3 7" xfId="35045" xr:uid="{00000000-0005-0000-0000-0000E3880000}"/>
    <cellStyle name="Normal 5 17 2 19 3 8" xfId="35046" xr:uid="{00000000-0005-0000-0000-0000E4880000}"/>
    <cellStyle name="Normal 5 17 2 19 3 9" xfId="35047" xr:uid="{00000000-0005-0000-0000-0000E5880000}"/>
    <cellStyle name="Normal 5 17 2 19 4" xfId="35048" xr:uid="{00000000-0005-0000-0000-0000E6880000}"/>
    <cellStyle name="Normal 5 17 2 19 4 10" xfId="35049" xr:uid="{00000000-0005-0000-0000-0000E7880000}"/>
    <cellStyle name="Normal 5 17 2 19 4 2" xfId="35050" xr:uid="{00000000-0005-0000-0000-0000E8880000}"/>
    <cellStyle name="Normal 5 17 2 19 4 3" xfId="35051" xr:uid="{00000000-0005-0000-0000-0000E9880000}"/>
    <cellStyle name="Normal 5 17 2 19 4 4" xfId="35052" xr:uid="{00000000-0005-0000-0000-0000EA880000}"/>
    <cellStyle name="Normal 5 17 2 19 4 5" xfId="35053" xr:uid="{00000000-0005-0000-0000-0000EB880000}"/>
    <cellStyle name="Normal 5 17 2 19 4 6" xfId="35054" xr:uid="{00000000-0005-0000-0000-0000EC880000}"/>
    <cellStyle name="Normal 5 17 2 19 4 7" xfId="35055" xr:uid="{00000000-0005-0000-0000-0000ED880000}"/>
    <cellStyle name="Normal 5 17 2 19 4 8" xfId="35056" xr:uid="{00000000-0005-0000-0000-0000EE880000}"/>
    <cellStyle name="Normal 5 17 2 19 4 9" xfId="35057" xr:uid="{00000000-0005-0000-0000-0000EF880000}"/>
    <cellStyle name="Normal 5 17 2 19 5" xfId="35058" xr:uid="{00000000-0005-0000-0000-0000F0880000}"/>
    <cellStyle name="Normal 5 17 2 19 5 10" xfId="35059" xr:uid="{00000000-0005-0000-0000-0000F1880000}"/>
    <cellStyle name="Normal 5 17 2 19 5 2" xfId="35060" xr:uid="{00000000-0005-0000-0000-0000F2880000}"/>
    <cellStyle name="Normal 5 17 2 19 5 3" xfId="35061" xr:uid="{00000000-0005-0000-0000-0000F3880000}"/>
    <cellStyle name="Normal 5 17 2 19 5 4" xfId="35062" xr:uid="{00000000-0005-0000-0000-0000F4880000}"/>
    <cellStyle name="Normal 5 17 2 19 5 5" xfId="35063" xr:uid="{00000000-0005-0000-0000-0000F5880000}"/>
    <cellStyle name="Normal 5 17 2 19 5 6" xfId="35064" xr:uid="{00000000-0005-0000-0000-0000F6880000}"/>
    <cellStyle name="Normal 5 17 2 19 5 7" xfId="35065" xr:uid="{00000000-0005-0000-0000-0000F7880000}"/>
    <cellStyle name="Normal 5 17 2 19 5 8" xfId="35066" xr:uid="{00000000-0005-0000-0000-0000F8880000}"/>
    <cellStyle name="Normal 5 17 2 19 5 9" xfId="35067" xr:uid="{00000000-0005-0000-0000-0000F9880000}"/>
    <cellStyle name="Normal 5 17 2 19 6" xfId="35068" xr:uid="{00000000-0005-0000-0000-0000FA880000}"/>
    <cellStyle name="Normal 5 17 2 19 7" xfId="35069" xr:uid="{00000000-0005-0000-0000-0000FB880000}"/>
    <cellStyle name="Normal 5 17 2 19 8" xfId="35070" xr:uid="{00000000-0005-0000-0000-0000FC880000}"/>
    <cellStyle name="Normal 5 17 2 19 9" xfId="35071" xr:uid="{00000000-0005-0000-0000-0000FD880000}"/>
    <cellStyle name="Normal 5 17 2 2" xfId="35072" xr:uid="{00000000-0005-0000-0000-0000FE880000}"/>
    <cellStyle name="Normal 5 17 2 2 10" xfId="35073" xr:uid="{00000000-0005-0000-0000-0000FF880000}"/>
    <cellStyle name="Normal 5 17 2 2 11" xfId="35074" xr:uid="{00000000-0005-0000-0000-000000890000}"/>
    <cellStyle name="Normal 5 17 2 2 12" xfId="35075" xr:uid="{00000000-0005-0000-0000-000001890000}"/>
    <cellStyle name="Normal 5 17 2 2 13" xfId="35076" xr:uid="{00000000-0005-0000-0000-000002890000}"/>
    <cellStyle name="Normal 5 17 2 2 14" xfId="35077" xr:uid="{00000000-0005-0000-0000-000003890000}"/>
    <cellStyle name="Normal 5 17 2 2 15" xfId="35078" xr:uid="{00000000-0005-0000-0000-000004890000}"/>
    <cellStyle name="Normal 5 17 2 2 16" xfId="35079" xr:uid="{00000000-0005-0000-0000-000005890000}"/>
    <cellStyle name="Normal 5 17 2 2 2" xfId="35080" xr:uid="{00000000-0005-0000-0000-000006890000}"/>
    <cellStyle name="Normal 5 17 2 2 2 10" xfId="35081" xr:uid="{00000000-0005-0000-0000-000007890000}"/>
    <cellStyle name="Normal 5 17 2 2 2 2" xfId="35082" xr:uid="{00000000-0005-0000-0000-000008890000}"/>
    <cellStyle name="Normal 5 17 2 2 2 3" xfId="35083" xr:uid="{00000000-0005-0000-0000-000009890000}"/>
    <cellStyle name="Normal 5 17 2 2 2 4" xfId="35084" xr:uid="{00000000-0005-0000-0000-00000A890000}"/>
    <cellStyle name="Normal 5 17 2 2 2 5" xfId="35085" xr:uid="{00000000-0005-0000-0000-00000B890000}"/>
    <cellStyle name="Normal 5 17 2 2 2 6" xfId="35086" xr:uid="{00000000-0005-0000-0000-00000C890000}"/>
    <cellStyle name="Normal 5 17 2 2 2 7" xfId="35087" xr:uid="{00000000-0005-0000-0000-00000D890000}"/>
    <cellStyle name="Normal 5 17 2 2 2 8" xfId="35088" xr:uid="{00000000-0005-0000-0000-00000E890000}"/>
    <cellStyle name="Normal 5 17 2 2 2 9" xfId="35089" xr:uid="{00000000-0005-0000-0000-00000F890000}"/>
    <cellStyle name="Normal 5 17 2 2 3" xfId="35090" xr:uid="{00000000-0005-0000-0000-000010890000}"/>
    <cellStyle name="Normal 5 17 2 2 3 10" xfId="35091" xr:uid="{00000000-0005-0000-0000-000011890000}"/>
    <cellStyle name="Normal 5 17 2 2 3 2" xfId="35092" xr:uid="{00000000-0005-0000-0000-000012890000}"/>
    <cellStyle name="Normal 5 17 2 2 3 3" xfId="35093" xr:uid="{00000000-0005-0000-0000-000013890000}"/>
    <cellStyle name="Normal 5 17 2 2 3 4" xfId="35094" xr:uid="{00000000-0005-0000-0000-000014890000}"/>
    <cellStyle name="Normal 5 17 2 2 3 5" xfId="35095" xr:uid="{00000000-0005-0000-0000-000015890000}"/>
    <cellStyle name="Normal 5 17 2 2 3 6" xfId="35096" xr:uid="{00000000-0005-0000-0000-000016890000}"/>
    <cellStyle name="Normal 5 17 2 2 3 7" xfId="35097" xr:uid="{00000000-0005-0000-0000-000017890000}"/>
    <cellStyle name="Normal 5 17 2 2 3 8" xfId="35098" xr:uid="{00000000-0005-0000-0000-000018890000}"/>
    <cellStyle name="Normal 5 17 2 2 3 9" xfId="35099" xr:uid="{00000000-0005-0000-0000-000019890000}"/>
    <cellStyle name="Normal 5 17 2 2 4" xfId="35100" xr:uid="{00000000-0005-0000-0000-00001A890000}"/>
    <cellStyle name="Normal 5 17 2 2 4 10" xfId="35101" xr:uid="{00000000-0005-0000-0000-00001B890000}"/>
    <cellStyle name="Normal 5 17 2 2 4 2" xfId="35102" xr:uid="{00000000-0005-0000-0000-00001C890000}"/>
    <cellStyle name="Normal 5 17 2 2 4 3" xfId="35103" xr:uid="{00000000-0005-0000-0000-00001D890000}"/>
    <cellStyle name="Normal 5 17 2 2 4 4" xfId="35104" xr:uid="{00000000-0005-0000-0000-00001E890000}"/>
    <cellStyle name="Normal 5 17 2 2 4 5" xfId="35105" xr:uid="{00000000-0005-0000-0000-00001F890000}"/>
    <cellStyle name="Normal 5 17 2 2 4 6" xfId="35106" xr:uid="{00000000-0005-0000-0000-000020890000}"/>
    <cellStyle name="Normal 5 17 2 2 4 7" xfId="35107" xr:uid="{00000000-0005-0000-0000-000021890000}"/>
    <cellStyle name="Normal 5 17 2 2 4 8" xfId="35108" xr:uid="{00000000-0005-0000-0000-000022890000}"/>
    <cellStyle name="Normal 5 17 2 2 4 9" xfId="35109" xr:uid="{00000000-0005-0000-0000-000023890000}"/>
    <cellStyle name="Normal 5 17 2 2 5" xfId="35110" xr:uid="{00000000-0005-0000-0000-000024890000}"/>
    <cellStyle name="Normal 5 17 2 2 5 10" xfId="35111" xr:uid="{00000000-0005-0000-0000-000025890000}"/>
    <cellStyle name="Normal 5 17 2 2 5 2" xfId="35112" xr:uid="{00000000-0005-0000-0000-000026890000}"/>
    <cellStyle name="Normal 5 17 2 2 5 3" xfId="35113" xr:uid="{00000000-0005-0000-0000-000027890000}"/>
    <cellStyle name="Normal 5 17 2 2 5 4" xfId="35114" xr:uid="{00000000-0005-0000-0000-000028890000}"/>
    <cellStyle name="Normal 5 17 2 2 5 5" xfId="35115" xr:uid="{00000000-0005-0000-0000-000029890000}"/>
    <cellStyle name="Normal 5 17 2 2 5 6" xfId="35116" xr:uid="{00000000-0005-0000-0000-00002A890000}"/>
    <cellStyle name="Normal 5 17 2 2 5 7" xfId="35117" xr:uid="{00000000-0005-0000-0000-00002B890000}"/>
    <cellStyle name="Normal 5 17 2 2 5 8" xfId="35118" xr:uid="{00000000-0005-0000-0000-00002C890000}"/>
    <cellStyle name="Normal 5 17 2 2 5 9" xfId="35119" xr:uid="{00000000-0005-0000-0000-00002D890000}"/>
    <cellStyle name="Normal 5 17 2 2 6" xfId="35120" xr:uid="{00000000-0005-0000-0000-00002E890000}"/>
    <cellStyle name="Normal 5 17 2 2 7" xfId="35121" xr:uid="{00000000-0005-0000-0000-00002F890000}"/>
    <cellStyle name="Normal 5 17 2 2 8" xfId="35122" xr:uid="{00000000-0005-0000-0000-000030890000}"/>
    <cellStyle name="Normal 5 17 2 2 9" xfId="35123" xr:uid="{00000000-0005-0000-0000-000031890000}"/>
    <cellStyle name="Normal 5 17 2 20" xfId="35124" xr:uid="{00000000-0005-0000-0000-000032890000}"/>
    <cellStyle name="Normal 5 17 2 20 10" xfId="35125" xr:uid="{00000000-0005-0000-0000-000033890000}"/>
    <cellStyle name="Normal 5 17 2 20 11" xfId="35126" xr:uid="{00000000-0005-0000-0000-000034890000}"/>
    <cellStyle name="Normal 5 17 2 20 12" xfId="35127" xr:uid="{00000000-0005-0000-0000-000035890000}"/>
    <cellStyle name="Normal 5 17 2 20 13" xfId="35128" xr:uid="{00000000-0005-0000-0000-000036890000}"/>
    <cellStyle name="Normal 5 17 2 20 14" xfId="35129" xr:uid="{00000000-0005-0000-0000-000037890000}"/>
    <cellStyle name="Normal 5 17 2 20 2" xfId="35130" xr:uid="{00000000-0005-0000-0000-000038890000}"/>
    <cellStyle name="Normal 5 17 2 20 2 10" xfId="35131" xr:uid="{00000000-0005-0000-0000-000039890000}"/>
    <cellStyle name="Normal 5 17 2 20 2 2" xfId="35132" xr:uid="{00000000-0005-0000-0000-00003A890000}"/>
    <cellStyle name="Normal 5 17 2 20 2 3" xfId="35133" xr:uid="{00000000-0005-0000-0000-00003B890000}"/>
    <cellStyle name="Normal 5 17 2 20 2 4" xfId="35134" xr:uid="{00000000-0005-0000-0000-00003C890000}"/>
    <cellStyle name="Normal 5 17 2 20 2 5" xfId="35135" xr:uid="{00000000-0005-0000-0000-00003D890000}"/>
    <cellStyle name="Normal 5 17 2 20 2 6" xfId="35136" xr:uid="{00000000-0005-0000-0000-00003E890000}"/>
    <cellStyle name="Normal 5 17 2 20 2 7" xfId="35137" xr:uid="{00000000-0005-0000-0000-00003F890000}"/>
    <cellStyle name="Normal 5 17 2 20 2 8" xfId="35138" xr:uid="{00000000-0005-0000-0000-000040890000}"/>
    <cellStyle name="Normal 5 17 2 20 2 9" xfId="35139" xr:uid="{00000000-0005-0000-0000-000041890000}"/>
    <cellStyle name="Normal 5 17 2 20 3" xfId="35140" xr:uid="{00000000-0005-0000-0000-000042890000}"/>
    <cellStyle name="Normal 5 17 2 20 3 10" xfId="35141" xr:uid="{00000000-0005-0000-0000-000043890000}"/>
    <cellStyle name="Normal 5 17 2 20 3 2" xfId="35142" xr:uid="{00000000-0005-0000-0000-000044890000}"/>
    <cellStyle name="Normal 5 17 2 20 3 3" xfId="35143" xr:uid="{00000000-0005-0000-0000-000045890000}"/>
    <cellStyle name="Normal 5 17 2 20 3 4" xfId="35144" xr:uid="{00000000-0005-0000-0000-000046890000}"/>
    <cellStyle name="Normal 5 17 2 20 3 5" xfId="35145" xr:uid="{00000000-0005-0000-0000-000047890000}"/>
    <cellStyle name="Normal 5 17 2 20 3 6" xfId="35146" xr:uid="{00000000-0005-0000-0000-000048890000}"/>
    <cellStyle name="Normal 5 17 2 20 3 7" xfId="35147" xr:uid="{00000000-0005-0000-0000-000049890000}"/>
    <cellStyle name="Normal 5 17 2 20 3 8" xfId="35148" xr:uid="{00000000-0005-0000-0000-00004A890000}"/>
    <cellStyle name="Normal 5 17 2 20 3 9" xfId="35149" xr:uid="{00000000-0005-0000-0000-00004B890000}"/>
    <cellStyle name="Normal 5 17 2 20 4" xfId="35150" xr:uid="{00000000-0005-0000-0000-00004C890000}"/>
    <cellStyle name="Normal 5 17 2 20 4 10" xfId="35151" xr:uid="{00000000-0005-0000-0000-00004D890000}"/>
    <cellStyle name="Normal 5 17 2 20 4 2" xfId="35152" xr:uid="{00000000-0005-0000-0000-00004E890000}"/>
    <cellStyle name="Normal 5 17 2 20 4 3" xfId="35153" xr:uid="{00000000-0005-0000-0000-00004F890000}"/>
    <cellStyle name="Normal 5 17 2 20 4 4" xfId="35154" xr:uid="{00000000-0005-0000-0000-000050890000}"/>
    <cellStyle name="Normal 5 17 2 20 4 5" xfId="35155" xr:uid="{00000000-0005-0000-0000-000051890000}"/>
    <cellStyle name="Normal 5 17 2 20 4 6" xfId="35156" xr:uid="{00000000-0005-0000-0000-000052890000}"/>
    <cellStyle name="Normal 5 17 2 20 4 7" xfId="35157" xr:uid="{00000000-0005-0000-0000-000053890000}"/>
    <cellStyle name="Normal 5 17 2 20 4 8" xfId="35158" xr:uid="{00000000-0005-0000-0000-000054890000}"/>
    <cellStyle name="Normal 5 17 2 20 4 9" xfId="35159" xr:uid="{00000000-0005-0000-0000-000055890000}"/>
    <cellStyle name="Normal 5 17 2 20 5" xfId="35160" xr:uid="{00000000-0005-0000-0000-000056890000}"/>
    <cellStyle name="Normal 5 17 2 20 5 10" xfId="35161" xr:uid="{00000000-0005-0000-0000-000057890000}"/>
    <cellStyle name="Normal 5 17 2 20 5 2" xfId="35162" xr:uid="{00000000-0005-0000-0000-000058890000}"/>
    <cellStyle name="Normal 5 17 2 20 5 3" xfId="35163" xr:uid="{00000000-0005-0000-0000-000059890000}"/>
    <cellStyle name="Normal 5 17 2 20 5 4" xfId="35164" xr:uid="{00000000-0005-0000-0000-00005A890000}"/>
    <cellStyle name="Normal 5 17 2 20 5 5" xfId="35165" xr:uid="{00000000-0005-0000-0000-00005B890000}"/>
    <cellStyle name="Normal 5 17 2 20 5 6" xfId="35166" xr:uid="{00000000-0005-0000-0000-00005C890000}"/>
    <cellStyle name="Normal 5 17 2 20 5 7" xfId="35167" xr:uid="{00000000-0005-0000-0000-00005D890000}"/>
    <cellStyle name="Normal 5 17 2 20 5 8" xfId="35168" xr:uid="{00000000-0005-0000-0000-00005E890000}"/>
    <cellStyle name="Normal 5 17 2 20 5 9" xfId="35169" xr:uid="{00000000-0005-0000-0000-00005F890000}"/>
    <cellStyle name="Normal 5 17 2 20 6" xfId="35170" xr:uid="{00000000-0005-0000-0000-000060890000}"/>
    <cellStyle name="Normal 5 17 2 20 7" xfId="35171" xr:uid="{00000000-0005-0000-0000-000061890000}"/>
    <cellStyle name="Normal 5 17 2 20 8" xfId="35172" xr:uid="{00000000-0005-0000-0000-000062890000}"/>
    <cellStyle name="Normal 5 17 2 20 9" xfId="35173" xr:uid="{00000000-0005-0000-0000-000063890000}"/>
    <cellStyle name="Normal 5 17 2 21" xfId="35174" xr:uid="{00000000-0005-0000-0000-000064890000}"/>
    <cellStyle name="Normal 5 17 2 21 10" xfId="35175" xr:uid="{00000000-0005-0000-0000-000065890000}"/>
    <cellStyle name="Normal 5 17 2 21 11" xfId="35176" xr:uid="{00000000-0005-0000-0000-000066890000}"/>
    <cellStyle name="Normal 5 17 2 21 12" xfId="35177" xr:uid="{00000000-0005-0000-0000-000067890000}"/>
    <cellStyle name="Normal 5 17 2 21 13" xfId="35178" xr:uid="{00000000-0005-0000-0000-000068890000}"/>
    <cellStyle name="Normal 5 17 2 21 14" xfId="35179" xr:uid="{00000000-0005-0000-0000-000069890000}"/>
    <cellStyle name="Normal 5 17 2 21 2" xfId="35180" xr:uid="{00000000-0005-0000-0000-00006A890000}"/>
    <cellStyle name="Normal 5 17 2 21 2 10" xfId="35181" xr:uid="{00000000-0005-0000-0000-00006B890000}"/>
    <cellStyle name="Normal 5 17 2 21 2 2" xfId="35182" xr:uid="{00000000-0005-0000-0000-00006C890000}"/>
    <cellStyle name="Normal 5 17 2 21 2 3" xfId="35183" xr:uid="{00000000-0005-0000-0000-00006D890000}"/>
    <cellStyle name="Normal 5 17 2 21 2 4" xfId="35184" xr:uid="{00000000-0005-0000-0000-00006E890000}"/>
    <cellStyle name="Normal 5 17 2 21 2 5" xfId="35185" xr:uid="{00000000-0005-0000-0000-00006F890000}"/>
    <cellStyle name="Normal 5 17 2 21 2 6" xfId="35186" xr:uid="{00000000-0005-0000-0000-000070890000}"/>
    <cellStyle name="Normal 5 17 2 21 2 7" xfId="35187" xr:uid="{00000000-0005-0000-0000-000071890000}"/>
    <cellStyle name="Normal 5 17 2 21 2 8" xfId="35188" xr:uid="{00000000-0005-0000-0000-000072890000}"/>
    <cellStyle name="Normal 5 17 2 21 2 9" xfId="35189" xr:uid="{00000000-0005-0000-0000-000073890000}"/>
    <cellStyle name="Normal 5 17 2 21 3" xfId="35190" xr:uid="{00000000-0005-0000-0000-000074890000}"/>
    <cellStyle name="Normal 5 17 2 21 3 10" xfId="35191" xr:uid="{00000000-0005-0000-0000-000075890000}"/>
    <cellStyle name="Normal 5 17 2 21 3 2" xfId="35192" xr:uid="{00000000-0005-0000-0000-000076890000}"/>
    <cellStyle name="Normal 5 17 2 21 3 3" xfId="35193" xr:uid="{00000000-0005-0000-0000-000077890000}"/>
    <cellStyle name="Normal 5 17 2 21 3 4" xfId="35194" xr:uid="{00000000-0005-0000-0000-000078890000}"/>
    <cellStyle name="Normal 5 17 2 21 3 5" xfId="35195" xr:uid="{00000000-0005-0000-0000-000079890000}"/>
    <cellStyle name="Normal 5 17 2 21 3 6" xfId="35196" xr:uid="{00000000-0005-0000-0000-00007A890000}"/>
    <cellStyle name="Normal 5 17 2 21 3 7" xfId="35197" xr:uid="{00000000-0005-0000-0000-00007B890000}"/>
    <cellStyle name="Normal 5 17 2 21 3 8" xfId="35198" xr:uid="{00000000-0005-0000-0000-00007C890000}"/>
    <cellStyle name="Normal 5 17 2 21 3 9" xfId="35199" xr:uid="{00000000-0005-0000-0000-00007D890000}"/>
    <cellStyle name="Normal 5 17 2 21 4" xfId="35200" xr:uid="{00000000-0005-0000-0000-00007E890000}"/>
    <cellStyle name="Normal 5 17 2 21 4 10" xfId="35201" xr:uid="{00000000-0005-0000-0000-00007F890000}"/>
    <cellStyle name="Normal 5 17 2 21 4 2" xfId="35202" xr:uid="{00000000-0005-0000-0000-000080890000}"/>
    <cellStyle name="Normal 5 17 2 21 4 3" xfId="35203" xr:uid="{00000000-0005-0000-0000-000081890000}"/>
    <cellStyle name="Normal 5 17 2 21 4 4" xfId="35204" xr:uid="{00000000-0005-0000-0000-000082890000}"/>
    <cellStyle name="Normal 5 17 2 21 4 5" xfId="35205" xr:uid="{00000000-0005-0000-0000-000083890000}"/>
    <cellStyle name="Normal 5 17 2 21 4 6" xfId="35206" xr:uid="{00000000-0005-0000-0000-000084890000}"/>
    <cellStyle name="Normal 5 17 2 21 4 7" xfId="35207" xr:uid="{00000000-0005-0000-0000-000085890000}"/>
    <cellStyle name="Normal 5 17 2 21 4 8" xfId="35208" xr:uid="{00000000-0005-0000-0000-000086890000}"/>
    <cellStyle name="Normal 5 17 2 21 4 9" xfId="35209" xr:uid="{00000000-0005-0000-0000-000087890000}"/>
    <cellStyle name="Normal 5 17 2 21 5" xfId="35210" xr:uid="{00000000-0005-0000-0000-000088890000}"/>
    <cellStyle name="Normal 5 17 2 21 5 10" xfId="35211" xr:uid="{00000000-0005-0000-0000-000089890000}"/>
    <cellStyle name="Normal 5 17 2 21 5 2" xfId="35212" xr:uid="{00000000-0005-0000-0000-00008A890000}"/>
    <cellStyle name="Normal 5 17 2 21 5 3" xfId="35213" xr:uid="{00000000-0005-0000-0000-00008B890000}"/>
    <cellStyle name="Normal 5 17 2 21 5 4" xfId="35214" xr:uid="{00000000-0005-0000-0000-00008C890000}"/>
    <cellStyle name="Normal 5 17 2 21 5 5" xfId="35215" xr:uid="{00000000-0005-0000-0000-00008D890000}"/>
    <cellStyle name="Normal 5 17 2 21 5 6" xfId="35216" xr:uid="{00000000-0005-0000-0000-00008E890000}"/>
    <cellStyle name="Normal 5 17 2 21 5 7" xfId="35217" xr:uid="{00000000-0005-0000-0000-00008F890000}"/>
    <cellStyle name="Normal 5 17 2 21 5 8" xfId="35218" xr:uid="{00000000-0005-0000-0000-000090890000}"/>
    <cellStyle name="Normal 5 17 2 21 5 9" xfId="35219" xr:uid="{00000000-0005-0000-0000-000091890000}"/>
    <cellStyle name="Normal 5 17 2 21 6" xfId="35220" xr:uid="{00000000-0005-0000-0000-000092890000}"/>
    <cellStyle name="Normal 5 17 2 21 7" xfId="35221" xr:uid="{00000000-0005-0000-0000-000093890000}"/>
    <cellStyle name="Normal 5 17 2 21 8" xfId="35222" xr:uid="{00000000-0005-0000-0000-000094890000}"/>
    <cellStyle name="Normal 5 17 2 21 9" xfId="35223" xr:uid="{00000000-0005-0000-0000-000095890000}"/>
    <cellStyle name="Normal 5 17 2 22" xfId="35224" xr:uid="{00000000-0005-0000-0000-000096890000}"/>
    <cellStyle name="Normal 5 17 2 22 10" xfId="35225" xr:uid="{00000000-0005-0000-0000-000097890000}"/>
    <cellStyle name="Normal 5 17 2 22 11" xfId="35226" xr:uid="{00000000-0005-0000-0000-000098890000}"/>
    <cellStyle name="Normal 5 17 2 22 12" xfId="35227" xr:uid="{00000000-0005-0000-0000-000099890000}"/>
    <cellStyle name="Normal 5 17 2 22 13" xfId="35228" xr:uid="{00000000-0005-0000-0000-00009A890000}"/>
    <cellStyle name="Normal 5 17 2 22 14" xfId="35229" xr:uid="{00000000-0005-0000-0000-00009B890000}"/>
    <cellStyle name="Normal 5 17 2 22 2" xfId="35230" xr:uid="{00000000-0005-0000-0000-00009C890000}"/>
    <cellStyle name="Normal 5 17 2 22 2 10" xfId="35231" xr:uid="{00000000-0005-0000-0000-00009D890000}"/>
    <cellStyle name="Normal 5 17 2 22 2 2" xfId="35232" xr:uid="{00000000-0005-0000-0000-00009E890000}"/>
    <cellStyle name="Normal 5 17 2 22 2 3" xfId="35233" xr:uid="{00000000-0005-0000-0000-00009F890000}"/>
    <cellStyle name="Normal 5 17 2 22 2 4" xfId="35234" xr:uid="{00000000-0005-0000-0000-0000A0890000}"/>
    <cellStyle name="Normal 5 17 2 22 2 5" xfId="35235" xr:uid="{00000000-0005-0000-0000-0000A1890000}"/>
    <cellStyle name="Normal 5 17 2 22 2 6" xfId="35236" xr:uid="{00000000-0005-0000-0000-0000A2890000}"/>
    <cellStyle name="Normal 5 17 2 22 2 7" xfId="35237" xr:uid="{00000000-0005-0000-0000-0000A3890000}"/>
    <cellStyle name="Normal 5 17 2 22 2 8" xfId="35238" xr:uid="{00000000-0005-0000-0000-0000A4890000}"/>
    <cellStyle name="Normal 5 17 2 22 2 9" xfId="35239" xr:uid="{00000000-0005-0000-0000-0000A5890000}"/>
    <cellStyle name="Normal 5 17 2 22 3" xfId="35240" xr:uid="{00000000-0005-0000-0000-0000A6890000}"/>
    <cellStyle name="Normal 5 17 2 22 3 10" xfId="35241" xr:uid="{00000000-0005-0000-0000-0000A7890000}"/>
    <cellStyle name="Normal 5 17 2 22 3 2" xfId="35242" xr:uid="{00000000-0005-0000-0000-0000A8890000}"/>
    <cellStyle name="Normal 5 17 2 22 3 3" xfId="35243" xr:uid="{00000000-0005-0000-0000-0000A9890000}"/>
    <cellStyle name="Normal 5 17 2 22 3 4" xfId="35244" xr:uid="{00000000-0005-0000-0000-0000AA890000}"/>
    <cellStyle name="Normal 5 17 2 22 3 5" xfId="35245" xr:uid="{00000000-0005-0000-0000-0000AB890000}"/>
    <cellStyle name="Normal 5 17 2 22 3 6" xfId="35246" xr:uid="{00000000-0005-0000-0000-0000AC890000}"/>
    <cellStyle name="Normal 5 17 2 22 3 7" xfId="35247" xr:uid="{00000000-0005-0000-0000-0000AD890000}"/>
    <cellStyle name="Normal 5 17 2 22 3 8" xfId="35248" xr:uid="{00000000-0005-0000-0000-0000AE890000}"/>
    <cellStyle name="Normal 5 17 2 22 3 9" xfId="35249" xr:uid="{00000000-0005-0000-0000-0000AF890000}"/>
    <cellStyle name="Normal 5 17 2 22 4" xfId="35250" xr:uid="{00000000-0005-0000-0000-0000B0890000}"/>
    <cellStyle name="Normal 5 17 2 22 4 10" xfId="35251" xr:uid="{00000000-0005-0000-0000-0000B1890000}"/>
    <cellStyle name="Normal 5 17 2 22 4 2" xfId="35252" xr:uid="{00000000-0005-0000-0000-0000B2890000}"/>
    <cellStyle name="Normal 5 17 2 22 4 3" xfId="35253" xr:uid="{00000000-0005-0000-0000-0000B3890000}"/>
    <cellStyle name="Normal 5 17 2 22 4 4" xfId="35254" xr:uid="{00000000-0005-0000-0000-0000B4890000}"/>
    <cellStyle name="Normal 5 17 2 22 4 5" xfId="35255" xr:uid="{00000000-0005-0000-0000-0000B5890000}"/>
    <cellStyle name="Normal 5 17 2 22 4 6" xfId="35256" xr:uid="{00000000-0005-0000-0000-0000B6890000}"/>
    <cellStyle name="Normal 5 17 2 22 4 7" xfId="35257" xr:uid="{00000000-0005-0000-0000-0000B7890000}"/>
    <cellStyle name="Normal 5 17 2 22 4 8" xfId="35258" xr:uid="{00000000-0005-0000-0000-0000B8890000}"/>
    <cellStyle name="Normal 5 17 2 22 4 9" xfId="35259" xr:uid="{00000000-0005-0000-0000-0000B9890000}"/>
    <cellStyle name="Normal 5 17 2 22 5" xfId="35260" xr:uid="{00000000-0005-0000-0000-0000BA890000}"/>
    <cellStyle name="Normal 5 17 2 22 5 10" xfId="35261" xr:uid="{00000000-0005-0000-0000-0000BB890000}"/>
    <cellStyle name="Normal 5 17 2 22 5 2" xfId="35262" xr:uid="{00000000-0005-0000-0000-0000BC890000}"/>
    <cellStyle name="Normal 5 17 2 22 5 3" xfId="35263" xr:uid="{00000000-0005-0000-0000-0000BD890000}"/>
    <cellStyle name="Normal 5 17 2 22 5 4" xfId="35264" xr:uid="{00000000-0005-0000-0000-0000BE890000}"/>
    <cellStyle name="Normal 5 17 2 22 5 5" xfId="35265" xr:uid="{00000000-0005-0000-0000-0000BF890000}"/>
    <cellStyle name="Normal 5 17 2 22 5 6" xfId="35266" xr:uid="{00000000-0005-0000-0000-0000C0890000}"/>
    <cellStyle name="Normal 5 17 2 22 5 7" xfId="35267" xr:uid="{00000000-0005-0000-0000-0000C1890000}"/>
    <cellStyle name="Normal 5 17 2 22 5 8" xfId="35268" xr:uid="{00000000-0005-0000-0000-0000C2890000}"/>
    <cellStyle name="Normal 5 17 2 22 5 9" xfId="35269" xr:uid="{00000000-0005-0000-0000-0000C3890000}"/>
    <cellStyle name="Normal 5 17 2 22 6" xfId="35270" xr:uid="{00000000-0005-0000-0000-0000C4890000}"/>
    <cellStyle name="Normal 5 17 2 22 7" xfId="35271" xr:uid="{00000000-0005-0000-0000-0000C5890000}"/>
    <cellStyle name="Normal 5 17 2 22 8" xfId="35272" xr:uid="{00000000-0005-0000-0000-0000C6890000}"/>
    <cellStyle name="Normal 5 17 2 22 9" xfId="35273" xr:uid="{00000000-0005-0000-0000-0000C7890000}"/>
    <cellStyle name="Normal 5 17 2 23" xfId="35274" xr:uid="{00000000-0005-0000-0000-0000C8890000}"/>
    <cellStyle name="Normal 5 17 2 23 10" xfId="35275" xr:uid="{00000000-0005-0000-0000-0000C9890000}"/>
    <cellStyle name="Normal 5 17 2 23 11" xfId="35276" xr:uid="{00000000-0005-0000-0000-0000CA890000}"/>
    <cellStyle name="Normal 5 17 2 23 12" xfId="35277" xr:uid="{00000000-0005-0000-0000-0000CB890000}"/>
    <cellStyle name="Normal 5 17 2 23 13" xfId="35278" xr:uid="{00000000-0005-0000-0000-0000CC890000}"/>
    <cellStyle name="Normal 5 17 2 23 14" xfId="35279" xr:uid="{00000000-0005-0000-0000-0000CD890000}"/>
    <cellStyle name="Normal 5 17 2 23 2" xfId="35280" xr:uid="{00000000-0005-0000-0000-0000CE890000}"/>
    <cellStyle name="Normal 5 17 2 23 2 10" xfId="35281" xr:uid="{00000000-0005-0000-0000-0000CF890000}"/>
    <cellStyle name="Normal 5 17 2 23 2 2" xfId="35282" xr:uid="{00000000-0005-0000-0000-0000D0890000}"/>
    <cellStyle name="Normal 5 17 2 23 2 3" xfId="35283" xr:uid="{00000000-0005-0000-0000-0000D1890000}"/>
    <cellStyle name="Normal 5 17 2 23 2 4" xfId="35284" xr:uid="{00000000-0005-0000-0000-0000D2890000}"/>
    <cellStyle name="Normal 5 17 2 23 2 5" xfId="35285" xr:uid="{00000000-0005-0000-0000-0000D3890000}"/>
    <cellStyle name="Normal 5 17 2 23 2 6" xfId="35286" xr:uid="{00000000-0005-0000-0000-0000D4890000}"/>
    <cellStyle name="Normal 5 17 2 23 2 7" xfId="35287" xr:uid="{00000000-0005-0000-0000-0000D5890000}"/>
    <cellStyle name="Normal 5 17 2 23 2 8" xfId="35288" xr:uid="{00000000-0005-0000-0000-0000D6890000}"/>
    <cellStyle name="Normal 5 17 2 23 2 9" xfId="35289" xr:uid="{00000000-0005-0000-0000-0000D7890000}"/>
    <cellStyle name="Normal 5 17 2 23 3" xfId="35290" xr:uid="{00000000-0005-0000-0000-0000D8890000}"/>
    <cellStyle name="Normal 5 17 2 23 3 10" xfId="35291" xr:uid="{00000000-0005-0000-0000-0000D9890000}"/>
    <cellStyle name="Normal 5 17 2 23 3 2" xfId="35292" xr:uid="{00000000-0005-0000-0000-0000DA890000}"/>
    <cellStyle name="Normal 5 17 2 23 3 3" xfId="35293" xr:uid="{00000000-0005-0000-0000-0000DB890000}"/>
    <cellStyle name="Normal 5 17 2 23 3 4" xfId="35294" xr:uid="{00000000-0005-0000-0000-0000DC890000}"/>
    <cellStyle name="Normal 5 17 2 23 3 5" xfId="35295" xr:uid="{00000000-0005-0000-0000-0000DD890000}"/>
    <cellStyle name="Normal 5 17 2 23 3 6" xfId="35296" xr:uid="{00000000-0005-0000-0000-0000DE890000}"/>
    <cellStyle name="Normal 5 17 2 23 3 7" xfId="35297" xr:uid="{00000000-0005-0000-0000-0000DF890000}"/>
    <cellStyle name="Normal 5 17 2 23 3 8" xfId="35298" xr:uid="{00000000-0005-0000-0000-0000E0890000}"/>
    <cellStyle name="Normal 5 17 2 23 3 9" xfId="35299" xr:uid="{00000000-0005-0000-0000-0000E1890000}"/>
    <cellStyle name="Normal 5 17 2 23 4" xfId="35300" xr:uid="{00000000-0005-0000-0000-0000E2890000}"/>
    <cellStyle name="Normal 5 17 2 23 4 10" xfId="35301" xr:uid="{00000000-0005-0000-0000-0000E3890000}"/>
    <cellStyle name="Normal 5 17 2 23 4 2" xfId="35302" xr:uid="{00000000-0005-0000-0000-0000E4890000}"/>
    <cellStyle name="Normal 5 17 2 23 4 3" xfId="35303" xr:uid="{00000000-0005-0000-0000-0000E5890000}"/>
    <cellStyle name="Normal 5 17 2 23 4 4" xfId="35304" xr:uid="{00000000-0005-0000-0000-0000E6890000}"/>
    <cellStyle name="Normal 5 17 2 23 4 5" xfId="35305" xr:uid="{00000000-0005-0000-0000-0000E7890000}"/>
    <cellStyle name="Normal 5 17 2 23 4 6" xfId="35306" xr:uid="{00000000-0005-0000-0000-0000E8890000}"/>
    <cellStyle name="Normal 5 17 2 23 4 7" xfId="35307" xr:uid="{00000000-0005-0000-0000-0000E9890000}"/>
    <cellStyle name="Normal 5 17 2 23 4 8" xfId="35308" xr:uid="{00000000-0005-0000-0000-0000EA890000}"/>
    <cellStyle name="Normal 5 17 2 23 4 9" xfId="35309" xr:uid="{00000000-0005-0000-0000-0000EB890000}"/>
    <cellStyle name="Normal 5 17 2 23 5" xfId="35310" xr:uid="{00000000-0005-0000-0000-0000EC890000}"/>
    <cellStyle name="Normal 5 17 2 23 5 10" xfId="35311" xr:uid="{00000000-0005-0000-0000-0000ED890000}"/>
    <cellStyle name="Normal 5 17 2 23 5 2" xfId="35312" xr:uid="{00000000-0005-0000-0000-0000EE890000}"/>
    <cellStyle name="Normal 5 17 2 23 5 3" xfId="35313" xr:uid="{00000000-0005-0000-0000-0000EF890000}"/>
    <cellStyle name="Normal 5 17 2 23 5 4" xfId="35314" xr:uid="{00000000-0005-0000-0000-0000F0890000}"/>
    <cellStyle name="Normal 5 17 2 23 5 5" xfId="35315" xr:uid="{00000000-0005-0000-0000-0000F1890000}"/>
    <cellStyle name="Normal 5 17 2 23 5 6" xfId="35316" xr:uid="{00000000-0005-0000-0000-0000F2890000}"/>
    <cellStyle name="Normal 5 17 2 23 5 7" xfId="35317" xr:uid="{00000000-0005-0000-0000-0000F3890000}"/>
    <cellStyle name="Normal 5 17 2 23 5 8" xfId="35318" xr:uid="{00000000-0005-0000-0000-0000F4890000}"/>
    <cellStyle name="Normal 5 17 2 23 5 9" xfId="35319" xr:uid="{00000000-0005-0000-0000-0000F5890000}"/>
    <cellStyle name="Normal 5 17 2 23 6" xfId="35320" xr:uid="{00000000-0005-0000-0000-0000F6890000}"/>
    <cellStyle name="Normal 5 17 2 23 7" xfId="35321" xr:uid="{00000000-0005-0000-0000-0000F7890000}"/>
    <cellStyle name="Normal 5 17 2 23 8" xfId="35322" xr:uid="{00000000-0005-0000-0000-0000F8890000}"/>
    <cellStyle name="Normal 5 17 2 23 9" xfId="35323" xr:uid="{00000000-0005-0000-0000-0000F9890000}"/>
    <cellStyle name="Normal 5 17 2 24" xfId="35324" xr:uid="{00000000-0005-0000-0000-0000FA890000}"/>
    <cellStyle name="Normal 5 17 2 24 10" xfId="35325" xr:uid="{00000000-0005-0000-0000-0000FB890000}"/>
    <cellStyle name="Normal 5 17 2 24 11" xfId="35326" xr:uid="{00000000-0005-0000-0000-0000FC890000}"/>
    <cellStyle name="Normal 5 17 2 24 12" xfId="35327" xr:uid="{00000000-0005-0000-0000-0000FD890000}"/>
    <cellStyle name="Normal 5 17 2 24 13" xfId="35328" xr:uid="{00000000-0005-0000-0000-0000FE890000}"/>
    <cellStyle name="Normal 5 17 2 24 14" xfId="35329" xr:uid="{00000000-0005-0000-0000-0000FF890000}"/>
    <cellStyle name="Normal 5 17 2 24 2" xfId="35330" xr:uid="{00000000-0005-0000-0000-0000008A0000}"/>
    <cellStyle name="Normal 5 17 2 24 2 10" xfId="35331" xr:uid="{00000000-0005-0000-0000-0000018A0000}"/>
    <cellStyle name="Normal 5 17 2 24 2 2" xfId="35332" xr:uid="{00000000-0005-0000-0000-0000028A0000}"/>
    <cellStyle name="Normal 5 17 2 24 2 3" xfId="35333" xr:uid="{00000000-0005-0000-0000-0000038A0000}"/>
    <cellStyle name="Normal 5 17 2 24 2 4" xfId="35334" xr:uid="{00000000-0005-0000-0000-0000048A0000}"/>
    <cellStyle name="Normal 5 17 2 24 2 5" xfId="35335" xr:uid="{00000000-0005-0000-0000-0000058A0000}"/>
    <cellStyle name="Normal 5 17 2 24 2 6" xfId="35336" xr:uid="{00000000-0005-0000-0000-0000068A0000}"/>
    <cellStyle name="Normal 5 17 2 24 2 7" xfId="35337" xr:uid="{00000000-0005-0000-0000-0000078A0000}"/>
    <cellStyle name="Normal 5 17 2 24 2 8" xfId="35338" xr:uid="{00000000-0005-0000-0000-0000088A0000}"/>
    <cellStyle name="Normal 5 17 2 24 2 9" xfId="35339" xr:uid="{00000000-0005-0000-0000-0000098A0000}"/>
    <cellStyle name="Normal 5 17 2 24 3" xfId="35340" xr:uid="{00000000-0005-0000-0000-00000A8A0000}"/>
    <cellStyle name="Normal 5 17 2 24 3 10" xfId="35341" xr:uid="{00000000-0005-0000-0000-00000B8A0000}"/>
    <cellStyle name="Normal 5 17 2 24 3 2" xfId="35342" xr:uid="{00000000-0005-0000-0000-00000C8A0000}"/>
    <cellStyle name="Normal 5 17 2 24 3 3" xfId="35343" xr:uid="{00000000-0005-0000-0000-00000D8A0000}"/>
    <cellStyle name="Normal 5 17 2 24 3 4" xfId="35344" xr:uid="{00000000-0005-0000-0000-00000E8A0000}"/>
    <cellStyle name="Normal 5 17 2 24 3 5" xfId="35345" xr:uid="{00000000-0005-0000-0000-00000F8A0000}"/>
    <cellStyle name="Normal 5 17 2 24 3 6" xfId="35346" xr:uid="{00000000-0005-0000-0000-0000108A0000}"/>
    <cellStyle name="Normal 5 17 2 24 3 7" xfId="35347" xr:uid="{00000000-0005-0000-0000-0000118A0000}"/>
    <cellStyle name="Normal 5 17 2 24 3 8" xfId="35348" xr:uid="{00000000-0005-0000-0000-0000128A0000}"/>
    <cellStyle name="Normal 5 17 2 24 3 9" xfId="35349" xr:uid="{00000000-0005-0000-0000-0000138A0000}"/>
    <cellStyle name="Normal 5 17 2 24 4" xfId="35350" xr:uid="{00000000-0005-0000-0000-0000148A0000}"/>
    <cellStyle name="Normal 5 17 2 24 4 10" xfId="35351" xr:uid="{00000000-0005-0000-0000-0000158A0000}"/>
    <cellStyle name="Normal 5 17 2 24 4 2" xfId="35352" xr:uid="{00000000-0005-0000-0000-0000168A0000}"/>
    <cellStyle name="Normal 5 17 2 24 4 3" xfId="35353" xr:uid="{00000000-0005-0000-0000-0000178A0000}"/>
    <cellStyle name="Normal 5 17 2 24 4 4" xfId="35354" xr:uid="{00000000-0005-0000-0000-0000188A0000}"/>
    <cellStyle name="Normal 5 17 2 24 4 5" xfId="35355" xr:uid="{00000000-0005-0000-0000-0000198A0000}"/>
    <cellStyle name="Normal 5 17 2 24 4 6" xfId="35356" xr:uid="{00000000-0005-0000-0000-00001A8A0000}"/>
    <cellStyle name="Normal 5 17 2 24 4 7" xfId="35357" xr:uid="{00000000-0005-0000-0000-00001B8A0000}"/>
    <cellStyle name="Normal 5 17 2 24 4 8" xfId="35358" xr:uid="{00000000-0005-0000-0000-00001C8A0000}"/>
    <cellStyle name="Normal 5 17 2 24 4 9" xfId="35359" xr:uid="{00000000-0005-0000-0000-00001D8A0000}"/>
    <cellStyle name="Normal 5 17 2 24 5" xfId="35360" xr:uid="{00000000-0005-0000-0000-00001E8A0000}"/>
    <cellStyle name="Normal 5 17 2 24 5 10" xfId="35361" xr:uid="{00000000-0005-0000-0000-00001F8A0000}"/>
    <cellStyle name="Normal 5 17 2 24 5 2" xfId="35362" xr:uid="{00000000-0005-0000-0000-0000208A0000}"/>
    <cellStyle name="Normal 5 17 2 24 5 3" xfId="35363" xr:uid="{00000000-0005-0000-0000-0000218A0000}"/>
    <cellStyle name="Normal 5 17 2 24 5 4" xfId="35364" xr:uid="{00000000-0005-0000-0000-0000228A0000}"/>
    <cellStyle name="Normal 5 17 2 24 5 5" xfId="35365" xr:uid="{00000000-0005-0000-0000-0000238A0000}"/>
    <cellStyle name="Normal 5 17 2 24 5 6" xfId="35366" xr:uid="{00000000-0005-0000-0000-0000248A0000}"/>
    <cellStyle name="Normal 5 17 2 24 5 7" xfId="35367" xr:uid="{00000000-0005-0000-0000-0000258A0000}"/>
    <cellStyle name="Normal 5 17 2 24 5 8" xfId="35368" xr:uid="{00000000-0005-0000-0000-0000268A0000}"/>
    <cellStyle name="Normal 5 17 2 24 5 9" xfId="35369" xr:uid="{00000000-0005-0000-0000-0000278A0000}"/>
    <cellStyle name="Normal 5 17 2 24 6" xfId="35370" xr:uid="{00000000-0005-0000-0000-0000288A0000}"/>
    <cellStyle name="Normal 5 17 2 24 7" xfId="35371" xr:uid="{00000000-0005-0000-0000-0000298A0000}"/>
    <cellStyle name="Normal 5 17 2 24 8" xfId="35372" xr:uid="{00000000-0005-0000-0000-00002A8A0000}"/>
    <cellStyle name="Normal 5 17 2 24 9" xfId="35373" xr:uid="{00000000-0005-0000-0000-00002B8A0000}"/>
    <cellStyle name="Normal 5 17 2 25" xfId="35374" xr:uid="{00000000-0005-0000-0000-00002C8A0000}"/>
    <cellStyle name="Normal 5 17 2 25 10" xfId="35375" xr:uid="{00000000-0005-0000-0000-00002D8A0000}"/>
    <cellStyle name="Normal 5 17 2 25 11" xfId="35376" xr:uid="{00000000-0005-0000-0000-00002E8A0000}"/>
    <cellStyle name="Normal 5 17 2 25 12" xfId="35377" xr:uid="{00000000-0005-0000-0000-00002F8A0000}"/>
    <cellStyle name="Normal 5 17 2 25 13" xfId="35378" xr:uid="{00000000-0005-0000-0000-0000308A0000}"/>
    <cellStyle name="Normal 5 17 2 25 14" xfId="35379" xr:uid="{00000000-0005-0000-0000-0000318A0000}"/>
    <cellStyle name="Normal 5 17 2 25 2" xfId="35380" xr:uid="{00000000-0005-0000-0000-0000328A0000}"/>
    <cellStyle name="Normal 5 17 2 25 2 10" xfId="35381" xr:uid="{00000000-0005-0000-0000-0000338A0000}"/>
    <cellStyle name="Normal 5 17 2 25 2 2" xfId="35382" xr:uid="{00000000-0005-0000-0000-0000348A0000}"/>
    <cellStyle name="Normal 5 17 2 25 2 3" xfId="35383" xr:uid="{00000000-0005-0000-0000-0000358A0000}"/>
    <cellStyle name="Normal 5 17 2 25 2 4" xfId="35384" xr:uid="{00000000-0005-0000-0000-0000368A0000}"/>
    <cellStyle name="Normal 5 17 2 25 2 5" xfId="35385" xr:uid="{00000000-0005-0000-0000-0000378A0000}"/>
    <cellStyle name="Normal 5 17 2 25 2 6" xfId="35386" xr:uid="{00000000-0005-0000-0000-0000388A0000}"/>
    <cellStyle name="Normal 5 17 2 25 2 7" xfId="35387" xr:uid="{00000000-0005-0000-0000-0000398A0000}"/>
    <cellStyle name="Normal 5 17 2 25 2 8" xfId="35388" xr:uid="{00000000-0005-0000-0000-00003A8A0000}"/>
    <cellStyle name="Normal 5 17 2 25 2 9" xfId="35389" xr:uid="{00000000-0005-0000-0000-00003B8A0000}"/>
    <cellStyle name="Normal 5 17 2 25 3" xfId="35390" xr:uid="{00000000-0005-0000-0000-00003C8A0000}"/>
    <cellStyle name="Normal 5 17 2 25 3 10" xfId="35391" xr:uid="{00000000-0005-0000-0000-00003D8A0000}"/>
    <cellStyle name="Normal 5 17 2 25 3 2" xfId="35392" xr:uid="{00000000-0005-0000-0000-00003E8A0000}"/>
    <cellStyle name="Normal 5 17 2 25 3 3" xfId="35393" xr:uid="{00000000-0005-0000-0000-00003F8A0000}"/>
    <cellStyle name="Normal 5 17 2 25 3 4" xfId="35394" xr:uid="{00000000-0005-0000-0000-0000408A0000}"/>
    <cellStyle name="Normal 5 17 2 25 3 5" xfId="35395" xr:uid="{00000000-0005-0000-0000-0000418A0000}"/>
    <cellStyle name="Normal 5 17 2 25 3 6" xfId="35396" xr:uid="{00000000-0005-0000-0000-0000428A0000}"/>
    <cellStyle name="Normal 5 17 2 25 3 7" xfId="35397" xr:uid="{00000000-0005-0000-0000-0000438A0000}"/>
    <cellStyle name="Normal 5 17 2 25 3 8" xfId="35398" xr:uid="{00000000-0005-0000-0000-0000448A0000}"/>
    <cellStyle name="Normal 5 17 2 25 3 9" xfId="35399" xr:uid="{00000000-0005-0000-0000-0000458A0000}"/>
    <cellStyle name="Normal 5 17 2 25 4" xfId="35400" xr:uid="{00000000-0005-0000-0000-0000468A0000}"/>
    <cellStyle name="Normal 5 17 2 25 4 10" xfId="35401" xr:uid="{00000000-0005-0000-0000-0000478A0000}"/>
    <cellStyle name="Normal 5 17 2 25 4 2" xfId="35402" xr:uid="{00000000-0005-0000-0000-0000488A0000}"/>
    <cellStyle name="Normal 5 17 2 25 4 3" xfId="35403" xr:uid="{00000000-0005-0000-0000-0000498A0000}"/>
    <cellStyle name="Normal 5 17 2 25 4 4" xfId="35404" xr:uid="{00000000-0005-0000-0000-00004A8A0000}"/>
    <cellStyle name="Normal 5 17 2 25 4 5" xfId="35405" xr:uid="{00000000-0005-0000-0000-00004B8A0000}"/>
    <cellStyle name="Normal 5 17 2 25 4 6" xfId="35406" xr:uid="{00000000-0005-0000-0000-00004C8A0000}"/>
    <cellStyle name="Normal 5 17 2 25 4 7" xfId="35407" xr:uid="{00000000-0005-0000-0000-00004D8A0000}"/>
    <cellStyle name="Normal 5 17 2 25 4 8" xfId="35408" xr:uid="{00000000-0005-0000-0000-00004E8A0000}"/>
    <cellStyle name="Normal 5 17 2 25 4 9" xfId="35409" xr:uid="{00000000-0005-0000-0000-00004F8A0000}"/>
    <cellStyle name="Normal 5 17 2 25 5" xfId="35410" xr:uid="{00000000-0005-0000-0000-0000508A0000}"/>
    <cellStyle name="Normal 5 17 2 25 5 10" xfId="35411" xr:uid="{00000000-0005-0000-0000-0000518A0000}"/>
    <cellStyle name="Normal 5 17 2 25 5 2" xfId="35412" xr:uid="{00000000-0005-0000-0000-0000528A0000}"/>
    <cellStyle name="Normal 5 17 2 25 5 3" xfId="35413" xr:uid="{00000000-0005-0000-0000-0000538A0000}"/>
    <cellStyle name="Normal 5 17 2 25 5 4" xfId="35414" xr:uid="{00000000-0005-0000-0000-0000548A0000}"/>
    <cellStyle name="Normal 5 17 2 25 5 5" xfId="35415" xr:uid="{00000000-0005-0000-0000-0000558A0000}"/>
    <cellStyle name="Normal 5 17 2 25 5 6" xfId="35416" xr:uid="{00000000-0005-0000-0000-0000568A0000}"/>
    <cellStyle name="Normal 5 17 2 25 5 7" xfId="35417" xr:uid="{00000000-0005-0000-0000-0000578A0000}"/>
    <cellStyle name="Normal 5 17 2 25 5 8" xfId="35418" xr:uid="{00000000-0005-0000-0000-0000588A0000}"/>
    <cellStyle name="Normal 5 17 2 25 5 9" xfId="35419" xr:uid="{00000000-0005-0000-0000-0000598A0000}"/>
    <cellStyle name="Normal 5 17 2 25 6" xfId="35420" xr:uid="{00000000-0005-0000-0000-00005A8A0000}"/>
    <cellStyle name="Normal 5 17 2 25 7" xfId="35421" xr:uid="{00000000-0005-0000-0000-00005B8A0000}"/>
    <cellStyle name="Normal 5 17 2 25 8" xfId="35422" xr:uid="{00000000-0005-0000-0000-00005C8A0000}"/>
    <cellStyle name="Normal 5 17 2 25 9" xfId="35423" xr:uid="{00000000-0005-0000-0000-00005D8A0000}"/>
    <cellStyle name="Normal 5 17 2 26" xfId="35424" xr:uid="{00000000-0005-0000-0000-00005E8A0000}"/>
    <cellStyle name="Normal 5 17 2 26 10" xfId="35425" xr:uid="{00000000-0005-0000-0000-00005F8A0000}"/>
    <cellStyle name="Normal 5 17 2 26 11" xfId="35426" xr:uid="{00000000-0005-0000-0000-0000608A0000}"/>
    <cellStyle name="Normal 5 17 2 26 12" xfId="35427" xr:uid="{00000000-0005-0000-0000-0000618A0000}"/>
    <cellStyle name="Normal 5 17 2 26 13" xfId="35428" xr:uid="{00000000-0005-0000-0000-0000628A0000}"/>
    <cellStyle name="Normal 5 17 2 26 14" xfId="35429" xr:uid="{00000000-0005-0000-0000-0000638A0000}"/>
    <cellStyle name="Normal 5 17 2 26 2" xfId="35430" xr:uid="{00000000-0005-0000-0000-0000648A0000}"/>
    <cellStyle name="Normal 5 17 2 26 2 10" xfId="35431" xr:uid="{00000000-0005-0000-0000-0000658A0000}"/>
    <cellStyle name="Normal 5 17 2 26 2 2" xfId="35432" xr:uid="{00000000-0005-0000-0000-0000668A0000}"/>
    <cellStyle name="Normal 5 17 2 26 2 3" xfId="35433" xr:uid="{00000000-0005-0000-0000-0000678A0000}"/>
    <cellStyle name="Normal 5 17 2 26 2 4" xfId="35434" xr:uid="{00000000-0005-0000-0000-0000688A0000}"/>
    <cellStyle name="Normal 5 17 2 26 2 5" xfId="35435" xr:uid="{00000000-0005-0000-0000-0000698A0000}"/>
    <cellStyle name="Normal 5 17 2 26 2 6" xfId="35436" xr:uid="{00000000-0005-0000-0000-00006A8A0000}"/>
    <cellStyle name="Normal 5 17 2 26 2 7" xfId="35437" xr:uid="{00000000-0005-0000-0000-00006B8A0000}"/>
    <cellStyle name="Normal 5 17 2 26 2 8" xfId="35438" xr:uid="{00000000-0005-0000-0000-00006C8A0000}"/>
    <cellStyle name="Normal 5 17 2 26 2 9" xfId="35439" xr:uid="{00000000-0005-0000-0000-00006D8A0000}"/>
    <cellStyle name="Normal 5 17 2 26 3" xfId="35440" xr:uid="{00000000-0005-0000-0000-00006E8A0000}"/>
    <cellStyle name="Normal 5 17 2 26 3 10" xfId="35441" xr:uid="{00000000-0005-0000-0000-00006F8A0000}"/>
    <cellStyle name="Normal 5 17 2 26 3 2" xfId="35442" xr:uid="{00000000-0005-0000-0000-0000708A0000}"/>
    <cellStyle name="Normal 5 17 2 26 3 3" xfId="35443" xr:uid="{00000000-0005-0000-0000-0000718A0000}"/>
    <cellStyle name="Normal 5 17 2 26 3 4" xfId="35444" xr:uid="{00000000-0005-0000-0000-0000728A0000}"/>
    <cellStyle name="Normal 5 17 2 26 3 5" xfId="35445" xr:uid="{00000000-0005-0000-0000-0000738A0000}"/>
    <cellStyle name="Normal 5 17 2 26 3 6" xfId="35446" xr:uid="{00000000-0005-0000-0000-0000748A0000}"/>
    <cellStyle name="Normal 5 17 2 26 3 7" xfId="35447" xr:uid="{00000000-0005-0000-0000-0000758A0000}"/>
    <cellStyle name="Normal 5 17 2 26 3 8" xfId="35448" xr:uid="{00000000-0005-0000-0000-0000768A0000}"/>
    <cellStyle name="Normal 5 17 2 26 3 9" xfId="35449" xr:uid="{00000000-0005-0000-0000-0000778A0000}"/>
    <cellStyle name="Normal 5 17 2 26 4" xfId="35450" xr:uid="{00000000-0005-0000-0000-0000788A0000}"/>
    <cellStyle name="Normal 5 17 2 26 4 10" xfId="35451" xr:uid="{00000000-0005-0000-0000-0000798A0000}"/>
    <cellStyle name="Normal 5 17 2 26 4 2" xfId="35452" xr:uid="{00000000-0005-0000-0000-00007A8A0000}"/>
    <cellStyle name="Normal 5 17 2 26 4 3" xfId="35453" xr:uid="{00000000-0005-0000-0000-00007B8A0000}"/>
    <cellStyle name="Normal 5 17 2 26 4 4" xfId="35454" xr:uid="{00000000-0005-0000-0000-00007C8A0000}"/>
    <cellStyle name="Normal 5 17 2 26 4 5" xfId="35455" xr:uid="{00000000-0005-0000-0000-00007D8A0000}"/>
    <cellStyle name="Normal 5 17 2 26 4 6" xfId="35456" xr:uid="{00000000-0005-0000-0000-00007E8A0000}"/>
    <cellStyle name="Normal 5 17 2 26 4 7" xfId="35457" xr:uid="{00000000-0005-0000-0000-00007F8A0000}"/>
    <cellStyle name="Normal 5 17 2 26 4 8" xfId="35458" xr:uid="{00000000-0005-0000-0000-0000808A0000}"/>
    <cellStyle name="Normal 5 17 2 26 4 9" xfId="35459" xr:uid="{00000000-0005-0000-0000-0000818A0000}"/>
    <cellStyle name="Normal 5 17 2 26 5" xfId="35460" xr:uid="{00000000-0005-0000-0000-0000828A0000}"/>
    <cellStyle name="Normal 5 17 2 26 5 10" xfId="35461" xr:uid="{00000000-0005-0000-0000-0000838A0000}"/>
    <cellStyle name="Normal 5 17 2 26 5 2" xfId="35462" xr:uid="{00000000-0005-0000-0000-0000848A0000}"/>
    <cellStyle name="Normal 5 17 2 26 5 3" xfId="35463" xr:uid="{00000000-0005-0000-0000-0000858A0000}"/>
    <cellStyle name="Normal 5 17 2 26 5 4" xfId="35464" xr:uid="{00000000-0005-0000-0000-0000868A0000}"/>
    <cellStyle name="Normal 5 17 2 26 5 5" xfId="35465" xr:uid="{00000000-0005-0000-0000-0000878A0000}"/>
    <cellStyle name="Normal 5 17 2 26 5 6" xfId="35466" xr:uid="{00000000-0005-0000-0000-0000888A0000}"/>
    <cellStyle name="Normal 5 17 2 26 5 7" xfId="35467" xr:uid="{00000000-0005-0000-0000-0000898A0000}"/>
    <cellStyle name="Normal 5 17 2 26 5 8" xfId="35468" xr:uid="{00000000-0005-0000-0000-00008A8A0000}"/>
    <cellStyle name="Normal 5 17 2 26 5 9" xfId="35469" xr:uid="{00000000-0005-0000-0000-00008B8A0000}"/>
    <cellStyle name="Normal 5 17 2 26 6" xfId="35470" xr:uid="{00000000-0005-0000-0000-00008C8A0000}"/>
    <cellStyle name="Normal 5 17 2 26 7" xfId="35471" xr:uid="{00000000-0005-0000-0000-00008D8A0000}"/>
    <cellStyle name="Normal 5 17 2 26 8" xfId="35472" xr:uid="{00000000-0005-0000-0000-00008E8A0000}"/>
    <cellStyle name="Normal 5 17 2 26 9" xfId="35473" xr:uid="{00000000-0005-0000-0000-00008F8A0000}"/>
    <cellStyle name="Normal 5 17 2 27" xfId="35474" xr:uid="{00000000-0005-0000-0000-0000908A0000}"/>
    <cellStyle name="Normal 5 17 2 27 10" xfId="35475" xr:uid="{00000000-0005-0000-0000-0000918A0000}"/>
    <cellStyle name="Normal 5 17 2 27 11" xfId="35476" xr:uid="{00000000-0005-0000-0000-0000928A0000}"/>
    <cellStyle name="Normal 5 17 2 27 12" xfId="35477" xr:uid="{00000000-0005-0000-0000-0000938A0000}"/>
    <cellStyle name="Normal 5 17 2 27 13" xfId="35478" xr:uid="{00000000-0005-0000-0000-0000948A0000}"/>
    <cellStyle name="Normal 5 17 2 27 14" xfId="35479" xr:uid="{00000000-0005-0000-0000-0000958A0000}"/>
    <cellStyle name="Normal 5 17 2 27 2" xfId="35480" xr:uid="{00000000-0005-0000-0000-0000968A0000}"/>
    <cellStyle name="Normal 5 17 2 27 2 10" xfId="35481" xr:uid="{00000000-0005-0000-0000-0000978A0000}"/>
    <cellStyle name="Normal 5 17 2 27 2 2" xfId="35482" xr:uid="{00000000-0005-0000-0000-0000988A0000}"/>
    <cellStyle name="Normal 5 17 2 27 2 3" xfId="35483" xr:uid="{00000000-0005-0000-0000-0000998A0000}"/>
    <cellStyle name="Normal 5 17 2 27 2 4" xfId="35484" xr:uid="{00000000-0005-0000-0000-00009A8A0000}"/>
    <cellStyle name="Normal 5 17 2 27 2 5" xfId="35485" xr:uid="{00000000-0005-0000-0000-00009B8A0000}"/>
    <cellStyle name="Normal 5 17 2 27 2 6" xfId="35486" xr:uid="{00000000-0005-0000-0000-00009C8A0000}"/>
    <cellStyle name="Normal 5 17 2 27 2 7" xfId="35487" xr:uid="{00000000-0005-0000-0000-00009D8A0000}"/>
    <cellStyle name="Normal 5 17 2 27 2 8" xfId="35488" xr:uid="{00000000-0005-0000-0000-00009E8A0000}"/>
    <cellStyle name="Normal 5 17 2 27 2 9" xfId="35489" xr:uid="{00000000-0005-0000-0000-00009F8A0000}"/>
    <cellStyle name="Normal 5 17 2 27 3" xfId="35490" xr:uid="{00000000-0005-0000-0000-0000A08A0000}"/>
    <cellStyle name="Normal 5 17 2 27 3 10" xfId="35491" xr:uid="{00000000-0005-0000-0000-0000A18A0000}"/>
    <cellStyle name="Normal 5 17 2 27 3 2" xfId="35492" xr:uid="{00000000-0005-0000-0000-0000A28A0000}"/>
    <cellStyle name="Normal 5 17 2 27 3 3" xfId="35493" xr:uid="{00000000-0005-0000-0000-0000A38A0000}"/>
    <cellStyle name="Normal 5 17 2 27 3 4" xfId="35494" xr:uid="{00000000-0005-0000-0000-0000A48A0000}"/>
    <cellStyle name="Normal 5 17 2 27 3 5" xfId="35495" xr:uid="{00000000-0005-0000-0000-0000A58A0000}"/>
    <cellStyle name="Normal 5 17 2 27 3 6" xfId="35496" xr:uid="{00000000-0005-0000-0000-0000A68A0000}"/>
    <cellStyle name="Normal 5 17 2 27 3 7" xfId="35497" xr:uid="{00000000-0005-0000-0000-0000A78A0000}"/>
    <cellStyle name="Normal 5 17 2 27 3 8" xfId="35498" xr:uid="{00000000-0005-0000-0000-0000A88A0000}"/>
    <cellStyle name="Normal 5 17 2 27 3 9" xfId="35499" xr:uid="{00000000-0005-0000-0000-0000A98A0000}"/>
    <cellStyle name="Normal 5 17 2 27 4" xfId="35500" xr:uid="{00000000-0005-0000-0000-0000AA8A0000}"/>
    <cellStyle name="Normal 5 17 2 27 4 10" xfId="35501" xr:uid="{00000000-0005-0000-0000-0000AB8A0000}"/>
    <cellStyle name="Normal 5 17 2 27 4 2" xfId="35502" xr:uid="{00000000-0005-0000-0000-0000AC8A0000}"/>
    <cellStyle name="Normal 5 17 2 27 4 3" xfId="35503" xr:uid="{00000000-0005-0000-0000-0000AD8A0000}"/>
    <cellStyle name="Normal 5 17 2 27 4 4" xfId="35504" xr:uid="{00000000-0005-0000-0000-0000AE8A0000}"/>
    <cellStyle name="Normal 5 17 2 27 4 5" xfId="35505" xr:uid="{00000000-0005-0000-0000-0000AF8A0000}"/>
    <cellStyle name="Normal 5 17 2 27 4 6" xfId="35506" xr:uid="{00000000-0005-0000-0000-0000B08A0000}"/>
    <cellStyle name="Normal 5 17 2 27 4 7" xfId="35507" xr:uid="{00000000-0005-0000-0000-0000B18A0000}"/>
    <cellStyle name="Normal 5 17 2 27 4 8" xfId="35508" xr:uid="{00000000-0005-0000-0000-0000B28A0000}"/>
    <cellStyle name="Normal 5 17 2 27 4 9" xfId="35509" xr:uid="{00000000-0005-0000-0000-0000B38A0000}"/>
    <cellStyle name="Normal 5 17 2 27 5" xfId="35510" xr:uid="{00000000-0005-0000-0000-0000B48A0000}"/>
    <cellStyle name="Normal 5 17 2 27 5 10" xfId="35511" xr:uid="{00000000-0005-0000-0000-0000B58A0000}"/>
    <cellStyle name="Normal 5 17 2 27 5 2" xfId="35512" xr:uid="{00000000-0005-0000-0000-0000B68A0000}"/>
    <cellStyle name="Normal 5 17 2 27 5 3" xfId="35513" xr:uid="{00000000-0005-0000-0000-0000B78A0000}"/>
    <cellStyle name="Normal 5 17 2 27 5 4" xfId="35514" xr:uid="{00000000-0005-0000-0000-0000B88A0000}"/>
    <cellStyle name="Normal 5 17 2 27 5 5" xfId="35515" xr:uid="{00000000-0005-0000-0000-0000B98A0000}"/>
    <cellStyle name="Normal 5 17 2 27 5 6" xfId="35516" xr:uid="{00000000-0005-0000-0000-0000BA8A0000}"/>
    <cellStyle name="Normal 5 17 2 27 5 7" xfId="35517" xr:uid="{00000000-0005-0000-0000-0000BB8A0000}"/>
    <cellStyle name="Normal 5 17 2 27 5 8" xfId="35518" xr:uid="{00000000-0005-0000-0000-0000BC8A0000}"/>
    <cellStyle name="Normal 5 17 2 27 5 9" xfId="35519" xr:uid="{00000000-0005-0000-0000-0000BD8A0000}"/>
    <cellStyle name="Normal 5 17 2 27 6" xfId="35520" xr:uid="{00000000-0005-0000-0000-0000BE8A0000}"/>
    <cellStyle name="Normal 5 17 2 27 7" xfId="35521" xr:uid="{00000000-0005-0000-0000-0000BF8A0000}"/>
    <cellStyle name="Normal 5 17 2 27 8" xfId="35522" xr:uid="{00000000-0005-0000-0000-0000C08A0000}"/>
    <cellStyle name="Normal 5 17 2 27 9" xfId="35523" xr:uid="{00000000-0005-0000-0000-0000C18A0000}"/>
    <cellStyle name="Normal 5 17 2 28" xfId="35524" xr:uid="{00000000-0005-0000-0000-0000C28A0000}"/>
    <cellStyle name="Normal 5 17 2 28 10" xfId="35525" xr:uid="{00000000-0005-0000-0000-0000C38A0000}"/>
    <cellStyle name="Normal 5 17 2 28 11" xfId="35526" xr:uid="{00000000-0005-0000-0000-0000C48A0000}"/>
    <cellStyle name="Normal 5 17 2 28 12" xfId="35527" xr:uid="{00000000-0005-0000-0000-0000C58A0000}"/>
    <cellStyle name="Normal 5 17 2 28 13" xfId="35528" xr:uid="{00000000-0005-0000-0000-0000C68A0000}"/>
    <cellStyle name="Normal 5 17 2 28 14" xfId="35529" xr:uid="{00000000-0005-0000-0000-0000C78A0000}"/>
    <cellStyle name="Normal 5 17 2 28 2" xfId="35530" xr:uid="{00000000-0005-0000-0000-0000C88A0000}"/>
    <cellStyle name="Normal 5 17 2 28 2 10" xfId="35531" xr:uid="{00000000-0005-0000-0000-0000C98A0000}"/>
    <cellStyle name="Normal 5 17 2 28 2 2" xfId="35532" xr:uid="{00000000-0005-0000-0000-0000CA8A0000}"/>
    <cellStyle name="Normal 5 17 2 28 2 3" xfId="35533" xr:uid="{00000000-0005-0000-0000-0000CB8A0000}"/>
    <cellStyle name="Normal 5 17 2 28 2 4" xfId="35534" xr:uid="{00000000-0005-0000-0000-0000CC8A0000}"/>
    <cellStyle name="Normal 5 17 2 28 2 5" xfId="35535" xr:uid="{00000000-0005-0000-0000-0000CD8A0000}"/>
    <cellStyle name="Normal 5 17 2 28 2 6" xfId="35536" xr:uid="{00000000-0005-0000-0000-0000CE8A0000}"/>
    <cellStyle name="Normal 5 17 2 28 2 7" xfId="35537" xr:uid="{00000000-0005-0000-0000-0000CF8A0000}"/>
    <cellStyle name="Normal 5 17 2 28 2 8" xfId="35538" xr:uid="{00000000-0005-0000-0000-0000D08A0000}"/>
    <cellStyle name="Normal 5 17 2 28 2 9" xfId="35539" xr:uid="{00000000-0005-0000-0000-0000D18A0000}"/>
    <cellStyle name="Normal 5 17 2 28 3" xfId="35540" xr:uid="{00000000-0005-0000-0000-0000D28A0000}"/>
    <cellStyle name="Normal 5 17 2 28 3 10" xfId="35541" xr:uid="{00000000-0005-0000-0000-0000D38A0000}"/>
    <cellStyle name="Normal 5 17 2 28 3 2" xfId="35542" xr:uid="{00000000-0005-0000-0000-0000D48A0000}"/>
    <cellStyle name="Normal 5 17 2 28 3 3" xfId="35543" xr:uid="{00000000-0005-0000-0000-0000D58A0000}"/>
    <cellStyle name="Normal 5 17 2 28 3 4" xfId="35544" xr:uid="{00000000-0005-0000-0000-0000D68A0000}"/>
    <cellStyle name="Normal 5 17 2 28 3 5" xfId="35545" xr:uid="{00000000-0005-0000-0000-0000D78A0000}"/>
    <cellStyle name="Normal 5 17 2 28 3 6" xfId="35546" xr:uid="{00000000-0005-0000-0000-0000D88A0000}"/>
    <cellStyle name="Normal 5 17 2 28 3 7" xfId="35547" xr:uid="{00000000-0005-0000-0000-0000D98A0000}"/>
    <cellStyle name="Normal 5 17 2 28 3 8" xfId="35548" xr:uid="{00000000-0005-0000-0000-0000DA8A0000}"/>
    <cellStyle name="Normal 5 17 2 28 3 9" xfId="35549" xr:uid="{00000000-0005-0000-0000-0000DB8A0000}"/>
    <cellStyle name="Normal 5 17 2 28 4" xfId="35550" xr:uid="{00000000-0005-0000-0000-0000DC8A0000}"/>
    <cellStyle name="Normal 5 17 2 28 4 10" xfId="35551" xr:uid="{00000000-0005-0000-0000-0000DD8A0000}"/>
    <cellStyle name="Normal 5 17 2 28 4 2" xfId="35552" xr:uid="{00000000-0005-0000-0000-0000DE8A0000}"/>
    <cellStyle name="Normal 5 17 2 28 4 3" xfId="35553" xr:uid="{00000000-0005-0000-0000-0000DF8A0000}"/>
    <cellStyle name="Normal 5 17 2 28 4 4" xfId="35554" xr:uid="{00000000-0005-0000-0000-0000E08A0000}"/>
    <cellStyle name="Normal 5 17 2 28 4 5" xfId="35555" xr:uid="{00000000-0005-0000-0000-0000E18A0000}"/>
    <cellStyle name="Normal 5 17 2 28 4 6" xfId="35556" xr:uid="{00000000-0005-0000-0000-0000E28A0000}"/>
    <cellStyle name="Normal 5 17 2 28 4 7" xfId="35557" xr:uid="{00000000-0005-0000-0000-0000E38A0000}"/>
    <cellStyle name="Normal 5 17 2 28 4 8" xfId="35558" xr:uid="{00000000-0005-0000-0000-0000E48A0000}"/>
    <cellStyle name="Normal 5 17 2 28 4 9" xfId="35559" xr:uid="{00000000-0005-0000-0000-0000E58A0000}"/>
    <cellStyle name="Normal 5 17 2 28 5" xfId="35560" xr:uid="{00000000-0005-0000-0000-0000E68A0000}"/>
    <cellStyle name="Normal 5 17 2 28 5 10" xfId="35561" xr:uid="{00000000-0005-0000-0000-0000E78A0000}"/>
    <cellStyle name="Normal 5 17 2 28 5 2" xfId="35562" xr:uid="{00000000-0005-0000-0000-0000E88A0000}"/>
    <cellStyle name="Normal 5 17 2 28 5 3" xfId="35563" xr:uid="{00000000-0005-0000-0000-0000E98A0000}"/>
    <cellStyle name="Normal 5 17 2 28 5 4" xfId="35564" xr:uid="{00000000-0005-0000-0000-0000EA8A0000}"/>
    <cellStyle name="Normal 5 17 2 28 5 5" xfId="35565" xr:uid="{00000000-0005-0000-0000-0000EB8A0000}"/>
    <cellStyle name="Normal 5 17 2 28 5 6" xfId="35566" xr:uid="{00000000-0005-0000-0000-0000EC8A0000}"/>
    <cellStyle name="Normal 5 17 2 28 5 7" xfId="35567" xr:uid="{00000000-0005-0000-0000-0000ED8A0000}"/>
    <cellStyle name="Normal 5 17 2 28 5 8" xfId="35568" xr:uid="{00000000-0005-0000-0000-0000EE8A0000}"/>
    <cellStyle name="Normal 5 17 2 28 5 9" xfId="35569" xr:uid="{00000000-0005-0000-0000-0000EF8A0000}"/>
    <cellStyle name="Normal 5 17 2 28 6" xfId="35570" xr:uid="{00000000-0005-0000-0000-0000F08A0000}"/>
    <cellStyle name="Normal 5 17 2 28 7" xfId="35571" xr:uid="{00000000-0005-0000-0000-0000F18A0000}"/>
    <cellStyle name="Normal 5 17 2 28 8" xfId="35572" xr:uid="{00000000-0005-0000-0000-0000F28A0000}"/>
    <cellStyle name="Normal 5 17 2 28 9" xfId="35573" xr:uid="{00000000-0005-0000-0000-0000F38A0000}"/>
    <cellStyle name="Normal 5 17 2 29" xfId="35574" xr:uid="{00000000-0005-0000-0000-0000F48A0000}"/>
    <cellStyle name="Normal 5 17 2 29 10" xfId="35575" xr:uid="{00000000-0005-0000-0000-0000F58A0000}"/>
    <cellStyle name="Normal 5 17 2 29 11" xfId="35576" xr:uid="{00000000-0005-0000-0000-0000F68A0000}"/>
    <cellStyle name="Normal 5 17 2 29 12" xfId="35577" xr:uid="{00000000-0005-0000-0000-0000F78A0000}"/>
    <cellStyle name="Normal 5 17 2 29 13" xfId="35578" xr:uid="{00000000-0005-0000-0000-0000F88A0000}"/>
    <cellStyle name="Normal 5 17 2 29 14" xfId="35579" xr:uid="{00000000-0005-0000-0000-0000F98A0000}"/>
    <cellStyle name="Normal 5 17 2 29 2" xfId="35580" xr:uid="{00000000-0005-0000-0000-0000FA8A0000}"/>
    <cellStyle name="Normal 5 17 2 29 2 10" xfId="35581" xr:uid="{00000000-0005-0000-0000-0000FB8A0000}"/>
    <cellStyle name="Normal 5 17 2 29 2 2" xfId="35582" xr:uid="{00000000-0005-0000-0000-0000FC8A0000}"/>
    <cellStyle name="Normal 5 17 2 29 2 3" xfId="35583" xr:uid="{00000000-0005-0000-0000-0000FD8A0000}"/>
    <cellStyle name="Normal 5 17 2 29 2 4" xfId="35584" xr:uid="{00000000-0005-0000-0000-0000FE8A0000}"/>
    <cellStyle name="Normal 5 17 2 29 2 5" xfId="35585" xr:uid="{00000000-0005-0000-0000-0000FF8A0000}"/>
    <cellStyle name="Normal 5 17 2 29 2 6" xfId="35586" xr:uid="{00000000-0005-0000-0000-0000008B0000}"/>
    <cellStyle name="Normal 5 17 2 29 2 7" xfId="35587" xr:uid="{00000000-0005-0000-0000-0000018B0000}"/>
    <cellStyle name="Normal 5 17 2 29 2 8" xfId="35588" xr:uid="{00000000-0005-0000-0000-0000028B0000}"/>
    <cellStyle name="Normal 5 17 2 29 2 9" xfId="35589" xr:uid="{00000000-0005-0000-0000-0000038B0000}"/>
    <cellStyle name="Normal 5 17 2 29 3" xfId="35590" xr:uid="{00000000-0005-0000-0000-0000048B0000}"/>
    <cellStyle name="Normal 5 17 2 29 3 10" xfId="35591" xr:uid="{00000000-0005-0000-0000-0000058B0000}"/>
    <cellStyle name="Normal 5 17 2 29 3 2" xfId="35592" xr:uid="{00000000-0005-0000-0000-0000068B0000}"/>
    <cellStyle name="Normal 5 17 2 29 3 3" xfId="35593" xr:uid="{00000000-0005-0000-0000-0000078B0000}"/>
    <cellStyle name="Normal 5 17 2 29 3 4" xfId="35594" xr:uid="{00000000-0005-0000-0000-0000088B0000}"/>
    <cellStyle name="Normal 5 17 2 29 3 5" xfId="35595" xr:uid="{00000000-0005-0000-0000-0000098B0000}"/>
    <cellStyle name="Normal 5 17 2 29 3 6" xfId="35596" xr:uid="{00000000-0005-0000-0000-00000A8B0000}"/>
    <cellStyle name="Normal 5 17 2 29 3 7" xfId="35597" xr:uid="{00000000-0005-0000-0000-00000B8B0000}"/>
    <cellStyle name="Normal 5 17 2 29 3 8" xfId="35598" xr:uid="{00000000-0005-0000-0000-00000C8B0000}"/>
    <cellStyle name="Normal 5 17 2 29 3 9" xfId="35599" xr:uid="{00000000-0005-0000-0000-00000D8B0000}"/>
    <cellStyle name="Normal 5 17 2 29 4" xfId="35600" xr:uid="{00000000-0005-0000-0000-00000E8B0000}"/>
    <cellStyle name="Normal 5 17 2 29 4 10" xfId="35601" xr:uid="{00000000-0005-0000-0000-00000F8B0000}"/>
    <cellStyle name="Normal 5 17 2 29 4 2" xfId="35602" xr:uid="{00000000-0005-0000-0000-0000108B0000}"/>
    <cellStyle name="Normal 5 17 2 29 4 3" xfId="35603" xr:uid="{00000000-0005-0000-0000-0000118B0000}"/>
    <cellStyle name="Normal 5 17 2 29 4 4" xfId="35604" xr:uid="{00000000-0005-0000-0000-0000128B0000}"/>
    <cellStyle name="Normal 5 17 2 29 4 5" xfId="35605" xr:uid="{00000000-0005-0000-0000-0000138B0000}"/>
    <cellStyle name="Normal 5 17 2 29 4 6" xfId="35606" xr:uid="{00000000-0005-0000-0000-0000148B0000}"/>
    <cellStyle name="Normal 5 17 2 29 4 7" xfId="35607" xr:uid="{00000000-0005-0000-0000-0000158B0000}"/>
    <cellStyle name="Normal 5 17 2 29 4 8" xfId="35608" xr:uid="{00000000-0005-0000-0000-0000168B0000}"/>
    <cellStyle name="Normal 5 17 2 29 4 9" xfId="35609" xr:uid="{00000000-0005-0000-0000-0000178B0000}"/>
    <cellStyle name="Normal 5 17 2 29 5" xfId="35610" xr:uid="{00000000-0005-0000-0000-0000188B0000}"/>
    <cellStyle name="Normal 5 17 2 29 5 10" xfId="35611" xr:uid="{00000000-0005-0000-0000-0000198B0000}"/>
    <cellStyle name="Normal 5 17 2 29 5 2" xfId="35612" xr:uid="{00000000-0005-0000-0000-00001A8B0000}"/>
    <cellStyle name="Normal 5 17 2 29 5 3" xfId="35613" xr:uid="{00000000-0005-0000-0000-00001B8B0000}"/>
    <cellStyle name="Normal 5 17 2 29 5 4" xfId="35614" xr:uid="{00000000-0005-0000-0000-00001C8B0000}"/>
    <cellStyle name="Normal 5 17 2 29 5 5" xfId="35615" xr:uid="{00000000-0005-0000-0000-00001D8B0000}"/>
    <cellStyle name="Normal 5 17 2 29 5 6" xfId="35616" xr:uid="{00000000-0005-0000-0000-00001E8B0000}"/>
    <cellStyle name="Normal 5 17 2 29 5 7" xfId="35617" xr:uid="{00000000-0005-0000-0000-00001F8B0000}"/>
    <cellStyle name="Normal 5 17 2 29 5 8" xfId="35618" xr:uid="{00000000-0005-0000-0000-0000208B0000}"/>
    <cellStyle name="Normal 5 17 2 29 5 9" xfId="35619" xr:uid="{00000000-0005-0000-0000-0000218B0000}"/>
    <cellStyle name="Normal 5 17 2 29 6" xfId="35620" xr:uid="{00000000-0005-0000-0000-0000228B0000}"/>
    <cellStyle name="Normal 5 17 2 29 7" xfId="35621" xr:uid="{00000000-0005-0000-0000-0000238B0000}"/>
    <cellStyle name="Normal 5 17 2 29 8" xfId="35622" xr:uid="{00000000-0005-0000-0000-0000248B0000}"/>
    <cellStyle name="Normal 5 17 2 29 9" xfId="35623" xr:uid="{00000000-0005-0000-0000-0000258B0000}"/>
    <cellStyle name="Normal 5 17 2 3" xfId="35624" xr:uid="{00000000-0005-0000-0000-0000268B0000}"/>
    <cellStyle name="Normal 5 17 2 3 10" xfId="35625" xr:uid="{00000000-0005-0000-0000-0000278B0000}"/>
    <cellStyle name="Normal 5 17 2 3 11" xfId="35626" xr:uid="{00000000-0005-0000-0000-0000288B0000}"/>
    <cellStyle name="Normal 5 17 2 3 12" xfId="35627" xr:uid="{00000000-0005-0000-0000-0000298B0000}"/>
    <cellStyle name="Normal 5 17 2 3 13" xfId="35628" xr:uid="{00000000-0005-0000-0000-00002A8B0000}"/>
    <cellStyle name="Normal 5 17 2 3 14" xfId="35629" xr:uid="{00000000-0005-0000-0000-00002B8B0000}"/>
    <cellStyle name="Normal 5 17 2 3 2" xfId="35630" xr:uid="{00000000-0005-0000-0000-00002C8B0000}"/>
    <cellStyle name="Normal 5 17 2 3 2 10" xfId="35631" xr:uid="{00000000-0005-0000-0000-00002D8B0000}"/>
    <cellStyle name="Normal 5 17 2 3 2 2" xfId="35632" xr:uid="{00000000-0005-0000-0000-00002E8B0000}"/>
    <cellStyle name="Normal 5 17 2 3 2 3" xfId="35633" xr:uid="{00000000-0005-0000-0000-00002F8B0000}"/>
    <cellStyle name="Normal 5 17 2 3 2 4" xfId="35634" xr:uid="{00000000-0005-0000-0000-0000308B0000}"/>
    <cellStyle name="Normal 5 17 2 3 2 5" xfId="35635" xr:uid="{00000000-0005-0000-0000-0000318B0000}"/>
    <cellStyle name="Normal 5 17 2 3 2 6" xfId="35636" xr:uid="{00000000-0005-0000-0000-0000328B0000}"/>
    <cellStyle name="Normal 5 17 2 3 2 7" xfId="35637" xr:uid="{00000000-0005-0000-0000-0000338B0000}"/>
    <cellStyle name="Normal 5 17 2 3 2 8" xfId="35638" xr:uid="{00000000-0005-0000-0000-0000348B0000}"/>
    <cellStyle name="Normal 5 17 2 3 2 9" xfId="35639" xr:uid="{00000000-0005-0000-0000-0000358B0000}"/>
    <cellStyle name="Normal 5 17 2 3 3" xfId="35640" xr:uid="{00000000-0005-0000-0000-0000368B0000}"/>
    <cellStyle name="Normal 5 17 2 3 3 10" xfId="35641" xr:uid="{00000000-0005-0000-0000-0000378B0000}"/>
    <cellStyle name="Normal 5 17 2 3 3 2" xfId="35642" xr:uid="{00000000-0005-0000-0000-0000388B0000}"/>
    <cellStyle name="Normal 5 17 2 3 3 3" xfId="35643" xr:uid="{00000000-0005-0000-0000-0000398B0000}"/>
    <cellStyle name="Normal 5 17 2 3 3 4" xfId="35644" xr:uid="{00000000-0005-0000-0000-00003A8B0000}"/>
    <cellStyle name="Normal 5 17 2 3 3 5" xfId="35645" xr:uid="{00000000-0005-0000-0000-00003B8B0000}"/>
    <cellStyle name="Normal 5 17 2 3 3 6" xfId="35646" xr:uid="{00000000-0005-0000-0000-00003C8B0000}"/>
    <cellStyle name="Normal 5 17 2 3 3 7" xfId="35647" xr:uid="{00000000-0005-0000-0000-00003D8B0000}"/>
    <cellStyle name="Normal 5 17 2 3 3 8" xfId="35648" xr:uid="{00000000-0005-0000-0000-00003E8B0000}"/>
    <cellStyle name="Normal 5 17 2 3 3 9" xfId="35649" xr:uid="{00000000-0005-0000-0000-00003F8B0000}"/>
    <cellStyle name="Normal 5 17 2 3 4" xfId="35650" xr:uid="{00000000-0005-0000-0000-0000408B0000}"/>
    <cellStyle name="Normal 5 17 2 3 4 10" xfId="35651" xr:uid="{00000000-0005-0000-0000-0000418B0000}"/>
    <cellStyle name="Normal 5 17 2 3 4 2" xfId="35652" xr:uid="{00000000-0005-0000-0000-0000428B0000}"/>
    <cellStyle name="Normal 5 17 2 3 4 3" xfId="35653" xr:uid="{00000000-0005-0000-0000-0000438B0000}"/>
    <cellStyle name="Normal 5 17 2 3 4 4" xfId="35654" xr:uid="{00000000-0005-0000-0000-0000448B0000}"/>
    <cellStyle name="Normal 5 17 2 3 4 5" xfId="35655" xr:uid="{00000000-0005-0000-0000-0000458B0000}"/>
    <cellStyle name="Normal 5 17 2 3 4 6" xfId="35656" xr:uid="{00000000-0005-0000-0000-0000468B0000}"/>
    <cellStyle name="Normal 5 17 2 3 4 7" xfId="35657" xr:uid="{00000000-0005-0000-0000-0000478B0000}"/>
    <cellStyle name="Normal 5 17 2 3 4 8" xfId="35658" xr:uid="{00000000-0005-0000-0000-0000488B0000}"/>
    <cellStyle name="Normal 5 17 2 3 4 9" xfId="35659" xr:uid="{00000000-0005-0000-0000-0000498B0000}"/>
    <cellStyle name="Normal 5 17 2 3 5" xfId="35660" xr:uid="{00000000-0005-0000-0000-00004A8B0000}"/>
    <cellStyle name="Normal 5 17 2 3 5 10" xfId="35661" xr:uid="{00000000-0005-0000-0000-00004B8B0000}"/>
    <cellStyle name="Normal 5 17 2 3 5 2" xfId="35662" xr:uid="{00000000-0005-0000-0000-00004C8B0000}"/>
    <cellStyle name="Normal 5 17 2 3 5 3" xfId="35663" xr:uid="{00000000-0005-0000-0000-00004D8B0000}"/>
    <cellStyle name="Normal 5 17 2 3 5 4" xfId="35664" xr:uid="{00000000-0005-0000-0000-00004E8B0000}"/>
    <cellStyle name="Normal 5 17 2 3 5 5" xfId="35665" xr:uid="{00000000-0005-0000-0000-00004F8B0000}"/>
    <cellStyle name="Normal 5 17 2 3 5 6" xfId="35666" xr:uid="{00000000-0005-0000-0000-0000508B0000}"/>
    <cellStyle name="Normal 5 17 2 3 5 7" xfId="35667" xr:uid="{00000000-0005-0000-0000-0000518B0000}"/>
    <cellStyle name="Normal 5 17 2 3 5 8" xfId="35668" xr:uid="{00000000-0005-0000-0000-0000528B0000}"/>
    <cellStyle name="Normal 5 17 2 3 5 9" xfId="35669" xr:uid="{00000000-0005-0000-0000-0000538B0000}"/>
    <cellStyle name="Normal 5 17 2 3 6" xfId="35670" xr:uid="{00000000-0005-0000-0000-0000548B0000}"/>
    <cellStyle name="Normal 5 17 2 3 7" xfId="35671" xr:uid="{00000000-0005-0000-0000-0000558B0000}"/>
    <cellStyle name="Normal 5 17 2 3 8" xfId="35672" xr:uid="{00000000-0005-0000-0000-0000568B0000}"/>
    <cellStyle name="Normal 5 17 2 3 9" xfId="35673" xr:uid="{00000000-0005-0000-0000-0000578B0000}"/>
    <cellStyle name="Normal 5 17 2 30" xfId="35674" xr:uid="{00000000-0005-0000-0000-0000588B0000}"/>
    <cellStyle name="Normal 5 17 2 30 10" xfId="35675" xr:uid="{00000000-0005-0000-0000-0000598B0000}"/>
    <cellStyle name="Normal 5 17 2 30 11" xfId="35676" xr:uid="{00000000-0005-0000-0000-00005A8B0000}"/>
    <cellStyle name="Normal 5 17 2 30 12" xfId="35677" xr:uid="{00000000-0005-0000-0000-00005B8B0000}"/>
    <cellStyle name="Normal 5 17 2 30 13" xfId="35678" xr:uid="{00000000-0005-0000-0000-00005C8B0000}"/>
    <cellStyle name="Normal 5 17 2 30 14" xfId="35679" xr:uid="{00000000-0005-0000-0000-00005D8B0000}"/>
    <cellStyle name="Normal 5 17 2 30 2" xfId="35680" xr:uid="{00000000-0005-0000-0000-00005E8B0000}"/>
    <cellStyle name="Normal 5 17 2 30 2 10" xfId="35681" xr:uid="{00000000-0005-0000-0000-00005F8B0000}"/>
    <cellStyle name="Normal 5 17 2 30 2 2" xfId="35682" xr:uid="{00000000-0005-0000-0000-0000608B0000}"/>
    <cellStyle name="Normal 5 17 2 30 2 3" xfId="35683" xr:uid="{00000000-0005-0000-0000-0000618B0000}"/>
    <cellStyle name="Normal 5 17 2 30 2 4" xfId="35684" xr:uid="{00000000-0005-0000-0000-0000628B0000}"/>
    <cellStyle name="Normal 5 17 2 30 2 5" xfId="35685" xr:uid="{00000000-0005-0000-0000-0000638B0000}"/>
    <cellStyle name="Normal 5 17 2 30 2 6" xfId="35686" xr:uid="{00000000-0005-0000-0000-0000648B0000}"/>
    <cellStyle name="Normal 5 17 2 30 2 7" xfId="35687" xr:uid="{00000000-0005-0000-0000-0000658B0000}"/>
    <cellStyle name="Normal 5 17 2 30 2 8" xfId="35688" xr:uid="{00000000-0005-0000-0000-0000668B0000}"/>
    <cellStyle name="Normal 5 17 2 30 2 9" xfId="35689" xr:uid="{00000000-0005-0000-0000-0000678B0000}"/>
    <cellStyle name="Normal 5 17 2 30 3" xfId="35690" xr:uid="{00000000-0005-0000-0000-0000688B0000}"/>
    <cellStyle name="Normal 5 17 2 30 3 10" xfId="35691" xr:uid="{00000000-0005-0000-0000-0000698B0000}"/>
    <cellStyle name="Normal 5 17 2 30 3 2" xfId="35692" xr:uid="{00000000-0005-0000-0000-00006A8B0000}"/>
    <cellStyle name="Normal 5 17 2 30 3 3" xfId="35693" xr:uid="{00000000-0005-0000-0000-00006B8B0000}"/>
    <cellStyle name="Normal 5 17 2 30 3 4" xfId="35694" xr:uid="{00000000-0005-0000-0000-00006C8B0000}"/>
    <cellStyle name="Normal 5 17 2 30 3 5" xfId="35695" xr:uid="{00000000-0005-0000-0000-00006D8B0000}"/>
    <cellStyle name="Normal 5 17 2 30 3 6" xfId="35696" xr:uid="{00000000-0005-0000-0000-00006E8B0000}"/>
    <cellStyle name="Normal 5 17 2 30 3 7" xfId="35697" xr:uid="{00000000-0005-0000-0000-00006F8B0000}"/>
    <cellStyle name="Normal 5 17 2 30 3 8" xfId="35698" xr:uid="{00000000-0005-0000-0000-0000708B0000}"/>
    <cellStyle name="Normal 5 17 2 30 3 9" xfId="35699" xr:uid="{00000000-0005-0000-0000-0000718B0000}"/>
    <cellStyle name="Normal 5 17 2 30 4" xfId="35700" xr:uid="{00000000-0005-0000-0000-0000728B0000}"/>
    <cellStyle name="Normal 5 17 2 30 4 10" xfId="35701" xr:uid="{00000000-0005-0000-0000-0000738B0000}"/>
    <cellStyle name="Normal 5 17 2 30 4 2" xfId="35702" xr:uid="{00000000-0005-0000-0000-0000748B0000}"/>
    <cellStyle name="Normal 5 17 2 30 4 3" xfId="35703" xr:uid="{00000000-0005-0000-0000-0000758B0000}"/>
    <cellStyle name="Normal 5 17 2 30 4 4" xfId="35704" xr:uid="{00000000-0005-0000-0000-0000768B0000}"/>
    <cellStyle name="Normal 5 17 2 30 4 5" xfId="35705" xr:uid="{00000000-0005-0000-0000-0000778B0000}"/>
    <cellStyle name="Normal 5 17 2 30 4 6" xfId="35706" xr:uid="{00000000-0005-0000-0000-0000788B0000}"/>
    <cellStyle name="Normal 5 17 2 30 4 7" xfId="35707" xr:uid="{00000000-0005-0000-0000-0000798B0000}"/>
    <cellStyle name="Normal 5 17 2 30 4 8" xfId="35708" xr:uid="{00000000-0005-0000-0000-00007A8B0000}"/>
    <cellStyle name="Normal 5 17 2 30 4 9" xfId="35709" xr:uid="{00000000-0005-0000-0000-00007B8B0000}"/>
    <cellStyle name="Normal 5 17 2 30 5" xfId="35710" xr:uid="{00000000-0005-0000-0000-00007C8B0000}"/>
    <cellStyle name="Normal 5 17 2 30 5 10" xfId="35711" xr:uid="{00000000-0005-0000-0000-00007D8B0000}"/>
    <cellStyle name="Normal 5 17 2 30 5 2" xfId="35712" xr:uid="{00000000-0005-0000-0000-00007E8B0000}"/>
    <cellStyle name="Normal 5 17 2 30 5 3" xfId="35713" xr:uid="{00000000-0005-0000-0000-00007F8B0000}"/>
    <cellStyle name="Normal 5 17 2 30 5 4" xfId="35714" xr:uid="{00000000-0005-0000-0000-0000808B0000}"/>
    <cellStyle name="Normal 5 17 2 30 5 5" xfId="35715" xr:uid="{00000000-0005-0000-0000-0000818B0000}"/>
    <cellStyle name="Normal 5 17 2 30 5 6" xfId="35716" xr:uid="{00000000-0005-0000-0000-0000828B0000}"/>
    <cellStyle name="Normal 5 17 2 30 5 7" xfId="35717" xr:uid="{00000000-0005-0000-0000-0000838B0000}"/>
    <cellStyle name="Normal 5 17 2 30 5 8" xfId="35718" xr:uid="{00000000-0005-0000-0000-0000848B0000}"/>
    <cellStyle name="Normal 5 17 2 30 5 9" xfId="35719" xr:uid="{00000000-0005-0000-0000-0000858B0000}"/>
    <cellStyle name="Normal 5 17 2 30 6" xfId="35720" xr:uid="{00000000-0005-0000-0000-0000868B0000}"/>
    <cellStyle name="Normal 5 17 2 30 7" xfId="35721" xr:uid="{00000000-0005-0000-0000-0000878B0000}"/>
    <cellStyle name="Normal 5 17 2 30 8" xfId="35722" xr:uid="{00000000-0005-0000-0000-0000888B0000}"/>
    <cellStyle name="Normal 5 17 2 30 9" xfId="35723" xr:uid="{00000000-0005-0000-0000-0000898B0000}"/>
    <cellStyle name="Normal 5 17 2 31" xfId="35724" xr:uid="{00000000-0005-0000-0000-00008A8B0000}"/>
    <cellStyle name="Normal 5 17 2 31 10" xfId="35725" xr:uid="{00000000-0005-0000-0000-00008B8B0000}"/>
    <cellStyle name="Normal 5 17 2 31 11" xfId="35726" xr:uid="{00000000-0005-0000-0000-00008C8B0000}"/>
    <cellStyle name="Normal 5 17 2 31 12" xfId="35727" xr:uid="{00000000-0005-0000-0000-00008D8B0000}"/>
    <cellStyle name="Normal 5 17 2 31 13" xfId="35728" xr:uid="{00000000-0005-0000-0000-00008E8B0000}"/>
    <cellStyle name="Normal 5 17 2 31 14" xfId="35729" xr:uid="{00000000-0005-0000-0000-00008F8B0000}"/>
    <cellStyle name="Normal 5 17 2 31 2" xfId="35730" xr:uid="{00000000-0005-0000-0000-0000908B0000}"/>
    <cellStyle name="Normal 5 17 2 31 2 10" xfId="35731" xr:uid="{00000000-0005-0000-0000-0000918B0000}"/>
    <cellStyle name="Normal 5 17 2 31 2 2" xfId="35732" xr:uid="{00000000-0005-0000-0000-0000928B0000}"/>
    <cellStyle name="Normal 5 17 2 31 2 3" xfId="35733" xr:uid="{00000000-0005-0000-0000-0000938B0000}"/>
    <cellStyle name="Normal 5 17 2 31 2 4" xfId="35734" xr:uid="{00000000-0005-0000-0000-0000948B0000}"/>
    <cellStyle name="Normal 5 17 2 31 2 5" xfId="35735" xr:uid="{00000000-0005-0000-0000-0000958B0000}"/>
    <cellStyle name="Normal 5 17 2 31 2 6" xfId="35736" xr:uid="{00000000-0005-0000-0000-0000968B0000}"/>
    <cellStyle name="Normal 5 17 2 31 2 7" xfId="35737" xr:uid="{00000000-0005-0000-0000-0000978B0000}"/>
    <cellStyle name="Normal 5 17 2 31 2 8" xfId="35738" xr:uid="{00000000-0005-0000-0000-0000988B0000}"/>
    <cellStyle name="Normal 5 17 2 31 2 9" xfId="35739" xr:uid="{00000000-0005-0000-0000-0000998B0000}"/>
    <cellStyle name="Normal 5 17 2 31 3" xfId="35740" xr:uid="{00000000-0005-0000-0000-00009A8B0000}"/>
    <cellStyle name="Normal 5 17 2 31 3 10" xfId="35741" xr:uid="{00000000-0005-0000-0000-00009B8B0000}"/>
    <cellStyle name="Normal 5 17 2 31 3 2" xfId="35742" xr:uid="{00000000-0005-0000-0000-00009C8B0000}"/>
    <cellStyle name="Normal 5 17 2 31 3 3" xfId="35743" xr:uid="{00000000-0005-0000-0000-00009D8B0000}"/>
    <cellStyle name="Normal 5 17 2 31 3 4" xfId="35744" xr:uid="{00000000-0005-0000-0000-00009E8B0000}"/>
    <cellStyle name="Normal 5 17 2 31 3 5" xfId="35745" xr:uid="{00000000-0005-0000-0000-00009F8B0000}"/>
    <cellStyle name="Normal 5 17 2 31 3 6" xfId="35746" xr:uid="{00000000-0005-0000-0000-0000A08B0000}"/>
    <cellStyle name="Normal 5 17 2 31 3 7" xfId="35747" xr:uid="{00000000-0005-0000-0000-0000A18B0000}"/>
    <cellStyle name="Normal 5 17 2 31 3 8" xfId="35748" xr:uid="{00000000-0005-0000-0000-0000A28B0000}"/>
    <cellStyle name="Normal 5 17 2 31 3 9" xfId="35749" xr:uid="{00000000-0005-0000-0000-0000A38B0000}"/>
    <cellStyle name="Normal 5 17 2 31 4" xfId="35750" xr:uid="{00000000-0005-0000-0000-0000A48B0000}"/>
    <cellStyle name="Normal 5 17 2 31 4 10" xfId="35751" xr:uid="{00000000-0005-0000-0000-0000A58B0000}"/>
    <cellStyle name="Normal 5 17 2 31 4 2" xfId="35752" xr:uid="{00000000-0005-0000-0000-0000A68B0000}"/>
    <cellStyle name="Normal 5 17 2 31 4 3" xfId="35753" xr:uid="{00000000-0005-0000-0000-0000A78B0000}"/>
    <cellStyle name="Normal 5 17 2 31 4 4" xfId="35754" xr:uid="{00000000-0005-0000-0000-0000A88B0000}"/>
    <cellStyle name="Normal 5 17 2 31 4 5" xfId="35755" xr:uid="{00000000-0005-0000-0000-0000A98B0000}"/>
    <cellStyle name="Normal 5 17 2 31 4 6" xfId="35756" xr:uid="{00000000-0005-0000-0000-0000AA8B0000}"/>
    <cellStyle name="Normal 5 17 2 31 4 7" xfId="35757" xr:uid="{00000000-0005-0000-0000-0000AB8B0000}"/>
    <cellStyle name="Normal 5 17 2 31 4 8" xfId="35758" xr:uid="{00000000-0005-0000-0000-0000AC8B0000}"/>
    <cellStyle name="Normal 5 17 2 31 4 9" xfId="35759" xr:uid="{00000000-0005-0000-0000-0000AD8B0000}"/>
    <cellStyle name="Normal 5 17 2 31 5" xfId="35760" xr:uid="{00000000-0005-0000-0000-0000AE8B0000}"/>
    <cellStyle name="Normal 5 17 2 31 5 10" xfId="35761" xr:uid="{00000000-0005-0000-0000-0000AF8B0000}"/>
    <cellStyle name="Normal 5 17 2 31 5 2" xfId="35762" xr:uid="{00000000-0005-0000-0000-0000B08B0000}"/>
    <cellStyle name="Normal 5 17 2 31 5 3" xfId="35763" xr:uid="{00000000-0005-0000-0000-0000B18B0000}"/>
    <cellStyle name="Normal 5 17 2 31 5 4" xfId="35764" xr:uid="{00000000-0005-0000-0000-0000B28B0000}"/>
    <cellStyle name="Normal 5 17 2 31 5 5" xfId="35765" xr:uid="{00000000-0005-0000-0000-0000B38B0000}"/>
    <cellStyle name="Normal 5 17 2 31 5 6" xfId="35766" xr:uid="{00000000-0005-0000-0000-0000B48B0000}"/>
    <cellStyle name="Normal 5 17 2 31 5 7" xfId="35767" xr:uid="{00000000-0005-0000-0000-0000B58B0000}"/>
    <cellStyle name="Normal 5 17 2 31 5 8" xfId="35768" xr:uid="{00000000-0005-0000-0000-0000B68B0000}"/>
    <cellStyle name="Normal 5 17 2 31 5 9" xfId="35769" xr:uid="{00000000-0005-0000-0000-0000B78B0000}"/>
    <cellStyle name="Normal 5 17 2 31 6" xfId="35770" xr:uid="{00000000-0005-0000-0000-0000B88B0000}"/>
    <cellStyle name="Normal 5 17 2 31 7" xfId="35771" xr:uid="{00000000-0005-0000-0000-0000B98B0000}"/>
    <cellStyle name="Normal 5 17 2 31 8" xfId="35772" xr:uid="{00000000-0005-0000-0000-0000BA8B0000}"/>
    <cellStyle name="Normal 5 17 2 31 9" xfId="35773" xr:uid="{00000000-0005-0000-0000-0000BB8B0000}"/>
    <cellStyle name="Normal 5 17 2 32" xfId="35774" xr:uid="{00000000-0005-0000-0000-0000BC8B0000}"/>
    <cellStyle name="Normal 5 17 2 32 10" xfId="35775" xr:uid="{00000000-0005-0000-0000-0000BD8B0000}"/>
    <cellStyle name="Normal 5 17 2 32 11" xfId="35776" xr:uid="{00000000-0005-0000-0000-0000BE8B0000}"/>
    <cellStyle name="Normal 5 17 2 32 12" xfId="35777" xr:uid="{00000000-0005-0000-0000-0000BF8B0000}"/>
    <cellStyle name="Normal 5 17 2 32 13" xfId="35778" xr:uid="{00000000-0005-0000-0000-0000C08B0000}"/>
    <cellStyle name="Normal 5 17 2 32 14" xfId="35779" xr:uid="{00000000-0005-0000-0000-0000C18B0000}"/>
    <cellStyle name="Normal 5 17 2 32 2" xfId="35780" xr:uid="{00000000-0005-0000-0000-0000C28B0000}"/>
    <cellStyle name="Normal 5 17 2 32 2 10" xfId="35781" xr:uid="{00000000-0005-0000-0000-0000C38B0000}"/>
    <cellStyle name="Normal 5 17 2 32 2 2" xfId="35782" xr:uid="{00000000-0005-0000-0000-0000C48B0000}"/>
    <cellStyle name="Normal 5 17 2 32 2 3" xfId="35783" xr:uid="{00000000-0005-0000-0000-0000C58B0000}"/>
    <cellStyle name="Normal 5 17 2 32 2 4" xfId="35784" xr:uid="{00000000-0005-0000-0000-0000C68B0000}"/>
    <cellStyle name="Normal 5 17 2 32 2 5" xfId="35785" xr:uid="{00000000-0005-0000-0000-0000C78B0000}"/>
    <cellStyle name="Normal 5 17 2 32 2 6" xfId="35786" xr:uid="{00000000-0005-0000-0000-0000C88B0000}"/>
    <cellStyle name="Normal 5 17 2 32 2 7" xfId="35787" xr:uid="{00000000-0005-0000-0000-0000C98B0000}"/>
    <cellStyle name="Normal 5 17 2 32 2 8" xfId="35788" xr:uid="{00000000-0005-0000-0000-0000CA8B0000}"/>
    <cellStyle name="Normal 5 17 2 32 2 9" xfId="35789" xr:uid="{00000000-0005-0000-0000-0000CB8B0000}"/>
    <cellStyle name="Normal 5 17 2 32 3" xfId="35790" xr:uid="{00000000-0005-0000-0000-0000CC8B0000}"/>
    <cellStyle name="Normal 5 17 2 32 3 10" xfId="35791" xr:uid="{00000000-0005-0000-0000-0000CD8B0000}"/>
    <cellStyle name="Normal 5 17 2 32 3 2" xfId="35792" xr:uid="{00000000-0005-0000-0000-0000CE8B0000}"/>
    <cellStyle name="Normal 5 17 2 32 3 3" xfId="35793" xr:uid="{00000000-0005-0000-0000-0000CF8B0000}"/>
    <cellStyle name="Normal 5 17 2 32 3 4" xfId="35794" xr:uid="{00000000-0005-0000-0000-0000D08B0000}"/>
    <cellStyle name="Normal 5 17 2 32 3 5" xfId="35795" xr:uid="{00000000-0005-0000-0000-0000D18B0000}"/>
    <cellStyle name="Normal 5 17 2 32 3 6" xfId="35796" xr:uid="{00000000-0005-0000-0000-0000D28B0000}"/>
    <cellStyle name="Normal 5 17 2 32 3 7" xfId="35797" xr:uid="{00000000-0005-0000-0000-0000D38B0000}"/>
    <cellStyle name="Normal 5 17 2 32 3 8" xfId="35798" xr:uid="{00000000-0005-0000-0000-0000D48B0000}"/>
    <cellStyle name="Normal 5 17 2 32 3 9" xfId="35799" xr:uid="{00000000-0005-0000-0000-0000D58B0000}"/>
    <cellStyle name="Normal 5 17 2 32 4" xfId="35800" xr:uid="{00000000-0005-0000-0000-0000D68B0000}"/>
    <cellStyle name="Normal 5 17 2 32 4 10" xfId="35801" xr:uid="{00000000-0005-0000-0000-0000D78B0000}"/>
    <cellStyle name="Normal 5 17 2 32 4 2" xfId="35802" xr:uid="{00000000-0005-0000-0000-0000D88B0000}"/>
    <cellStyle name="Normal 5 17 2 32 4 3" xfId="35803" xr:uid="{00000000-0005-0000-0000-0000D98B0000}"/>
    <cellStyle name="Normal 5 17 2 32 4 4" xfId="35804" xr:uid="{00000000-0005-0000-0000-0000DA8B0000}"/>
    <cellStyle name="Normal 5 17 2 32 4 5" xfId="35805" xr:uid="{00000000-0005-0000-0000-0000DB8B0000}"/>
    <cellStyle name="Normal 5 17 2 32 4 6" xfId="35806" xr:uid="{00000000-0005-0000-0000-0000DC8B0000}"/>
    <cellStyle name="Normal 5 17 2 32 4 7" xfId="35807" xr:uid="{00000000-0005-0000-0000-0000DD8B0000}"/>
    <cellStyle name="Normal 5 17 2 32 4 8" xfId="35808" xr:uid="{00000000-0005-0000-0000-0000DE8B0000}"/>
    <cellStyle name="Normal 5 17 2 32 4 9" xfId="35809" xr:uid="{00000000-0005-0000-0000-0000DF8B0000}"/>
    <cellStyle name="Normal 5 17 2 32 5" xfId="35810" xr:uid="{00000000-0005-0000-0000-0000E08B0000}"/>
    <cellStyle name="Normal 5 17 2 32 5 10" xfId="35811" xr:uid="{00000000-0005-0000-0000-0000E18B0000}"/>
    <cellStyle name="Normal 5 17 2 32 5 2" xfId="35812" xr:uid="{00000000-0005-0000-0000-0000E28B0000}"/>
    <cellStyle name="Normal 5 17 2 32 5 3" xfId="35813" xr:uid="{00000000-0005-0000-0000-0000E38B0000}"/>
    <cellStyle name="Normal 5 17 2 32 5 4" xfId="35814" xr:uid="{00000000-0005-0000-0000-0000E48B0000}"/>
    <cellStyle name="Normal 5 17 2 32 5 5" xfId="35815" xr:uid="{00000000-0005-0000-0000-0000E58B0000}"/>
    <cellStyle name="Normal 5 17 2 32 5 6" xfId="35816" xr:uid="{00000000-0005-0000-0000-0000E68B0000}"/>
    <cellStyle name="Normal 5 17 2 32 5 7" xfId="35817" xr:uid="{00000000-0005-0000-0000-0000E78B0000}"/>
    <cellStyle name="Normal 5 17 2 32 5 8" xfId="35818" xr:uid="{00000000-0005-0000-0000-0000E88B0000}"/>
    <cellStyle name="Normal 5 17 2 32 5 9" xfId="35819" xr:uid="{00000000-0005-0000-0000-0000E98B0000}"/>
    <cellStyle name="Normal 5 17 2 32 6" xfId="35820" xr:uid="{00000000-0005-0000-0000-0000EA8B0000}"/>
    <cellStyle name="Normal 5 17 2 32 7" xfId="35821" xr:uid="{00000000-0005-0000-0000-0000EB8B0000}"/>
    <cellStyle name="Normal 5 17 2 32 8" xfId="35822" xr:uid="{00000000-0005-0000-0000-0000EC8B0000}"/>
    <cellStyle name="Normal 5 17 2 32 9" xfId="35823" xr:uid="{00000000-0005-0000-0000-0000ED8B0000}"/>
    <cellStyle name="Normal 5 17 2 33" xfId="35824" xr:uid="{00000000-0005-0000-0000-0000EE8B0000}"/>
    <cellStyle name="Normal 5 17 2 33 10" xfId="35825" xr:uid="{00000000-0005-0000-0000-0000EF8B0000}"/>
    <cellStyle name="Normal 5 17 2 33 11" xfId="35826" xr:uid="{00000000-0005-0000-0000-0000F08B0000}"/>
    <cellStyle name="Normal 5 17 2 33 12" xfId="35827" xr:uid="{00000000-0005-0000-0000-0000F18B0000}"/>
    <cellStyle name="Normal 5 17 2 33 13" xfId="35828" xr:uid="{00000000-0005-0000-0000-0000F28B0000}"/>
    <cellStyle name="Normal 5 17 2 33 14" xfId="35829" xr:uid="{00000000-0005-0000-0000-0000F38B0000}"/>
    <cellStyle name="Normal 5 17 2 33 2" xfId="35830" xr:uid="{00000000-0005-0000-0000-0000F48B0000}"/>
    <cellStyle name="Normal 5 17 2 33 2 10" xfId="35831" xr:uid="{00000000-0005-0000-0000-0000F58B0000}"/>
    <cellStyle name="Normal 5 17 2 33 2 2" xfId="35832" xr:uid="{00000000-0005-0000-0000-0000F68B0000}"/>
    <cellStyle name="Normal 5 17 2 33 2 3" xfId="35833" xr:uid="{00000000-0005-0000-0000-0000F78B0000}"/>
    <cellStyle name="Normal 5 17 2 33 2 4" xfId="35834" xr:uid="{00000000-0005-0000-0000-0000F88B0000}"/>
    <cellStyle name="Normal 5 17 2 33 2 5" xfId="35835" xr:uid="{00000000-0005-0000-0000-0000F98B0000}"/>
    <cellStyle name="Normal 5 17 2 33 2 6" xfId="35836" xr:uid="{00000000-0005-0000-0000-0000FA8B0000}"/>
    <cellStyle name="Normal 5 17 2 33 2 7" xfId="35837" xr:uid="{00000000-0005-0000-0000-0000FB8B0000}"/>
    <cellStyle name="Normal 5 17 2 33 2 8" xfId="35838" xr:uid="{00000000-0005-0000-0000-0000FC8B0000}"/>
    <cellStyle name="Normal 5 17 2 33 2 9" xfId="35839" xr:uid="{00000000-0005-0000-0000-0000FD8B0000}"/>
    <cellStyle name="Normal 5 17 2 33 3" xfId="35840" xr:uid="{00000000-0005-0000-0000-0000FE8B0000}"/>
    <cellStyle name="Normal 5 17 2 33 3 10" xfId="35841" xr:uid="{00000000-0005-0000-0000-0000FF8B0000}"/>
    <cellStyle name="Normal 5 17 2 33 3 2" xfId="35842" xr:uid="{00000000-0005-0000-0000-0000008C0000}"/>
    <cellStyle name="Normal 5 17 2 33 3 3" xfId="35843" xr:uid="{00000000-0005-0000-0000-0000018C0000}"/>
    <cellStyle name="Normal 5 17 2 33 3 4" xfId="35844" xr:uid="{00000000-0005-0000-0000-0000028C0000}"/>
    <cellStyle name="Normal 5 17 2 33 3 5" xfId="35845" xr:uid="{00000000-0005-0000-0000-0000038C0000}"/>
    <cellStyle name="Normal 5 17 2 33 3 6" xfId="35846" xr:uid="{00000000-0005-0000-0000-0000048C0000}"/>
    <cellStyle name="Normal 5 17 2 33 3 7" xfId="35847" xr:uid="{00000000-0005-0000-0000-0000058C0000}"/>
    <cellStyle name="Normal 5 17 2 33 3 8" xfId="35848" xr:uid="{00000000-0005-0000-0000-0000068C0000}"/>
    <cellStyle name="Normal 5 17 2 33 3 9" xfId="35849" xr:uid="{00000000-0005-0000-0000-0000078C0000}"/>
    <cellStyle name="Normal 5 17 2 33 4" xfId="35850" xr:uid="{00000000-0005-0000-0000-0000088C0000}"/>
    <cellStyle name="Normal 5 17 2 33 4 10" xfId="35851" xr:uid="{00000000-0005-0000-0000-0000098C0000}"/>
    <cellStyle name="Normal 5 17 2 33 4 2" xfId="35852" xr:uid="{00000000-0005-0000-0000-00000A8C0000}"/>
    <cellStyle name="Normal 5 17 2 33 4 3" xfId="35853" xr:uid="{00000000-0005-0000-0000-00000B8C0000}"/>
    <cellStyle name="Normal 5 17 2 33 4 4" xfId="35854" xr:uid="{00000000-0005-0000-0000-00000C8C0000}"/>
    <cellStyle name="Normal 5 17 2 33 4 5" xfId="35855" xr:uid="{00000000-0005-0000-0000-00000D8C0000}"/>
    <cellStyle name="Normal 5 17 2 33 4 6" xfId="35856" xr:uid="{00000000-0005-0000-0000-00000E8C0000}"/>
    <cellStyle name="Normal 5 17 2 33 4 7" xfId="35857" xr:uid="{00000000-0005-0000-0000-00000F8C0000}"/>
    <cellStyle name="Normal 5 17 2 33 4 8" xfId="35858" xr:uid="{00000000-0005-0000-0000-0000108C0000}"/>
    <cellStyle name="Normal 5 17 2 33 4 9" xfId="35859" xr:uid="{00000000-0005-0000-0000-0000118C0000}"/>
    <cellStyle name="Normal 5 17 2 33 5" xfId="35860" xr:uid="{00000000-0005-0000-0000-0000128C0000}"/>
    <cellStyle name="Normal 5 17 2 33 5 10" xfId="35861" xr:uid="{00000000-0005-0000-0000-0000138C0000}"/>
    <cellStyle name="Normal 5 17 2 33 5 2" xfId="35862" xr:uid="{00000000-0005-0000-0000-0000148C0000}"/>
    <cellStyle name="Normal 5 17 2 33 5 3" xfId="35863" xr:uid="{00000000-0005-0000-0000-0000158C0000}"/>
    <cellStyle name="Normal 5 17 2 33 5 4" xfId="35864" xr:uid="{00000000-0005-0000-0000-0000168C0000}"/>
    <cellStyle name="Normal 5 17 2 33 5 5" xfId="35865" xr:uid="{00000000-0005-0000-0000-0000178C0000}"/>
    <cellStyle name="Normal 5 17 2 33 5 6" xfId="35866" xr:uid="{00000000-0005-0000-0000-0000188C0000}"/>
    <cellStyle name="Normal 5 17 2 33 5 7" xfId="35867" xr:uid="{00000000-0005-0000-0000-0000198C0000}"/>
    <cellStyle name="Normal 5 17 2 33 5 8" xfId="35868" xr:uid="{00000000-0005-0000-0000-00001A8C0000}"/>
    <cellStyle name="Normal 5 17 2 33 5 9" xfId="35869" xr:uid="{00000000-0005-0000-0000-00001B8C0000}"/>
    <cellStyle name="Normal 5 17 2 33 6" xfId="35870" xr:uid="{00000000-0005-0000-0000-00001C8C0000}"/>
    <cellStyle name="Normal 5 17 2 33 7" xfId="35871" xr:uid="{00000000-0005-0000-0000-00001D8C0000}"/>
    <cellStyle name="Normal 5 17 2 33 8" xfId="35872" xr:uid="{00000000-0005-0000-0000-00001E8C0000}"/>
    <cellStyle name="Normal 5 17 2 33 9" xfId="35873" xr:uid="{00000000-0005-0000-0000-00001F8C0000}"/>
    <cellStyle name="Normal 5 17 2 34" xfId="35874" xr:uid="{00000000-0005-0000-0000-0000208C0000}"/>
    <cellStyle name="Normal 5 17 2 34 10" xfId="35875" xr:uid="{00000000-0005-0000-0000-0000218C0000}"/>
    <cellStyle name="Normal 5 17 2 34 2" xfId="35876" xr:uid="{00000000-0005-0000-0000-0000228C0000}"/>
    <cellStyle name="Normal 5 17 2 34 3" xfId="35877" xr:uid="{00000000-0005-0000-0000-0000238C0000}"/>
    <cellStyle name="Normal 5 17 2 34 4" xfId="35878" xr:uid="{00000000-0005-0000-0000-0000248C0000}"/>
    <cellStyle name="Normal 5 17 2 34 5" xfId="35879" xr:uid="{00000000-0005-0000-0000-0000258C0000}"/>
    <cellStyle name="Normal 5 17 2 34 6" xfId="35880" xr:uid="{00000000-0005-0000-0000-0000268C0000}"/>
    <cellStyle name="Normal 5 17 2 34 7" xfId="35881" xr:uid="{00000000-0005-0000-0000-0000278C0000}"/>
    <cellStyle name="Normal 5 17 2 34 8" xfId="35882" xr:uid="{00000000-0005-0000-0000-0000288C0000}"/>
    <cellStyle name="Normal 5 17 2 34 9" xfId="35883" xr:uid="{00000000-0005-0000-0000-0000298C0000}"/>
    <cellStyle name="Normal 5 17 2 35" xfId="35884" xr:uid="{00000000-0005-0000-0000-00002A8C0000}"/>
    <cellStyle name="Normal 5 17 2 35 10" xfId="35885" xr:uid="{00000000-0005-0000-0000-00002B8C0000}"/>
    <cellStyle name="Normal 5 17 2 35 2" xfId="35886" xr:uid="{00000000-0005-0000-0000-00002C8C0000}"/>
    <cellStyle name="Normal 5 17 2 35 3" xfId="35887" xr:uid="{00000000-0005-0000-0000-00002D8C0000}"/>
    <cellStyle name="Normal 5 17 2 35 4" xfId="35888" xr:uid="{00000000-0005-0000-0000-00002E8C0000}"/>
    <cellStyle name="Normal 5 17 2 35 5" xfId="35889" xr:uid="{00000000-0005-0000-0000-00002F8C0000}"/>
    <cellStyle name="Normal 5 17 2 35 6" xfId="35890" xr:uid="{00000000-0005-0000-0000-0000308C0000}"/>
    <cellStyle name="Normal 5 17 2 35 7" xfId="35891" xr:uid="{00000000-0005-0000-0000-0000318C0000}"/>
    <cellStyle name="Normal 5 17 2 35 8" xfId="35892" xr:uid="{00000000-0005-0000-0000-0000328C0000}"/>
    <cellStyle name="Normal 5 17 2 35 9" xfId="35893" xr:uid="{00000000-0005-0000-0000-0000338C0000}"/>
    <cellStyle name="Normal 5 17 2 36" xfId="35894" xr:uid="{00000000-0005-0000-0000-0000348C0000}"/>
    <cellStyle name="Normal 5 17 2 36 10" xfId="35895" xr:uid="{00000000-0005-0000-0000-0000358C0000}"/>
    <cellStyle name="Normal 5 17 2 36 2" xfId="35896" xr:uid="{00000000-0005-0000-0000-0000368C0000}"/>
    <cellStyle name="Normal 5 17 2 36 3" xfId="35897" xr:uid="{00000000-0005-0000-0000-0000378C0000}"/>
    <cellStyle name="Normal 5 17 2 36 4" xfId="35898" xr:uid="{00000000-0005-0000-0000-0000388C0000}"/>
    <cellStyle name="Normal 5 17 2 36 5" xfId="35899" xr:uid="{00000000-0005-0000-0000-0000398C0000}"/>
    <cellStyle name="Normal 5 17 2 36 6" xfId="35900" xr:uid="{00000000-0005-0000-0000-00003A8C0000}"/>
    <cellStyle name="Normal 5 17 2 36 7" xfId="35901" xr:uid="{00000000-0005-0000-0000-00003B8C0000}"/>
    <cellStyle name="Normal 5 17 2 36 8" xfId="35902" xr:uid="{00000000-0005-0000-0000-00003C8C0000}"/>
    <cellStyle name="Normal 5 17 2 36 9" xfId="35903" xr:uid="{00000000-0005-0000-0000-00003D8C0000}"/>
    <cellStyle name="Normal 5 17 2 37" xfId="35904" xr:uid="{00000000-0005-0000-0000-00003E8C0000}"/>
    <cellStyle name="Normal 5 17 2 37 10" xfId="35905" xr:uid="{00000000-0005-0000-0000-00003F8C0000}"/>
    <cellStyle name="Normal 5 17 2 37 2" xfId="35906" xr:uid="{00000000-0005-0000-0000-0000408C0000}"/>
    <cellStyle name="Normal 5 17 2 37 3" xfId="35907" xr:uid="{00000000-0005-0000-0000-0000418C0000}"/>
    <cellStyle name="Normal 5 17 2 37 4" xfId="35908" xr:uid="{00000000-0005-0000-0000-0000428C0000}"/>
    <cellStyle name="Normal 5 17 2 37 5" xfId="35909" xr:uid="{00000000-0005-0000-0000-0000438C0000}"/>
    <cellStyle name="Normal 5 17 2 37 6" xfId="35910" xr:uid="{00000000-0005-0000-0000-0000448C0000}"/>
    <cellStyle name="Normal 5 17 2 37 7" xfId="35911" xr:uid="{00000000-0005-0000-0000-0000458C0000}"/>
    <cellStyle name="Normal 5 17 2 37 8" xfId="35912" xr:uid="{00000000-0005-0000-0000-0000468C0000}"/>
    <cellStyle name="Normal 5 17 2 37 9" xfId="35913" xr:uid="{00000000-0005-0000-0000-0000478C0000}"/>
    <cellStyle name="Normal 5 17 2 38" xfId="35914" xr:uid="{00000000-0005-0000-0000-0000488C0000}"/>
    <cellStyle name="Normal 5 17 2 39" xfId="35915" xr:uid="{00000000-0005-0000-0000-0000498C0000}"/>
    <cellStyle name="Normal 5 17 2 4" xfId="35916" xr:uid="{00000000-0005-0000-0000-00004A8C0000}"/>
    <cellStyle name="Normal 5 17 2 4 10" xfId="35917" xr:uid="{00000000-0005-0000-0000-00004B8C0000}"/>
    <cellStyle name="Normal 5 17 2 4 11" xfId="35918" xr:uid="{00000000-0005-0000-0000-00004C8C0000}"/>
    <cellStyle name="Normal 5 17 2 4 12" xfId="35919" xr:uid="{00000000-0005-0000-0000-00004D8C0000}"/>
    <cellStyle name="Normal 5 17 2 4 13" xfId="35920" xr:uid="{00000000-0005-0000-0000-00004E8C0000}"/>
    <cellStyle name="Normal 5 17 2 4 14" xfId="35921" xr:uid="{00000000-0005-0000-0000-00004F8C0000}"/>
    <cellStyle name="Normal 5 17 2 4 2" xfId="35922" xr:uid="{00000000-0005-0000-0000-0000508C0000}"/>
    <cellStyle name="Normal 5 17 2 4 2 10" xfId="35923" xr:uid="{00000000-0005-0000-0000-0000518C0000}"/>
    <cellStyle name="Normal 5 17 2 4 2 2" xfId="35924" xr:uid="{00000000-0005-0000-0000-0000528C0000}"/>
    <cellStyle name="Normal 5 17 2 4 2 3" xfId="35925" xr:uid="{00000000-0005-0000-0000-0000538C0000}"/>
    <cellStyle name="Normal 5 17 2 4 2 4" xfId="35926" xr:uid="{00000000-0005-0000-0000-0000548C0000}"/>
    <cellStyle name="Normal 5 17 2 4 2 5" xfId="35927" xr:uid="{00000000-0005-0000-0000-0000558C0000}"/>
    <cellStyle name="Normal 5 17 2 4 2 6" xfId="35928" xr:uid="{00000000-0005-0000-0000-0000568C0000}"/>
    <cellStyle name="Normal 5 17 2 4 2 7" xfId="35929" xr:uid="{00000000-0005-0000-0000-0000578C0000}"/>
    <cellStyle name="Normal 5 17 2 4 2 8" xfId="35930" xr:uid="{00000000-0005-0000-0000-0000588C0000}"/>
    <cellStyle name="Normal 5 17 2 4 2 9" xfId="35931" xr:uid="{00000000-0005-0000-0000-0000598C0000}"/>
    <cellStyle name="Normal 5 17 2 4 3" xfId="35932" xr:uid="{00000000-0005-0000-0000-00005A8C0000}"/>
    <cellStyle name="Normal 5 17 2 4 3 10" xfId="35933" xr:uid="{00000000-0005-0000-0000-00005B8C0000}"/>
    <cellStyle name="Normal 5 17 2 4 3 2" xfId="35934" xr:uid="{00000000-0005-0000-0000-00005C8C0000}"/>
    <cellStyle name="Normal 5 17 2 4 3 3" xfId="35935" xr:uid="{00000000-0005-0000-0000-00005D8C0000}"/>
    <cellStyle name="Normal 5 17 2 4 3 4" xfId="35936" xr:uid="{00000000-0005-0000-0000-00005E8C0000}"/>
    <cellStyle name="Normal 5 17 2 4 3 5" xfId="35937" xr:uid="{00000000-0005-0000-0000-00005F8C0000}"/>
    <cellStyle name="Normal 5 17 2 4 3 6" xfId="35938" xr:uid="{00000000-0005-0000-0000-0000608C0000}"/>
    <cellStyle name="Normal 5 17 2 4 3 7" xfId="35939" xr:uid="{00000000-0005-0000-0000-0000618C0000}"/>
    <cellStyle name="Normal 5 17 2 4 3 8" xfId="35940" xr:uid="{00000000-0005-0000-0000-0000628C0000}"/>
    <cellStyle name="Normal 5 17 2 4 3 9" xfId="35941" xr:uid="{00000000-0005-0000-0000-0000638C0000}"/>
    <cellStyle name="Normal 5 17 2 4 4" xfId="35942" xr:uid="{00000000-0005-0000-0000-0000648C0000}"/>
    <cellStyle name="Normal 5 17 2 4 4 10" xfId="35943" xr:uid="{00000000-0005-0000-0000-0000658C0000}"/>
    <cellStyle name="Normal 5 17 2 4 4 2" xfId="35944" xr:uid="{00000000-0005-0000-0000-0000668C0000}"/>
    <cellStyle name="Normal 5 17 2 4 4 3" xfId="35945" xr:uid="{00000000-0005-0000-0000-0000678C0000}"/>
    <cellStyle name="Normal 5 17 2 4 4 4" xfId="35946" xr:uid="{00000000-0005-0000-0000-0000688C0000}"/>
    <cellStyle name="Normal 5 17 2 4 4 5" xfId="35947" xr:uid="{00000000-0005-0000-0000-0000698C0000}"/>
    <cellStyle name="Normal 5 17 2 4 4 6" xfId="35948" xr:uid="{00000000-0005-0000-0000-00006A8C0000}"/>
    <cellStyle name="Normal 5 17 2 4 4 7" xfId="35949" xr:uid="{00000000-0005-0000-0000-00006B8C0000}"/>
    <cellStyle name="Normal 5 17 2 4 4 8" xfId="35950" xr:uid="{00000000-0005-0000-0000-00006C8C0000}"/>
    <cellStyle name="Normal 5 17 2 4 4 9" xfId="35951" xr:uid="{00000000-0005-0000-0000-00006D8C0000}"/>
    <cellStyle name="Normal 5 17 2 4 5" xfId="35952" xr:uid="{00000000-0005-0000-0000-00006E8C0000}"/>
    <cellStyle name="Normal 5 17 2 4 5 10" xfId="35953" xr:uid="{00000000-0005-0000-0000-00006F8C0000}"/>
    <cellStyle name="Normal 5 17 2 4 5 2" xfId="35954" xr:uid="{00000000-0005-0000-0000-0000708C0000}"/>
    <cellStyle name="Normal 5 17 2 4 5 3" xfId="35955" xr:uid="{00000000-0005-0000-0000-0000718C0000}"/>
    <cellStyle name="Normal 5 17 2 4 5 4" xfId="35956" xr:uid="{00000000-0005-0000-0000-0000728C0000}"/>
    <cellStyle name="Normal 5 17 2 4 5 5" xfId="35957" xr:uid="{00000000-0005-0000-0000-0000738C0000}"/>
    <cellStyle name="Normal 5 17 2 4 5 6" xfId="35958" xr:uid="{00000000-0005-0000-0000-0000748C0000}"/>
    <cellStyle name="Normal 5 17 2 4 5 7" xfId="35959" xr:uid="{00000000-0005-0000-0000-0000758C0000}"/>
    <cellStyle name="Normal 5 17 2 4 5 8" xfId="35960" xr:uid="{00000000-0005-0000-0000-0000768C0000}"/>
    <cellStyle name="Normal 5 17 2 4 5 9" xfId="35961" xr:uid="{00000000-0005-0000-0000-0000778C0000}"/>
    <cellStyle name="Normal 5 17 2 4 6" xfId="35962" xr:uid="{00000000-0005-0000-0000-0000788C0000}"/>
    <cellStyle name="Normal 5 17 2 4 7" xfId="35963" xr:uid="{00000000-0005-0000-0000-0000798C0000}"/>
    <cellStyle name="Normal 5 17 2 4 8" xfId="35964" xr:uid="{00000000-0005-0000-0000-00007A8C0000}"/>
    <cellStyle name="Normal 5 17 2 4 9" xfId="35965" xr:uid="{00000000-0005-0000-0000-00007B8C0000}"/>
    <cellStyle name="Normal 5 17 2 40" xfId="35966" xr:uid="{00000000-0005-0000-0000-00007C8C0000}"/>
    <cellStyle name="Normal 5 17 2 41" xfId="35967" xr:uid="{00000000-0005-0000-0000-00007D8C0000}"/>
    <cellStyle name="Normal 5 17 2 42" xfId="35968" xr:uid="{00000000-0005-0000-0000-00007E8C0000}"/>
    <cellStyle name="Normal 5 17 2 43" xfId="35969" xr:uid="{00000000-0005-0000-0000-00007F8C0000}"/>
    <cellStyle name="Normal 5 17 2 44" xfId="35970" xr:uid="{00000000-0005-0000-0000-0000808C0000}"/>
    <cellStyle name="Normal 5 17 2 45" xfId="35971" xr:uid="{00000000-0005-0000-0000-0000818C0000}"/>
    <cellStyle name="Normal 5 17 2 46" xfId="35972" xr:uid="{00000000-0005-0000-0000-0000828C0000}"/>
    <cellStyle name="Normal 5 17 2 47" xfId="35973" xr:uid="{00000000-0005-0000-0000-0000838C0000}"/>
    <cellStyle name="Normal 5 17 2 48" xfId="35974" xr:uid="{00000000-0005-0000-0000-0000848C0000}"/>
    <cellStyle name="Normal 5 17 2 5" xfId="35975" xr:uid="{00000000-0005-0000-0000-0000858C0000}"/>
    <cellStyle name="Normal 5 17 2 5 10" xfId="35976" xr:uid="{00000000-0005-0000-0000-0000868C0000}"/>
    <cellStyle name="Normal 5 17 2 5 11" xfId="35977" xr:uid="{00000000-0005-0000-0000-0000878C0000}"/>
    <cellStyle name="Normal 5 17 2 5 12" xfId="35978" xr:uid="{00000000-0005-0000-0000-0000888C0000}"/>
    <cellStyle name="Normal 5 17 2 5 13" xfId="35979" xr:uid="{00000000-0005-0000-0000-0000898C0000}"/>
    <cellStyle name="Normal 5 17 2 5 14" xfId="35980" xr:uid="{00000000-0005-0000-0000-00008A8C0000}"/>
    <cellStyle name="Normal 5 17 2 5 2" xfId="35981" xr:uid="{00000000-0005-0000-0000-00008B8C0000}"/>
    <cellStyle name="Normal 5 17 2 5 2 10" xfId="35982" xr:uid="{00000000-0005-0000-0000-00008C8C0000}"/>
    <cellStyle name="Normal 5 17 2 5 2 2" xfId="35983" xr:uid="{00000000-0005-0000-0000-00008D8C0000}"/>
    <cellStyle name="Normal 5 17 2 5 2 3" xfId="35984" xr:uid="{00000000-0005-0000-0000-00008E8C0000}"/>
    <cellStyle name="Normal 5 17 2 5 2 4" xfId="35985" xr:uid="{00000000-0005-0000-0000-00008F8C0000}"/>
    <cellStyle name="Normal 5 17 2 5 2 5" xfId="35986" xr:uid="{00000000-0005-0000-0000-0000908C0000}"/>
    <cellStyle name="Normal 5 17 2 5 2 6" xfId="35987" xr:uid="{00000000-0005-0000-0000-0000918C0000}"/>
    <cellStyle name="Normal 5 17 2 5 2 7" xfId="35988" xr:uid="{00000000-0005-0000-0000-0000928C0000}"/>
    <cellStyle name="Normal 5 17 2 5 2 8" xfId="35989" xr:uid="{00000000-0005-0000-0000-0000938C0000}"/>
    <cellStyle name="Normal 5 17 2 5 2 9" xfId="35990" xr:uid="{00000000-0005-0000-0000-0000948C0000}"/>
    <cellStyle name="Normal 5 17 2 5 3" xfId="35991" xr:uid="{00000000-0005-0000-0000-0000958C0000}"/>
    <cellStyle name="Normal 5 17 2 5 3 10" xfId="35992" xr:uid="{00000000-0005-0000-0000-0000968C0000}"/>
    <cellStyle name="Normal 5 17 2 5 3 2" xfId="35993" xr:uid="{00000000-0005-0000-0000-0000978C0000}"/>
    <cellStyle name="Normal 5 17 2 5 3 3" xfId="35994" xr:uid="{00000000-0005-0000-0000-0000988C0000}"/>
    <cellStyle name="Normal 5 17 2 5 3 4" xfId="35995" xr:uid="{00000000-0005-0000-0000-0000998C0000}"/>
    <cellStyle name="Normal 5 17 2 5 3 5" xfId="35996" xr:uid="{00000000-0005-0000-0000-00009A8C0000}"/>
    <cellStyle name="Normal 5 17 2 5 3 6" xfId="35997" xr:uid="{00000000-0005-0000-0000-00009B8C0000}"/>
    <cellStyle name="Normal 5 17 2 5 3 7" xfId="35998" xr:uid="{00000000-0005-0000-0000-00009C8C0000}"/>
    <cellStyle name="Normal 5 17 2 5 3 8" xfId="35999" xr:uid="{00000000-0005-0000-0000-00009D8C0000}"/>
    <cellStyle name="Normal 5 17 2 5 3 9" xfId="36000" xr:uid="{00000000-0005-0000-0000-00009E8C0000}"/>
    <cellStyle name="Normal 5 17 2 5 4" xfId="36001" xr:uid="{00000000-0005-0000-0000-00009F8C0000}"/>
    <cellStyle name="Normal 5 17 2 5 4 10" xfId="36002" xr:uid="{00000000-0005-0000-0000-0000A08C0000}"/>
    <cellStyle name="Normal 5 17 2 5 4 2" xfId="36003" xr:uid="{00000000-0005-0000-0000-0000A18C0000}"/>
    <cellStyle name="Normal 5 17 2 5 4 3" xfId="36004" xr:uid="{00000000-0005-0000-0000-0000A28C0000}"/>
    <cellStyle name="Normal 5 17 2 5 4 4" xfId="36005" xr:uid="{00000000-0005-0000-0000-0000A38C0000}"/>
    <cellStyle name="Normal 5 17 2 5 4 5" xfId="36006" xr:uid="{00000000-0005-0000-0000-0000A48C0000}"/>
    <cellStyle name="Normal 5 17 2 5 4 6" xfId="36007" xr:uid="{00000000-0005-0000-0000-0000A58C0000}"/>
    <cellStyle name="Normal 5 17 2 5 4 7" xfId="36008" xr:uid="{00000000-0005-0000-0000-0000A68C0000}"/>
    <cellStyle name="Normal 5 17 2 5 4 8" xfId="36009" xr:uid="{00000000-0005-0000-0000-0000A78C0000}"/>
    <cellStyle name="Normal 5 17 2 5 4 9" xfId="36010" xr:uid="{00000000-0005-0000-0000-0000A88C0000}"/>
    <cellStyle name="Normal 5 17 2 5 5" xfId="36011" xr:uid="{00000000-0005-0000-0000-0000A98C0000}"/>
    <cellStyle name="Normal 5 17 2 5 5 10" xfId="36012" xr:uid="{00000000-0005-0000-0000-0000AA8C0000}"/>
    <cellStyle name="Normal 5 17 2 5 5 2" xfId="36013" xr:uid="{00000000-0005-0000-0000-0000AB8C0000}"/>
    <cellStyle name="Normal 5 17 2 5 5 3" xfId="36014" xr:uid="{00000000-0005-0000-0000-0000AC8C0000}"/>
    <cellStyle name="Normal 5 17 2 5 5 4" xfId="36015" xr:uid="{00000000-0005-0000-0000-0000AD8C0000}"/>
    <cellStyle name="Normal 5 17 2 5 5 5" xfId="36016" xr:uid="{00000000-0005-0000-0000-0000AE8C0000}"/>
    <cellStyle name="Normal 5 17 2 5 5 6" xfId="36017" xr:uid="{00000000-0005-0000-0000-0000AF8C0000}"/>
    <cellStyle name="Normal 5 17 2 5 5 7" xfId="36018" xr:uid="{00000000-0005-0000-0000-0000B08C0000}"/>
    <cellStyle name="Normal 5 17 2 5 5 8" xfId="36019" xr:uid="{00000000-0005-0000-0000-0000B18C0000}"/>
    <cellStyle name="Normal 5 17 2 5 5 9" xfId="36020" xr:uid="{00000000-0005-0000-0000-0000B28C0000}"/>
    <cellStyle name="Normal 5 17 2 5 6" xfId="36021" xr:uid="{00000000-0005-0000-0000-0000B38C0000}"/>
    <cellStyle name="Normal 5 17 2 5 7" xfId="36022" xr:uid="{00000000-0005-0000-0000-0000B48C0000}"/>
    <cellStyle name="Normal 5 17 2 5 8" xfId="36023" xr:uid="{00000000-0005-0000-0000-0000B58C0000}"/>
    <cellStyle name="Normal 5 17 2 5 9" xfId="36024" xr:uid="{00000000-0005-0000-0000-0000B68C0000}"/>
    <cellStyle name="Normal 5 17 2 6" xfId="36025" xr:uid="{00000000-0005-0000-0000-0000B78C0000}"/>
    <cellStyle name="Normal 5 17 2 6 10" xfId="36026" xr:uid="{00000000-0005-0000-0000-0000B88C0000}"/>
    <cellStyle name="Normal 5 17 2 6 11" xfId="36027" xr:uid="{00000000-0005-0000-0000-0000B98C0000}"/>
    <cellStyle name="Normal 5 17 2 6 12" xfId="36028" xr:uid="{00000000-0005-0000-0000-0000BA8C0000}"/>
    <cellStyle name="Normal 5 17 2 6 13" xfId="36029" xr:uid="{00000000-0005-0000-0000-0000BB8C0000}"/>
    <cellStyle name="Normal 5 17 2 6 14" xfId="36030" xr:uid="{00000000-0005-0000-0000-0000BC8C0000}"/>
    <cellStyle name="Normal 5 17 2 6 2" xfId="36031" xr:uid="{00000000-0005-0000-0000-0000BD8C0000}"/>
    <cellStyle name="Normal 5 17 2 6 2 10" xfId="36032" xr:uid="{00000000-0005-0000-0000-0000BE8C0000}"/>
    <cellStyle name="Normal 5 17 2 6 2 2" xfId="36033" xr:uid="{00000000-0005-0000-0000-0000BF8C0000}"/>
    <cellStyle name="Normal 5 17 2 6 2 3" xfId="36034" xr:uid="{00000000-0005-0000-0000-0000C08C0000}"/>
    <cellStyle name="Normal 5 17 2 6 2 4" xfId="36035" xr:uid="{00000000-0005-0000-0000-0000C18C0000}"/>
    <cellStyle name="Normal 5 17 2 6 2 5" xfId="36036" xr:uid="{00000000-0005-0000-0000-0000C28C0000}"/>
    <cellStyle name="Normal 5 17 2 6 2 6" xfId="36037" xr:uid="{00000000-0005-0000-0000-0000C38C0000}"/>
    <cellStyle name="Normal 5 17 2 6 2 7" xfId="36038" xr:uid="{00000000-0005-0000-0000-0000C48C0000}"/>
    <cellStyle name="Normal 5 17 2 6 2 8" xfId="36039" xr:uid="{00000000-0005-0000-0000-0000C58C0000}"/>
    <cellStyle name="Normal 5 17 2 6 2 9" xfId="36040" xr:uid="{00000000-0005-0000-0000-0000C68C0000}"/>
    <cellStyle name="Normal 5 17 2 6 3" xfId="36041" xr:uid="{00000000-0005-0000-0000-0000C78C0000}"/>
    <cellStyle name="Normal 5 17 2 6 3 10" xfId="36042" xr:uid="{00000000-0005-0000-0000-0000C88C0000}"/>
    <cellStyle name="Normal 5 17 2 6 3 2" xfId="36043" xr:uid="{00000000-0005-0000-0000-0000C98C0000}"/>
    <cellStyle name="Normal 5 17 2 6 3 3" xfId="36044" xr:uid="{00000000-0005-0000-0000-0000CA8C0000}"/>
    <cellStyle name="Normal 5 17 2 6 3 4" xfId="36045" xr:uid="{00000000-0005-0000-0000-0000CB8C0000}"/>
    <cellStyle name="Normal 5 17 2 6 3 5" xfId="36046" xr:uid="{00000000-0005-0000-0000-0000CC8C0000}"/>
    <cellStyle name="Normal 5 17 2 6 3 6" xfId="36047" xr:uid="{00000000-0005-0000-0000-0000CD8C0000}"/>
    <cellStyle name="Normal 5 17 2 6 3 7" xfId="36048" xr:uid="{00000000-0005-0000-0000-0000CE8C0000}"/>
    <cellStyle name="Normal 5 17 2 6 3 8" xfId="36049" xr:uid="{00000000-0005-0000-0000-0000CF8C0000}"/>
    <cellStyle name="Normal 5 17 2 6 3 9" xfId="36050" xr:uid="{00000000-0005-0000-0000-0000D08C0000}"/>
    <cellStyle name="Normal 5 17 2 6 4" xfId="36051" xr:uid="{00000000-0005-0000-0000-0000D18C0000}"/>
    <cellStyle name="Normal 5 17 2 6 4 10" xfId="36052" xr:uid="{00000000-0005-0000-0000-0000D28C0000}"/>
    <cellStyle name="Normal 5 17 2 6 4 2" xfId="36053" xr:uid="{00000000-0005-0000-0000-0000D38C0000}"/>
    <cellStyle name="Normal 5 17 2 6 4 3" xfId="36054" xr:uid="{00000000-0005-0000-0000-0000D48C0000}"/>
    <cellStyle name="Normal 5 17 2 6 4 4" xfId="36055" xr:uid="{00000000-0005-0000-0000-0000D58C0000}"/>
    <cellStyle name="Normal 5 17 2 6 4 5" xfId="36056" xr:uid="{00000000-0005-0000-0000-0000D68C0000}"/>
    <cellStyle name="Normal 5 17 2 6 4 6" xfId="36057" xr:uid="{00000000-0005-0000-0000-0000D78C0000}"/>
    <cellStyle name="Normal 5 17 2 6 4 7" xfId="36058" xr:uid="{00000000-0005-0000-0000-0000D88C0000}"/>
    <cellStyle name="Normal 5 17 2 6 4 8" xfId="36059" xr:uid="{00000000-0005-0000-0000-0000D98C0000}"/>
    <cellStyle name="Normal 5 17 2 6 4 9" xfId="36060" xr:uid="{00000000-0005-0000-0000-0000DA8C0000}"/>
    <cellStyle name="Normal 5 17 2 6 5" xfId="36061" xr:uid="{00000000-0005-0000-0000-0000DB8C0000}"/>
    <cellStyle name="Normal 5 17 2 6 5 10" xfId="36062" xr:uid="{00000000-0005-0000-0000-0000DC8C0000}"/>
    <cellStyle name="Normal 5 17 2 6 5 2" xfId="36063" xr:uid="{00000000-0005-0000-0000-0000DD8C0000}"/>
    <cellStyle name="Normal 5 17 2 6 5 3" xfId="36064" xr:uid="{00000000-0005-0000-0000-0000DE8C0000}"/>
    <cellStyle name="Normal 5 17 2 6 5 4" xfId="36065" xr:uid="{00000000-0005-0000-0000-0000DF8C0000}"/>
    <cellStyle name="Normal 5 17 2 6 5 5" xfId="36066" xr:uid="{00000000-0005-0000-0000-0000E08C0000}"/>
    <cellStyle name="Normal 5 17 2 6 5 6" xfId="36067" xr:uid="{00000000-0005-0000-0000-0000E18C0000}"/>
    <cellStyle name="Normal 5 17 2 6 5 7" xfId="36068" xr:uid="{00000000-0005-0000-0000-0000E28C0000}"/>
    <cellStyle name="Normal 5 17 2 6 5 8" xfId="36069" xr:uid="{00000000-0005-0000-0000-0000E38C0000}"/>
    <cellStyle name="Normal 5 17 2 6 5 9" xfId="36070" xr:uid="{00000000-0005-0000-0000-0000E48C0000}"/>
    <cellStyle name="Normal 5 17 2 6 6" xfId="36071" xr:uid="{00000000-0005-0000-0000-0000E58C0000}"/>
    <cellStyle name="Normal 5 17 2 6 7" xfId="36072" xr:uid="{00000000-0005-0000-0000-0000E68C0000}"/>
    <cellStyle name="Normal 5 17 2 6 8" xfId="36073" xr:uid="{00000000-0005-0000-0000-0000E78C0000}"/>
    <cellStyle name="Normal 5 17 2 6 9" xfId="36074" xr:uid="{00000000-0005-0000-0000-0000E88C0000}"/>
    <cellStyle name="Normal 5 17 2 7" xfId="36075" xr:uid="{00000000-0005-0000-0000-0000E98C0000}"/>
    <cellStyle name="Normal 5 17 2 7 10" xfId="36076" xr:uid="{00000000-0005-0000-0000-0000EA8C0000}"/>
    <cellStyle name="Normal 5 17 2 7 11" xfId="36077" xr:uid="{00000000-0005-0000-0000-0000EB8C0000}"/>
    <cellStyle name="Normal 5 17 2 7 12" xfId="36078" xr:uid="{00000000-0005-0000-0000-0000EC8C0000}"/>
    <cellStyle name="Normal 5 17 2 7 13" xfId="36079" xr:uid="{00000000-0005-0000-0000-0000ED8C0000}"/>
    <cellStyle name="Normal 5 17 2 7 14" xfId="36080" xr:uid="{00000000-0005-0000-0000-0000EE8C0000}"/>
    <cellStyle name="Normal 5 17 2 7 2" xfId="36081" xr:uid="{00000000-0005-0000-0000-0000EF8C0000}"/>
    <cellStyle name="Normal 5 17 2 7 2 10" xfId="36082" xr:uid="{00000000-0005-0000-0000-0000F08C0000}"/>
    <cellStyle name="Normal 5 17 2 7 2 2" xfId="36083" xr:uid="{00000000-0005-0000-0000-0000F18C0000}"/>
    <cellStyle name="Normal 5 17 2 7 2 3" xfId="36084" xr:uid="{00000000-0005-0000-0000-0000F28C0000}"/>
    <cellStyle name="Normal 5 17 2 7 2 4" xfId="36085" xr:uid="{00000000-0005-0000-0000-0000F38C0000}"/>
    <cellStyle name="Normal 5 17 2 7 2 5" xfId="36086" xr:uid="{00000000-0005-0000-0000-0000F48C0000}"/>
    <cellStyle name="Normal 5 17 2 7 2 6" xfId="36087" xr:uid="{00000000-0005-0000-0000-0000F58C0000}"/>
    <cellStyle name="Normal 5 17 2 7 2 7" xfId="36088" xr:uid="{00000000-0005-0000-0000-0000F68C0000}"/>
    <cellStyle name="Normal 5 17 2 7 2 8" xfId="36089" xr:uid="{00000000-0005-0000-0000-0000F78C0000}"/>
    <cellStyle name="Normal 5 17 2 7 2 9" xfId="36090" xr:uid="{00000000-0005-0000-0000-0000F88C0000}"/>
    <cellStyle name="Normal 5 17 2 7 3" xfId="36091" xr:uid="{00000000-0005-0000-0000-0000F98C0000}"/>
    <cellStyle name="Normal 5 17 2 7 3 10" xfId="36092" xr:uid="{00000000-0005-0000-0000-0000FA8C0000}"/>
    <cellStyle name="Normal 5 17 2 7 3 2" xfId="36093" xr:uid="{00000000-0005-0000-0000-0000FB8C0000}"/>
    <cellStyle name="Normal 5 17 2 7 3 3" xfId="36094" xr:uid="{00000000-0005-0000-0000-0000FC8C0000}"/>
    <cellStyle name="Normal 5 17 2 7 3 4" xfId="36095" xr:uid="{00000000-0005-0000-0000-0000FD8C0000}"/>
    <cellStyle name="Normal 5 17 2 7 3 5" xfId="36096" xr:uid="{00000000-0005-0000-0000-0000FE8C0000}"/>
    <cellStyle name="Normal 5 17 2 7 3 6" xfId="36097" xr:uid="{00000000-0005-0000-0000-0000FF8C0000}"/>
    <cellStyle name="Normal 5 17 2 7 3 7" xfId="36098" xr:uid="{00000000-0005-0000-0000-0000008D0000}"/>
    <cellStyle name="Normal 5 17 2 7 3 8" xfId="36099" xr:uid="{00000000-0005-0000-0000-0000018D0000}"/>
    <cellStyle name="Normal 5 17 2 7 3 9" xfId="36100" xr:uid="{00000000-0005-0000-0000-0000028D0000}"/>
    <cellStyle name="Normal 5 17 2 7 4" xfId="36101" xr:uid="{00000000-0005-0000-0000-0000038D0000}"/>
    <cellStyle name="Normal 5 17 2 7 4 10" xfId="36102" xr:uid="{00000000-0005-0000-0000-0000048D0000}"/>
    <cellStyle name="Normal 5 17 2 7 4 2" xfId="36103" xr:uid="{00000000-0005-0000-0000-0000058D0000}"/>
    <cellStyle name="Normal 5 17 2 7 4 3" xfId="36104" xr:uid="{00000000-0005-0000-0000-0000068D0000}"/>
    <cellStyle name="Normal 5 17 2 7 4 4" xfId="36105" xr:uid="{00000000-0005-0000-0000-0000078D0000}"/>
    <cellStyle name="Normal 5 17 2 7 4 5" xfId="36106" xr:uid="{00000000-0005-0000-0000-0000088D0000}"/>
    <cellStyle name="Normal 5 17 2 7 4 6" xfId="36107" xr:uid="{00000000-0005-0000-0000-0000098D0000}"/>
    <cellStyle name="Normal 5 17 2 7 4 7" xfId="36108" xr:uid="{00000000-0005-0000-0000-00000A8D0000}"/>
    <cellStyle name="Normal 5 17 2 7 4 8" xfId="36109" xr:uid="{00000000-0005-0000-0000-00000B8D0000}"/>
    <cellStyle name="Normal 5 17 2 7 4 9" xfId="36110" xr:uid="{00000000-0005-0000-0000-00000C8D0000}"/>
    <cellStyle name="Normal 5 17 2 7 5" xfId="36111" xr:uid="{00000000-0005-0000-0000-00000D8D0000}"/>
    <cellStyle name="Normal 5 17 2 7 5 10" xfId="36112" xr:uid="{00000000-0005-0000-0000-00000E8D0000}"/>
    <cellStyle name="Normal 5 17 2 7 5 2" xfId="36113" xr:uid="{00000000-0005-0000-0000-00000F8D0000}"/>
    <cellStyle name="Normal 5 17 2 7 5 3" xfId="36114" xr:uid="{00000000-0005-0000-0000-0000108D0000}"/>
    <cellStyle name="Normal 5 17 2 7 5 4" xfId="36115" xr:uid="{00000000-0005-0000-0000-0000118D0000}"/>
    <cellStyle name="Normal 5 17 2 7 5 5" xfId="36116" xr:uid="{00000000-0005-0000-0000-0000128D0000}"/>
    <cellStyle name="Normal 5 17 2 7 5 6" xfId="36117" xr:uid="{00000000-0005-0000-0000-0000138D0000}"/>
    <cellStyle name="Normal 5 17 2 7 5 7" xfId="36118" xr:uid="{00000000-0005-0000-0000-0000148D0000}"/>
    <cellStyle name="Normal 5 17 2 7 5 8" xfId="36119" xr:uid="{00000000-0005-0000-0000-0000158D0000}"/>
    <cellStyle name="Normal 5 17 2 7 5 9" xfId="36120" xr:uid="{00000000-0005-0000-0000-0000168D0000}"/>
    <cellStyle name="Normal 5 17 2 7 6" xfId="36121" xr:uid="{00000000-0005-0000-0000-0000178D0000}"/>
    <cellStyle name="Normal 5 17 2 7 7" xfId="36122" xr:uid="{00000000-0005-0000-0000-0000188D0000}"/>
    <cellStyle name="Normal 5 17 2 7 8" xfId="36123" xr:uid="{00000000-0005-0000-0000-0000198D0000}"/>
    <cellStyle name="Normal 5 17 2 7 9" xfId="36124" xr:uid="{00000000-0005-0000-0000-00001A8D0000}"/>
    <cellStyle name="Normal 5 17 2 8" xfId="36125" xr:uid="{00000000-0005-0000-0000-00001B8D0000}"/>
    <cellStyle name="Normal 5 17 2 8 10" xfId="36126" xr:uid="{00000000-0005-0000-0000-00001C8D0000}"/>
    <cellStyle name="Normal 5 17 2 8 11" xfId="36127" xr:uid="{00000000-0005-0000-0000-00001D8D0000}"/>
    <cellStyle name="Normal 5 17 2 8 12" xfId="36128" xr:uid="{00000000-0005-0000-0000-00001E8D0000}"/>
    <cellStyle name="Normal 5 17 2 8 13" xfId="36129" xr:uid="{00000000-0005-0000-0000-00001F8D0000}"/>
    <cellStyle name="Normal 5 17 2 8 14" xfId="36130" xr:uid="{00000000-0005-0000-0000-0000208D0000}"/>
    <cellStyle name="Normal 5 17 2 8 2" xfId="36131" xr:uid="{00000000-0005-0000-0000-0000218D0000}"/>
    <cellStyle name="Normal 5 17 2 8 2 10" xfId="36132" xr:uid="{00000000-0005-0000-0000-0000228D0000}"/>
    <cellStyle name="Normal 5 17 2 8 2 2" xfId="36133" xr:uid="{00000000-0005-0000-0000-0000238D0000}"/>
    <cellStyle name="Normal 5 17 2 8 2 3" xfId="36134" xr:uid="{00000000-0005-0000-0000-0000248D0000}"/>
    <cellStyle name="Normal 5 17 2 8 2 4" xfId="36135" xr:uid="{00000000-0005-0000-0000-0000258D0000}"/>
    <cellStyle name="Normal 5 17 2 8 2 5" xfId="36136" xr:uid="{00000000-0005-0000-0000-0000268D0000}"/>
    <cellStyle name="Normal 5 17 2 8 2 6" xfId="36137" xr:uid="{00000000-0005-0000-0000-0000278D0000}"/>
    <cellStyle name="Normal 5 17 2 8 2 7" xfId="36138" xr:uid="{00000000-0005-0000-0000-0000288D0000}"/>
    <cellStyle name="Normal 5 17 2 8 2 8" xfId="36139" xr:uid="{00000000-0005-0000-0000-0000298D0000}"/>
    <cellStyle name="Normal 5 17 2 8 2 9" xfId="36140" xr:uid="{00000000-0005-0000-0000-00002A8D0000}"/>
    <cellStyle name="Normal 5 17 2 8 3" xfId="36141" xr:uid="{00000000-0005-0000-0000-00002B8D0000}"/>
    <cellStyle name="Normal 5 17 2 8 3 10" xfId="36142" xr:uid="{00000000-0005-0000-0000-00002C8D0000}"/>
    <cellStyle name="Normal 5 17 2 8 3 2" xfId="36143" xr:uid="{00000000-0005-0000-0000-00002D8D0000}"/>
    <cellStyle name="Normal 5 17 2 8 3 3" xfId="36144" xr:uid="{00000000-0005-0000-0000-00002E8D0000}"/>
    <cellStyle name="Normal 5 17 2 8 3 4" xfId="36145" xr:uid="{00000000-0005-0000-0000-00002F8D0000}"/>
    <cellStyle name="Normal 5 17 2 8 3 5" xfId="36146" xr:uid="{00000000-0005-0000-0000-0000308D0000}"/>
    <cellStyle name="Normal 5 17 2 8 3 6" xfId="36147" xr:uid="{00000000-0005-0000-0000-0000318D0000}"/>
    <cellStyle name="Normal 5 17 2 8 3 7" xfId="36148" xr:uid="{00000000-0005-0000-0000-0000328D0000}"/>
    <cellStyle name="Normal 5 17 2 8 3 8" xfId="36149" xr:uid="{00000000-0005-0000-0000-0000338D0000}"/>
    <cellStyle name="Normal 5 17 2 8 3 9" xfId="36150" xr:uid="{00000000-0005-0000-0000-0000348D0000}"/>
    <cellStyle name="Normal 5 17 2 8 4" xfId="36151" xr:uid="{00000000-0005-0000-0000-0000358D0000}"/>
    <cellStyle name="Normal 5 17 2 8 4 10" xfId="36152" xr:uid="{00000000-0005-0000-0000-0000368D0000}"/>
    <cellStyle name="Normal 5 17 2 8 4 2" xfId="36153" xr:uid="{00000000-0005-0000-0000-0000378D0000}"/>
    <cellStyle name="Normal 5 17 2 8 4 3" xfId="36154" xr:uid="{00000000-0005-0000-0000-0000388D0000}"/>
    <cellStyle name="Normal 5 17 2 8 4 4" xfId="36155" xr:uid="{00000000-0005-0000-0000-0000398D0000}"/>
    <cellStyle name="Normal 5 17 2 8 4 5" xfId="36156" xr:uid="{00000000-0005-0000-0000-00003A8D0000}"/>
    <cellStyle name="Normal 5 17 2 8 4 6" xfId="36157" xr:uid="{00000000-0005-0000-0000-00003B8D0000}"/>
    <cellStyle name="Normal 5 17 2 8 4 7" xfId="36158" xr:uid="{00000000-0005-0000-0000-00003C8D0000}"/>
    <cellStyle name="Normal 5 17 2 8 4 8" xfId="36159" xr:uid="{00000000-0005-0000-0000-00003D8D0000}"/>
    <cellStyle name="Normal 5 17 2 8 4 9" xfId="36160" xr:uid="{00000000-0005-0000-0000-00003E8D0000}"/>
    <cellStyle name="Normal 5 17 2 8 5" xfId="36161" xr:uid="{00000000-0005-0000-0000-00003F8D0000}"/>
    <cellStyle name="Normal 5 17 2 8 5 10" xfId="36162" xr:uid="{00000000-0005-0000-0000-0000408D0000}"/>
    <cellStyle name="Normal 5 17 2 8 5 2" xfId="36163" xr:uid="{00000000-0005-0000-0000-0000418D0000}"/>
    <cellStyle name="Normal 5 17 2 8 5 3" xfId="36164" xr:uid="{00000000-0005-0000-0000-0000428D0000}"/>
    <cellStyle name="Normal 5 17 2 8 5 4" xfId="36165" xr:uid="{00000000-0005-0000-0000-0000438D0000}"/>
    <cellStyle name="Normal 5 17 2 8 5 5" xfId="36166" xr:uid="{00000000-0005-0000-0000-0000448D0000}"/>
    <cellStyle name="Normal 5 17 2 8 5 6" xfId="36167" xr:uid="{00000000-0005-0000-0000-0000458D0000}"/>
    <cellStyle name="Normal 5 17 2 8 5 7" xfId="36168" xr:uid="{00000000-0005-0000-0000-0000468D0000}"/>
    <cellStyle name="Normal 5 17 2 8 5 8" xfId="36169" xr:uid="{00000000-0005-0000-0000-0000478D0000}"/>
    <cellStyle name="Normal 5 17 2 8 5 9" xfId="36170" xr:uid="{00000000-0005-0000-0000-0000488D0000}"/>
    <cellStyle name="Normal 5 17 2 8 6" xfId="36171" xr:uid="{00000000-0005-0000-0000-0000498D0000}"/>
    <cellStyle name="Normal 5 17 2 8 7" xfId="36172" xr:uid="{00000000-0005-0000-0000-00004A8D0000}"/>
    <cellStyle name="Normal 5 17 2 8 8" xfId="36173" xr:uid="{00000000-0005-0000-0000-00004B8D0000}"/>
    <cellStyle name="Normal 5 17 2 8 9" xfId="36174" xr:uid="{00000000-0005-0000-0000-00004C8D0000}"/>
    <cellStyle name="Normal 5 17 2 9" xfId="36175" xr:uid="{00000000-0005-0000-0000-00004D8D0000}"/>
    <cellStyle name="Normal 5 17 2 9 10" xfId="36176" xr:uid="{00000000-0005-0000-0000-00004E8D0000}"/>
    <cellStyle name="Normal 5 17 2 9 11" xfId="36177" xr:uid="{00000000-0005-0000-0000-00004F8D0000}"/>
    <cellStyle name="Normal 5 17 2 9 12" xfId="36178" xr:uid="{00000000-0005-0000-0000-0000508D0000}"/>
    <cellStyle name="Normal 5 17 2 9 13" xfId="36179" xr:uid="{00000000-0005-0000-0000-0000518D0000}"/>
    <cellStyle name="Normal 5 17 2 9 14" xfId="36180" xr:uid="{00000000-0005-0000-0000-0000528D0000}"/>
    <cellStyle name="Normal 5 17 2 9 2" xfId="36181" xr:uid="{00000000-0005-0000-0000-0000538D0000}"/>
    <cellStyle name="Normal 5 17 2 9 2 10" xfId="36182" xr:uid="{00000000-0005-0000-0000-0000548D0000}"/>
    <cellStyle name="Normal 5 17 2 9 2 2" xfId="36183" xr:uid="{00000000-0005-0000-0000-0000558D0000}"/>
    <cellStyle name="Normal 5 17 2 9 2 3" xfId="36184" xr:uid="{00000000-0005-0000-0000-0000568D0000}"/>
    <cellStyle name="Normal 5 17 2 9 2 4" xfId="36185" xr:uid="{00000000-0005-0000-0000-0000578D0000}"/>
    <cellStyle name="Normal 5 17 2 9 2 5" xfId="36186" xr:uid="{00000000-0005-0000-0000-0000588D0000}"/>
    <cellStyle name="Normal 5 17 2 9 2 6" xfId="36187" xr:uid="{00000000-0005-0000-0000-0000598D0000}"/>
    <cellStyle name="Normal 5 17 2 9 2 7" xfId="36188" xr:uid="{00000000-0005-0000-0000-00005A8D0000}"/>
    <cellStyle name="Normal 5 17 2 9 2 8" xfId="36189" xr:uid="{00000000-0005-0000-0000-00005B8D0000}"/>
    <cellStyle name="Normal 5 17 2 9 2 9" xfId="36190" xr:uid="{00000000-0005-0000-0000-00005C8D0000}"/>
    <cellStyle name="Normal 5 17 2 9 3" xfId="36191" xr:uid="{00000000-0005-0000-0000-00005D8D0000}"/>
    <cellStyle name="Normal 5 17 2 9 3 10" xfId="36192" xr:uid="{00000000-0005-0000-0000-00005E8D0000}"/>
    <cellStyle name="Normal 5 17 2 9 3 2" xfId="36193" xr:uid="{00000000-0005-0000-0000-00005F8D0000}"/>
    <cellStyle name="Normal 5 17 2 9 3 3" xfId="36194" xr:uid="{00000000-0005-0000-0000-0000608D0000}"/>
    <cellStyle name="Normal 5 17 2 9 3 4" xfId="36195" xr:uid="{00000000-0005-0000-0000-0000618D0000}"/>
    <cellStyle name="Normal 5 17 2 9 3 5" xfId="36196" xr:uid="{00000000-0005-0000-0000-0000628D0000}"/>
    <cellStyle name="Normal 5 17 2 9 3 6" xfId="36197" xr:uid="{00000000-0005-0000-0000-0000638D0000}"/>
    <cellStyle name="Normal 5 17 2 9 3 7" xfId="36198" xr:uid="{00000000-0005-0000-0000-0000648D0000}"/>
    <cellStyle name="Normal 5 17 2 9 3 8" xfId="36199" xr:uid="{00000000-0005-0000-0000-0000658D0000}"/>
    <cellStyle name="Normal 5 17 2 9 3 9" xfId="36200" xr:uid="{00000000-0005-0000-0000-0000668D0000}"/>
    <cellStyle name="Normal 5 17 2 9 4" xfId="36201" xr:uid="{00000000-0005-0000-0000-0000678D0000}"/>
    <cellStyle name="Normal 5 17 2 9 4 10" xfId="36202" xr:uid="{00000000-0005-0000-0000-0000688D0000}"/>
    <cellStyle name="Normal 5 17 2 9 4 2" xfId="36203" xr:uid="{00000000-0005-0000-0000-0000698D0000}"/>
    <cellStyle name="Normal 5 17 2 9 4 3" xfId="36204" xr:uid="{00000000-0005-0000-0000-00006A8D0000}"/>
    <cellStyle name="Normal 5 17 2 9 4 4" xfId="36205" xr:uid="{00000000-0005-0000-0000-00006B8D0000}"/>
    <cellStyle name="Normal 5 17 2 9 4 5" xfId="36206" xr:uid="{00000000-0005-0000-0000-00006C8D0000}"/>
    <cellStyle name="Normal 5 17 2 9 4 6" xfId="36207" xr:uid="{00000000-0005-0000-0000-00006D8D0000}"/>
    <cellStyle name="Normal 5 17 2 9 4 7" xfId="36208" xr:uid="{00000000-0005-0000-0000-00006E8D0000}"/>
    <cellStyle name="Normal 5 17 2 9 4 8" xfId="36209" xr:uid="{00000000-0005-0000-0000-00006F8D0000}"/>
    <cellStyle name="Normal 5 17 2 9 4 9" xfId="36210" xr:uid="{00000000-0005-0000-0000-0000708D0000}"/>
    <cellStyle name="Normal 5 17 2 9 5" xfId="36211" xr:uid="{00000000-0005-0000-0000-0000718D0000}"/>
    <cellStyle name="Normal 5 17 2 9 5 10" xfId="36212" xr:uid="{00000000-0005-0000-0000-0000728D0000}"/>
    <cellStyle name="Normal 5 17 2 9 5 2" xfId="36213" xr:uid="{00000000-0005-0000-0000-0000738D0000}"/>
    <cellStyle name="Normal 5 17 2 9 5 3" xfId="36214" xr:uid="{00000000-0005-0000-0000-0000748D0000}"/>
    <cellStyle name="Normal 5 17 2 9 5 4" xfId="36215" xr:uid="{00000000-0005-0000-0000-0000758D0000}"/>
    <cellStyle name="Normal 5 17 2 9 5 5" xfId="36216" xr:uid="{00000000-0005-0000-0000-0000768D0000}"/>
    <cellStyle name="Normal 5 17 2 9 5 6" xfId="36217" xr:uid="{00000000-0005-0000-0000-0000778D0000}"/>
    <cellStyle name="Normal 5 17 2 9 5 7" xfId="36218" xr:uid="{00000000-0005-0000-0000-0000788D0000}"/>
    <cellStyle name="Normal 5 17 2 9 5 8" xfId="36219" xr:uid="{00000000-0005-0000-0000-0000798D0000}"/>
    <cellStyle name="Normal 5 17 2 9 5 9" xfId="36220" xr:uid="{00000000-0005-0000-0000-00007A8D0000}"/>
    <cellStyle name="Normal 5 17 2 9 6" xfId="36221" xr:uid="{00000000-0005-0000-0000-00007B8D0000}"/>
    <cellStyle name="Normal 5 17 2 9 7" xfId="36222" xr:uid="{00000000-0005-0000-0000-00007C8D0000}"/>
    <cellStyle name="Normal 5 17 2 9 8" xfId="36223" xr:uid="{00000000-0005-0000-0000-00007D8D0000}"/>
    <cellStyle name="Normal 5 17 2 9 9" xfId="36224" xr:uid="{00000000-0005-0000-0000-00007E8D0000}"/>
    <cellStyle name="Normal 5 17 20" xfId="36225" xr:uid="{00000000-0005-0000-0000-00007F8D0000}"/>
    <cellStyle name="Normal 5 17 20 10" xfId="36226" xr:uid="{00000000-0005-0000-0000-0000808D0000}"/>
    <cellStyle name="Normal 5 17 20 11" xfId="36227" xr:uid="{00000000-0005-0000-0000-0000818D0000}"/>
    <cellStyle name="Normal 5 17 20 12" xfId="36228" xr:uid="{00000000-0005-0000-0000-0000828D0000}"/>
    <cellStyle name="Normal 5 17 20 13" xfId="36229" xr:uid="{00000000-0005-0000-0000-0000838D0000}"/>
    <cellStyle name="Normal 5 17 20 14" xfId="36230" xr:uid="{00000000-0005-0000-0000-0000848D0000}"/>
    <cellStyle name="Normal 5 17 20 2" xfId="36231" xr:uid="{00000000-0005-0000-0000-0000858D0000}"/>
    <cellStyle name="Normal 5 17 20 2 10" xfId="36232" xr:uid="{00000000-0005-0000-0000-0000868D0000}"/>
    <cellStyle name="Normal 5 17 20 2 2" xfId="36233" xr:uid="{00000000-0005-0000-0000-0000878D0000}"/>
    <cellStyle name="Normal 5 17 20 2 3" xfId="36234" xr:uid="{00000000-0005-0000-0000-0000888D0000}"/>
    <cellStyle name="Normal 5 17 20 2 4" xfId="36235" xr:uid="{00000000-0005-0000-0000-0000898D0000}"/>
    <cellStyle name="Normal 5 17 20 2 5" xfId="36236" xr:uid="{00000000-0005-0000-0000-00008A8D0000}"/>
    <cellStyle name="Normal 5 17 20 2 6" xfId="36237" xr:uid="{00000000-0005-0000-0000-00008B8D0000}"/>
    <cellStyle name="Normal 5 17 20 2 7" xfId="36238" xr:uid="{00000000-0005-0000-0000-00008C8D0000}"/>
    <cellStyle name="Normal 5 17 20 2 8" xfId="36239" xr:uid="{00000000-0005-0000-0000-00008D8D0000}"/>
    <cellStyle name="Normal 5 17 20 2 9" xfId="36240" xr:uid="{00000000-0005-0000-0000-00008E8D0000}"/>
    <cellStyle name="Normal 5 17 20 3" xfId="36241" xr:uid="{00000000-0005-0000-0000-00008F8D0000}"/>
    <cellStyle name="Normal 5 17 20 3 10" xfId="36242" xr:uid="{00000000-0005-0000-0000-0000908D0000}"/>
    <cellStyle name="Normal 5 17 20 3 2" xfId="36243" xr:uid="{00000000-0005-0000-0000-0000918D0000}"/>
    <cellStyle name="Normal 5 17 20 3 3" xfId="36244" xr:uid="{00000000-0005-0000-0000-0000928D0000}"/>
    <cellStyle name="Normal 5 17 20 3 4" xfId="36245" xr:uid="{00000000-0005-0000-0000-0000938D0000}"/>
    <cellStyle name="Normal 5 17 20 3 5" xfId="36246" xr:uid="{00000000-0005-0000-0000-0000948D0000}"/>
    <cellStyle name="Normal 5 17 20 3 6" xfId="36247" xr:uid="{00000000-0005-0000-0000-0000958D0000}"/>
    <cellStyle name="Normal 5 17 20 3 7" xfId="36248" xr:uid="{00000000-0005-0000-0000-0000968D0000}"/>
    <cellStyle name="Normal 5 17 20 3 8" xfId="36249" xr:uid="{00000000-0005-0000-0000-0000978D0000}"/>
    <cellStyle name="Normal 5 17 20 3 9" xfId="36250" xr:uid="{00000000-0005-0000-0000-0000988D0000}"/>
    <cellStyle name="Normal 5 17 20 4" xfId="36251" xr:uid="{00000000-0005-0000-0000-0000998D0000}"/>
    <cellStyle name="Normal 5 17 20 4 10" xfId="36252" xr:uid="{00000000-0005-0000-0000-00009A8D0000}"/>
    <cellStyle name="Normal 5 17 20 4 2" xfId="36253" xr:uid="{00000000-0005-0000-0000-00009B8D0000}"/>
    <cellStyle name="Normal 5 17 20 4 3" xfId="36254" xr:uid="{00000000-0005-0000-0000-00009C8D0000}"/>
    <cellStyle name="Normal 5 17 20 4 4" xfId="36255" xr:uid="{00000000-0005-0000-0000-00009D8D0000}"/>
    <cellStyle name="Normal 5 17 20 4 5" xfId="36256" xr:uid="{00000000-0005-0000-0000-00009E8D0000}"/>
    <cellStyle name="Normal 5 17 20 4 6" xfId="36257" xr:uid="{00000000-0005-0000-0000-00009F8D0000}"/>
    <cellStyle name="Normal 5 17 20 4 7" xfId="36258" xr:uid="{00000000-0005-0000-0000-0000A08D0000}"/>
    <cellStyle name="Normal 5 17 20 4 8" xfId="36259" xr:uid="{00000000-0005-0000-0000-0000A18D0000}"/>
    <cellStyle name="Normal 5 17 20 4 9" xfId="36260" xr:uid="{00000000-0005-0000-0000-0000A28D0000}"/>
    <cellStyle name="Normal 5 17 20 5" xfId="36261" xr:uid="{00000000-0005-0000-0000-0000A38D0000}"/>
    <cellStyle name="Normal 5 17 20 5 10" xfId="36262" xr:uid="{00000000-0005-0000-0000-0000A48D0000}"/>
    <cellStyle name="Normal 5 17 20 5 2" xfId="36263" xr:uid="{00000000-0005-0000-0000-0000A58D0000}"/>
    <cellStyle name="Normal 5 17 20 5 3" xfId="36264" xr:uid="{00000000-0005-0000-0000-0000A68D0000}"/>
    <cellStyle name="Normal 5 17 20 5 4" xfId="36265" xr:uid="{00000000-0005-0000-0000-0000A78D0000}"/>
    <cellStyle name="Normal 5 17 20 5 5" xfId="36266" xr:uid="{00000000-0005-0000-0000-0000A88D0000}"/>
    <cellStyle name="Normal 5 17 20 5 6" xfId="36267" xr:uid="{00000000-0005-0000-0000-0000A98D0000}"/>
    <cellStyle name="Normal 5 17 20 5 7" xfId="36268" xr:uid="{00000000-0005-0000-0000-0000AA8D0000}"/>
    <cellStyle name="Normal 5 17 20 5 8" xfId="36269" xr:uid="{00000000-0005-0000-0000-0000AB8D0000}"/>
    <cellStyle name="Normal 5 17 20 5 9" xfId="36270" xr:uid="{00000000-0005-0000-0000-0000AC8D0000}"/>
    <cellStyle name="Normal 5 17 20 6" xfId="36271" xr:uid="{00000000-0005-0000-0000-0000AD8D0000}"/>
    <cellStyle name="Normal 5 17 20 7" xfId="36272" xr:uid="{00000000-0005-0000-0000-0000AE8D0000}"/>
    <cellStyle name="Normal 5 17 20 8" xfId="36273" xr:uid="{00000000-0005-0000-0000-0000AF8D0000}"/>
    <cellStyle name="Normal 5 17 20 9" xfId="36274" xr:uid="{00000000-0005-0000-0000-0000B08D0000}"/>
    <cellStyle name="Normal 5 17 21" xfId="36275" xr:uid="{00000000-0005-0000-0000-0000B18D0000}"/>
    <cellStyle name="Normal 5 17 21 10" xfId="36276" xr:uid="{00000000-0005-0000-0000-0000B28D0000}"/>
    <cellStyle name="Normal 5 17 21 11" xfId="36277" xr:uid="{00000000-0005-0000-0000-0000B38D0000}"/>
    <cellStyle name="Normal 5 17 21 12" xfId="36278" xr:uid="{00000000-0005-0000-0000-0000B48D0000}"/>
    <cellStyle name="Normal 5 17 21 13" xfId="36279" xr:uid="{00000000-0005-0000-0000-0000B58D0000}"/>
    <cellStyle name="Normal 5 17 21 14" xfId="36280" xr:uid="{00000000-0005-0000-0000-0000B68D0000}"/>
    <cellStyle name="Normal 5 17 21 2" xfId="36281" xr:uid="{00000000-0005-0000-0000-0000B78D0000}"/>
    <cellStyle name="Normal 5 17 21 2 10" xfId="36282" xr:uid="{00000000-0005-0000-0000-0000B88D0000}"/>
    <cellStyle name="Normal 5 17 21 2 2" xfId="36283" xr:uid="{00000000-0005-0000-0000-0000B98D0000}"/>
    <cellStyle name="Normal 5 17 21 2 3" xfId="36284" xr:uid="{00000000-0005-0000-0000-0000BA8D0000}"/>
    <cellStyle name="Normal 5 17 21 2 4" xfId="36285" xr:uid="{00000000-0005-0000-0000-0000BB8D0000}"/>
    <cellStyle name="Normal 5 17 21 2 5" xfId="36286" xr:uid="{00000000-0005-0000-0000-0000BC8D0000}"/>
    <cellStyle name="Normal 5 17 21 2 6" xfId="36287" xr:uid="{00000000-0005-0000-0000-0000BD8D0000}"/>
    <cellStyle name="Normal 5 17 21 2 7" xfId="36288" xr:uid="{00000000-0005-0000-0000-0000BE8D0000}"/>
    <cellStyle name="Normal 5 17 21 2 8" xfId="36289" xr:uid="{00000000-0005-0000-0000-0000BF8D0000}"/>
    <cellStyle name="Normal 5 17 21 2 9" xfId="36290" xr:uid="{00000000-0005-0000-0000-0000C08D0000}"/>
    <cellStyle name="Normal 5 17 21 3" xfId="36291" xr:uid="{00000000-0005-0000-0000-0000C18D0000}"/>
    <cellStyle name="Normal 5 17 21 3 10" xfId="36292" xr:uid="{00000000-0005-0000-0000-0000C28D0000}"/>
    <cellStyle name="Normal 5 17 21 3 2" xfId="36293" xr:uid="{00000000-0005-0000-0000-0000C38D0000}"/>
    <cellStyle name="Normal 5 17 21 3 3" xfId="36294" xr:uid="{00000000-0005-0000-0000-0000C48D0000}"/>
    <cellStyle name="Normal 5 17 21 3 4" xfId="36295" xr:uid="{00000000-0005-0000-0000-0000C58D0000}"/>
    <cellStyle name="Normal 5 17 21 3 5" xfId="36296" xr:uid="{00000000-0005-0000-0000-0000C68D0000}"/>
    <cellStyle name="Normal 5 17 21 3 6" xfId="36297" xr:uid="{00000000-0005-0000-0000-0000C78D0000}"/>
    <cellStyle name="Normal 5 17 21 3 7" xfId="36298" xr:uid="{00000000-0005-0000-0000-0000C88D0000}"/>
    <cellStyle name="Normal 5 17 21 3 8" xfId="36299" xr:uid="{00000000-0005-0000-0000-0000C98D0000}"/>
    <cellStyle name="Normal 5 17 21 3 9" xfId="36300" xr:uid="{00000000-0005-0000-0000-0000CA8D0000}"/>
    <cellStyle name="Normal 5 17 21 4" xfId="36301" xr:uid="{00000000-0005-0000-0000-0000CB8D0000}"/>
    <cellStyle name="Normal 5 17 21 4 10" xfId="36302" xr:uid="{00000000-0005-0000-0000-0000CC8D0000}"/>
    <cellStyle name="Normal 5 17 21 4 2" xfId="36303" xr:uid="{00000000-0005-0000-0000-0000CD8D0000}"/>
    <cellStyle name="Normal 5 17 21 4 3" xfId="36304" xr:uid="{00000000-0005-0000-0000-0000CE8D0000}"/>
    <cellStyle name="Normal 5 17 21 4 4" xfId="36305" xr:uid="{00000000-0005-0000-0000-0000CF8D0000}"/>
    <cellStyle name="Normal 5 17 21 4 5" xfId="36306" xr:uid="{00000000-0005-0000-0000-0000D08D0000}"/>
    <cellStyle name="Normal 5 17 21 4 6" xfId="36307" xr:uid="{00000000-0005-0000-0000-0000D18D0000}"/>
    <cellStyle name="Normal 5 17 21 4 7" xfId="36308" xr:uid="{00000000-0005-0000-0000-0000D28D0000}"/>
    <cellStyle name="Normal 5 17 21 4 8" xfId="36309" xr:uid="{00000000-0005-0000-0000-0000D38D0000}"/>
    <cellStyle name="Normal 5 17 21 4 9" xfId="36310" xr:uid="{00000000-0005-0000-0000-0000D48D0000}"/>
    <cellStyle name="Normal 5 17 21 5" xfId="36311" xr:uid="{00000000-0005-0000-0000-0000D58D0000}"/>
    <cellStyle name="Normal 5 17 21 5 10" xfId="36312" xr:uid="{00000000-0005-0000-0000-0000D68D0000}"/>
    <cellStyle name="Normal 5 17 21 5 2" xfId="36313" xr:uid="{00000000-0005-0000-0000-0000D78D0000}"/>
    <cellStyle name="Normal 5 17 21 5 3" xfId="36314" xr:uid="{00000000-0005-0000-0000-0000D88D0000}"/>
    <cellStyle name="Normal 5 17 21 5 4" xfId="36315" xr:uid="{00000000-0005-0000-0000-0000D98D0000}"/>
    <cellStyle name="Normal 5 17 21 5 5" xfId="36316" xr:uid="{00000000-0005-0000-0000-0000DA8D0000}"/>
    <cellStyle name="Normal 5 17 21 5 6" xfId="36317" xr:uid="{00000000-0005-0000-0000-0000DB8D0000}"/>
    <cellStyle name="Normal 5 17 21 5 7" xfId="36318" xr:uid="{00000000-0005-0000-0000-0000DC8D0000}"/>
    <cellStyle name="Normal 5 17 21 5 8" xfId="36319" xr:uid="{00000000-0005-0000-0000-0000DD8D0000}"/>
    <cellStyle name="Normal 5 17 21 5 9" xfId="36320" xr:uid="{00000000-0005-0000-0000-0000DE8D0000}"/>
    <cellStyle name="Normal 5 17 21 6" xfId="36321" xr:uid="{00000000-0005-0000-0000-0000DF8D0000}"/>
    <cellStyle name="Normal 5 17 21 7" xfId="36322" xr:uid="{00000000-0005-0000-0000-0000E08D0000}"/>
    <cellStyle name="Normal 5 17 21 8" xfId="36323" xr:uid="{00000000-0005-0000-0000-0000E18D0000}"/>
    <cellStyle name="Normal 5 17 21 9" xfId="36324" xr:uid="{00000000-0005-0000-0000-0000E28D0000}"/>
    <cellStyle name="Normal 5 17 22" xfId="36325" xr:uid="{00000000-0005-0000-0000-0000E38D0000}"/>
    <cellStyle name="Normal 5 17 22 10" xfId="36326" xr:uid="{00000000-0005-0000-0000-0000E48D0000}"/>
    <cellStyle name="Normal 5 17 22 11" xfId="36327" xr:uid="{00000000-0005-0000-0000-0000E58D0000}"/>
    <cellStyle name="Normal 5 17 22 12" xfId="36328" xr:uid="{00000000-0005-0000-0000-0000E68D0000}"/>
    <cellStyle name="Normal 5 17 22 13" xfId="36329" xr:uid="{00000000-0005-0000-0000-0000E78D0000}"/>
    <cellStyle name="Normal 5 17 22 14" xfId="36330" xr:uid="{00000000-0005-0000-0000-0000E88D0000}"/>
    <cellStyle name="Normal 5 17 22 2" xfId="36331" xr:uid="{00000000-0005-0000-0000-0000E98D0000}"/>
    <cellStyle name="Normal 5 17 22 2 10" xfId="36332" xr:uid="{00000000-0005-0000-0000-0000EA8D0000}"/>
    <cellStyle name="Normal 5 17 22 2 2" xfId="36333" xr:uid="{00000000-0005-0000-0000-0000EB8D0000}"/>
    <cellStyle name="Normal 5 17 22 2 3" xfId="36334" xr:uid="{00000000-0005-0000-0000-0000EC8D0000}"/>
    <cellStyle name="Normal 5 17 22 2 4" xfId="36335" xr:uid="{00000000-0005-0000-0000-0000ED8D0000}"/>
    <cellStyle name="Normal 5 17 22 2 5" xfId="36336" xr:uid="{00000000-0005-0000-0000-0000EE8D0000}"/>
    <cellStyle name="Normal 5 17 22 2 6" xfId="36337" xr:uid="{00000000-0005-0000-0000-0000EF8D0000}"/>
    <cellStyle name="Normal 5 17 22 2 7" xfId="36338" xr:uid="{00000000-0005-0000-0000-0000F08D0000}"/>
    <cellStyle name="Normal 5 17 22 2 8" xfId="36339" xr:uid="{00000000-0005-0000-0000-0000F18D0000}"/>
    <cellStyle name="Normal 5 17 22 2 9" xfId="36340" xr:uid="{00000000-0005-0000-0000-0000F28D0000}"/>
    <cellStyle name="Normal 5 17 22 3" xfId="36341" xr:uid="{00000000-0005-0000-0000-0000F38D0000}"/>
    <cellStyle name="Normal 5 17 22 3 10" xfId="36342" xr:uid="{00000000-0005-0000-0000-0000F48D0000}"/>
    <cellStyle name="Normal 5 17 22 3 2" xfId="36343" xr:uid="{00000000-0005-0000-0000-0000F58D0000}"/>
    <cellStyle name="Normal 5 17 22 3 3" xfId="36344" xr:uid="{00000000-0005-0000-0000-0000F68D0000}"/>
    <cellStyle name="Normal 5 17 22 3 4" xfId="36345" xr:uid="{00000000-0005-0000-0000-0000F78D0000}"/>
    <cellStyle name="Normal 5 17 22 3 5" xfId="36346" xr:uid="{00000000-0005-0000-0000-0000F88D0000}"/>
    <cellStyle name="Normal 5 17 22 3 6" xfId="36347" xr:uid="{00000000-0005-0000-0000-0000F98D0000}"/>
    <cellStyle name="Normal 5 17 22 3 7" xfId="36348" xr:uid="{00000000-0005-0000-0000-0000FA8D0000}"/>
    <cellStyle name="Normal 5 17 22 3 8" xfId="36349" xr:uid="{00000000-0005-0000-0000-0000FB8D0000}"/>
    <cellStyle name="Normal 5 17 22 3 9" xfId="36350" xr:uid="{00000000-0005-0000-0000-0000FC8D0000}"/>
    <cellStyle name="Normal 5 17 22 4" xfId="36351" xr:uid="{00000000-0005-0000-0000-0000FD8D0000}"/>
    <cellStyle name="Normal 5 17 22 4 10" xfId="36352" xr:uid="{00000000-0005-0000-0000-0000FE8D0000}"/>
    <cellStyle name="Normal 5 17 22 4 2" xfId="36353" xr:uid="{00000000-0005-0000-0000-0000FF8D0000}"/>
    <cellStyle name="Normal 5 17 22 4 3" xfId="36354" xr:uid="{00000000-0005-0000-0000-0000008E0000}"/>
    <cellStyle name="Normal 5 17 22 4 4" xfId="36355" xr:uid="{00000000-0005-0000-0000-0000018E0000}"/>
    <cellStyle name="Normal 5 17 22 4 5" xfId="36356" xr:uid="{00000000-0005-0000-0000-0000028E0000}"/>
    <cellStyle name="Normal 5 17 22 4 6" xfId="36357" xr:uid="{00000000-0005-0000-0000-0000038E0000}"/>
    <cellStyle name="Normal 5 17 22 4 7" xfId="36358" xr:uid="{00000000-0005-0000-0000-0000048E0000}"/>
    <cellStyle name="Normal 5 17 22 4 8" xfId="36359" xr:uid="{00000000-0005-0000-0000-0000058E0000}"/>
    <cellStyle name="Normal 5 17 22 4 9" xfId="36360" xr:uid="{00000000-0005-0000-0000-0000068E0000}"/>
    <cellStyle name="Normal 5 17 22 5" xfId="36361" xr:uid="{00000000-0005-0000-0000-0000078E0000}"/>
    <cellStyle name="Normal 5 17 22 5 10" xfId="36362" xr:uid="{00000000-0005-0000-0000-0000088E0000}"/>
    <cellStyle name="Normal 5 17 22 5 2" xfId="36363" xr:uid="{00000000-0005-0000-0000-0000098E0000}"/>
    <cellStyle name="Normal 5 17 22 5 3" xfId="36364" xr:uid="{00000000-0005-0000-0000-00000A8E0000}"/>
    <cellStyle name="Normal 5 17 22 5 4" xfId="36365" xr:uid="{00000000-0005-0000-0000-00000B8E0000}"/>
    <cellStyle name="Normal 5 17 22 5 5" xfId="36366" xr:uid="{00000000-0005-0000-0000-00000C8E0000}"/>
    <cellStyle name="Normal 5 17 22 5 6" xfId="36367" xr:uid="{00000000-0005-0000-0000-00000D8E0000}"/>
    <cellStyle name="Normal 5 17 22 5 7" xfId="36368" xr:uid="{00000000-0005-0000-0000-00000E8E0000}"/>
    <cellStyle name="Normal 5 17 22 5 8" xfId="36369" xr:uid="{00000000-0005-0000-0000-00000F8E0000}"/>
    <cellStyle name="Normal 5 17 22 5 9" xfId="36370" xr:uid="{00000000-0005-0000-0000-0000108E0000}"/>
    <cellStyle name="Normal 5 17 22 6" xfId="36371" xr:uid="{00000000-0005-0000-0000-0000118E0000}"/>
    <cellStyle name="Normal 5 17 22 7" xfId="36372" xr:uid="{00000000-0005-0000-0000-0000128E0000}"/>
    <cellStyle name="Normal 5 17 22 8" xfId="36373" xr:uid="{00000000-0005-0000-0000-0000138E0000}"/>
    <cellStyle name="Normal 5 17 22 9" xfId="36374" xr:uid="{00000000-0005-0000-0000-0000148E0000}"/>
    <cellStyle name="Normal 5 17 23" xfId="36375" xr:uid="{00000000-0005-0000-0000-0000158E0000}"/>
    <cellStyle name="Normal 5 17 23 10" xfId="36376" xr:uid="{00000000-0005-0000-0000-0000168E0000}"/>
    <cellStyle name="Normal 5 17 23 11" xfId="36377" xr:uid="{00000000-0005-0000-0000-0000178E0000}"/>
    <cellStyle name="Normal 5 17 23 12" xfId="36378" xr:uid="{00000000-0005-0000-0000-0000188E0000}"/>
    <cellStyle name="Normal 5 17 23 13" xfId="36379" xr:uid="{00000000-0005-0000-0000-0000198E0000}"/>
    <cellStyle name="Normal 5 17 23 14" xfId="36380" xr:uid="{00000000-0005-0000-0000-00001A8E0000}"/>
    <cellStyle name="Normal 5 17 23 2" xfId="36381" xr:uid="{00000000-0005-0000-0000-00001B8E0000}"/>
    <cellStyle name="Normal 5 17 23 2 10" xfId="36382" xr:uid="{00000000-0005-0000-0000-00001C8E0000}"/>
    <cellStyle name="Normal 5 17 23 2 2" xfId="36383" xr:uid="{00000000-0005-0000-0000-00001D8E0000}"/>
    <cellStyle name="Normal 5 17 23 2 3" xfId="36384" xr:uid="{00000000-0005-0000-0000-00001E8E0000}"/>
    <cellStyle name="Normal 5 17 23 2 4" xfId="36385" xr:uid="{00000000-0005-0000-0000-00001F8E0000}"/>
    <cellStyle name="Normal 5 17 23 2 5" xfId="36386" xr:uid="{00000000-0005-0000-0000-0000208E0000}"/>
    <cellStyle name="Normal 5 17 23 2 6" xfId="36387" xr:uid="{00000000-0005-0000-0000-0000218E0000}"/>
    <cellStyle name="Normal 5 17 23 2 7" xfId="36388" xr:uid="{00000000-0005-0000-0000-0000228E0000}"/>
    <cellStyle name="Normal 5 17 23 2 8" xfId="36389" xr:uid="{00000000-0005-0000-0000-0000238E0000}"/>
    <cellStyle name="Normal 5 17 23 2 9" xfId="36390" xr:uid="{00000000-0005-0000-0000-0000248E0000}"/>
    <cellStyle name="Normal 5 17 23 3" xfId="36391" xr:uid="{00000000-0005-0000-0000-0000258E0000}"/>
    <cellStyle name="Normal 5 17 23 3 10" xfId="36392" xr:uid="{00000000-0005-0000-0000-0000268E0000}"/>
    <cellStyle name="Normal 5 17 23 3 2" xfId="36393" xr:uid="{00000000-0005-0000-0000-0000278E0000}"/>
    <cellStyle name="Normal 5 17 23 3 3" xfId="36394" xr:uid="{00000000-0005-0000-0000-0000288E0000}"/>
    <cellStyle name="Normal 5 17 23 3 4" xfId="36395" xr:uid="{00000000-0005-0000-0000-0000298E0000}"/>
    <cellStyle name="Normal 5 17 23 3 5" xfId="36396" xr:uid="{00000000-0005-0000-0000-00002A8E0000}"/>
    <cellStyle name="Normal 5 17 23 3 6" xfId="36397" xr:uid="{00000000-0005-0000-0000-00002B8E0000}"/>
    <cellStyle name="Normal 5 17 23 3 7" xfId="36398" xr:uid="{00000000-0005-0000-0000-00002C8E0000}"/>
    <cellStyle name="Normal 5 17 23 3 8" xfId="36399" xr:uid="{00000000-0005-0000-0000-00002D8E0000}"/>
    <cellStyle name="Normal 5 17 23 3 9" xfId="36400" xr:uid="{00000000-0005-0000-0000-00002E8E0000}"/>
    <cellStyle name="Normal 5 17 23 4" xfId="36401" xr:uid="{00000000-0005-0000-0000-00002F8E0000}"/>
    <cellStyle name="Normal 5 17 23 4 10" xfId="36402" xr:uid="{00000000-0005-0000-0000-0000308E0000}"/>
    <cellStyle name="Normal 5 17 23 4 2" xfId="36403" xr:uid="{00000000-0005-0000-0000-0000318E0000}"/>
    <cellStyle name="Normal 5 17 23 4 3" xfId="36404" xr:uid="{00000000-0005-0000-0000-0000328E0000}"/>
    <cellStyle name="Normal 5 17 23 4 4" xfId="36405" xr:uid="{00000000-0005-0000-0000-0000338E0000}"/>
    <cellStyle name="Normal 5 17 23 4 5" xfId="36406" xr:uid="{00000000-0005-0000-0000-0000348E0000}"/>
    <cellStyle name="Normal 5 17 23 4 6" xfId="36407" xr:uid="{00000000-0005-0000-0000-0000358E0000}"/>
    <cellStyle name="Normal 5 17 23 4 7" xfId="36408" xr:uid="{00000000-0005-0000-0000-0000368E0000}"/>
    <cellStyle name="Normal 5 17 23 4 8" xfId="36409" xr:uid="{00000000-0005-0000-0000-0000378E0000}"/>
    <cellStyle name="Normal 5 17 23 4 9" xfId="36410" xr:uid="{00000000-0005-0000-0000-0000388E0000}"/>
    <cellStyle name="Normal 5 17 23 5" xfId="36411" xr:uid="{00000000-0005-0000-0000-0000398E0000}"/>
    <cellStyle name="Normal 5 17 23 5 10" xfId="36412" xr:uid="{00000000-0005-0000-0000-00003A8E0000}"/>
    <cellStyle name="Normal 5 17 23 5 2" xfId="36413" xr:uid="{00000000-0005-0000-0000-00003B8E0000}"/>
    <cellStyle name="Normal 5 17 23 5 3" xfId="36414" xr:uid="{00000000-0005-0000-0000-00003C8E0000}"/>
    <cellStyle name="Normal 5 17 23 5 4" xfId="36415" xr:uid="{00000000-0005-0000-0000-00003D8E0000}"/>
    <cellStyle name="Normal 5 17 23 5 5" xfId="36416" xr:uid="{00000000-0005-0000-0000-00003E8E0000}"/>
    <cellStyle name="Normal 5 17 23 5 6" xfId="36417" xr:uid="{00000000-0005-0000-0000-00003F8E0000}"/>
    <cellStyle name="Normal 5 17 23 5 7" xfId="36418" xr:uid="{00000000-0005-0000-0000-0000408E0000}"/>
    <cellStyle name="Normal 5 17 23 5 8" xfId="36419" xr:uid="{00000000-0005-0000-0000-0000418E0000}"/>
    <cellStyle name="Normal 5 17 23 5 9" xfId="36420" xr:uid="{00000000-0005-0000-0000-0000428E0000}"/>
    <cellStyle name="Normal 5 17 23 6" xfId="36421" xr:uid="{00000000-0005-0000-0000-0000438E0000}"/>
    <cellStyle name="Normal 5 17 23 7" xfId="36422" xr:uid="{00000000-0005-0000-0000-0000448E0000}"/>
    <cellStyle name="Normal 5 17 23 8" xfId="36423" xr:uid="{00000000-0005-0000-0000-0000458E0000}"/>
    <cellStyle name="Normal 5 17 23 9" xfId="36424" xr:uid="{00000000-0005-0000-0000-0000468E0000}"/>
    <cellStyle name="Normal 5 17 24" xfId="36425" xr:uid="{00000000-0005-0000-0000-0000478E0000}"/>
    <cellStyle name="Normal 5 17 24 10" xfId="36426" xr:uid="{00000000-0005-0000-0000-0000488E0000}"/>
    <cellStyle name="Normal 5 17 24 11" xfId="36427" xr:uid="{00000000-0005-0000-0000-0000498E0000}"/>
    <cellStyle name="Normal 5 17 24 12" xfId="36428" xr:uid="{00000000-0005-0000-0000-00004A8E0000}"/>
    <cellStyle name="Normal 5 17 24 13" xfId="36429" xr:uid="{00000000-0005-0000-0000-00004B8E0000}"/>
    <cellStyle name="Normal 5 17 24 14" xfId="36430" xr:uid="{00000000-0005-0000-0000-00004C8E0000}"/>
    <cellStyle name="Normal 5 17 24 2" xfId="36431" xr:uid="{00000000-0005-0000-0000-00004D8E0000}"/>
    <cellStyle name="Normal 5 17 24 2 10" xfId="36432" xr:uid="{00000000-0005-0000-0000-00004E8E0000}"/>
    <cellStyle name="Normal 5 17 24 2 2" xfId="36433" xr:uid="{00000000-0005-0000-0000-00004F8E0000}"/>
    <cellStyle name="Normal 5 17 24 2 3" xfId="36434" xr:uid="{00000000-0005-0000-0000-0000508E0000}"/>
    <cellStyle name="Normal 5 17 24 2 4" xfId="36435" xr:uid="{00000000-0005-0000-0000-0000518E0000}"/>
    <cellStyle name="Normal 5 17 24 2 5" xfId="36436" xr:uid="{00000000-0005-0000-0000-0000528E0000}"/>
    <cellStyle name="Normal 5 17 24 2 6" xfId="36437" xr:uid="{00000000-0005-0000-0000-0000538E0000}"/>
    <cellStyle name="Normal 5 17 24 2 7" xfId="36438" xr:uid="{00000000-0005-0000-0000-0000548E0000}"/>
    <cellStyle name="Normal 5 17 24 2 8" xfId="36439" xr:uid="{00000000-0005-0000-0000-0000558E0000}"/>
    <cellStyle name="Normal 5 17 24 2 9" xfId="36440" xr:uid="{00000000-0005-0000-0000-0000568E0000}"/>
    <cellStyle name="Normal 5 17 24 3" xfId="36441" xr:uid="{00000000-0005-0000-0000-0000578E0000}"/>
    <cellStyle name="Normal 5 17 24 3 10" xfId="36442" xr:uid="{00000000-0005-0000-0000-0000588E0000}"/>
    <cellStyle name="Normal 5 17 24 3 2" xfId="36443" xr:uid="{00000000-0005-0000-0000-0000598E0000}"/>
    <cellStyle name="Normal 5 17 24 3 3" xfId="36444" xr:uid="{00000000-0005-0000-0000-00005A8E0000}"/>
    <cellStyle name="Normal 5 17 24 3 4" xfId="36445" xr:uid="{00000000-0005-0000-0000-00005B8E0000}"/>
    <cellStyle name="Normal 5 17 24 3 5" xfId="36446" xr:uid="{00000000-0005-0000-0000-00005C8E0000}"/>
    <cellStyle name="Normal 5 17 24 3 6" xfId="36447" xr:uid="{00000000-0005-0000-0000-00005D8E0000}"/>
    <cellStyle name="Normal 5 17 24 3 7" xfId="36448" xr:uid="{00000000-0005-0000-0000-00005E8E0000}"/>
    <cellStyle name="Normal 5 17 24 3 8" xfId="36449" xr:uid="{00000000-0005-0000-0000-00005F8E0000}"/>
    <cellStyle name="Normal 5 17 24 3 9" xfId="36450" xr:uid="{00000000-0005-0000-0000-0000608E0000}"/>
    <cellStyle name="Normal 5 17 24 4" xfId="36451" xr:uid="{00000000-0005-0000-0000-0000618E0000}"/>
    <cellStyle name="Normal 5 17 24 4 10" xfId="36452" xr:uid="{00000000-0005-0000-0000-0000628E0000}"/>
    <cellStyle name="Normal 5 17 24 4 2" xfId="36453" xr:uid="{00000000-0005-0000-0000-0000638E0000}"/>
    <cellStyle name="Normal 5 17 24 4 3" xfId="36454" xr:uid="{00000000-0005-0000-0000-0000648E0000}"/>
    <cellStyle name="Normal 5 17 24 4 4" xfId="36455" xr:uid="{00000000-0005-0000-0000-0000658E0000}"/>
    <cellStyle name="Normal 5 17 24 4 5" xfId="36456" xr:uid="{00000000-0005-0000-0000-0000668E0000}"/>
    <cellStyle name="Normal 5 17 24 4 6" xfId="36457" xr:uid="{00000000-0005-0000-0000-0000678E0000}"/>
    <cellStyle name="Normal 5 17 24 4 7" xfId="36458" xr:uid="{00000000-0005-0000-0000-0000688E0000}"/>
    <cellStyle name="Normal 5 17 24 4 8" xfId="36459" xr:uid="{00000000-0005-0000-0000-0000698E0000}"/>
    <cellStyle name="Normal 5 17 24 4 9" xfId="36460" xr:uid="{00000000-0005-0000-0000-00006A8E0000}"/>
    <cellStyle name="Normal 5 17 24 5" xfId="36461" xr:uid="{00000000-0005-0000-0000-00006B8E0000}"/>
    <cellStyle name="Normal 5 17 24 5 10" xfId="36462" xr:uid="{00000000-0005-0000-0000-00006C8E0000}"/>
    <cellStyle name="Normal 5 17 24 5 2" xfId="36463" xr:uid="{00000000-0005-0000-0000-00006D8E0000}"/>
    <cellStyle name="Normal 5 17 24 5 3" xfId="36464" xr:uid="{00000000-0005-0000-0000-00006E8E0000}"/>
    <cellStyle name="Normal 5 17 24 5 4" xfId="36465" xr:uid="{00000000-0005-0000-0000-00006F8E0000}"/>
    <cellStyle name="Normal 5 17 24 5 5" xfId="36466" xr:uid="{00000000-0005-0000-0000-0000708E0000}"/>
    <cellStyle name="Normal 5 17 24 5 6" xfId="36467" xr:uid="{00000000-0005-0000-0000-0000718E0000}"/>
    <cellStyle name="Normal 5 17 24 5 7" xfId="36468" xr:uid="{00000000-0005-0000-0000-0000728E0000}"/>
    <cellStyle name="Normal 5 17 24 5 8" xfId="36469" xr:uid="{00000000-0005-0000-0000-0000738E0000}"/>
    <cellStyle name="Normal 5 17 24 5 9" xfId="36470" xr:uid="{00000000-0005-0000-0000-0000748E0000}"/>
    <cellStyle name="Normal 5 17 24 6" xfId="36471" xr:uid="{00000000-0005-0000-0000-0000758E0000}"/>
    <cellStyle name="Normal 5 17 24 7" xfId="36472" xr:uid="{00000000-0005-0000-0000-0000768E0000}"/>
    <cellStyle name="Normal 5 17 24 8" xfId="36473" xr:uid="{00000000-0005-0000-0000-0000778E0000}"/>
    <cellStyle name="Normal 5 17 24 9" xfId="36474" xr:uid="{00000000-0005-0000-0000-0000788E0000}"/>
    <cellStyle name="Normal 5 17 25" xfId="36475" xr:uid="{00000000-0005-0000-0000-0000798E0000}"/>
    <cellStyle name="Normal 5 17 25 10" xfId="36476" xr:uid="{00000000-0005-0000-0000-00007A8E0000}"/>
    <cellStyle name="Normal 5 17 25 11" xfId="36477" xr:uid="{00000000-0005-0000-0000-00007B8E0000}"/>
    <cellStyle name="Normal 5 17 25 12" xfId="36478" xr:uid="{00000000-0005-0000-0000-00007C8E0000}"/>
    <cellStyle name="Normal 5 17 25 13" xfId="36479" xr:uid="{00000000-0005-0000-0000-00007D8E0000}"/>
    <cellStyle name="Normal 5 17 25 14" xfId="36480" xr:uid="{00000000-0005-0000-0000-00007E8E0000}"/>
    <cellStyle name="Normal 5 17 25 2" xfId="36481" xr:uid="{00000000-0005-0000-0000-00007F8E0000}"/>
    <cellStyle name="Normal 5 17 25 2 10" xfId="36482" xr:uid="{00000000-0005-0000-0000-0000808E0000}"/>
    <cellStyle name="Normal 5 17 25 2 2" xfId="36483" xr:uid="{00000000-0005-0000-0000-0000818E0000}"/>
    <cellStyle name="Normal 5 17 25 2 3" xfId="36484" xr:uid="{00000000-0005-0000-0000-0000828E0000}"/>
    <cellStyle name="Normal 5 17 25 2 4" xfId="36485" xr:uid="{00000000-0005-0000-0000-0000838E0000}"/>
    <cellStyle name="Normal 5 17 25 2 5" xfId="36486" xr:uid="{00000000-0005-0000-0000-0000848E0000}"/>
    <cellStyle name="Normal 5 17 25 2 6" xfId="36487" xr:uid="{00000000-0005-0000-0000-0000858E0000}"/>
    <cellStyle name="Normal 5 17 25 2 7" xfId="36488" xr:uid="{00000000-0005-0000-0000-0000868E0000}"/>
    <cellStyle name="Normal 5 17 25 2 8" xfId="36489" xr:uid="{00000000-0005-0000-0000-0000878E0000}"/>
    <cellStyle name="Normal 5 17 25 2 9" xfId="36490" xr:uid="{00000000-0005-0000-0000-0000888E0000}"/>
    <cellStyle name="Normal 5 17 25 3" xfId="36491" xr:uid="{00000000-0005-0000-0000-0000898E0000}"/>
    <cellStyle name="Normal 5 17 25 3 10" xfId="36492" xr:uid="{00000000-0005-0000-0000-00008A8E0000}"/>
    <cellStyle name="Normal 5 17 25 3 2" xfId="36493" xr:uid="{00000000-0005-0000-0000-00008B8E0000}"/>
    <cellStyle name="Normal 5 17 25 3 3" xfId="36494" xr:uid="{00000000-0005-0000-0000-00008C8E0000}"/>
    <cellStyle name="Normal 5 17 25 3 4" xfId="36495" xr:uid="{00000000-0005-0000-0000-00008D8E0000}"/>
    <cellStyle name="Normal 5 17 25 3 5" xfId="36496" xr:uid="{00000000-0005-0000-0000-00008E8E0000}"/>
    <cellStyle name="Normal 5 17 25 3 6" xfId="36497" xr:uid="{00000000-0005-0000-0000-00008F8E0000}"/>
    <cellStyle name="Normal 5 17 25 3 7" xfId="36498" xr:uid="{00000000-0005-0000-0000-0000908E0000}"/>
    <cellStyle name="Normal 5 17 25 3 8" xfId="36499" xr:uid="{00000000-0005-0000-0000-0000918E0000}"/>
    <cellStyle name="Normal 5 17 25 3 9" xfId="36500" xr:uid="{00000000-0005-0000-0000-0000928E0000}"/>
    <cellStyle name="Normal 5 17 25 4" xfId="36501" xr:uid="{00000000-0005-0000-0000-0000938E0000}"/>
    <cellStyle name="Normal 5 17 25 4 10" xfId="36502" xr:uid="{00000000-0005-0000-0000-0000948E0000}"/>
    <cellStyle name="Normal 5 17 25 4 2" xfId="36503" xr:uid="{00000000-0005-0000-0000-0000958E0000}"/>
    <cellStyle name="Normal 5 17 25 4 3" xfId="36504" xr:uid="{00000000-0005-0000-0000-0000968E0000}"/>
    <cellStyle name="Normal 5 17 25 4 4" xfId="36505" xr:uid="{00000000-0005-0000-0000-0000978E0000}"/>
    <cellStyle name="Normal 5 17 25 4 5" xfId="36506" xr:uid="{00000000-0005-0000-0000-0000988E0000}"/>
    <cellStyle name="Normal 5 17 25 4 6" xfId="36507" xr:uid="{00000000-0005-0000-0000-0000998E0000}"/>
    <cellStyle name="Normal 5 17 25 4 7" xfId="36508" xr:uid="{00000000-0005-0000-0000-00009A8E0000}"/>
    <cellStyle name="Normal 5 17 25 4 8" xfId="36509" xr:uid="{00000000-0005-0000-0000-00009B8E0000}"/>
    <cellStyle name="Normal 5 17 25 4 9" xfId="36510" xr:uid="{00000000-0005-0000-0000-00009C8E0000}"/>
    <cellStyle name="Normal 5 17 25 5" xfId="36511" xr:uid="{00000000-0005-0000-0000-00009D8E0000}"/>
    <cellStyle name="Normal 5 17 25 5 10" xfId="36512" xr:uid="{00000000-0005-0000-0000-00009E8E0000}"/>
    <cellStyle name="Normal 5 17 25 5 2" xfId="36513" xr:uid="{00000000-0005-0000-0000-00009F8E0000}"/>
    <cellStyle name="Normal 5 17 25 5 3" xfId="36514" xr:uid="{00000000-0005-0000-0000-0000A08E0000}"/>
    <cellStyle name="Normal 5 17 25 5 4" xfId="36515" xr:uid="{00000000-0005-0000-0000-0000A18E0000}"/>
    <cellStyle name="Normal 5 17 25 5 5" xfId="36516" xr:uid="{00000000-0005-0000-0000-0000A28E0000}"/>
    <cellStyle name="Normal 5 17 25 5 6" xfId="36517" xr:uid="{00000000-0005-0000-0000-0000A38E0000}"/>
    <cellStyle name="Normal 5 17 25 5 7" xfId="36518" xr:uid="{00000000-0005-0000-0000-0000A48E0000}"/>
    <cellStyle name="Normal 5 17 25 5 8" xfId="36519" xr:uid="{00000000-0005-0000-0000-0000A58E0000}"/>
    <cellStyle name="Normal 5 17 25 5 9" xfId="36520" xr:uid="{00000000-0005-0000-0000-0000A68E0000}"/>
    <cellStyle name="Normal 5 17 25 6" xfId="36521" xr:uid="{00000000-0005-0000-0000-0000A78E0000}"/>
    <cellStyle name="Normal 5 17 25 7" xfId="36522" xr:uid="{00000000-0005-0000-0000-0000A88E0000}"/>
    <cellStyle name="Normal 5 17 25 8" xfId="36523" xr:uid="{00000000-0005-0000-0000-0000A98E0000}"/>
    <cellStyle name="Normal 5 17 25 9" xfId="36524" xr:uid="{00000000-0005-0000-0000-0000AA8E0000}"/>
    <cellStyle name="Normal 5 17 26" xfId="36525" xr:uid="{00000000-0005-0000-0000-0000AB8E0000}"/>
    <cellStyle name="Normal 5 17 26 10" xfId="36526" xr:uid="{00000000-0005-0000-0000-0000AC8E0000}"/>
    <cellStyle name="Normal 5 17 26 11" xfId="36527" xr:uid="{00000000-0005-0000-0000-0000AD8E0000}"/>
    <cellStyle name="Normal 5 17 26 12" xfId="36528" xr:uid="{00000000-0005-0000-0000-0000AE8E0000}"/>
    <cellStyle name="Normal 5 17 26 13" xfId="36529" xr:uid="{00000000-0005-0000-0000-0000AF8E0000}"/>
    <cellStyle name="Normal 5 17 26 14" xfId="36530" xr:uid="{00000000-0005-0000-0000-0000B08E0000}"/>
    <cellStyle name="Normal 5 17 26 2" xfId="36531" xr:uid="{00000000-0005-0000-0000-0000B18E0000}"/>
    <cellStyle name="Normal 5 17 26 2 10" xfId="36532" xr:uid="{00000000-0005-0000-0000-0000B28E0000}"/>
    <cellStyle name="Normal 5 17 26 2 2" xfId="36533" xr:uid="{00000000-0005-0000-0000-0000B38E0000}"/>
    <cellStyle name="Normal 5 17 26 2 3" xfId="36534" xr:uid="{00000000-0005-0000-0000-0000B48E0000}"/>
    <cellStyle name="Normal 5 17 26 2 4" xfId="36535" xr:uid="{00000000-0005-0000-0000-0000B58E0000}"/>
    <cellStyle name="Normal 5 17 26 2 5" xfId="36536" xr:uid="{00000000-0005-0000-0000-0000B68E0000}"/>
    <cellStyle name="Normal 5 17 26 2 6" xfId="36537" xr:uid="{00000000-0005-0000-0000-0000B78E0000}"/>
    <cellStyle name="Normal 5 17 26 2 7" xfId="36538" xr:uid="{00000000-0005-0000-0000-0000B88E0000}"/>
    <cellStyle name="Normal 5 17 26 2 8" xfId="36539" xr:uid="{00000000-0005-0000-0000-0000B98E0000}"/>
    <cellStyle name="Normal 5 17 26 2 9" xfId="36540" xr:uid="{00000000-0005-0000-0000-0000BA8E0000}"/>
    <cellStyle name="Normal 5 17 26 3" xfId="36541" xr:uid="{00000000-0005-0000-0000-0000BB8E0000}"/>
    <cellStyle name="Normal 5 17 26 3 10" xfId="36542" xr:uid="{00000000-0005-0000-0000-0000BC8E0000}"/>
    <cellStyle name="Normal 5 17 26 3 2" xfId="36543" xr:uid="{00000000-0005-0000-0000-0000BD8E0000}"/>
    <cellStyle name="Normal 5 17 26 3 3" xfId="36544" xr:uid="{00000000-0005-0000-0000-0000BE8E0000}"/>
    <cellStyle name="Normal 5 17 26 3 4" xfId="36545" xr:uid="{00000000-0005-0000-0000-0000BF8E0000}"/>
    <cellStyle name="Normal 5 17 26 3 5" xfId="36546" xr:uid="{00000000-0005-0000-0000-0000C08E0000}"/>
    <cellStyle name="Normal 5 17 26 3 6" xfId="36547" xr:uid="{00000000-0005-0000-0000-0000C18E0000}"/>
    <cellStyle name="Normal 5 17 26 3 7" xfId="36548" xr:uid="{00000000-0005-0000-0000-0000C28E0000}"/>
    <cellStyle name="Normal 5 17 26 3 8" xfId="36549" xr:uid="{00000000-0005-0000-0000-0000C38E0000}"/>
    <cellStyle name="Normal 5 17 26 3 9" xfId="36550" xr:uid="{00000000-0005-0000-0000-0000C48E0000}"/>
    <cellStyle name="Normal 5 17 26 4" xfId="36551" xr:uid="{00000000-0005-0000-0000-0000C58E0000}"/>
    <cellStyle name="Normal 5 17 26 4 10" xfId="36552" xr:uid="{00000000-0005-0000-0000-0000C68E0000}"/>
    <cellStyle name="Normal 5 17 26 4 2" xfId="36553" xr:uid="{00000000-0005-0000-0000-0000C78E0000}"/>
    <cellStyle name="Normal 5 17 26 4 3" xfId="36554" xr:uid="{00000000-0005-0000-0000-0000C88E0000}"/>
    <cellStyle name="Normal 5 17 26 4 4" xfId="36555" xr:uid="{00000000-0005-0000-0000-0000C98E0000}"/>
    <cellStyle name="Normal 5 17 26 4 5" xfId="36556" xr:uid="{00000000-0005-0000-0000-0000CA8E0000}"/>
    <cellStyle name="Normal 5 17 26 4 6" xfId="36557" xr:uid="{00000000-0005-0000-0000-0000CB8E0000}"/>
    <cellStyle name="Normal 5 17 26 4 7" xfId="36558" xr:uid="{00000000-0005-0000-0000-0000CC8E0000}"/>
    <cellStyle name="Normal 5 17 26 4 8" xfId="36559" xr:uid="{00000000-0005-0000-0000-0000CD8E0000}"/>
    <cellStyle name="Normal 5 17 26 4 9" xfId="36560" xr:uid="{00000000-0005-0000-0000-0000CE8E0000}"/>
    <cellStyle name="Normal 5 17 26 5" xfId="36561" xr:uid="{00000000-0005-0000-0000-0000CF8E0000}"/>
    <cellStyle name="Normal 5 17 26 5 10" xfId="36562" xr:uid="{00000000-0005-0000-0000-0000D08E0000}"/>
    <cellStyle name="Normal 5 17 26 5 2" xfId="36563" xr:uid="{00000000-0005-0000-0000-0000D18E0000}"/>
    <cellStyle name="Normal 5 17 26 5 3" xfId="36564" xr:uid="{00000000-0005-0000-0000-0000D28E0000}"/>
    <cellStyle name="Normal 5 17 26 5 4" xfId="36565" xr:uid="{00000000-0005-0000-0000-0000D38E0000}"/>
    <cellStyle name="Normal 5 17 26 5 5" xfId="36566" xr:uid="{00000000-0005-0000-0000-0000D48E0000}"/>
    <cellStyle name="Normal 5 17 26 5 6" xfId="36567" xr:uid="{00000000-0005-0000-0000-0000D58E0000}"/>
    <cellStyle name="Normal 5 17 26 5 7" xfId="36568" xr:uid="{00000000-0005-0000-0000-0000D68E0000}"/>
    <cellStyle name="Normal 5 17 26 5 8" xfId="36569" xr:uid="{00000000-0005-0000-0000-0000D78E0000}"/>
    <cellStyle name="Normal 5 17 26 5 9" xfId="36570" xr:uid="{00000000-0005-0000-0000-0000D88E0000}"/>
    <cellStyle name="Normal 5 17 26 6" xfId="36571" xr:uid="{00000000-0005-0000-0000-0000D98E0000}"/>
    <cellStyle name="Normal 5 17 26 7" xfId="36572" xr:uid="{00000000-0005-0000-0000-0000DA8E0000}"/>
    <cellStyle name="Normal 5 17 26 8" xfId="36573" xr:uid="{00000000-0005-0000-0000-0000DB8E0000}"/>
    <cellStyle name="Normal 5 17 26 9" xfId="36574" xr:uid="{00000000-0005-0000-0000-0000DC8E0000}"/>
    <cellStyle name="Normal 5 17 27" xfId="36575" xr:uid="{00000000-0005-0000-0000-0000DD8E0000}"/>
    <cellStyle name="Normal 5 17 27 10" xfId="36576" xr:uid="{00000000-0005-0000-0000-0000DE8E0000}"/>
    <cellStyle name="Normal 5 17 27 11" xfId="36577" xr:uid="{00000000-0005-0000-0000-0000DF8E0000}"/>
    <cellStyle name="Normal 5 17 27 12" xfId="36578" xr:uid="{00000000-0005-0000-0000-0000E08E0000}"/>
    <cellStyle name="Normal 5 17 27 13" xfId="36579" xr:uid="{00000000-0005-0000-0000-0000E18E0000}"/>
    <cellStyle name="Normal 5 17 27 14" xfId="36580" xr:uid="{00000000-0005-0000-0000-0000E28E0000}"/>
    <cellStyle name="Normal 5 17 27 2" xfId="36581" xr:uid="{00000000-0005-0000-0000-0000E38E0000}"/>
    <cellStyle name="Normal 5 17 27 2 10" xfId="36582" xr:uid="{00000000-0005-0000-0000-0000E48E0000}"/>
    <cellStyle name="Normal 5 17 27 2 2" xfId="36583" xr:uid="{00000000-0005-0000-0000-0000E58E0000}"/>
    <cellStyle name="Normal 5 17 27 2 3" xfId="36584" xr:uid="{00000000-0005-0000-0000-0000E68E0000}"/>
    <cellStyle name="Normal 5 17 27 2 4" xfId="36585" xr:uid="{00000000-0005-0000-0000-0000E78E0000}"/>
    <cellStyle name="Normal 5 17 27 2 5" xfId="36586" xr:uid="{00000000-0005-0000-0000-0000E88E0000}"/>
    <cellStyle name="Normal 5 17 27 2 6" xfId="36587" xr:uid="{00000000-0005-0000-0000-0000E98E0000}"/>
    <cellStyle name="Normal 5 17 27 2 7" xfId="36588" xr:uid="{00000000-0005-0000-0000-0000EA8E0000}"/>
    <cellStyle name="Normal 5 17 27 2 8" xfId="36589" xr:uid="{00000000-0005-0000-0000-0000EB8E0000}"/>
    <cellStyle name="Normal 5 17 27 2 9" xfId="36590" xr:uid="{00000000-0005-0000-0000-0000EC8E0000}"/>
    <cellStyle name="Normal 5 17 27 3" xfId="36591" xr:uid="{00000000-0005-0000-0000-0000ED8E0000}"/>
    <cellStyle name="Normal 5 17 27 3 10" xfId="36592" xr:uid="{00000000-0005-0000-0000-0000EE8E0000}"/>
    <cellStyle name="Normal 5 17 27 3 2" xfId="36593" xr:uid="{00000000-0005-0000-0000-0000EF8E0000}"/>
    <cellStyle name="Normal 5 17 27 3 3" xfId="36594" xr:uid="{00000000-0005-0000-0000-0000F08E0000}"/>
    <cellStyle name="Normal 5 17 27 3 4" xfId="36595" xr:uid="{00000000-0005-0000-0000-0000F18E0000}"/>
    <cellStyle name="Normal 5 17 27 3 5" xfId="36596" xr:uid="{00000000-0005-0000-0000-0000F28E0000}"/>
    <cellStyle name="Normal 5 17 27 3 6" xfId="36597" xr:uid="{00000000-0005-0000-0000-0000F38E0000}"/>
    <cellStyle name="Normal 5 17 27 3 7" xfId="36598" xr:uid="{00000000-0005-0000-0000-0000F48E0000}"/>
    <cellStyle name="Normal 5 17 27 3 8" xfId="36599" xr:uid="{00000000-0005-0000-0000-0000F58E0000}"/>
    <cellStyle name="Normal 5 17 27 3 9" xfId="36600" xr:uid="{00000000-0005-0000-0000-0000F68E0000}"/>
    <cellStyle name="Normal 5 17 27 4" xfId="36601" xr:uid="{00000000-0005-0000-0000-0000F78E0000}"/>
    <cellStyle name="Normal 5 17 27 4 10" xfId="36602" xr:uid="{00000000-0005-0000-0000-0000F88E0000}"/>
    <cellStyle name="Normal 5 17 27 4 2" xfId="36603" xr:uid="{00000000-0005-0000-0000-0000F98E0000}"/>
    <cellStyle name="Normal 5 17 27 4 3" xfId="36604" xr:uid="{00000000-0005-0000-0000-0000FA8E0000}"/>
    <cellStyle name="Normal 5 17 27 4 4" xfId="36605" xr:uid="{00000000-0005-0000-0000-0000FB8E0000}"/>
    <cellStyle name="Normal 5 17 27 4 5" xfId="36606" xr:uid="{00000000-0005-0000-0000-0000FC8E0000}"/>
    <cellStyle name="Normal 5 17 27 4 6" xfId="36607" xr:uid="{00000000-0005-0000-0000-0000FD8E0000}"/>
    <cellStyle name="Normal 5 17 27 4 7" xfId="36608" xr:uid="{00000000-0005-0000-0000-0000FE8E0000}"/>
    <cellStyle name="Normal 5 17 27 4 8" xfId="36609" xr:uid="{00000000-0005-0000-0000-0000FF8E0000}"/>
    <cellStyle name="Normal 5 17 27 4 9" xfId="36610" xr:uid="{00000000-0005-0000-0000-0000008F0000}"/>
    <cellStyle name="Normal 5 17 27 5" xfId="36611" xr:uid="{00000000-0005-0000-0000-0000018F0000}"/>
    <cellStyle name="Normal 5 17 27 5 10" xfId="36612" xr:uid="{00000000-0005-0000-0000-0000028F0000}"/>
    <cellStyle name="Normal 5 17 27 5 2" xfId="36613" xr:uid="{00000000-0005-0000-0000-0000038F0000}"/>
    <cellStyle name="Normal 5 17 27 5 3" xfId="36614" xr:uid="{00000000-0005-0000-0000-0000048F0000}"/>
    <cellStyle name="Normal 5 17 27 5 4" xfId="36615" xr:uid="{00000000-0005-0000-0000-0000058F0000}"/>
    <cellStyle name="Normal 5 17 27 5 5" xfId="36616" xr:uid="{00000000-0005-0000-0000-0000068F0000}"/>
    <cellStyle name="Normal 5 17 27 5 6" xfId="36617" xr:uid="{00000000-0005-0000-0000-0000078F0000}"/>
    <cellStyle name="Normal 5 17 27 5 7" xfId="36618" xr:uid="{00000000-0005-0000-0000-0000088F0000}"/>
    <cellStyle name="Normal 5 17 27 5 8" xfId="36619" xr:uid="{00000000-0005-0000-0000-0000098F0000}"/>
    <cellStyle name="Normal 5 17 27 5 9" xfId="36620" xr:uid="{00000000-0005-0000-0000-00000A8F0000}"/>
    <cellStyle name="Normal 5 17 27 6" xfId="36621" xr:uid="{00000000-0005-0000-0000-00000B8F0000}"/>
    <cellStyle name="Normal 5 17 27 7" xfId="36622" xr:uid="{00000000-0005-0000-0000-00000C8F0000}"/>
    <cellStyle name="Normal 5 17 27 8" xfId="36623" xr:uid="{00000000-0005-0000-0000-00000D8F0000}"/>
    <cellStyle name="Normal 5 17 27 9" xfId="36624" xr:uid="{00000000-0005-0000-0000-00000E8F0000}"/>
    <cellStyle name="Normal 5 17 28" xfId="36625" xr:uid="{00000000-0005-0000-0000-00000F8F0000}"/>
    <cellStyle name="Normal 5 17 28 10" xfId="36626" xr:uid="{00000000-0005-0000-0000-0000108F0000}"/>
    <cellStyle name="Normal 5 17 28 11" xfId="36627" xr:uid="{00000000-0005-0000-0000-0000118F0000}"/>
    <cellStyle name="Normal 5 17 28 12" xfId="36628" xr:uid="{00000000-0005-0000-0000-0000128F0000}"/>
    <cellStyle name="Normal 5 17 28 13" xfId="36629" xr:uid="{00000000-0005-0000-0000-0000138F0000}"/>
    <cellStyle name="Normal 5 17 28 14" xfId="36630" xr:uid="{00000000-0005-0000-0000-0000148F0000}"/>
    <cellStyle name="Normal 5 17 28 2" xfId="36631" xr:uid="{00000000-0005-0000-0000-0000158F0000}"/>
    <cellStyle name="Normal 5 17 28 2 10" xfId="36632" xr:uid="{00000000-0005-0000-0000-0000168F0000}"/>
    <cellStyle name="Normal 5 17 28 2 2" xfId="36633" xr:uid="{00000000-0005-0000-0000-0000178F0000}"/>
    <cellStyle name="Normal 5 17 28 2 3" xfId="36634" xr:uid="{00000000-0005-0000-0000-0000188F0000}"/>
    <cellStyle name="Normal 5 17 28 2 4" xfId="36635" xr:uid="{00000000-0005-0000-0000-0000198F0000}"/>
    <cellStyle name="Normal 5 17 28 2 5" xfId="36636" xr:uid="{00000000-0005-0000-0000-00001A8F0000}"/>
    <cellStyle name="Normal 5 17 28 2 6" xfId="36637" xr:uid="{00000000-0005-0000-0000-00001B8F0000}"/>
    <cellStyle name="Normal 5 17 28 2 7" xfId="36638" xr:uid="{00000000-0005-0000-0000-00001C8F0000}"/>
    <cellStyle name="Normal 5 17 28 2 8" xfId="36639" xr:uid="{00000000-0005-0000-0000-00001D8F0000}"/>
    <cellStyle name="Normal 5 17 28 2 9" xfId="36640" xr:uid="{00000000-0005-0000-0000-00001E8F0000}"/>
    <cellStyle name="Normal 5 17 28 3" xfId="36641" xr:uid="{00000000-0005-0000-0000-00001F8F0000}"/>
    <cellStyle name="Normal 5 17 28 3 10" xfId="36642" xr:uid="{00000000-0005-0000-0000-0000208F0000}"/>
    <cellStyle name="Normal 5 17 28 3 2" xfId="36643" xr:uid="{00000000-0005-0000-0000-0000218F0000}"/>
    <cellStyle name="Normal 5 17 28 3 3" xfId="36644" xr:uid="{00000000-0005-0000-0000-0000228F0000}"/>
    <cellStyle name="Normal 5 17 28 3 4" xfId="36645" xr:uid="{00000000-0005-0000-0000-0000238F0000}"/>
    <cellStyle name="Normal 5 17 28 3 5" xfId="36646" xr:uid="{00000000-0005-0000-0000-0000248F0000}"/>
    <cellStyle name="Normal 5 17 28 3 6" xfId="36647" xr:uid="{00000000-0005-0000-0000-0000258F0000}"/>
    <cellStyle name="Normal 5 17 28 3 7" xfId="36648" xr:uid="{00000000-0005-0000-0000-0000268F0000}"/>
    <cellStyle name="Normal 5 17 28 3 8" xfId="36649" xr:uid="{00000000-0005-0000-0000-0000278F0000}"/>
    <cellStyle name="Normal 5 17 28 3 9" xfId="36650" xr:uid="{00000000-0005-0000-0000-0000288F0000}"/>
    <cellStyle name="Normal 5 17 28 4" xfId="36651" xr:uid="{00000000-0005-0000-0000-0000298F0000}"/>
    <cellStyle name="Normal 5 17 28 4 10" xfId="36652" xr:uid="{00000000-0005-0000-0000-00002A8F0000}"/>
    <cellStyle name="Normal 5 17 28 4 2" xfId="36653" xr:uid="{00000000-0005-0000-0000-00002B8F0000}"/>
    <cellStyle name="Normal 5 17 28 4 3" xfId="36654" xr:uid="{00000000-0005-0000-0000-00002C8F0000}"/>
    <cellStyle name="Normal 5 17 28 4 4" xfId="36655" xr:uid="{00000000-0005-0000-0000-00002D8F0000}"/>
    <cellStyle name="Normal 5 17 28 4 5" xfId="36656" xr:uid="{00000000-0005-0000-0000-00002E8F0000}"/>
    <cellStyle name="Normal 5 17 28 4 6" xfId="36657" xr:uid="{00000000-0005-0000-0000-00002F8F0000}"/>
    <cellStyle name="Normal 5 17 28 4 7" xfId="36658" xr:uid="{00000000-0005-0000-0000-0000308F0000}"/>
    <cellStyle name="Normal 5 17 28 4 8" xfId="36659" xr:uid="{00000000-0005-0000-0000-0000318F0000}"/>
    <cellStyle name="Normal 5 17 28 4 9" xfId="36660" xr:uid="{00000000-0005-0000-0000-0000328F0000}"/>
    <cellStyle name="Normal 5 17 28 5" xfId="36661" xr:uid="{00000000-0005-0000-0000-0000338F0000}"/>
    <cellStyle name="Normal 5 17 28 5 10" xfId="36662" xr:uid="{00000000-0005-0000-0000-0000348F0000}"/>
    <cellStyle name="Normal 5 17 28 5 2" xfId="36663" xr:uid="{00000000-0005-0000-0000-0000358F0000}"/>
    <cellStyle name="Normal 5 17 28 5 3" xfId="36664" xr:uid="{00000000-0005-0000-0000-0000368F0000}"/>
    <cellStyle name="Normal 5 17 28 5 4" xfId="36665" xr:uid="{00000000-0005-0000-0000-0000378F0000}"/>
    <cellStyle name="Normal 5 17 28 5 5" xfId="36666" xr:uid="{00000000-0005-0000-0000-0000388F0000}"/>
    <cellStyle name="Normal 5 17 28 5 6" xfId="36667" xr:uid="{00000000-0005-0000-0000-0000398F0000}"/>
    <cellStyle name="Normal 5 17 28 5 7" xfId="36668" xr:uid="{00000000-0005-0000-0000-00003A8F0000}"/>
    <cellStyle name="Normal 5 17 28 5 8" xfId="36669" xr:uid="{00000000-0005-0000-0000-00003B8F0000}"/>
    <cellStyle name="Normal 5 17 28 5 9" xfId="36670" xr:uid="{00000000-0005-0000-0000-00003C8F0000}"/>
    <cellStyle name="Normal 5 17 28 6" xfId="36671" xr:uid="{00000000-0005-0000-0000-00003D8F0000}"/>
    <cellStyle name="Normal 5 17 28 7" xfId="36672" xr:uid="{00000000-0005-0000-0000-00003E8F0000}"/>
    <cellStyle name="Normal 5 17 28 8" xfId="36673" xr:uid="{00000000-0005-0000-0000-00003F8F0000}"/>
    <cellStyle name="Normal 5 17 28 9" xfId="36674" xr:uid="{00000000-0005-0000-0000-0000408F0000}"/>
    <cellStyle name="Normal 5 17 29" xfId="36675" xr:uid="{00000000-0005-0000-0000-0000418F0000}"/>
    <cellStyle name="Normal 5 17 29 10" xfId="36676" xr:uid="{00000000-0005-0000-0000-0000428F0000}"/>
    <cellStyle name="Normal 5 17 29 11" xfId="36677" xr:uid="{00000000-0005-0000-0000-0000438F0000}"/>
    <cellStyle name="Normal 5 17 29 12" xfId="36678" xr:uid="{00000000-0005-0000-0000-0000448F0000}"/>
    <cellStyle name="Normal 5 17 29 13" xfId="36679" xr:uid="{00000000-0005-0000-0000-0000458F0000}"/>
    <cellStyle name="Normal 5 17 29 14" xfId="36680" xr:uid="{00000000-0005-0000-0000-0000468F0000}"/>
    <cellStyle name="Normal 5 17 29 2" xfId="36681" xr:uid="{00000000-0005-0000-0000-0000478F0000}"/>
    <cellStyle name="Normal 5 17 29 2 10" xfId="36682" xr:uid="{00000000-0005-0000-0000-0000488F0000}"/>
    <cellStyle name="Normal 5 17 29 2 2" xfId="36683" xr:uid="{00000000-0005-0000-0000-0000498F0000}"/>
    <cellStyle name="Normal 5 17 29 2 3" xfId="36684" xr:uid="{00000000-0005-0000-0000-00004A8F0000}"/>
    <cellStyle name="Normal 5 17 29 2 4" xfId="36685" xr:uid="{00000000-0005-0000-0000-00004B8F0000}"/>
    <cellStyle name="Normal 5 17 29 2 5" xfId="36686" xr:uid="{00000000-0005-0000-0000-00004C8F0000}"/>
    <cellStyle name="Normal 5 17 29 2 6" xfId="36687" xr:uid="{00000000-0005-0000-0000-00004D8F0000}"/>
    <cellStyle name="Normal 5 17 29 2 7" xfId="36688" xr:uid="{00000000-0005-0000-0000-00004E8F0000}"/>
    <cellStyle name="Normal 5 17 29 2 8" xfId="36689" xr:uid="{00000000-0005-0000-0000-00004F8F0000}"/>
    <cellStyle name="Normal 5 17 29 2 9" xfId="36690" xr:uid="{00000000-0005-0000-0000-0000508F0000}"/>
    <cellStyle name="Normal 5 17 29 3" xfId="36691" xr:uid="{00000000-0005-0000-0000-0000518F0000}"/>
    <cellStyle name="Normal 5 17 29 3 10" xfId="36692" xr:uid="{00000000-0005-0000-0000-0000528F0000}"/>
    <cellStyle name="Normal 5 17 29 3 2" xfId="36693" xr:uid="{00000000-0005-0000-0000-0000538F0000}"/>
    <cellStyle name="Normal 5 17 29 3 3" xfId="36694" xr:uid="{00000000-0005-0000-0000-0000548F0000}"/>
    <cellStyle name="Normal 5 17 29 3 4" xfId="36695" xr:uid="{00000000-0005-0000-0000-0000558F0000}"/>
    <cellStyle name="Normal 5 17 29 3 5" xfId="36696" xr:uid="{00000000-0005-0000-0000-0000568F0000}"/>
    <cellStyle name="Normal 5 17 29 3 6" xfId="36697" xr:uid="{00000000-0005-0000-0000-0000578F0000}"/>
    <cellStyle name="Normal 5 17 29 3 7" xfId="36698" xr:uid="{00000000-0005-0000-0000-0000588F0000}"/>
    <cellStyle name="Normal 5 17 29 3 8" xfId="36699" xr:uid="{00000000-0005-0000-0000-0000598F0000}"/>
    <cellStyle name="Normal 5 17 29 3 9" xfId="36700" xr:uid="{00000000-0005-0000-0000-00005A8F0000}"/>
    <cellStyle name="Normal 5 17 29 4" xfId="36701" xr:uid="{00000000-0005-0000-0000-00005B8F0000}"/>
    <cellStyle name="Normal 5 17 29 4 10" xfId="36702" xr:uid="{00000000-0005-0000-0000-00005C8F0000}"/>
    <cellStyle name="Normal 5 17 29 4 2" xfId="36703" xr:uid="{00000000-0005-0000-0000-00005D8F0000}"/>
    <cellStyle name="Normal 5 17 29 4 3" xfId="36704" xr:uid="{00000000-0005-0000-0000-00005E8F0000}"/>
    <cellStyle name="Normal 5 17 29 4 4" xfId="36705" xr:uid="{00000000-0005-0000-0000-00005F8F0000}"/>
    <cellStyle name="Normal 5 17 29 4 5" xfId="36706" xr:uid="{00000000-0005-0000-0000-0000608F0000}"/>
    <cellStyle name="Normal 5 17 29 4 6" xfId="36707" xr:uid="{00000000-0005-0000-0000-0000618F0000}"/>
    <cellStyle name="Normal 5 17 29 4 7" xfId="36708" xr:uid="{00000000-0005-0000-0000-0000628F0000}"/>
    <cellStyle name="Normal 5 17 29 4 8" xfId="36709" xr:uid="{00000000-0005-0000-0000-0000638F0000}"/>
    <cellStyle name="Normal 5 17 29 4 9" xfId="36710" xr:uid="{00000000-0005-0000-0000-0000648F0000}"/>
    <cellStyle name="Normal 5 17 29 5" xfId="36711" xr:uid="{00000000-0005-0000-0000-0000658F0000}"/>
    <cellStyle name="Normal 5 17 29 5 10" xfId="36712" xr:uid="{00000000-0005-0000-0000-0000668F0000}"/>
    <cellStyle name="Normal 5 17 29 5 2" xfId="36713" xr:uid="{00000000-0005-0000-0000-0000678F0000}"/>
    <cellStyle name="Normal 5 17 29 5 3" xfId="36714" xr:uid="{00000000-0005-0000-0000-0000688F0000}"/>
    <cellStyle name="Normal 5 17 29 5 4" xfId="36715" xr:uid="{00000000-0005-0000-0000-0000698F0000}"/>
    <cellStyle name="Normal 5 17 29 5 5" xfId="36716" xr:uid="{00000000-0005-0000-0000-00006A8F0000}"/>
    <cellStyle name="Normal 5 17 29 5 6" xfId="36717" xr:uid="{00000000-0005-0000-0000-00006B8F0000}"/>
    <cellStyle name="Normal 5 17 29 5 7" xfId="36718" xr:uid="{00000000-0005-0000-0000-00006C8F0000}"/>
    <cellStyle name="Normal 5 17 29 5 8" xfId="36719" xr:uid="{00000000-0005-0000-0000-00006D8F0000}"/>
    <cellStyle name="Normal 5 17 29 5 9" xfId="36720" xr:uid="{00000000-0005-0000-0000-00006E8F0000}"/>
    <cellStyle name="Normal 5 17 29 6" xfId="36721" xr:uid="{00000000-0005-0000-0000-00006F8F0000}"/>
    <cellStyle name="Normal 5 17 29 7" xfId="36722" xr:uid="{00000000-0005-0000-0000-0000708F0000}"/>
    <cellStyle name="Normal 5 17 29 8" xfId="36723" xr:uid="{00000000-0005-0000-0000-0000718F0000}"/>
    <cellStyle name="Normal 5 17 29 9" xfId="36724" xr:uid="{00000000-0005-0000-0000-0000728F0000}"/>
    <cellStyle name="Normal 5 17 3" xfId="36725" xr:uid="{00000000-0005-0000-0000-0000738F0000}"/>
    <cellStyle name="Normal 5 17 3 10" xfId="36726" xr:uid="{00000000-0005-0000-0000-0000748F0000}"/>
    <cellStyle name="Normal 5 17 3 11" xfId="36727" xr:uid="{00000000-0005-0000-0000-0000758F0000}"/>
    <cellStyle name="Normal 5 17 3 12" xfId="36728" xr:uid="{00000000-0005-0000-0000-0000768F0000}"/>
    <cellStyle name="Normal 5 17 3 13" xfId="36729" xr:uid="{00000000-0005-0000-0000-0000778F0000}"/>
    <cellStyle name="Normal 5 17 3 14" xfId="36730" xr:uid="{00000000-0005-0000-0000-0000788F0000}"/>
    <cellStyle name="Normal 5 17 3 2" xfId="36731" xr:uid="{00000000-0005-0000-0000-0000798F0000}"/>
    <cellStyle name="Normal 5 17 3 2 10" xfId="36732" xr:uid="{00000000-0005-0000-0000-00007A8F0000}"/>
    <cellStyle name="Normal 5 17 3 2 2" xfId="36733" xr:uid="{00000000-0005-0000-0000-00007B8F0000}"/>
    <cellStyle name="Normal 5 17 3 2 3" xfId="36734" xr:uid="{00000000-0005-0000-0000-00007C8F0000}"/>
    <cellStyle name="Normal 5 17 3 2 4" xfId="36735" xr:uid="{00000000-0005-0000-0000-00007D8F0000}"/>
    <cellStyle name="Normal 5 17 3 2 5" xfId="36736" xr:uid="{00000000-0005-0000-0000-00007E8F0000}"/>
    <cellStyle name="Normal 5 17 3 2 6" xfId="36737" xr:uid="{00000000-0005-0000-0000-00007F8F0000}"/>
    <cellStyle name="Normal 5 17 3 2 7" xfId="36738" xr:uid="{00000000-0005-0000-0000-0000808F0000}"/>
    <cellStyle name="Normal 5 17 3 2 8" xfId="36739" xr:uid="{00000000-0005-0000-0000-0000818F0000}"/>
    <cellStyle name="Normal 5 17 3 2 9" xfId="36740" xr:uid="{00000000-0005-0000-0000-0000828F0000}"/>
    <cellStyle name="Normal 5 17 3 3" xfId="36741" xr:uid="{00000000-0005-0000-0000-0000838F0000}"/>
    <cellStyle name="Normal 5 17 3 3 10" xfId="36742" xr:uid="{00000000-0005-0000-0000-0000848F0000}"/>
    <cellStyle name="Normal 5 17 3 3 2" xfId="36743" xr:uid="{00000000-0005-0000-0000-0000858F0000}"/>
    <cellStyle name="Normal 5 17 3 3 3" xfId="36744" xr:uid="{00000000-0005-0000-0000-0000868F0000}"/>
    <cellStyle name="Normal 5 17 3 3 4" xfId="36745" xr:uid="{00000000-0005-0000-0000-0000878F0000}"/>
    <cellStyle name="Normal 5 17 3 3 5" xfId="36746" xr:uid="{00000000-0005-0000-0000-0000888F0000}"/>
    <cellStyle name="Normal 5 17 3 3 6" xfId="36747" xr:uid="{00000000-0005-0000-0000-0000898F0000}"/>
    <cellStyle name="Normal 5 17 3 3 7" xfId="36748" xr:uid="{00000000-0005-0000-0000-00008A8F0000}"/>
    <cellStyle name="Normal 5 17 3 3 8" xfId="36749" xr:uid="{00000000-0005-0000-0000-00008B8F0000}"/>
    <cellStyle name="Normal 5 17 3 3 9" xfId="36750" xr:uid="{00000000-0005-0000-0000-00008C8F0000}"/>
    <cellStyle name="Normal 5 17 3 4" xfId="36751" xr:uid="{00000000-0005-0000-0000-00008D8F0000}"/>
    <cellStyle name="Normal 5 17 3 4 10" xfId="36752" xr:uid="{00000000-0005-0000-0000-00008E8F0000}"/>
    <cellStyle name="Normal 5 17 3 4 2" xfId="36753" xr:uid="{00000000-0005-0000-0000-00008F8F0000}"/>
    <cellStyle name="Normal 5 17 3 4 3" xfId="36754" xr:uid="{00000000-0005-0000-0000-0000908F0000}"/>
    <cellStyle name="Normal 5 17 3 4 4" xfId="36755" xr:uid="{00000000-0005-0000-0000-0000918F0000}"/>
    <cellStyle name="Normal 5 17 3 4 5" xfId="36756" xr:uid="{00000000-0005-0000-0000-0000928F0000}"/>
    <cellStyle name="Normal 5 17 3 4 6" xfId="36757" xr:uid="{00000000-0005-0000-0000-0000938F0000}"/>
    <cellStyle name="Normal 5 17 3 4 7" xfId="36758" xr:uid="{00000000-0005-0000-0000-0000948F0000}"/>
    <cellStyle name="Normal 5 17 3 4 8" xfId="36759" xr:uid="{00000000-0005-0000-0000-0000958F0000}"/>
    <cellStyle name="Normal 5 17 3 4 9" xfId="36760" xr:uid="{00000000-0005-0000-0000-0000968F0000}"/>
    <cellStyle name="Normal 5 17 3 5" xfId="36761" xr:uid="{00000000-0005-0000-0000-0000978F0000}"/>
    <cellStyle name="Normal 5 17 3 5 10" xfId="36762" xr:uid="{00000000-0005-0000-0000-0000988F0000}"/>
    <cellStyle name="Normal 5 17 3 5 2" xfId="36763" xr:uid="{00000000-0005-0000-0000-0000998F0000}"/>
    <cellStyle name="Normal 5 17 3 5 3" xfId="36764" xr:uid="{00000000-0005-0000-0000-00009A8F0000}"/>
    <cellStyle name="Normal 5 17 3 5 4" xfId="36765" xr:uid="{00000000-0005-0000-0000-00009B8F0000}"/>
    <cellStyle name="Normal 5 17 3 5 5" xfId="36766" xr:uid="{00000000-0005-0000-0000-00009C8F0000}"/>
    <cellStyle name="Normal 5 17 3 5 6" xfId="36767" xr:uid="{00000000-0005-0000-0000-00009D8F0000}"/>
    <cellStyle name="Normal 5 17 3 5 7" xfId="36768" xr:uid="{00000000-0005-0000-0000-00009E8F0000}"/>
    <cellStyle name="Normal 5 17 3 5 8" xfId="36769" xr:uid="{00000000-0005-0000-0000-00009F8F0000}"/>
    <cellStyle name="Normal 5 17 3 5 9" xfId="36770" xr:uid="{00000000-0005-0000-0000-0000A08F0000}"/>
    <cellStyle name="Normal 5 17 3 6" xfId="36771" xr:uid="{00000000-0005-0000-0000-0000A18F0000}"/>
    <cellStyle name="Normal 5 17 3 7" xfId="36772" xr:uid="{00000000-0005-0000-0000-0000A28F0000}"/>
    <cellStyle name="Normal 5 17 3 8" xfId="36773" xr:uid="{00000000-0005-0000-0000-0000A38F0000}"/>
    <cellStyle name="Normal 5 17 3 9" xfId="36774" xr:uid="{00000000-0005-0000-0000-0000A48F0000}"/>
    <cellStyle name="Normal 5 17 30" xfId="36775" xr:uid="{00000000-0005-0000-0000-0000A58F0000}"/>
    <cellStyle name="Normal 5 17 30 10" xfId="36776" xr:uid="{00000000-0005-0000-0000-0000A68F0000}"/>
    <cellStyle name="Normal 5 17 30 11" xfId="36777" xr:uid="{00000000-0005-0000-0000-0000A78F0000}"/>
    <cellStyle name="Normal 5 17 30 12" xfId="36778" xr:uid="{00000000-0005-0000-0000-0000A88F0000}"/>
    <cellStyle name="Normal 5 17 30 13" xfId="36779" xr:uid="{00000000-0005-0000-0000-0000A98F0000}"/>
    <cellStyle name="Normal 5 17 30 14" xfId="36780" xr:uid="{00000000-0005-0000-0000-0000AA8F0000}"/>
    <cellStyle name="Normal 5 17 30 2" xfId="36781" xr:uid="{00000000-0005-0000-0000-0000AB8F0000}"/>
    <cellStyle name="Normal 5 17 30 2 10" xfId="36782" xr:uid="{00000000-0005-0000-0000-0000AC8F0000}"/>
    <cellStyle name="Normal 5 17 30 2 2" xfId="36783" xr:uid="{00000000-0005-0000-0000-0000AD8F0000}"/>
    <cellStyle name="Normal 5 17 30 2 3" xfId="36784" xr:uid="{00000000-0005-0000-0000-0000AE8F0000}"/>
    <cellStyle name="Normal 5 17 30 2 4" xfId="36785" xr:uid="{00000000-0005-0000-0000-0000AF8F0000}"/>
    <cellStyle name="Normal 5 17 30 2 5" xfId="36786" xr:uid="{00000000-0005-0000-0000-0000B08F0000}"/>
    <cellStyle name="Normal 5 17 30 2 6" xfId="36787" xr:uid="{00000000-0005-0000-0000-0000B18F0000}"/>
    <cellStyle name="Normal 5 17 30 2 7" xfId="36788" xr:uid="{00000000-0005-0000-0000-0000B28F0000}"/>
    <cellStyle name="Normal 5 17 30 2 8" xfId="36789" xr:uid="{00000000-0005-0000-0000-0000B38F0000}"/>
    <cellStyle name="Normal 5 17 30 2 9" xfId="36790" xr:uid="{00000000-0005-0000-0000-0000B48F0000}"/>
    <cellStyle name="Normal 5 17 30 3" xfId="36791" xr:uid="{00000000-0005-0000-0000-0000B58F0000}"/>
    <cellStyle name="Normal 5 17 30 3 10" xfId="36792" xr:uid="{00000000-0005-0000-0000-0000B68F0000}"/>
    <cellStyle name="Normal 5 17 30 3 2" xfId="36793" xr:uid="{00000000-0005-0000-0000-0000B78F0000}"/>
    <cellStyle name="Normal 5 17 30 3 3" xfId="36794" xr:uid="{00000000-0005-0000-0000-0000B88F0000}"/>
    <cellStyle name="Normal 5 17 30 3 4" xfId="36795" xr:uid="{00000000-0005-0000-0000-0000B98F0000}"/>
    <cellStyle name="Normal 5 17 30 3 5" xfId="36796" xr:uid="{00000000-0005-0000-0000-0000BA8F0000}"/>
    <cellStyle name="Normal 5 17 30 3 6" xfId="36797" xr:uid="{00000000-0005-0000-0000-0000BB8F0000}"/>
    <cellStyle name="Normal 5 17 30 3 7" xfId="36798" xr:uid="{00000000-0005-0000-0000-0000BC8F0000}"/>
    <cellStyle name="Normal 5 17 30 3 8" xfId="36799" xr:uid="{00000000-0005-0000-0000-0000BD8F0000}"/>
    <cellStyle name="Normal 5 17 30 3 9" xfId="36800" xr:uid="{00000000-0005-0000-0000-0000BE8F0000}"/>
    <cellStyle name="Normal 5 17 30 4" xfId="36801" xr:uid="{00000000-0005-0000-0000-0000BF8F0000}"/>
    <cellStyle name="Normal 5 17 30 4 10" xfId="36802" xr:uid="{00000000-0005-0000-0000-0000C08F0000}"/>
    <cellStyle name="Normal 5 17 30 4 2" xfId="36803" xr:uid="{00000000-0005-0000-0000-0000C18F0000}"/>
    <cellStyle name="Normal 5 17 30 4 3" xfId="36804" xr:uid="{00000000-0005-0000-0000-0000C28F0000}"/>
    <cellStyle name="Normal 5 17 30 4 4" xfId="36805" xr:uid="{00000000-0005-0000-0000-0000C38F0000}"/>
    <cellStyle name="Normal 5 17 30 4 5" xfId="36806" xr:uid="{00000000-0005-0000-0000-0000C48F0000}"/>
    <cellStyle name="Normal 5 17 30 4 6" xfId="36807" xr:uid="{00000000-0005-0000-0000-0000C58F0000}"/>
    <cellStyle name="Normal 5 17 30 4 7" xfId="36808" xr:uid="{00000000-0005-0000-0000-0000C68F0000}"/>
    <cellStyle name="Normal 5 17 30 4 8" xfId="36809" xr:uid="{00000000-0005-0000-0000-0000C78F0000}"/>
    <cellStyle name="Normal 5 17 30 4 9" xfId="36810" xr:uid="{00000000-0005-0000-0000-0000C88F0000}"/>
    <cellStyle name="Normal 5 17 30 5" xfId="36811" xr:uid="{00000000-0005-0000-0000-0000C98F0000}"/>
    <cellStyle name="Normal 5 17 30 5 10" xfId="36812" xr:uid="{00000000-0005-0000-0000-0000CA8F0000}"/>
    <cellStyle name="Normal 5 17 30 5 2" xfId="36813" xr:uid="{00000000-0005-0000-0000-0000CB8F0000}"/>
    <cellStyle name="Normal 5 17 30 5 3" xfId="36814" xr:uid="{00000000-0005-0000-0000-0000CC8F0000}"/>
    <cellStyle name="Normal 5 17 30 5 4" xfId="36815" xr:uid="{00000000-0005-0000-0000-0000CD8F0000}"/>
    <cellStyle name="Normal 5 17 30 5 5" xfId="36816" xr:uid="{00000000-0005-0000-0000-0000CE8F0000}"/>
    <cellStyle name="Normal 5 17 30 5 6" xfId="36817" xr:uid="{00000000-0005-0000-0000-0000CF8F0000}"/>
    <cellStyle name="Normal 5 17 30 5 7" xfId="36818" xr:uid="{00000000-0005-0000-0000-0000D08F0000}"/>
    <cellStyle name="Normal 5 17 30 5 8" xfId="36819" xr:uid="{00000000-0005-0000-0000-0000D18F0000}"/>
    <cellStyle name="Normal 5 17 30 5 9" xfId="36820" xr:uid="{00000000-0005-0000-0000-0000D28F0000}"/>
    <cellStyle name="Normal 5 17 30 6" xfId="36821" xr:uid="{00000000-0005-0000-0000-0000D38F0000}"/>
    <cellStyle name="Normal 5 17 30 7" xfId="36822" xr:uid="{00000000-0005-0000-0000-0000D48F0000}"/>
    <cellStyle name="Normal 5 17 30 8" xfId="36823" xr:uid="{00000000-0005-0000-0000-0000D58F0000}"/>
    <cellStyle name="Normal 5 17 30 9" xfId="36824" xr:uid="{00000000-0005-0000-0000-0000D68F0000}"/>
    <cellStyle name="Normal 5 17 31" xfId="36825" xr:uid="{00000000-0005-0000-0000-0000D78F0000}"/>
    <cellStyle name="Normal 5 17 31 10" xfId="36826" xr:uid="{00000000-0005-0000-0000-0000D88F0000}"/>
    <cellStyle name="Normal 5 17 31 11" xfId="36827" xr:uid="{00000000-0005-0000-0000-0000D98F0000}"/>
    <cellStyle name="Normal 5 17 31 12" xfId="36828" xr:uid="{00000000-0005-0000-0000-0000DA8F0000}"/>
    <cellStyle name="Normal 5 17 31 13" xfId="36829" xr:uid="{00000000-0005-0000-0000-0000DB8F0000}"/>
    <cellStyle name="Normal 5 17 31 14" xfId="36830" xr:uid="{00000000-0005-0000-0000-0000DC8F0000}"/>
    <cellStyle name="Normal 5 17 31 2" xfId="36831" xr:uid="{00000000-0005-0000-0000-0000DD8F0000}"/>
    <cellStyle name="Normal 5 17 31 2 10" xfId="36832" xr:uid="{00000000-0005-0000-0000-0000DE8F0000}"/>
    <cellStyle name="Normal 5 17 31 2 2" xfId="36833" xr:uid="{00000000-0005-0000-0000-0000DF8F0000}"/>
    <cellStyle name="Normal 5 17 31 2 3" xfId="36834" xr:uid="{00000000-0005-0000-0000-0000E08F0000}"/>
    <cellStyle name="Normal 5 17 31 2 4" xfId="36835" xr:uid="{00000000-0005-0000-0000-0000E18F0000}"/>
    <cellStyle name="Normal 5 17 31 2 5" xfId="36836" xr:uid="{00000000-0005-0000-0000-0000E28F0000}"/>
    <cellStyle name="Normal 5 17 31 2 6" xfId="36837" xr:uid="{00000000-0005-0000-0000-0000E38F0000}"/>
    <cellStyle name="Normal 5 17 31 2 7" xfId="36838" xr:uid="{00000000-0005-0000-0000-0000E48F0000}"/>
    <cellStyle name="Normal 5 17 31 2 8" xfId="36839" xr:uid="{00000000-0005-0000-0000-0000E58F0000}"/>
    <cellStyle name="Normal 5 17 31 2 9" xfId="36840" xr:uid="{00000000-0005-0000-0000-0000E68F0000}"/>
    <cellStyle name="Normal 5 17 31 3" xfId="36841" xr:uid="{00000000-0005-0000-0000-0000E78F0000}"/>
    <cellStyle name="Normal 5 17 31 3 10" xfId="36842" xr:uid="{00000000-0005-0000-0000-0000E88F0000}"/>
    <cellStyle name="Normal 5 17 31 3 2" xfId="36843" xr:uid="{00000000-0005-0000-0000-0000E98F0000}"/>
    <cellStyle name="Normal 5 17 31 3 3" xfId="36844" xr:uid="{00000000-0005-0000-0000-0000EA8F0000}"/>
    <cellStyle name="Normal 5 17 31 3 4" xfId="36845" xr:uid="{00000000-0005-0000-0000-0000EB8F0000}"/>
    <cellStyle name="Normal 5 17 31 3 5" xfId="36846" xr:uid="{00000000-0005-0000-0000-0000EC8F0000}"/>
    <cellStyle name="Normal 5 17 31 3 6" xfId="36847" xr:uid="{00000000-0005-0000-0000-0000ED8F0000}"/>
    <cellStyle name="Normal 5 17 31 3 7" xfId="36848" xr:uid="{00000000-0005-0000-0000-0000EE8F0000}"/>
    <cellStyle name="Normal 5 17 31 3 8" xfId="36849" xr:uid="{00000000-0005-0000-0000-0000EF8F0000}"/>
    <cellStyle name="Normal 5 17 31 3 9" xfId="36850" xr:uid="{00000000-0005-0000-0000-0000F08F0000}"/>
    <cellStyle name="Normal 5 17 31 4" xfId="36851" xr:uid="{00000000-0005-0000-0000-0000F18F0000}"/>
    <cellStyle name="Normal 5 17 31 4 10" xfId="36852" xr:uid="{00000000-0005-0000-0000-0000F28F0000}"/>
    <cellStyle name="Normal 5 17 31 4 2" xfId="36853" xr:uid="{00000000-0005-0000-0000-0000F38F0000}"/>
    <cellStyle name="Normal 5 17 31 4 3" xfId="36854" xr:uid="{00000000-0005-0000-0000-0000F48F0000}"/>
    <cellStyle name="Normal 5 17 31 4 4" xfId="36855" xr:uid="{00000000-0005-0000-0000-0000F58F0000}"/>
    <cellStyle name="Normal 5 17 31 4 5" xfId="36856" xr:uid="{00000000-0005-0000-0000-0000F68F0000}"/>
    <cellStyle name="Normal 5 17 31 4 6" xfId="36857" xr:uid="{00000000-0005-0000-0000-0000F78F0000}"/>
    <cellStyle name="Normal 5 17 31 4 7" xfId="36858" xr:uid="{00000000-0005-0000-0000-0000F88F0000}"/>
    <cellStyle name="Normal 5 17 31 4 8" xfId="36859" xr:uid="{00000000-0005-0000-0000-0000F98F0000}"/>
    <cellStyle name="Normal 5 17 31 4 9" xfId="36860" xr:uid="{00000000-0005-0000-0000-0000FA8F0000}"/>
    <cellStyle name="Normal 5 17 31 5" xfId="36861" xr:uid="{00000000-0005-0000-0000-0000FB8F0000}"/>
    <cellStyle name="Normal 5 17 31 5 10" xfId="36862" xr:uid="{00000000-0005-0000-0000-0000FC8F0000}"/>
    <cellStyle name="Normal 5 17 31 5 2" xfId="36863" xr:uid="{00000000-0005-0000-0000-0000FD8F0000}"/>
    <cellStyle name="Normal 5 17 31 5 3" xfId="36864" xr:uid="{00000000-0005-0000-0000-0000FE8F0000}"/>
    <cellStyle name="Normal 5 17 31 5 4" xfId="36865" xr:uid="{00000000-0005-0000-0000-0000FF8F0000}"/>
    <cellStyle name="Normal 5 17 31 5 5" xfId="36866" xr:uid="{00000000-0005-0000-0000-000000900000}"/>
    <cellStyle name="Normal 5 17 31 5 6" xfId="36867" xr:uid="{00000000-0005-0000-0000-000001900000}"/>
    <cellStyle name="Normal 5 17 31 5 7" xfId="36868" xr:uid="{00000000-0005-0000-0000-000002900000}"/>
    <cellStyle name="Normal 5 17 31 5 8" xfId="36869" xr:uid="{00000000-0005-0000-0000-000003900000}"/>
    <cellStyle name="Normal 5 17 31 5 9" xfId="36870" xr:uid="{00000000-0005-0000-0000-000004900000}"/>
    <cellStyle name="Normal 5 17 31 6" xfId="36871" xr:uid="{00000000-0005-0000-0000-000005900000}"/>
    <cellStyle name="Normal 5 17 31 7" xfId="36872" xr:uid="{00000000-0005-0000-0000-000006900000}"/>
    <cellStyle name="Normal 5 17 31 8" xfId="36873" xr:uid="{00000000-0005-0000-0000-000007900000}"/>
    <cellStyle name="Normal 5 17 31 9" xfId="36874" xr:uid="{00000000-0005-0000-0000-000008900000}"/>
    <cellStyle name="Normal 5 17 32" xfId="36875" xr:uid="{00000000-0005-0000-0000-000009900000}"/>
    <cellStyle name="Normal 5 17 32 10" xfId="36876" xr:uid="{00000000-0005-0000-0000-00000A900000}"/>
    <cellStyle name="Normal 5 17 32 11" xfId="36877" xr:uid="{00000000-0005-0000-0000-00000B900000}"/>
    <cellStyle name="Normal 5 17 32 12" xfId="36878" xr:uid="{00000000-0005-0000-0000-00000C900000}"/>
    <cellStyle name="Normal 5 17 32 13" xfId="36879" xr:uid="{00000000-0005-0000-0000-00000D900000}"/>
    <cellStyle name="Normal 5 17 32 14" xfId="36880" xr:uid="{00000000-0005-0000-0000-00000E900000}"/>
    <cellStyle name="Normal 5 17 32 2" xfId="36881" xr:uid="{00000000-0005-0000-0000-00000F900000}"/>
    <cellStyle name="Normal 5 17 32 2 10" xfId="36882" xr:uid="{00000000-0005-0000-0000-000010900000}"/>
    <cellStyle name="Normal 5 17 32 2 2" xfId="36883" xr:uid="{00000000-0005-0000-0000-000011900000}"/>
    <cellStyle name="Normal 5 17 32 2 3" xfId="36884" xr:uid="{00000000-0005-0000-0000-000012900000}"/>
    <cellStyle name="Normal 5 17 32 2 4" xfId="36885" xr:uid="{00000000-0005-0000-0000-000013900000}"/>
    <cellStyle name="Normal 5 17 32 2 5" xfId="36886" xr:uid="{00000000-0005-0000-0000-000014900000}"/>
    <cellStyle name="Normal 5 17 32 2 6" xfId="36887" xr:uid="{00000000-0005-0000-0000-000015900000}"/>
    <cellStyle name="Normal 5 17 32 2 7" xfId="36888" xr:uid="{00000000-0005-0000-0000-000016900000}"/>
    <cellStyle name="Normal 5 17 32 2 8" xfId="36889" xr:uid="{00000000-0005-0000-0000-000017900000}"/>
    <cellStyle name="Normal 5 17 32 2 9" xfId="36890" xr:uid="{00000000-0005-0000-0000-000018900000}"/>
    <cellStyle name="Normal 5 17 32 3" xfId="36891" xr:uid="{00000000-0005-0000-0000-000019900000}"/>
    <cellStyle name="Normal 5 17 32 3 10" xfId="36892" xr:uid="{00000000-0005-0000-0000-00001A900000}"/>
    <cellStyle name="Normal 5 17 32 3 2" xfId="36893" xr:uid="{00000000-0005-0000-0000-00001B900000}"/>
    <cellStyle name="Normal 5 17 32 3 3" xfId="36894" xr:uid="{00000000-0005-0000-0000-00001C900000}"/>
    <cellStyle name="Normal 5 17 32 3 4" xfId="36895" xr:uid="{00000000-0005-0000-0000-00001D900000}"/>
    <cellStyle name="Normal 5 17 32 3 5" xfId="36896" xr:uid="{00000000-0005-0000-0000-00001E900000}"/>
    <cellStyle name="Normal 5 17 32 3 6" xfId="36897" xr:uid="{00000000-0005-0000-0000-00001F900000}"/>
    <cellStyle name="Normal 5 17 32 3 7" xfId="36898" xr:uid="{00000000-0005-0000-0000-000020900000}"/>
    <cellStyle name="Normal 5 17 32 3 8" xfId="36899" xr:uid="{00000000-0005-0000-0000-000021900000}"/>
    <cellStyle name="Normal 5 17 32 3 9" xfId="36900" xr:uid="{00000000-0005-0000-0000-000022900000}"/>
    <cellStyle name="Normal 5 17 32 4" xfId="36901" xr:uid="{00000000-0005-0000-0000-000023900000}"/>
    <cellStyle name="Normal 5 17 32 4 10" xfId="36902" xr:uid="{00000000-0005-0000-0000-000024900000}"/>
    <cellStyle name="Normal 5 17 32 4 2" xfId="36903" xr:uid="{00000000-0005-0000-0000-000025900000}"/>
    <cellStyle name="Normal 5 17 32 4 3" xfId="36904" xr:uid="{00000000-0005-0000-0000-000026900000}"/>
    <cellStyle name="Normal 5 17 32 4 4" xfId="36905" xr:uid="{00000000-0005-0000-0000-000027900000}"/>
    <cellStyle name="Normal 5 17 32 4 5" xfId="36906" xr:uid="{00000000-0005-0000-0000-000028900000}"/>
    <cellStyle name="Normal 5 17 32 4 6" xfId="36907" xr:uid="{00000000-0005-0000-0000-000029900000}"/>
    <cellStyle name="Normal 5 17 32 4 7" xfId="36908" xr:uid="{00000000-0005-0000-0000-00002A900000}"/>
    <cellStyle name="Normal 5 17 32 4 8" xfId="36909" xr:uid="{00000000-0005-0000-0000-00002B900000}"/>
    <cellStyle name="Normal 5 17 32 4 9" xfId="36910" xr:uid="{00000000-0005-0000-0000-00002C900000}"/>
    <cellStyle name="Normal 5 17 32 5" xfId="36911" xr:uid="{00000000-0005-0000-0000-00002D900000}"/>
    <cellStyle name="Normal 5 17 32 5 10" xfId="36912" xr:uid="{00000000-0005-0000-0000-00002E900000}"/>
    <cellStyle name="Normal 5 17 32 5 2" xfId="36913" xr:uid="{00000000-0005-0000-0000-00002F900000}"/>
    <cellStyle name="Normal 5 17 32 5 3" xfId="36914" xr:uid="{00000000-0005-0000-0000-000030900000}"/>
    <cellStyle name="Normal 5 17 32 5 4" xfId="36915" xr:uid="{00000000-0005-0000-0000-000031900000}"/>
    <cellStyle name="Normal 5 17 32 5 5" xfId="36916" xr:uid="{00000000-0005-0000-0000-000032900000}"/>
    <cellStyle name="Normal 5 17 32 5 6" xfId="36917" xr:uid="{00000000-0005-0000-0000-000033900000}"/>
    <cellStyle name="Normal 5 17 32 5 7" xfId="36918" xr:uid="{00000000-0005-0000-0000-000034900000}"/>
    <cellStyle name="Normal 5 17 32 5 8" xfId="36919" xr:uid="{00000000-0005-0000-0000-000035900000}"/>
    <cellStyle name="Normal 5 17 32 5 9" xfId="36920" xr:uid="{00000000-0005-0000-0000-000036900000}"/>
    <cellStyle name="Normal 5 17 32 6" xfId="36921" xr:uid="{00000000-0005-0000-0000-000037900000}"/>
    <cellStyle name="Normal 5 17 32 7" xfId="36922" xr:uid="{00000000-0005-0000-0000-000038900000}"/>
    <cellStyle name="Normal 5 17 32 8" xfId="36923" xr:uid="{00000000-0005-0000-0000-000039900000}"/>
    <cellStyle name="Normal 5 17 32 9" xfId="36924" xr:uid="{00000000-0005-0000-0000-00003A900000}"/>
    <cellStyle name="Normal 5 17 33" xfId="36925" xr:uid="{00000000-0005-0000-0000-00003B900000}"/>
    <cellStyle name="Normal 5 17 33 10" xfId="36926" xr:uid="{00000000-0005-0000-0000-00003C900000}"/>
    <cellStyle name="Normal 5 17 33 11" xfId="36927" xr:uid="{00000000-0005-0000-0000-00003D900000}"/>
    <cellStyle name="Normal 5 17 33 12" xfId="36928" xr:uid="{00000000-0005-0000-0000-00003E900000}"/>
    <cellStyle name="Normal 5 17 33 13" xfId="36929" xr:uid="{00000000-0005-0000-0000-00003F900000}"/>
    <cellStyle name="Normal 5 17 33 14" xfId="36930" xr:uid="{00000000-0005-0000-0000-000040900000}"/>
    <cellStyle name="Normal 5 17 33 2" xfId="36931" xr:uid="{00000000-0005-0000-0000-000041900000}"/>
    <cellStyle name="Normal 5 17 33 2 10" xfId="36932" xr:uid="{00000000-0005-0000-0000-000042900000}"/>
    <cellStyle name="Normal 5 17 33 2 2" xfId="36933" xr:uid="{00000000-0005-0000-0000-000043900000}"/>
    <cellStyle name="Normal 5 17 33 2 3" xfId="36934" xr:uid="{00000000-0005-0000-0000-000044900000}"/>
    <cellStyle name="Normal 5 17 33 2 4" xfId="36935" xr:uid="{00000000-0005-0000-0000-000045900000}"/>
    <cellStyle name="Normal 5 17 33 2 5" xfId="36936" xr:uid="{00000000-0005-0000-0000-000046900000}"/>
    <cellStyle name="Normal 5 17 33 2 6" xfId="36937" xr:uid="{00000000-0005-0000-0000-000047900000}"/>
    <cellStyle name="Normal 5 17 33 2 7" xfId="36938" xr:uid="{00000000-0005-0000-0000-000048900000}"/>
    <cellStyle name="Normal 5 17 33 2 8" xfId="36939" xr:uid="{00000000-0005-0000-0000-000049900000}"/>
    <cellStyle name="Normal 5 17 33 2 9" xfId="36940" xr:uid="{00000000-0005-0000-0000-00004A900000}"/>
    <cellStyle name="Normal 5 17 33 3" xfId="36941" xr:uid="{00000000-0005-0000-0000-00004B900000}"/>
    <cellStyle name="Normal 5 17 33 3 10" xfId="36942" xr:uid="{00000000-0005-0000-0000-00004C900000}"/>
    <cellStyle name="Normal 5 17 33 3 2" xfId="36943" xr:uid="{00000000-0005-0000-0000-00004D900000}"/>
    <cellStyle name="Normal 5 17 33 3 3" xfId="36944" xr:uid="{00000000-0005-0000-0000-00004E900000}"/>
    <cellStyle name="Normal 5 17 33 3 4" xfId="36945" xr:uid="{00000000-0005-0000-0000-00004F900000}"/>
    <cellStyle name="Normal 5 17 33 3 5" xfId="36946" xr:uid="{00000000-0005-0000-0000-000050900000}"/>
    <cellStyle name="Normal 5 17 33 3 6" xfId="36947" xr:uid="{00000000-0005-0000-0000-000051900000}"/>
    <cellStyle name="Normal 5 17 33 3 7" xfId="36948" xr:uid="{00000000-0005-0000-0000-000052900000}"/>
    <cellStyle name="Normal 5 17 33 3 8" xfId="36949" xr:uid="{00000000-0005-0000-0000-000053900000}"/>
    <cellStyle name="Normal 5 17 33 3 9" xfId="36950" xr:uid="{00000000-0005-0000-0000-000054900000}"/>
    <cellStyle name="Normal 5 17 33 4" xfId="36951" xr:uid="{00000000-0005-0000-0000-000055900000}"/>
    <cellStyle name="Normal 5 17 33 4 10" xfId="36952" xr:uid="{00000000-0005-0000-0000-000056900000}"/>
    <cellStyle name="Normal 5 17 33 4 2" xfId="36953" xr:uid="{00000000-0005-0000-0000-000057900000}"/>
    <cellStyle name="Normal 5 17 33 4 3" xfId="36954" xr:uid="{00000000-0005-0000-0000-000058900000}"/>
    <cellStyle name="Normal 5 17 33 4 4" xfId="36955" xr:uid="{00000000-0005-0000-0000-000059900000}"/>
    <cellStyle name="Normal 5 17 33 4 5" xfId="36956" xr:uid="{00000000-0005-0000-0000-00005A900000}"/>
    <cellStyle name="Normal 5 17 33 4 6" xfId="36957" xr:uid="{00000000-0005-0000-0000-00005B900000}"/>
    <cellStyle name="Normal 5 17 33 4 7" xfId="36958" xr:uid="{00000000-0005-0000-0000-00005C900000}"/>
    <cellStyle name="Normal 5 17 33 4 8" xfId="36959" xr:uid="{00000000-0005-0000-0000-00005D900000}"/>
    <cellStyle name="Normal 5 17 33 4 9" xfId="36960" xr:uid="{00000000-0005-0000-0000-00005E900000}"/>
    <cellStyle name="Normal 5 17 33 5" xfId="36961" xr:uid="{00000000-0005-0000-0000-00005F900000}"/>
    <cellStyle name="Normal 5 17 33 5 10" xfId="36962" xr:uid="{00000000-0005-0000-0000-000060900000}"/>
    <cellStyle name="Normal 5 17 33 5 2" xfId="36963" xr:uid="{00000000-0005-0000-0000-000061900000}"/>
    <cellStyle name="Normal 5 17 33 5 3" xfId="36964" xr:uid="{00000000-0005-0000-0000-000062900000}"/>
    <cellStyle name="Normal 5 17 33 5 4" xfId="36965" xr:uid="{00000000-0005-0000-0000-000063900000}"/>
    <cellStyle name="Normal 5 17 33 5 5" xfId="36966" xr:uid="{00000000-0005-0000-0000-000064900000}"/>
    <cellStyle name="Normal 5 17 33 5 6" xfId="36967" xr:uid="{00000000-0005-0000-0000-000065900000}"/>
    <cellStyle name="Normal 5 17 33 5 7" xfId="36968" xr:uid="{00000000-0005-0000-0000-000066900000}"/>
    <cellStyle name="Normal 5 17 33 5 8" xfId="36969" xr:uid="{00000000-0005-0000-0000-000067900000}"/>
    <cellStyle name="Normal 5 17 33 5 9" xfId="36970" xr:uid="{00000000-0005-0000-0000-000068900000}"/>
    <cellStyle name="Normal 5 17 33 6" xfId="36971" xr:uid="{00000000-0005-0000-0000-000069900000}"/>
    <cellStyle name="Normal 5 17 33 7" xfId="36972" xr:uid="{00000000-0005-0000-0000-00006A900000}"/>
    <cellStyle name="Normal 5 17 33 8" xfId="36973" xr:uid="{00000000-0005-0000-0000-00006B900000}"/>
    <cellStyle name="Normal 5 17 33 9" xfId="36974" xr:uid="{00000000-0005-0000-0000-00006C900000}"/>
    <cellStyle name="Normal 5 17 34" xfId="36975" xr:uid="{00000000-0005-0000-0000-00006D900000}"/>
    <cellStyle name="Normal 5 17 34 10" xfId="36976" xr:uid="{00000000-0005-0000-0000-00006E900000}"/>
    <cellStyle name="Normal 5 17 34 11" xfId="36977" xr:uid="{00000000-0005-0000-0000-00006F900000}"/>
    <cellStyle name="Normal 5 17 34 12" xfId="36978" xr:uid="{00000000-0005-0000-0000-000070900000}"/>
    <cellStyle name="Normal 5 17 34 13" xfId="36979" xr:uid="{00000000-0005-0000-0000-000071900000}"/>
    <cellStyle name="Normal 5 17 34 14" xfId="36980" xr:uid="{00000000-0005-0000-0000-000072900000}"/>
    <cellStyle name="Normal 5 17 34 2" xfId="36981" xr:uid="{00000000-0005-0000-0000-000073900000}"/>
    <cellStyle name="Normal 5 17 34 2 10" xfId="36982" xr:uid="{00000000-0005-0000-0000-000074900000}"/>
    <cellStyle name="Normal 5 17 34 2 2" xfId="36983" xr:uid="{00000000-0005-0000-0000-000075900000}"/>
    <cellStyle name="Normal 5 17 34 2 3" xfId="36984" xr:uid="{00000000-0005-0000-0000-000076900000}"/>
    <cellStyle name="Normal 5 17 34 2 4" xfId="36985" xr:uid="{00000000-0005-0000-0000-000077900000}"/>
    <cellStyle name="Normal 5 17 34 2 5" xfId="36986" xr:uid="{00000000-0005-0000-0000-000078900000}"/>
    <cellStyle name="Normal 5 17 34 2 6" xfId="36987" xr:uid="{00000000-0005-0000-0000-000079900000}"/>
    <cellStyle name="Normal 5 17 34 2 7" xfId="36988" xr:uid="{00000000-0005-0000-0000-00007A900000}"/>
    <cellStyle name="Normal 5 17 34 2 8" xfId="36989" xr:uid="{00000000-0005-0000-0000-00007B900000}"/>
    <cellStyle name="Normal 5 17 34 2 9" xfId="36990" xr:uid="{00000000-0005-0000-0000-00007C900000}"/>
    <cellStyle name="Normal 5 17 34 3" xfId="36991" xr:uid="{00000000-0005-0000-0000-00007D900000}"/>
    <cellStyle name="Normal 5 17 34 3 10" xfId="36992" xr:uid="{00000000-0005-0000-0000-00007E900000}"/>
    <cellStyle name="Normal 5 17 34 3 2" xfId="36993" xr:uid="{00000000-0005-0000-0000-00007F900000}"/>
    <cellStyle name="Normal 5 17 34 3 3" xfId="36994" xr:uid="{00000000-0005-0000-0000-000080900000}"/>
    <cellStyle name="Normal 5 17 34 3 4" xfId="36995" xr:uid="{00000000-0005-0000-0000-000081900000}"/>
    <cellStyle name="Normal 5 17 34 3 5" xfId="36996" xr:uid="{00000000-0005-0000-0000-000082900000}"/>
    <cellStyle name="Normal 5 17 34 3 6" xfId="36997" xr:uid="{00000000-0005-0000-0000-000083900000}"/>
    <cellStyle name="Normal 5 17 34 3 7" xfId="36998" xr:uid="{00000000-0005-0000-0000-000084900000}"/>
    <cellStyle name="Normal 5 17 34 3 8" xfId="36999" xr:uid="{00000000-0005-0000-0000-000085900000}"/>
    <cellStyle name="Normal 5 17 34 3 9" xfId="37000" xr:uid="{00000000-0005-0000-0000-000086900000}"/>
    <cellStyle name="Normal 5 17 34 4" xfId="37001" xr:uid="{00000000-0005-0000-0000-000087900000}"/>
    <cellStyle name="Normal 5 17 34 4 10" xfId="37002" xr:uid="{00000000-0005-0000-0000-000088900000}"/>
    <cellStyle name="Normal 5 17 34 4 2" xfId="37003" xr:uid="{00000000-0005-0000-0000-000089900000}"/>
    <cellStyle name="Normal 5 17 34 4 3" xfId="37004" xr:uid="{00000000-0005-0000-0000-00008A900000}"/>
    <cellStyle name="Normal 5 17 34 4 4" xfId="37005" xr:uid="{00000000-0005-0000-0000-00008B900000}"/>
    <cellStyle name="Normal 5 17 34 4 5" xfId="37006" xr:uid="{00000000-0005-0000-0000-00008C900000}"/>
    <cellStyle name="Normal 5 17 34 4 6" xfId="37007" xr:uid="{00000000-0005-0000-0000-00008D900000}"/>
    <cellStyle name="Normal 5 17 34 4 7" xfId="37008" xr:uid="{00000000-0005-0000-0000-00008E900000}"/>
    <cellStyle name="Normal 5 17 34 4 8" xfId="37009" xr:uid="{00000000-0005-0000-0000-00008F900000}"/>
    <cellStyle name="Normal 5 17 34 4 9" xfId="37010" xr:uid="{00000000-0005-0000-0000-000090900000}"/>
    <cellStyle name="Normal 5 17 34 5" xfId="37011" xr:uid="{00000000-0005-0000-0000-000091900000}"/>
    <cellStyle name="Normal 5 17 34 5 10" xfId="37012" xr:uid="{00000000-0005-0000-0000-000092900000}"/>
    <cellStyle name="Normal 5 17 34 5 2" xfId="37013" xr:uid="{00000000-0005-0000-0000-000093900000}"/>
    <cellStyle name="Normal 5 17 34 5 3" xfId="37014" xr:uid="{00000000-0005-0000-0000-000094900000}"/>
    <cellStyle name="Normal 5 17 34 5 4" xfId="37015" xr:uid="{00000000-0005-0000-0000-000095900000}"/>
    <cellStyle name="Normal 5 17 34 5 5" xfId="37016" xr:uid="{00000000-0005-0000-0000-000096900000}"/>
    <cellStyle name="Normal 5 17 34 5 6" xfId="37017" xr:uid="{00000000-0005-0000-0000-000097900000}"/>
    <cellStyle name="Normal 5 17 34 5 7" xfId="37018" xr:uid="{00000000-0005-0000-0000-000098900000}"/>
    <cellStyle name="Normal 5 17 34 5 8" xfId="37019" xr:uid="{00000000-0005-0000-0000-000099900000}"/>
    <cellStyle name="Normal 5 17 34 5 9" xfId="37020" xr:uid="{00000000-0005-0000-0000-00009A900000}"/>
    <cellStyle name="Normal 5 17 34 6" xfId="37021" xr:uid="{00000000-0005-0000-0000-00009B900000}"/>
    <cellStyle name="Normal 5 17 34 7" xfId="37022" xr:uid="{00000000-0005-0000-0000-00009C900000}"/>
    <cellStyle name="Normal 5 17 34 8" xfId="37023" xr:uid="{00000000-0005-0000-0000-00009D900000}"/>
    <cellStyle name="Normal 5 17 34 9" xfId="37024" xr:uid="{00000000-0005-0000-0000-00009E900000}"/>
    <cellStyle name="Normal 5 17 35" xfId="37025" xr:uid="{00000000-0005-0000-0000-00009F900000}"/>
    <cellStyle name="Normal 5 17 35 10" xfId="37026" xr:uid="{00000000-0005-0000-0000-0000A0900000}"/>
    <cellStyle name="Normal 5 17 35 2" xfId="37027" xr:uid="{00000000-0005-0000-0000-0000A1900000}"/>
    <cellStyle name="Normal 5 17 35 3" xfId="37028" xr:uid="{00000000-0005-0000-0000-0000A2900000}"/>
    <cellStyle name="Normal 5 17 35 4" xfId="37029" xr:uid="{00000000-0005-0000-0000-0000A3900000}"/>
    <cellStyle name="Normal 5 17 35 5" xfId="37030" xr:uid="{00000000-0005-0000-0000-0000A4900000}"/>
    <cellStyle name="Normal 5 17 35 6" xfId="37031" xr:uid="{00000000-0005-0000-0000-0000A5900000}"/>
    <cellStyle name="Normal 5 17 35 7" xfId="37032" xr:uid="{00000000-0005-0000-0000-0000A6900000}"/>
    <cellStyle name="Normal 5 17 35 8" xfId="37033" xr:uid="{00000000-0005-0000-0000-0000A7900000}"/>
    <cellStyle name="Normal 5 17 35 9" xfId="37034" xr:uid="{00000000-0005-0000-0000-0000A8900000}"/>
    <cellStyle name="Normal 5 17 36" xfId="37035" xr:uid="{00000000-0005-0000-0000-0000A9900000}"/>
    <cellStyle name="Normal 5 17 36 10" xfId="37036" xr:uid="{00000000-0005-0000-0000-0000AA900000}"/>
    <cellStyle name="Normal 5 17 36 2" xfId="37037" xr:uid="{00000000-0005-0000-0000-0000AB900000}"/>
    <cellStyle name="Normal 5 17 36 3" xfId="37038" xr:uid="{00000000-0005-0000-0000-0000AC900000}"/>
    <cellStyle name="Normal 5 17 36 4" xfId="37039" xr:uid="{00000000-0005-0000-0000-0000AD900000}"/>
    <cellStyle name="Normal 5 17 36 5" xfId="37040" xr:uid="{00000000-0005-0000-0000-0000AE900000}"/>
    <cellStyle name="Normal 5 17 36 6" xfId="37041" xr:uid="{00000000-0005-0000-0000-0000AF900000}"/>
    <cellStyle name="Normal 5 17 36 7" xfId="37042" xr:uid="{00000000-0005-0000-0000-0000B0900000}"/>
    <cellStyle name="Normal 5 17 36 8" xfId="37043" xr:uid="{00000000-0005-0000-0000-0000B1900000}"/>
    <cellStyle name="Normal 5 17 36 9" xfId="37044" xr:uid="{00000000-0005-0000-0000-0000B2900000}"/>
    <cellStyle name="Normal 5 17 37" xfId="37045" xr:uid="{00000000-0005-0000-0000-0000B3900000}"/>
    <cellStyle name="Normal 5 17 37 10" xfId="37046" xr:uid="{00000000-0005-0000-0000-0000B4900000}"/>
    <cellStyle name="Normal 5 17 37 2" xfId="37047" xr:uid="{00000000-0005-0000-0000-0000B5900000}"/>
    <cellStyle name="Normal 5 17 37 3" xfId="37048" xr:uid="{00000000-0005-0000-0000-0000B6900000}"/>
    <cellStyle name="Normal 5 17 37 4" xfId="37049" xr:uid="{00000000-0005-0000-0000-0000B7900000}"/>
    <cellStyle name="Normal 5 17 37 5" xfId="37050" xr:uid="{00000000-0005-0000-0000-0000B8900000}"/>
    <cellStyle name="Normal 5 17 37 6" xfId="37051" xr:uid="{00000000-0005-0000-0000-0000B9900000}"/>
    <cellStyle name="Normal 5 17 37 7" xfId="37052" xr:uid="{00000000-0005-0000-0000-0000BA900000}"/>
    <cellStyle name="Normal 5 17 37 8" xfId="37053" xr:uid="{00000000-0005-0000-0000-0000BB900000}"/>
    <cellStyle name="Normal 5 17 37 9" xfId="37054" xr:uid="{00000000-0005-0000-0000-0000BC900000}"/>
    <cellStyle name="Normal 5 17 38" xfId="37055" xr:uid="{00000000-0005-0000-0000-0000BD900000}"/>
    <cellStyle name="Normal 5 17 38 10" xfId="37056" xr:uid="{00000000-0005-0000-0000-0000BE900000}"/>
    <cellStyle name="Normal 5 17 38 2" xfId="37057" xr:uid="{00000000-0005-0000-0000-0000BF900000}"/>
    <cellStyle name="Normal 5 17 38 3" xfId="37058" xr:uid="{00000000-0005-0000-0000-0000C0900000}"/>
    <cellStyle name="Normal 5 17 38 4" xfId="37059" xr:uid="{00000000-0005-0000-0000-0000C1900000}"/>
    <cellStyle name="Normal 5 17 38 5" xfId="37060" xr:uid="{00000000-0005-0000-0000-0000C2900000}"/>
    <cellStyle name="Normal 5 17 38 6" xfId="37061" xr:uid="{00000000-0005-0000-0000-0000C3900000}"/>
    <cellStyle name="Normal 5 17 38 7" xfId="37062" xr:uid="{00000000-0005-0000-0000-0000C4900000}"/>
    <cellStyle name="Normal 5 17 38 8" xfId="37063" xr:uid="{00000000-0005-0000-0000-0000C5900000}"/>
    <cellStyle name="Normal 5 17 38 9" xfId="37064" xr:uid="{00000000-0005-0000-0000-0000C6900000}"/>
    <cellStyle name="Normal 5 17 39" xfId="37065" xr:uid="{00000000-0005-0000-0000-0000C7900000}"/>
    <cellStyle name="Normal 5 17 4" xfId="37066" xr:uid="{00000000-0005-0000-0000-0000C8900000}"/>
    <cellStyle name="Normal 5 17 4 10" xfId="37067" xr:uid="{00000000-0005-0000-0000-0000C9900000}"/>
    <cellStyle name="Normal 5 17 4 11" xfId="37068" xr:uid="{00000000-0005-0000-0000-0000CA900000}"/>
    <cellStyle name="Normal 5 17 4 12" xfId="37069" xr:uid="{00000000-0005-0000-0000-0000CB900000}"/>
    <cellStyle name="Normal 5 17 4 13" xfId="37070" xr:uid="{00000000-0005-0000-0000-0000CC900000}"/>
    <cellStyle name="Normal 5 17 4 14" xfId="37071" xr:uid="{00000000-0005-0000-0000-0000CD900000}"/>
    <cellStyle name="Normal 5 17 4 2" xfId="37072" xr:uid="{00000000-0005-0000-0000-0000CE900000}"/>
    <cellStyle name="Normal 5 17 4 2 10" xfId="37073" xr:uid="{00000000-0005-0000-0000-0000CF900000}"/>
    <cellStyle name="Normal 5 17 4 2 2" xfId="37074" xr:uid="{00000000-0005-0000-0000-0000D0900000}"/>
    <cellStyle name="Normal 5 17 4 2 3" xfId="37075" xr:uid="{00000000-0005-0000-0000-0000D1900000}"/>
    <cellStyle name="Normal 5 17 4 2 4" xfId="37076" xr:uid="{00000000-0005-0000-0000-0000D2900000}"/>
    <cellStyle name="Normal 5 17 4 2 5" xfId="37077" xr:uid="{00000000-0005-0000-0000-0000D3900000}"/>
    <cellStyle name="Normal 5 17 4 2 6" xfId="37078" xr:uid="{00000000-0005-0000-0000-0000D4900000}"/>
    <cellStyle name="Normal 5 17 4 2 7" xfId="37079" xr:uid="{00000000-0005-0000-0000-0000D5900000}"/>
    <cellStyle name="Normal 5 17 4 2 8" xfId="37080" xr:uid="{00000000-0005-0000-0000-0000D6900000}"/>
    <cellStyle name="Normal 5 17 4 2 9" xfId="37081" xr:uid="{00000000-0005-0000-0000-0000D7900000}"/>
    <cellStyle name="Normal 5 17 4 3" xfId="37082" xr:uid="{00000000-0005-0000-0000-0000D8900000}"/>
    <cellStyle name="Normal 5 17 4 3 10" xfId="37083" xr:uid="{00000000-0005-0000-0000-0000D9900000}"/>
    <cellStyle name="Normal 5 17 4 3 2" xfId="37084" xr:uid="{00000000-0005-0000-0000-0000DA900000}"/>
    <cellStyle name="Normal 5 17 4 3 3" xfId="37085" xr:uid="{00000000-0005-0000-0000-0000DB900000}"/>
    <cellStyle name="Normal 5 17 4 3 4" xfId="37086" xr:uid="{00000000-0005-0000-0000-0000DC900000}"/>
    <cellStyle name="Normal 5 17 4 3 5" xfId="37087" xr:uid="{00000000-0005-0000-0000-0000DD900000}"/>
    <cellStyle name="Normal 5 17 4 3 6" xfId="37088" xr:uid="{00000000-0005-0000-0000-0000DE900000}"/>
    <cellStyle name="Normal 5 17 4 3 7" xfId="37089" xr:uid="{00000000-0005-0000-0000-0000DF900000}"/>
    <cellStyle name="Normal 5 17 4 3 8" xfId="37090" xr:uid="{00000000-0005-0000-0000-0000E0900000}"/>
    <cellStyle name="Normal 5 17 4 3 9" xfId="37091" xr:uid="{00000000-0005-0000-0000-0000E1900000}"/>
    <cellStyle name="Normal 5 17 4 4" xfId="37092" xr:uid="{00000000-0005-0000-0000-0000E2900000}"/>
    <cellStyle name="Normal 5 17 4 4 10" xfId="37093" xr:uid="{00000000-0005-0000-0000-0000E3900000}"/>
    <cellStyle name="Normal 5 17 4 4 2" xfId="37094" xr:uid="{00000000-0005-0000-0000-0000E4900000}"/>
    <cellStyle name="Normal 5 17 4 4 3" xfId="37095" xr:uid="{00000000-0005-0000-0000-0000E5900000}"/>
    <cellStyle name="Normal 5 17 4 4 4" xfId="37096" xr:uid="{00000000-0005-0000-0000-0000E6900000}"/>
    <cellStyle name="Normal 5 17 4 4 5" xfId="37097" xr:uid="{00000000-0005-0000-0000-0000E7900000}"/>
    <cellStyle name="Normal 5 17 4 4 6" xfId="37098" xr:uid="{00000000-0005-0000-0000-0000E8900000}"/>
    <cellStyle name="Normal 5 17 4 4 7" xfId="37099" xr:uid="{00000000-0005-0000-0000-0000E9900000}"/>
    <cellStyle name="Normal 5 17 4 4 8" xfId="37100" xr:uid="{00000000-0005-0000-0000-0000EA900000}"/>
    <cellStyle name="Normal 5 17 4 4 9" xfId="37101" xr:uid="{00000000-0005-0000-0000-0000EB900000}"/>
    <cellStyle name="Normal 5 17 4 5" xfId="37102" xr:uid="{00000000-0005-0000-0000-0000EC900000}"/>
    <cellStyle name="Normal 5 17 4 5 10" xfId="37103" xr:uid="{00000000-0005-0000-0000-0000ED900000}"/>
    <cellStyle name="Normal 5 17 4 5 2" xfId="37104" xr:uid="{00000000-0005-0000-0000-0000EE900000}"/>
    <cellStyle name="Normal 5 17 4 5 3" xfId="37105" xr:uid="{00000000-0005-0000-0000-0000EF900000}"/>
    <cellStyle name="Normal 5 17 4 5 4" xfId="37106" xr:uid="{00000000-0005-0000-0000-0000F0900000}"/>
    <cellStyle name="Normal 5 17 4 5 5" xfId="37107" xr:uid="{00000000-0005-0000-0000-0000F1900000}"/>
    <cellStyle name="Normal 5 17 4 5 6" xfId="37108" xr:uid="{00000000-0005-0000-0000-0000F2900000}"/>
    <cellStyle name="Normal 5 17 4 5 7" xfId="37109" xr:uid="{00000000-0005-0000-0000-0000F3900000}"/>
    <cellStyle name="Normal 5 17 4 5 8" xfId="37110" xr:uid="{00000000-0005-0000-0000-0000F4900000}"/>
    <cellStyle name="Normal 5 17 4 5 9" xfId="37111" xr:uid="{00000000-0005-0000-0000-0000F5900000}"/>
    <cellStyle name="Normal 5 17 4 6" xfId="37112" xr:uid="{00000000-0005-0000-0000-0000F6900000}"/>
    <cellStyle name="Normal 5 17 4 7" xfId="37113" xr:uid="{00000000-0005-0000-0000-0000F7900000}"/>
    <cellStyle name="Normal 5 17 4 8" xfId="37114" xr:uid="{00000000-0005-0000-0000-0000F8900000}"/>
    <cellStyle name="Normal 5 17 4 9" xfId="37115" xr:uid="{00000000-0005-0000-0000-0000F9900000}"/>
    <cellStyle name="Normal 5 17 40" xfId="37116" xr:uid="{00000000-0005-0000-0000-0000FA900000}"/>
    <cellStyle name="Normal 5 17 41" xfId="37117" xr:uid="{00000000-0005-0000-0000-0000FB900000}"/>
    <cellStyle name="Normal 5 17 42" xfId="37118" xr:uid="{00000000-0005-0000-0000-0000FC900000}"/>
    <cellStyle name="Normal 5 17 43" xfId="37119" xr:uid="{00000000-0005-0000-0000-0000FD900000}"/>
    <cellStyle name="Normal 5 17 44" xfId="37120" xr:uid="{00000000-0005-0000-0000-0000FE900000}"/>
    <cellStyle name="Normal 5 17 45" xfId="37121" xr:uid="{00000000-0005-0000-0000-0000FF900000}"/>
    <cellStyle name="Normal 5 17 46" xfId="37122" xr:uid="{00000000-0005-0000-0000-000000910000}"/>
    <cellStyle name="Normal 5 17 47" xfId="37123" xr:uid="{00000000-0005-0000-0000-000001910000}"/>
    <cellStyle name="Normal 5 17 48" xfId="37124" xr:uid="{00000000-0005-0000-0000-000002910000}"/>
    <cellStyle name="Normal 5 17 49" xfId="37125" xr:uid="{00000000-0005-0000-0000-000003910000}"/>
    <cellStyle name="Normal 5 17 5" xfId="37126" xr:uid="{00000000-0005-0000-0000-000004910000}"/>
    <cellStyle name="Normal 5 17 5 10" xfId="37127" xr:uid="{00000000-0005-0000-0000-000005910000}"/>
    <cellStyle name="Normal 5 17 5 11" xfId="37128" xr:uid="{00000000-0005-0000-0000-000006910000}"/>
    <cellStyle name="Normal 5 17 5 12" xfId="37129" xr:uid="{00000000-0005-0000-0000-000007910000}"/>
    <cellStyle name="Normal 5 17 5 13" xfId="37130" xr:uid="{00000000-0005-0000-0000-000008910000}"/>
    <cellStyle name="Normal 5 17 5 14" xfId="37131" xr:uid="{00000000-0005-0000-0000-000009910000}"/>
    <cellStyle name="Normal 5 17 5 2" xfId="37132" xr:uid="{00000000-0005-0000-0000-00000A910000}"/>
    <cellStyle name="Normal 5 17 5 2 10" xfId="37133" xr:uid="{00000000-0005-0000-0000-00000B910000}"/>
    <cellStyle name="Normal 5 17 5 2 2" xfId="37134" xr:uid="{00000000-0005-0000-0000-00000C910000}"/>
    <cellStyle name="Normal 5 17 5 2 3" xfId="37135" xr:uid="{00000000-0005-0000-0000-00000D910000}"/>
    <cellStyle name="Normal 5 17 5 2 4" xfId="37136" xr:uid="{00000000-0005-0000-0000-00000E910000}"/>
    <cellStyle name="Normal 5 17 5 2 5" xfId="37137" xr:uid="{00000000-0005-0000-0000-00000F910000}"/>
    <cellStyle name="Normal 5 17 5 2 6" xfId="37138" xr:uid="{00000000-0005-0000-0000-000010910000}"/>
    <cellStyle name="Normal 5 17 5 2 7" xfId="37139" xr:uid="{00000000-0005-0000-0000-000011910000}"/>
    <cellStyle name="Normal 5 17 5 2 8" xfId="37140" xr:uid="{00000000-0005-0000-0000-000012910000}"/>
    <cellStyle name="Normal 5 17 5 2 9" xfId="37141" xr:uid="{00000000-0005-0000-0000-000013910000}"/>
    <cellStyle name="Normal 5 17 5 3" xfId="37142" xr:uid="{00000000-0005-0000-0000-000014910000}"/>
    <cellStyle name="Normal 5 17 5 3 10" xfId="37143" xr:uid="{00000000-0005-0000-0000-000015910000}"/>
    <cellStyle name="Normal 5 17 5 3 2" xfId="37144" xr:uid="{00000000-0005-0000-0000-000016910000}"/>
    <cellStyle name="Normal 5 17 5 3 3" xfId="37145" xr:uid="{00000000-0005-0000-0000-000017910000}"/>
    <cellStyle name="Normal 5 17 5 3 4" xfId="37146" xr:uid="{00000000-0005-0000-0000-000018910000}"/>
    <cellStyle name="Normal 5 17 5 3 5" xfId="37147" xr:uid="{00000000-0005-0000-0000-000019910000}"/>
    <cellStyle name="Normal 5 17 5 3 6" xfId="37148" xr:uid="{00000000-0005-0000-0000-00001A910000}"/>
    <cellStyle name="Normal 5 17 5 3 7" xfId="37149" xr:uid="{00000000-0005-0000-0000-00001B910000}"/>
    <cellStyle name="Normal 5 17 5 3 8" xfId="37150" xr:uid="{00000000-0005-0000-0000-00001C910000}"/>
    <cellStyle name="Normal 5 17 5 3 9" xfId="37151" xr:uid="{00000000-0005-0000-0000-00001D910000}"/>
    <cellStyle name="Normal 5 17 5 4" xfId="37152" xr:uid="{00000000-0005-0000-0000-00001E910000}"/>
    <cellStyle name="Normal 5 17 5 4 10" xfId="37153" xr:uid="{00000000-0005-0000-0000-00001F910000}"/>
    <cellStyle name="Normal 5 17 5 4 2" xfId="37154" xr:uid="{00000000-0005-0000-0000-000020910000}"/>
    <cellStyle name="Normal 5 17 5 4 3" xfId="37155" xr:uid="{00000000-0005-0000-0000-000021910000}"/>
    <cellStyle name="Normal 5 17 5 4 4" xfId="37156" xr:uid="{00000000-0005-0000-0000-000022910000}"/>
    <cellStyle name="Normal 5 17 5 4 5" xfId="37157" xr:uid="{00000000-0005-0000-0000-000023910000}"/>
    <cellStyle name="Normal 5 17 5 4 6" xfId="37158" xr:uid="{00000000-0005-0000-0000-000024910000}"/>
    <cellStyle name="Normal 5 17 5 4 7" xfId="37159" xr:uid="{00000000-0005-0000-0000-000025910000}"/>
    <cellStyle name="Normal 5 17 5 4 8" xfId="37160" xr:uid="{00000000-0005-0000-0000-000026910000}"/>
    <cellStyle name="Normal 5 17 5 4 9" xfId="37161" xr:uid="{00000000-0005-0000-0000-000027910000}"/>
    <cellStyle name="Normal 5 17 5 5" xfId="37162" xr:uid="{00000000-0005-0000-0000-000028910000}"/>
    <cellStyle name="Normal 5 17 5 5 10" xfId="37163" xr:uid="{00000000-0005-0000-0000-000029910000}"/>
    <cellStyle name="Normal 5 17 5 5 2" xfId="37164" xr:uid="{00000000-0005-0000-0000-00002A910000}"/>
    <cellStyle name="Normal 5 17 5 5 3" xfId="37165" xr:uid="{00000000-0005-0000-0000-00002B910000}"/>
    <cellStyle name="Normal 5 17 5 5 4" xfId="37166" xr:uid="{00000000-0005-0000-0000-00002C910000}"/>
    <cellStyle name="Normal 5 17 5 5 5" xfId="37167" xr:uid="{00000000-0005-0000-0000-00002D910000}"/>
    <cellStyle name="Normal 5 17 5 5 6" xfId="37168" xr:uid="{00000000-0005-0000-0000-00002E910000}"/>
    <cellStyle name="Normal 5 17 5 5 7" xfId="37169" xr:uid="{00000000-0005-0000-0000-00002F910000}"/>
    <cellStyle name="Normal 5 17 5 5 8" xfId="37170" xr:uid="{00000000-0005-0000-0000-000030910000}"/>
    <cellStyle name="Normal 5 17 5 5 9" xfId="37171" xr:uid="{00000000-0005-0000-0000-000031910000}"/>
    <cellStyle name="Normal 5 17 5 6" xfId="37172" xr:uid="{00000000-0005-0000-0000-000032910000}"/>
    <cellStyle name="Normal 5 17 5 7" xfId="37173" xr:uid="{00000000-0005-0000-0000-000033910000}"/>
    <cellStyle name="Normal 5 17 5 8" xfId="37174" xr:uid="{00000000-0005-0000-0000-000034910000}"/>
    <cellStyle name="Normal 5 17 5 9" xfId="37175" xr:uid="{00000000-0005-0000-0000-000035910000}"/>
    <cellStyle name="Normal 5 17 6" xfId="37176" xr:uid="{00000000-0005-0000-0000-000036910000}"/>
    <cellStyle name="Normal 5 17 6 10" xfId="37177" xr:uid="{00000000-0005-0000-0000-000037910000}"/>
    <cellStyle name="Normal 5 17 6 11" xfId="37178" xr:uid="{00000000-0005-0000-0000-000038910000}"/>
    <cellStyle name="Normal 5 17 6 12" xfId="37179" xr:uid="{00000000-0005-0000-0000-000039910000}"/>
    <cellStyle name="Normal 5 17 6 13" xfId="37180" xr:uid="{00000000-0005-0000-0000-00003A910000}"/>
    <cellStyle name="Normal 5 17 6 14" xfId="37181" xr:uid="{00000000-0005-0000-0000-00003B910000}"/>
    <cellStyle name="Normal 5 17 6 2" xfId="37182" xr:uid="{00000000-0005-0000-0000-00003C910000}"/>
    <cellStyle name="Normal 5 17 6 2 10" xfId="37183" xr:uid="{00000000-0005-0000-0000-00003D910000}"/>
    <cellStyle name="Normal 5 17 6 2 2" xfId="37184" xr:uid="{00000000-0005-0000-0000-00003E910000}"/>
    <cellStyle name="Normal 5 17 6 2 3" xfId="37185" xr:uid="{00000000-0005-0000-0000-00003F910000}"/>
    <cellStyle name="Normal 5 17 6 2 4" xfId="37186" xr:uid="{00000000-0005-0000-0000-000040910000}"/>
    <cellStyle name="Normal 5 17 6 2 5" xfId="37187" xr:uid="{00000000-0005-0000-0000-000041910000}"/>
    <cellStyle name="Normal 5 17 6 2 6" xfId="37188" xr:uid="{00000000-0005-0000-0000-000042910000}"/>
    <cellStyle name="Normal 5 17 6 2 7" xfId="37189" xr:uid="{00000000-0005-0000-0000-000043910000}"/>
    <cellStyle name="Normal 5 17 6 2 8" xfId="37190" xr:uid="{00000000-0005-0000-0000-000044910000}"/>
    <cellStyle name="Normal 5 17 6 2 9" xfId="37191" xr:uid="{00000000-0005-0000-0000-000045910000}"/>
    <cellStyle name="Normal 5 17 6 3" xfId="37192" xr:uid="{00000000-0005-0000-0000-000046910000}"/>
    <cellStyle name="Normal 5 17 6 3 10" xfId="37193" xr:uid="{00000000-0005-0000-0000-000047910000}"/>
    <cellStyle name="Normal 5 17 6 3 2" xfId="37194" xr:uid="{00000000-0005-0000-0000-000048910000}"/>
    <cellStyle name="Normal 5 17 6 3 3" xfId="37195" xr:uid="{00000000-0005-0000-0000-000049910000}"/>
    <cellStyle name="Normal 5 17 6 3 4" xfId="37196" xr:uid="{00000000-0005-0000-0000-00004A910000}"/>
    <cellStyle name="Normal 5 17 6 3 5" xfId="37197" xr:uid="{00000000-0005-0000-0000-00004B910000}"/>
    <cellStyle name="Normal 5 17 6 3 6" xfId="37198" xr:uid="{00000000-0005-0000-0000-00004C910000}"/>
    <cellStyle name="Normal 5 17 6 3 7" xfId="37199" xr:uid="{00000000-0005-0000-0000-00004D910000}"/>
    <cellStyle name="Normal 5 17 6 3 8" xfId="37200" xr:uid="{00000000-0005-0000-0000-00004E910000}"/>
    <cellStyle name="Normal 5 17 6 3 9" xfId="37201" xr:uid="{00000000-0005-0000-0000-00004F910000}"/>
    <cellStyle name="Normal 5 17 6 4" xfId="37202" xr:uid="{00000000-0005-0000-0000-000050910000}"/>
    <cellStyle name="Normal 5 17 6 4 10" xfId="37203" xr:uid="{00000000-0005-0000-0000-000051910000}"/>
    <cellStyle name="Normal 5 17 6 4 2" xfId="37204" xr:uid="{00000000-0005-0000-0000-000052910000}"/>
    <cellStyle name="Normal 5 17 6 4 3" xfId="37205" xr:uid="{00000000-0005-0000-0000-000053910000}"/>
    <cellStyle name="Normal 5 17 6 4 4" xfId="37206" xr:uid="{00000000-0005-0000-0000-000054910000}"/>
    <cellStyle name="Normal 5 17 6 4 5" xfId="37207" xr:uid="{00000000-0005-0000-0000-000055910000}"/>
    <cellStyle name="Normal 5 17 6 4 6" xfId="37208" xr:uid="{00000000-0005-0000-0000-000056910000}"/>
    <cellStyle name="Normal 5 17 6 4 7" xfId="37209" xr:uid="{00000000-0005-0000-0000-000057910000}"/>
    <cellStyle name="Normal 5 17 6 4 8" xfId="37210" xr:uid="{00000000-0005-0000-0000-000058910000}"/>
    <cellStyle name="Normal 5 17 6 4 9" xfId="37211" xr:uid="{00000000-0005-0000-0000-000059910000}"/>
    <cellStyle name="Normal 5 17 6 5" xfId="37212" xr:uid="{00000000-0005-0000-0000-00005A910000}"/>
    <cellStyle name="Normal 5 17 6 5 10" xfId="37213" xr:uid="{00000000-0005-0000-0000-00005B910000}"/>
    <cellStyle name="Normal 5 17 6 5 2" xfId="37214" xr:uid="{00000000-0005-0000-0000-00005C910000}"/>
    <cellStyle name="Normal 5 17 6 5 3" xfId="37215" xr:uid="{00000000-0005-0000-0000-00005D910000}"/>
    <cellStyle name="Normal 5 17 6 5 4" xfId="37216" xr:uid="{00000000-0005-0000-0000-00005E910000}"/>
    <cellStyle name="Normal 5 17 6 5 5" xfId="37217" xr:uid="{00000000-0005-0000-0000-00005F910000}"/>
    <cellStyle name="Normal 5 17 6 5 6" xfId="37218" xr:uid="{00000000-0005-0000-0000-000060910000}"/>
    <cellStyle name="Normal 5 17 6 5 7" xfId="37219" xr:uid="{00000000-0005-0000-0000-000061910000}"/>
    <cellStyle name="Normal 5 17 6 5 8" xfId="37220" xr:uid="{00000000-0005-0000-0000-000062910000}"/>
    <cellStyle name="Normal 5 17 6 5 9" xfId="37221" xr:uid="{00000000-0005-0000-0000-000063910000}"/>
    <cellStyle name="Normal 5 17 6 6" xfId="37222" xr:uid="{00000000-0005-0000-0000-000064910000}"/>
    <cellStyle name="Normal 5 17 6 7" xfId="37223" xr:uid="{00000000-0005-0000-0000-000065910000}"/>
    <cellStyle name="Normal 5 17 6 8" xfId="37224" xr:uid="{00000000-0005-0000-0000-000066910000}"/>
    <cellStyle name="Normal 5 17 6 9" xfId="37225" xr:uid="{00000000-0005-0000-0000-000067910000}"/>
    <cellStyle name="Normal 5 17 7" xfId="37226" xr:uid="{00000000-0005-0000-0000-000068910000}"/>
    <cellStyle name="Normal 5 17 7 10" xfId="37227" xr:uid="{00000000-0005-0000-0000-000069910000}"/>
    <cellStyle name="Normal 5 17 7 11" xfId="37228" xr:uid="{00000000-0005-0000-0000-00006A910000}"/>
    <cellStyle name="Normal 5 17 7 12" xfId="37229" xr:uid="{00000000-0005-0000-0000-00006B910000}"/>
    <cellStyle name="Normal 5 17 7 13" xfId="37230" xr:uid="{00000000-0005-0000-0000-00006C910000}"/>
    <cellStyle name="Normal 5 17 7 14" xfId="37231" xr:uid="{00000000-0005-0000-0000-00006D910000}"/>
    <cellStyle name="Normal 5 17 7 2" xfId="37232" xr:uid="{00000000-0005-0000-0000-00006E910000}"/>
    <cellStyle name="Normal 5 17 7 2 10" xfId="37233" xr:uid="{00000000-0005-0000-0000-00006F910000}"/>
    <cellStyle name="Normal 5 17 7 2 2" xfId="37234" xr:uid="{00000000-0005-0000-0000-000070910000}"/>
    <cellStyle name="Normal 5 17 7 2 3" xfId="37235" xr:uid="{00000000-0005-0000-0000-000071910000}"/>
    <cellStyle name="Normal 5 17 7 2 4" xfId="37236" xr:uid="{00000000-0005-0000-0000-000072910000}"/>
    <cellStyle name="Normal 5 17 7 2 5" xfId="37237" xr:uid="{00000000-0005-0000-0000-000073910000}"/>
    <cellStyle name="Normal 5 17 7 2 6" xfId="37238" xr:uid="{00000000-0005-0000-0000-000074910000}"/>
    <cellStyle name="Normal 5 17 7 2 7" xfId="37239" xr:uid="{00000000-0005-0000-0000-000075910000}"/>
    <cellStyle name="Normal 5 17 7 2 8" xfId="37240" xr:uid="{00000000-0005-0000-0000-000076910000}"/>
    <cellStyle name="Normal 5 17 7 2 9" xfId="37241" xr:uid="{00000000-0005-0000-0000-000077910000}"/>
    <cellStyle name="Normal 5 17 7 3" xfId="37242" xr:uid="{00000000-0005-0000-0000-000078910000}"/>
    <cellStyle name="Normal 5 17 7 3 10" xfId="37243" xr:uid="{00000000-0005-0000-0000-000079910000}"/>
    <cellStyle name="Normal 5 17 7 3 2" xfId="37244" xr:uid="{00000000-0005-0000-0000-00007A910000}"/>
    <cellStyle name="Normal 5 17 7 3 3" xfId="37245" xr:uid="{00000000-0005-0000-0000-00007B910000}"/>
    <cellStyle name="Normal 5 17 7 3 4" xfId="37246" xr:uid="{00000000-0005-0000-0000-00007C910000}"/>
    <cellStyle name="Normal 5 17 7 3 5" xfId="37247" xr:uid="{00000000-0005-0000-0000-00007D910000}"/>
    <cellStyle name="Normal 5 17 7 3 6" xfId="37248" xr:uid="{00000000-0005-0000-0000-00007E910000}"/>
    <cellStyle name="Normal 5 17 7 3 7" xfId="37249" xr:uid="{00000000-0005-0000-0000-00007F910000}"/>
    <cellStyle name="Normal 5 17 7 3 8" xfId="37250" xr:uid="{00000000-0005-0000-0000-000080910000}"/>
    <cellStyle name="Normal 5 17 7 3 9" xfId="37251" xr:uid="{00000000-0005-0000-0000-000081910000}"/>
    <cellStyle name="Normal 5 17 7 4" xfId="37252" xr:uid="{00000000-0005-0000-0000-000082910000}"/>
    <cellStyle name="Normal 5 17 7 4 10" xfId="37253" xr:uid="{00000000-0005-0000-0000-000083910000}"/>
    <cellStyle name="Normal 5 17 7 4 2" xfId="37254" xr:uid="{00000000-0005-0000-0000-000084910000}"/>
    <cellStyle name="Normal 5 17 7 4 3" xfId="37255" xr:uid="{00000000-0005-0000-0000-000085910000}"/>
    <cellStyle name="Normal 5 17 7 4 4" xfId="37256" xr:uid="{00000000-0005-0000-0000-000086910000}"/>
    <cellStyle name="Normal 5 17 7 4 5" xfId="37257" xr:uid="{00000000-0005-0000-0000-000087910000}"/>
    <cellStyle name="Normal 5 17 7 4 6" xfId="37258" xr:uid="{00000000-0005-0000-0000-000088910000}"/>
    <cellStyle name="Normal 5 17 7 4 7" xfId="37259" xr:uid="{00000000-0005-0000-0000-000089910000}"/>
    <cellStyle name="Normal 5 17 7 4 8" xfId="37260" xr:uid="{00000000-0005-0000-0000-00008A910000}"/>
    <cellStyle name="Normal 5 17 7 4 9" xfId="37261" xr:uid="{00000000-0005-0000-0000-00008B910000}"/>
    <cellStyle name="Normal 5 17 7 5" xfId="37262" xr:uid="{00000000-0005-0000-0000-00008C910000}"/>
    <cellStyle name="Normal 5 17 7 5 10" xfId="37263" xr:uid="{00000000-0005-0000-0000-00008D910000}"/>
    <cellStyle name="Normal 5 17 7 5 2" xfId="37264" xr:uid="{00000000-0005-0000-0000-00008E910000}"/>
    <cellStyle name="Normal 5 17 7 5 3" xfId="37265" xr:uid="{00000000-0005-0000-0000-00008F910000}"/>
    <cellStyle name="Normal 5 17 7 5 4" xfId="37266" xr:uid="{00000000-0005-0000-0000-000090910000}"/>
    <cellStyle name="Normal 5 17 7 5 5" xfId="37267" xr:uid="{00000000-0005-0000-0000-000091910000}"/>
    <cellStyle name="Normal 5 17 7 5 6" xfId="37268" xr:uid="{00000000-0005-0000-0000-000092910000}"/>
    <cellStyle name="Normal 5 17 7 5 7" xfId="37269" xr:uid="{00000000-0005-0000-0000-000093910000}"/>
    <cellStyle name="Normal 5 17 7 5 8" xfId="37270" xr:uid="{00000000-0005-0000-0000-000094910000}"/>
    <cellStyle name="Normal 5 17 7 5 9" xfId="37271" xr:uid="{00000000-0005-0000-0000-000095910000}"/>
    <cellStyle name="Normal 5 17 7 6" xfId="37272" xr:uid="{00000000-0005-0000-0000-000096910000}"/>
    <cellStyle name="Normal 5 17 7 7" xfId="37273" xr:uid="{00000000-0005-0000-0000-000097910000}"/>
    <cellStyle name="Normal 5 17 7 8" xfId="37274" xr:uid="{00000000-0005-0000-0000-000098910000}"/>
    <cellStyle name="Normal 5 17 7 9" xfId="37275" xr:uid="{00000000-0005-0000-0000-000099910000}"/>
    <cellStyle name="Normal 5 17 8" xfId="37276" xr:uid="{00000000-0005-0000-0000-00009A910000}"/>
    <cellStyle name="Normal 5 17 8 10" xfId="37277" xr:uid="{00000000-0005-0000-0000-00009B910000}"/>
    <cellStyle name="Normal 5 17 8 11" xfId="37278" xr:uid="{00000000-0005-0000-0000-00009C910000}"/>
    <cellStyle name="Normal 5 17 8 12" xfId="37279" xr:uid="{00000000-0005-0000-0000-00009D910000}"/>
    <cellStyle name="Normal 5 17 8 13" xfId="37280" xr:uid="{00000000-0005-0000-0000-00009E910000}"/>
    <cellStyle name="Normal 5 17 8 14" xfId="37281" xr:uid="{00000000-0005-0000-0000-00009F910000}"/>
    <cellStyle name="Normal 5 17 8 2" xfId="37282" xr:uid="{00000000-0005-0000-0000-0000A0910000}"/>
    <cellStyle name="Normal 5 17 8 2 10" xfId="37283" xr:uid="{00000000-0005-0000-0000-0000A1910000}"/>
    <cellStyle name="Normal 5 17 8 2 2" xfId="37284" xr:uid="{00000000-0005-0000-0000-0000A2910000}"/>
    <cellStyle name="Normal 5 17 8 2 3" xfId="37285" xr:uid="{00000000-0005-0000-0000-0000A3910000}"/>
    <cellStyle name="Normal 5 17 8 2 4" xfId="37286" xr:uid="{00000000-0005-0000-0000-0000A4910000}"/>
    <cellStyle name="Normal 5 17 8 2 5" xfId="37287" xr:uid="{00000000-0005-0000-0000-0000A5910000}"/>
    <cellStyle name="Normal 5 17 8 2 6" xfId="37288" xr:uid="{00000000-0005-0000-0000-0000A6910000}"/>
    <cellStyle name="Normal 5 17 8 2 7" xfId="37289" xr:uid="{00000000-0005-0000-0000-0000A7910000}"/>
    <cellStyle name="Normal 5 17 8 2 8" xfId="37290" xr:uid="{00000000-0005-0000-0000-0000A8910000}"/>
    <cellStyle name="Normal 5 17 8 2 9" xfId="37291" xr:uid="{00000000-0005-0000-0000-0000A9910000}"/>
    <cellStyle name="Normal 5 17 8 3" xfId="37292" xr:uid="{00000000-0005-0000-0000-0000AA910000}"/>
    <cellStyle name="Normal 5 17 8 3 10" xfId="37293" xr:uid="{00000000-0005-0000-0000-0000AB910000}"/>
    <cellStyle name="Normal 5 17 8 3 2" xfId="37294" xr:uid="{00000000-0005-0000-0000-0000AC910000}"/>
    <cellStyle name="Normal 5 17 8 3 3" xfId="37295" xr:uid="{00000000-0005-0000-0000-0000AD910000}"/>
    <cellStyle name="Normal 5 17 8 3 4" xfId="37296" xr:uid="{00000000-0005-0000-0000-0000AE910000}"/>
    <cellStyle name="Normal 5 17 8 3 5" xfId="37297" xr:uid="{00000000-0005-0000-0000-0000AF910000}"/>
    <cellStyle name="Normal 5 17 8 3 6" xfId="37298" xr:uid="{00000000-0005-0000-0000-0000B0910000}"/>
    <cellStyle name="Normal 5 17 8 3 7" xfId="37299" xr:uid="{00000000-0005-0000-0000-0000B1910000}"/>
    <cellStyle name="Normal 5 17 8 3 8" xfId="37300" xr:uid="{00000000-0005-0000-0000-0000B2910000}"/>
    <cellStyle name="Normal 5 17 8 3 9" xfId="37301" xr:uid="{00000000-0005-0000-0000-0000B3910000}"/>
    <cellStyle name="Normal 5 17 8 4" xfId="37302" xr:uid="{00000000-0005-0000-0000-0000B4910000}"/>
    <cellStyle name="Normal 5 17 8 4 10" xfId="37303" xr:uid="{00000000-0005-0000-0000-0000B5910000}"/>
    <cellStyle name="Normal 5 17 8 4 2" xfId="37304" xr:uid="{00000000-0005-0000-0000-0000B6910000}"/>
    <cellStyle name="Normal 5 17 8 4 3" xfId="37305" xr:uid="{00000000-0005-0000-0000-0000B7910000}"/>
    <cellStyle name="Normal 5 17 8 4 4" xfId="37306" xr:uid="{00000000-0005-0000-0000-0000B8910000}"/>
    <cellStyle name="Normal 5 17 8 4 5" xfId="37307" xr:uid="{00000000-0005-0000-0000-0000B9910000}"/>
    <cellStyle name="Normal 5 17 8 4 6" xfId="37308" xr:uid="{00000000-0005-0000-0000-0000BA910000}"/>
    <cellStyle name="Normal 5 17 8 4 7" xfId="37309" xr:uid="{00000000-0005-0000-0000-0000BB910000}"/>
    <cellStyle name="Normal 5 17 8 4 8" xfId="37310" xr:uid="{00000000-0005-0000-0000-0000BC910000}"/>
    <cellStyle name="Normal 5 17 8 4 9" xfId="37311" xr:uid="{00000000-0005-0000-0000-0000BD910000}"/>
    <cellStyle name="Normal 5 17 8 5" xfId="37312" xr:uid="{00000000-0005-0000-0000-0000BE910000}"/>
    <cellStyle name="Normal 5 17 8 5 10" xfId="37313" xr:uid="{00000000-0005-0000-0000-0000BF910000}"/>
    <cellStyle name="Normal 5 17 8 5 2" xfId="37314" xr:uid="{00000000-0005-0000-0000-0000C0910000}"/>
    <cellStyle name="Normal 5 17 8 5 3" xfId="37315" xr:uid="{00000000-0005-0000-0000-0000C1910000}"/>
    <cellStyle name="Normal 5 17 8 5 4" xfId="37316" xr:uid="{00000000-0005-0000-0000-0000C2910000}"/>
    <cellStyle name="Normal 5 17 8 5 5" xfId="37317" xr:uid="{00000000-0005-0000-0000-0000C3910000}"/>
    <cellStyle name="Normal 5 17 8 5 6" xfId="37318" xr:uid="{00000000-0005-0000-0000-0000C4910000}"/>
    <cellStyle name="Normal 5 17 8 5 7" xfId="37319" xr:uid="{00000000-0005-0000-0000-0000C5910000}"/>
    <cellStyle name="Normal 5 17 8 5 8" xfId="37320" xr:uid="{00000000-0005-0000-0000-0000C6910000}"/>
    <cellStyle name="Normal 5 17 8 5 9" xfId="37321" xr:uid="{00000000-0005-0000-0000-0000C7910000}"/>
    <cellStyle name="Normal 5 17 8 6" xfId="37322" xr:uid="{00000000-0005-0000-0000-0000C8910000}"/>
    <cellStyle name="Normal 5 17 8 7" xfId="37323" xr:uid="{00000000-0005-0000-0000-0000C9910000}"/>
    <cellStyle name="Normal 5 17 8 8" xfId="37324" xr:uid="{00000000-0005-0000-0000-0000CA910000}"/>
    <cellStyle name="Normal 5 17 8 9" xfId="37325" xr:uid="{00000000-0005-0000-0000-0000CB910000}"/>
    <cellStyle name="Normal 5 17 9" xfId="37326" xr:uid="{00000000-0005-0000-0000-0000CC910000}"/>
    <cellStyle name="Normal 5 17 9 10" xfId="37327" xr:uid="{00000000-0005-0000-0000-0000CD910000}"/>
    <cellStyle name="Normal 5 17 9 11" xfId="37328" xr:uid="{00000000-0005-0000-0000-0000CE910000}"/>
    <cellStyle name="Normal 5 17 9 12" xfId="37329" xr:uid="{00000000-0005-0000-0000-0000CF910000}"/>
    <cellStyle name="Normal 5 17 9 13" xfId="37330" xr:uid="{00000000-0005-0000-0000-0000D0910000}"/>
    <cellStyle name="Normal 5 17 9 14" xfId="37331" xr:uid="{00000000-0005-0000-0000-0000D1910000}"/>
    <cellStyle name="Normal 5 17 9 2" xfId="37332" xr:uid="{00000000-0005-0000-0000-0000D2910000}"/>
    <cellStyle name="Normal 5 17 9 2 10" xfId="37333" xr:uid="{00000000-0005-0000-0000-0000D3910000}"/>
    <cellStyle name="Normal 5 17 9 2 2" xfId="37334" xr:uid="{00000000-0005-0000-0000-0000D4910000}"/>
    <cellStyle name="Normal 5 17 9 2 3" xfId="37335" xr:uid="{00000000-0005-0000-0000-0000D5910000}"/>
    <cellStyle name="Normal 5 17 9 2 4" xfId="37336" xr:uid="{00000000-0005-0000-0000-0000D6910000}"/>
    <cellStyle name="Normal 5 17 9 2 5" xfId="37337" xr:uid="{00000000-0005-0000-0000-0000D7910000}"/>
    <cellStyle name="Normal 5 17 9 2 6" xfId="37338" xr:uid="{00000000-0005-0000-0000-0000D8910000}"/>
    <cellStyle name="Normal 5 17 9 2 7" xfId="37339" xr:uid="{00000000-0005-0000-0000-0000D9910000}"/>
    <cellStyle name="Normal 5 17 9 2 8" xfId="37340" xr:uid="{00000000-0005-0000-0000-0000DA910000}"/>
    <cellStyle name="Normal 5 17 9 2 9" xfId="37341" xr:uid="{00000000-0005-0000-0000-0000DB910000}"/>
    <cellStyle name="Normal 5 17 9 3" xfId="37342" xr:uid="{00000000-0005-0000-0000-0000DC910000}"/>
    <cellStyle name="Normal 5 17 9 3 10" xfId="37343" xr:uid="{00000000-0005-0000-0000-0000DD910000}"/>
    <cellStyle name="Normal 5 17 9 3 2" xfId="37344" xr:uid="{00000000-0005-0000-0000-0000DE910000}"/>
    <cellStyle name="Normal 5 17 9 3 3" xfId="37345" xr:uid="{00000000-0005-0000-0000-0000DF910000}"/>
    <cellStyle name="Normal 5 17 9 3 4" xfId="37346" xr:uid="{00000000-0005-0000-0000-0000E0910000}"/>
    <cellStyle name="Normal 5 17 9 3 5" xfId="37347" xr:uid="{00000000-0005-0000-0000-0000E1910000}"/>
    <cellStyle name="Normal 5 17 9 3 6" xfId="37348" xr:uid="{00000000-0005-0000-0000-0000E2910000}"/>
    <cellStyle name="Normal 5 17 9 3 7" xfId="37349" xr:uid="{00000000-0005-0000-0000-0000E3910000}"/>
    <cellStyle name="Normal 5 17 9 3 8" xfId="37350" xr:uid="{00000000-0005-0000-0000-0000E4910000}"/>
    <cellStyle name="Normal 5 17 9 3 9" xfId="37351" xr:uid="{00000000-0005-0000-0000-0000E5910000}"/>
    <cellStyle name="Normal 5 17 9 4" xfId="37352" xr:uid="{00000000-0005-0000-0000-0000E6910000}"/>
    <cellStyle name="Normal 5 17 9 4 10" xfId="37353" xr:uid="{00000000-0005-0000-0000-0000E7910000}"/>
    <cellStyle name="Normal 5 17 9 4 2" xfId="37354" xr:uid="{00000000-0005-0000-0000-0000E8910000}"/>
    <cellStyle name="Normal 5 17 9 4 3" xfId="37355" xr:uid="{00000000-0005-0000-0000-0000E9910000}"/>
    <cellStyle name="Normal 5 17 9 4 4" xfId="37356" xr:uid="{00000000-0005-0000-0000-0000EA910000}"/>
    <cellStyle name="Normal 5 17 9 4 5" xfId="37357" xr:uid="{00000000-0005-0000-0000-0000EB910000}"/>
    <cellStyle name="Normal 5 17 9 4 6" xfId="37358" xr:uid="{00000000-0005-0000-0000-0000EC910000}"/>
    <cellStyle name="Normal 5 17 9 4 7" xfId="37359" xr:uid="{00000000-0005-0000-0000-0000ED910000}"/>
    <cellStyle name="Normal 5 17 9 4 8" xfId="37360" xr:uid="{00000000-0005-0000-0000-0000EE910000}"/>
    <cellStyle name="Normal 5 17 9 4 9" xfId="37361" xr:uid="{00000000-0005-0000-0000-0000EF910000}"/>
    <cellStyle name="Normal 5 17 9 5" xfId="37362" xr:uid="{00000000-0005-0000-0000-0000F0910000}"/>
    <cellStyle name="Normal 5 17 9 5 10" xfId="37363" xr:uid="{00000000-0005-0000-0000-0000F1910000}"/>
    <cellStyle name="Normal 5 17 9 5 2" xfId="37364" xr:uid="{00000000-0005-0000-0000-0000F2910000}"/>
    <cellStyle name="Normal 5 17 9 5 3" xfId="37365" xr:uid="{00000000-0005-0000-0000-0000F3910000}"/>
    <cellStyle name="Normal 5 17 9 5 4" xfId="37366" xr:uid="{00000000-0005-0000-0000-0000F4910000}"/>
    <cellStyle name="Normal 5 17 9 5 5" xfId="37367" xr:uid="{00000000-0005-0000-0000-0000F5910000}"/>
    <cellStyle name="Normal 5 17 9 5 6" xfId="37368" xr:uid="{00000000-0005-0000-0000-0000F6910000}"/>
    <cellStyle name="Normal 5 17 9 5 7" xfId="37369" xr:uid="{00000000-0005-0000-0000-0000F7910000}"/>
    <cellStyle name="Normal 5 17 9 5 8" xfId="37370" xr:uid="{00000000-0005-0000-0000-0000F8910000}"/>
    <cellStyle name="Normal 5 17 9 5 9" xfId="37371" xr:uid="{00000000-0005-0000-0000-0000F9910000}"/>
    <cellStyle name="Normal 5 17 9 6" xfId="37372" xr:uid="{00000000-0005-0000-0000-0000FA910000}"/>
    <cellStyle name="Normal 5 17 9 7" xfId="37373" xr:uid="{00000000-0005-0000-0000-0000FB910000}"/>
    <cellStyle name="Normal 5 17 9 8" xfId="37374" xr:uid="{00000000-0005-0000-0000-0000FC910000}"/>
    <cellStyle name="Normal 5 17 9 9" xfId="37375" xr:uid="{00000000-0005-0000-0000-0000FD910000}"/>
    <cellStyle name="Normal 5 18" xfId="37376" xr:uid="{00000000-0005-0000-0000-0000FE910000}"/>
    <cellStyle name="Normal 5 18 2" xfId="37377" xr:uid="{00000000-0005-0000-0000-0000FF910000}"/>
    <cellStyle name="Normal 5 18 2 2" xfId="37378" xr:uid="{00000000-0005-0000-0000-000000920000}"/>
    <cellStyle name="Normal 5 18 3" xfId="37379" xr:uid="{00000000-0005-0000-0000-000001920000}"/>
    <cellStyle name="Normal 5 18 4" xfId="37380" xr:uid="{00000000-0005-0000-0000-000002920000}"/>
    <cellStyle name="Normal 5 19" xfId="37381" xr:uid="{00000000-0005-0000-0000-000003920000}"/>
    <cellStyle name="Normal 5 19 2" xfId="37382" xr:uid="{00000000-0005-0000-0000-000004920000}"/>
    <cellStyle name="Normal 5 19 2 2" xfId="37383" xr:uid="{00000000-0005-0000-0000-000005920000}"/>
    <cellStyle name="Normal 5 19 3" xfId="37384" xr:uid="{00000000-0005-0000-0000-000006920000}"/>
    <cellStyle name="Normal 5 19 4" xfId="37385" xr:uid="{00000000-0005-0000-0000-000007920000}"/>
    <cellStyle name="Normal 5 2" xfId="37386" xr:uid="{00000000-0005-0000-0000-000008920000}"/>
    <cellStyle name="Normal 5 2 10" xfId="37387" xr:uid="{00000000-0005-0000-0000-000009920000}"/>
    <cellStyle name="Normal 5 2 11" xfId="37388" xr:uid="{00000000-0005-0000-0000-00000A920000}"/>
    <cellStyle name="Normal 5 2 12" xfId="37389" xr:uid="{00000000-0005-0000-0000-00000B920000}"/>
    <cellStyle name="Normal 5 2 13" xfId="37390" xr:uid="{00000000-0005-0000-0000-00000C920000}"/>
    <cellStyle name="Normal 5 2 14" xfId="37391" xr:uid="{00000000-0005-0000-0000-00000D920000}"/>
    <cellStyle name="Normal 5 2 15" xfId="37392" xr:uid="{00000000-0005-0000-0000-00000E920000}"/>
    <cellStyle name="Normal 5 2 16" xfId="37393" xr:uid="{00000000-0005-0000-0000-00000F920000}"/>
    <cellStyle name="Normal 5 2 17" xfId="37394" xr:uid="{00000000-0005-0000-0000-000010920000}"/>
    <cellStyle name="Normal 5 2 18" xfId="37395" xr:uid="{00000000-0005-0000-0000-000011920000}"/>
    <cellStyle name="Normal 5 2 19" xfId="37396" xr:uid="{00000000-0005-0000-0000-000012920000}"/>
    <cellStyle name="Normal 5 2 2" xfId="37397" xr:uid="{00000000-0005-0000-0000-000013920000}"/>
    <cellStyle name="Normal 5 2 2 2" xfId="37398" xr:uid="{00000000-0005-0000-0000-000014920000}"/>
    <cellStyle name="Normal 5 2 2 2 2" xfId="37399" xr:uid="{00000000-0005-0000-0000-000015920000}"/>
    <cellStyle name="Normal 5 2 20" xfId="37400" xr:uid="{00000000-0005-0000-0000-000016920000}"/>
    <cellStyle name="Normal 5 2 21" xfId="37401" xr:uid="{00000000-0005-0000-0000-000017920000}"/>
    <cellStyle name="Normal 5 2 22" xfId="37402" xr:uid="{00000000-0005-0000-0000-000018920000}"/>
    <cellStyle name="Normal 5 2 23" xfId="37403" xr:uid="{00000000-0005-0000-0000-000019920000}"/>
    <cellStyle name="Normal 5 2 24" xfId="37404" xr:uid="{00000000-0005-0000-0000-00001A920000}"/>
    <cellStyle name="Normal 5 2 25" xfId="37405" xr:uid="{00000000-0005-0000-0000-00001B920000}"/>
    <cellStyle name="Normal 5 2 26" xfId="37406" xr:uid="{00000000-0005-0000-0000-00001C920000}"/>
    <cellStyle name="Normal 5 2 27" xfId="37407" xr:uid="{00000000-0005-0000-0000-00001D920000}"/>
    <cellStyle name="Normal 5 2 28" xfId="37408" xr:uid="{00000000-0005-0000-0000-00001E920000}"/>
    <cellStyle name="Normal 5 2 29" xfId="37409" xr:uid="{00000000-0005-0000-0000-00001F920000}"/>
    <cellStyle name="Normal 5 2 3" xfId="37410" xr:uid="{00000000-0005-0000-0000-000020920000}"/>
    <cellStyle name="Normal 5 2 30" xfId="37411" xr:uid="{00000000-0005-0000-0000-000021920000}"/>
    <cellStyle name="Normal 5 2 31" xfId="37412" xr:uid="{00000000-0005-0000-0000-000022920000}"/>
    <cellStyle name="Normal 5 2 32" xfId="37413" xr:uid="{00000000-0005-0000-0000-000023920000}"/>
    <cellStyle name="Normal 5 2 33" xfId="37414" xr:uid="{00000000-0005-0000-0000-000024920000}"/>
    <cellStyle name="Normal 5 2 34" xfId="37415" xr:uid="{00000000-0005-0000-0000-000025920000}"/>
    <cellStyle name="Normal 5 2 35" xfId="37416" xr:uid="{00000000-0005-0000-0000-000026920000}"/>
    <cellStyle name="Normal 5 2 36" xfId="37417" xr:uid="{00000000-0005-0000-0000-000027920000}"/>
    <cellStyle name="Normal 5 2 37" xfId="37418" xr:uid="{00000000-0005-0000-0000-000028920000}"/>
    <cellStyle name="Normal 5 2 38" xfId="37419" xr:uid="{00000000-0005-0000-0000-000029920000}"/>
    <cellStyle name="Normal 5 2 39" xfId="37420" xr:uid="{00000000-0005-0000-0000-00002A920000}"/>
    <cellStyle name="Normal 5 2 4" xfId="37421" xr:uid="{00000000-0005-0000-0000-00002B920000}"/>
    <cellStyle name="Normal 5 2 40" xfId="37422" xr:uid="{00000000-0005-0000-0000-00002C920000}"/>
    <cellStyle name="Normal 5 2 41" xfId="37423" xr:uid="{00000000-0005-0000-0000-00002D920000}"/>
    <cellStyle name="Normal 5 2 42" xfId="37424" xr:uid="{00000000-0005-0000-0000-00002E920000}"/>
    <cellStyle name="Normal 5 2 43" xfId="37425" xr:uid="{00000000-0005-0000-0000-00002F920000}"/>
    <cellStyle name="Normal 5 2 44" xfId="37426" xr:uid="{00000000-0005-0000-0000-000030920000}"/>
    <cellStyle name="Normal 5 2 45" xfId="37427" xr:uid="{00000000-0005-0000-0000-000031920000}"/>
    <cellStyle name="Normal 5 2 46" xfId="37428" xr:uid="{00000000-0005-0000-0000-000032920000}"/>
    <cellStyle name="Normal 5 2 47" xfId="37429" xr:uid="{00000000-0005-0000-0000-000033920000}"/>
    <cellStyle name="Normal 5 2 48" xfId="37430" xr:uid="{00000000-0005-0000-0000-000034920000}"/>
    <cellStyle name="Normal 5 2 49" xfId="37431" xr:uid="{00000000-0005-0000-0000-000035920000}"/>
    <cellStyle name="Normal 5 2 5" xfId="37432" xr:uid="{00000000-0005-0000-0000-000036920000}"/>
    <cellStyle name="Normal 5 2 50" xfId="37433" xr:uid="{00000000-0005-0000-0000-000037920000}"/>
    <cellStyle name="Normal 5 2 51" xfId="37434" xr:uid="{00000000-0005-0000-0000-000038920000}"/>
    <cellStyle name="Normal 5 2 52" xfId="37435" xr:uid="{00000000-0005-0000-0000-000039920000}"/>
    <cellStyle name="Normal 5 2 53" xfId="37436" xr:uid="{00000000-0005-0000-0000-00003A920000}"/>
    <cellStyle name="Normal 5 2 54" xfId="37437" xr:uid="{00000000-0005-0000-0000-00003B920000}"/>
    <cellStyle name="Normal 5 2 55" xfId="37438" xr:uid="{00000000-0005-0000-0000-00003C920000}"/>
    <cellStyle name="Normal 5 2 56" xfId="37439" xr:uid="{00000000-0005-0000-0000-00003D920000}"/>
    <cellStyle name="Normal 5 2 57" xfId="37440" xr:uid="{00000000-0005-0000-0000-00003E920000}"/>
    <cellStyle name="Normal 5 2 58" xfId="37441" xr:uid="{00000000-0005-0000-0000-00003F920000}"/>
    <cellStyle name="Normal 5 2 59" xfId="37442" xr:uid="{00000000-0005-0000-0000-000040920000}"/>
    <cellStyle name="Normal 5 2 6" xfId="37443" xr:uid="{00000000-0005-0000-0000-000041920000}"/>
    <cellStyle name="Normal 5 2 60" xfId="37444" xr:uid="{00000000-0005-0000-0000-000042920000}"/>
    <cellStyle name="Normal 5 2 61" xfId="37445" xr:uid="{00000000-0005-0000-0000-000043920000}"/>
    <cellStyle name="Normal 5 2 62" xfId="37446" xr:uid="{00000000-0005-0000-0000-000044920000}"/>
    <cellStyle name="Normal 5 2 63" xfId="37447" xr:uid="{00000000-0005-0000-0000-000045920000}"/>
    <cellStyle name="Normal 5 2 64" xfId="37448" xr:uid="{00000000-0005-0000-0000-000046920000}"/>
    <cellStyle name="Normal 5 2 65" xfId="37449" xr:uid="{00000000-0005-0000-0000-000047920000}"/>
    <cellStyle name="Normal 5 2 66" xfId="37450" xr:uid="{00000000-0005-0000-0000-000048920000}"/>
    <cellStyle name="Normal 5 2 67" xfId="37451" xr:uid="{00000000-0005-0000-0000-000049920000}"/>
    <cellStyle name="Normal 5 2 68" xfId="37452" xr:uid="{00000000-0005-0000-0000-00004A920000}"/>
    <cellStyle name="Normal 5 2 69" xfId="37453" xr:uid="{00000000-0005-0000-0000-00004B920000}"/>
    <cellStyle name="Normal 5 2 7" xfId="37454" xr:uid="{00000000-0005-0000-0000-00004C920000}"/>
    <cellStyle name="Normal 5 2 70" xfId="37455" xr:uid="{00000000-0005-0000-0000-00004D920000}"/>
    <cellStyle name="Normal 5 2 71" xfId="37456" xr:uid="{00000000-0005-0000-0000-00004E920000}"/>
    <cellStyle name="Normal 5 2 72" xfId="37457" xr:uid="{00000000-0005-0000-0000-00004F920000}"/>
    <cellStyle name="Normal 5 2 73" xfId="37458" xr:uid="{00000000-0005-0000-0000-000050920000}"/>
    <cellStyle name="Normal 5 2 74" xfId="37459" xr:uid="{00000000-0005-0000-0000-000051920000}"/>
    <cellStyle name="Normal 5 2 75" xfId="37460" xr:uid="{00000000-0005-0000-0000-000052920000}"/>
    <cellStyle name="Normal 5 2 76" xfId="37461" xr:uid="{00000000-0005-0000-0000-000053920000}"/>
    <cellStyle name="Normal 5 2 77" xfId="37462" xr:uid="{00000000-0005-0000-0000-000054920000}"/>
    <cellStyle name="Normal 5 2 78" xfId="37463" xr:uid="{00000000-0005-0000-0000-000055920000}"/>
    <cellStyle name="Normal 5 2 79" xfId="37464" xr:uid="{00000000-0005-0000-0000-000056920000}"/>
    <cellStyle name="Normal 5 2 8" xfId="37465" xr:uid="{00000000-0005-0000-0000-000057920000}"/>
    <cellStyle name="Normal 5 2 80" xfId="37466" xr:uid="{00000000-0005-0000-0000-000058920000}"/>
    <cellStyle name="Normal 5 2 81" xfId="37467" xr:uid="{00000000-0005-0000-0000-000059920000}"/>
    <cellStyle name="Normal 5 2 82" xfId="37468" xr:uid="{00000000-0005-0000-0000-00005A920000}"/>
    <cellStyle name="Normal 5 2 9" xfId="37469" xr:uid="{00000000-0005-0000-0000-00005B920000}"/>
    <cellStyle name="Normal 5 2_Enlaces" xfId="37470" xr:uid="{00000000-0005-0000-0000-00005C920000}"/>
    <cellStyle name="Normal 5 20" xfId="37471" xr:uid="{00000000-0005-0000-0000-00005D920000}"/>
    <cellStyle name="Normal 5 20 2" xfId="37472" xr:uid="{00000000-0005-0000-0000-00005E920000}"/>
    <cellStyle name="Normal 5 20 2 2" xfId="37473" xr:uid="{00000000-0005-0000-0000-00005F920000}"/>
    <cellStyle name="Normal 5 20 3" xfId="37474" xr:uid="{00000000-0005-0000-0000-000060920000}"/>
    <cellStyle name="Normal 5 20 4" xfId="37475" xr:uid="{00000000-0005-0000-0000-000061920000}"/>
    <cellStyle name="Normal 5 21" xfId="37476" xr:uid="{00000000-0005-0000-0000-000062920000}"/>
    <cellStyle name="Normal 5 21 2" xfId="37477" xr:uid="{00000000-0005-0000-0000-000063920000}"/>
    <cellStyle name="Normal 5 21 2 2" xfId="37478" xr:uid="{00000000-0005-0000-0000-000064920000}"/>
    <cellStyle name="Normal 5 21 3" xfId="37479" xr:uid="{00000000-0005-0000-0000-000065920000}"/>
    <cellStyle name="Normal 5 21 4" xfId="37480" xr:uid="{00000000-0005-0000-0000-000066920000}"/>
    <cellStyle name="Normal 5 22" xfId="37481" xr:uid="{00000000-0005-0000-0000-000067920000}"/>
    <cellStyle name="Normal 5 22 2" xfId="37482" xr:uid="{00000000-0005-0000-0000-000068920000}"/>
    <cellStyle name="Normal 5 22 3" xfId="37483" xr:uid="{00000000-0005-0000-0000-000069920000}"/>
    <cellStyle name="Normal 5 23" xfId="37484" xr:uid="{00000000-0005-0000-0000-00006A920000}"/>
    <cellStyle name="Normal 5 24" xfId="37485" xr:uid="{00000000-0005-0000-0000-00006B920000}"/>
    <cellStyle name="Normal 5 25" xfId="37486" xr:uid="{00000000-0005-0000-0000-00006C920000}"/>
    <cellStyle name="Normal 5 26" xfId="37487" xr:uid="{00000000-0005-0000-0000-00006D920000}"/>
    <cellStyle name="Normal 5 27" xfId="37488" xr:uid="{00000000-0005-0000-0000-00006E920000}"/>
    <cellStyle name="Normal 5 28" xfId="37489" xr:uid="{00000000-0005-0000-0000-00006F920000}"/>
    <cellStyle name="Normal 5 29" xfId="37490" xr:uid="{00000000-0005-0000-0000-000070920000}"/>
    <cellStyle name="Normal 5 3" xfId="37491" xr:uid="{00000000-0005-0000-0000-000071920000}"/>
    <cellStyle name="Normal 5 3 10" xfId="37492" xr:uid="{00000000-0005-0000-0000-000072920000}"/>
    <cellStyle name="Normal 5 3 11" xfId="37493" xr:uid="{00000000-0005-0000-0000-000073920000}"/>
    <cellStyle name="Normal 5 3 12" xfId="37494" xr:uid="{00000000-0005-0000-0000-000074920000}"/>
    <cellStyle name="Normal 5 3 2" xfId="37495" xr:uid="{00000000-0005-0000-0000-000075920000}"/>
    <cellStyle name="Normal 5 3 3" xfId="37496" xr:uid="{00000000-0005-0000-0000-000076920000}"/>
    <cellStyle name="Normal 5 3 4" xfId="37497" xr:uid="{00000000-0005-0000-0000-000077920000}"/>
    <cellStyle name="Normal 5 3 4 2" xfId="37498" xr:uid="{00000000-0005-0000-0000-000078920000}"/>
    <cellStyle name="Normal 5 3 4 2 2" xfId="37499" xr:uid="{00000000-0005-0000-0000-000079920000}"/>
    <cellStyle name="Normal 5 3 4 3" xfId="37500" xr:uid="{00000000-0005-0000-0000-00007A920000}"/>
    <cellStyle name="Normal 5 3 5" xfId="37501" xr:uid="{00000000-0005-0000-0000-00007B920000}"/>
    <cellStyle name="Normal 5 3 6" xfId="37502" xr:uid="{00000000-0005-0000-0000-00007C920000}"/>
    <cellStyle name="Normal 5 3 7" xfId="37503" xr:uid="{00000000-0005-0000-0000-00007D920000}"/>
    <cellStyle name="Normal 5 3 7 2" xfId="37504" xr:uid="{00000000-0005-0000-0000-00007E920000}"/>
    <cellStyle name="Normal 5 3 8" xfId="37505" xr:uid="{00000000-0005-0000-0000-00007F920000}"/>
    <cellStyle name="Normal 5 3 9" xfId="37506" xr:uid="{00000000-0005-0000-0000-000080920000}"/>
    <cellStyle name="Normal 5 3_Implem" xfId="37507" xr:uid="{00000000-0005-0000-0000-000081920000}"/>
    <cellStyle name="Normal 5 30" xfId="37508" xr:uid="{00000000-0005-0000-0000-000082920000}"/>
    <cellStyle name="Normal 5 31" xfId="37509" xr:uid="{00000000-0005-0000-0000-000083920000}"/>
    <cellStyle name="Normal 5 32" xfId="37510" xr:uid="{00000000-0005-0000-0000-000084920000}"/>
    <cellStyle name="Normal 5 33" xfId="37511" xr:uid="{00000000-0005-0000-0000-000085920000}"/>
    <cellStyle name="Normal 5 34" xfId="37512" xr:uid="{00000000-0005-0000-0000-000086920000}"/>
    <cellStyle name="Normal 5 35" xfId="37513" xr:uid="{00000000-0005-0000-0000-000087920000}"/>
    <cellStyle name="Normal 5 36" xfId="37514" xr:uid="{00000000-0005-0000-0000-000088920000}"/>
    <cellStyle name="Normal 5 37" xfId="37515" xr:uid="{00000000-0005-0000-0000-000089920000}"/>
    <cellStyle name="Normal 5 38" xfId="37516" xr:uid="{00000000-0005-0000-0000-00008A920000}"/>
    <cellStyle name="Normal 5 39" xfId="37517" xr:uid="{00000000-0005-0000-0000-00008B920000}"/>
    <cellStyle name="Normal 5 4" xfId="37518" xr:uid="{00000000-0005-0000-0000-00008C920000}"/>
    <cellStyle name="Normal 5 4 2" xfId="37519" xr:uid="{00000000-0005-0000-0000-00008D920000}"/>
    <cellStyle name="Normal 5 4 2 2" xfId="37520" xr:uid="{00000000-0005-0000-0000-00008E920000}"/>
    <cellStyle name="Normal 5 4 3" xfId="37521" xr:uid="{00000000-0005-0000-0000-00008F920000}"/>
    <cellStyle name="Normal 5 4 4" xfId="37522" xr:uid="{00000000-0005-0000-0000-000090920000}"/>
    <cellStyle name="Normal 5 40" xfId="37523" xr:uid="{00000000-0005-0000-0000-000091920000}"/>
    <cellStyle name="Normal 5 41" xfId="37524" xr:uid="{00000000-0005-0000-0000-000092920000}"/>
    <cellStyle name="Normal 5 42" xfId="37525" xr:uid="{00000000-0005-0000-0000-000093920000}"/>
    <cellStyle name="Normal 5 43" xfId="37526" xr:uid="{00000000-0005-0000-0000-000094920000}"/>
    <cellStyle name="Normal 5 44" xfId="37527" xr:uid="{00000000-0005-0000-0000-000095920000}"/>
    <cellStyle name="Normal 5 45" xfId="37528" xr:uid="{00000000-0005-0000-0000-000096920000}"/>
    <cellStyle name="Normal 5 46" xfId="37529" xr:uid="{00000000-0005-0000-0000-000097920000}"/>
    <cellStyle name="Normal 5 47" xfId="37530" xr:uid="{00000000-0005-0000-0000-000098920000}"/>
    <cellStyle name="Normal 5 48" xfId="37531" xr:uid="{00000000-0005-0000-0000-000099920000}"/>
    <cellStyle name="Normal 5 49" xfId="37532" xr:uid="{00000000-0005-0000-0000-00009A920000}"/>
    <cellStyle name="Normal 5 5" xfId="37533" xr:uid="{00000000-0005-0000-0000-00009B920000}"/>
    <cellStyle name="Normal 5 5 2" xfId="37534" xr:uid="{00000000-0005-0000-0000-00009C920000}"/>
    <cellStyle name="Normal 5 5 2 2" xfId="37535" xr:uid="{00000000-0005-0000-0000-00009D920000}"/>
    <cellStyle name="Normal 5 5 3" xfId="37536" xr:uid="{00000000-0005-0000-0000-00009E920000}"/>
    <cellStyle name="Normal 5 5 4" xfId="37537" xr:uid="{00000000-0005-0000-0000-00009F920000}"/>
    <cellStyle name="Normal 5 50" xfId="37538" xr:uid="{00000000-0005-0000-0000-0000A0920000}"/>
    <cellStyle name="Normal 5 51" xfId="37539" xr:uid="{00000000-0005-0000-0000-0000A1920000}"/>
    <cellStyle name="Normal 5 52" xfId="37540" xr:uid="{00000000-0005-0000-0000-0000A2920000}"/>
    <cellStyle name="Normal 5 53" xfId="37541" xr:uid="{00000000-0005-0000-0000-0000A3920000}"/>
    <cellStyle name="Normal 5 54" xfId="37542" xr:uid="{00000000-0005-0000-0000-0000A4920000}"/>
    <cellStyle name="Normal 5 55" xfId="37543" xr:uid="{00000000-0005-0000-0000-0000A5920000}"/>
    <cellStyle name="Normal 5 56" xfId="37544" xr:uid="{00000000-0005-0000-0000-0000A6920000}"/>
    <cellStyle name="Normal 5 57" xfId="37545" xr:uid="{00000000-0005-0000-0000-0000A7920000}"/>
    <cellStyle name="Normal 5 58" xfId="37546" xr:uid="{00000000-0005-0000-0000-0000A8920000}"/>
    <cellStyle name="Normal 5 59" xfId="37547" xr:uid="{00000000-0005-0000-0000-0000A9920000}"/>
    <cellStyle name="Normal 5 6" xfId="37548" xr:uid="{00000000-0005-0000-0000-0000AA920000}"/>
    <cellStyle name="Normal 5 6 2" xfId="37549" xr:uid="{00000000-0005-0000-0000-0000AB920000}"/>
    <cellStyle name="Normal 5 6 2 2" xfId="37550" xr:uid="{00000000-0005-0000-0000-0000AC920000}"/>
    <cellStyle name="Normal 5 6 3" xfId="37551" xr:uid="{00000000-0005-0000-0000-0000AD920000}"/>
    <cellStyle name="Normal 5 6 4" xfId="37552" xr:uid="{00000000-0005-0000-0000-0000AE920000}"/>
    <cellStyle name="Normal 5 60" xfId="37553" xr:uid="{00000000-0005-0000-0000-0000AF920000}"/>
    <cellStyle name="Normal 5 7" xfId="37554" xr:uid="{00000000-0005-0000-0000-0000B0920000}"/>
    <cellStyle name="Normal 5 7 2" xfId="37555" xr:uid="{00000000-0005-0000-0000-0000B1920000}"/>
    <cellStyle name="Normal 5 7 2 2" xfId="37556" xr:uid="{00000000-0005-0000-0000-0000B2920000}"/>
    <cellStyle name="Normal 5 7 3" xfId="37557" xr:uid="{00000000-0005-0000-0000-0000B3920000}"/>
    <cellStyle name="Normal 5 7 4" xfId="37558" xr:uid="{00000000-0005-0000-0000-0000B4920000}"/>
    <cellStyle name="Normal 5 8" xfId="37559" xr:uid="{00000000-0005-0000-0000-0000B5920000}"/>
    <cellStyle name="Normal 5 8 2" xfId="37560" xr:uid="{00000000-0005-0000-0000-0000B6920000}"/>
    <cellStyle name="Normal 5 8 2 2" xfId="37561" xr:uid="{00000000-0005-0000-0000-0000B7920000}"/>
    <cellStyle name="Normal 5 8 3" xfId="37562" xr:uid="{00000000-0005-0000-0000-0000B8920000}"/>
    <cellStyle name="Normal 5 8 4" xfId="37563" xr:uid="{00000000-0005-0000-0000-0000B9920000}"/>
    <cellStyle name="Normal 5 9" xfId="37564" xr:uid="{00000000-0005-0000-0000-0000BA920000}"/>
    <cellStyle name="Normal 5 9 2" xfId="37565" xr:uid="{00000000-0005-0000-0000-0000BB920000}"/>
    <cellStyle name="Normal 5 9 2 2" xfId="37566" xr:uid="{00000000-0005-0000-0000-0000BC920000}"/>
    <cellStyle name="Normal 5 9 3" xfId="37567" xr:uid="{00000000-0005-0000-0000-0000BD920000}"/>
    <cellStyle name="Normal 5 9 4" xfId="37568" xr:uid="{00000000-0005-0000-0000-0000BE920000}"/>
    <cellStyle name="Normal 50" xfId="37569" xr:uid="{00000000-0005-0000-0000-0000BF920000}"/>
    <cellStyle name="Normal 50 10" xfId="37570" xr:uid="{00000000-0005-0000-0000-0000C0920000}"/>
    <cellStyle name="Normal 50 11" xfId="37571" xr:uid="{00000000-0005-0000-0000-0000C1920000}"/>
    <cellStyle name="Normal 50 12" xfId="37572" xr:uid="{00000000-0005-0000-0000-0000C2920000}"/>
    <cellStyle name="Normal 50 13" xfId="37573" xr:uid="{00000000-0005-0000-0000-0000C3920000}"/>
    <cellStyle name="Normal 50 14" xfId="37574" xr:uid="{00000000-0005-0000-0000-0000C4920000}"/>
    <cellStyle name="Normal 50 15" xfId="37575" xr:uid="{00000000-0005-0000-0000-0000C5920000}"/>
    <cellStyle name="Normal 50 16" xfId="37576" xr:uid="{00000000-0005-0000-0000-0000C6920000}"/>
    <cellStyle name="Normal 50 17" xfId="37577" xr:uid="{00000000-0005-0000-0000-0000C7920000}"/>
    <cellStyle name="Normal 50 18" xfId="37578" xr:uid="{00000000-0005-0000-0000-0000C8920000}"/>
    <cellStyle name="Normal 50 19" xfId="37579" xr:uid="{00000000-0005-0000-0000-0000C9920000}"/>
    <cellStyle name="Normal 50 2" xfId="37580" xr:uid="{00000000-0005-0000-0000-0000CA920000}"/>
    <cellStyle name="Normal 50 2 2" xfId="37581" xr:uid="{00000000-0005-0000-0000-0000CB920000}"/>
    <cellStyle name="Normal 50 20" xfId="37582" xr:uid="{00000000-0005-0000-0000-0000CC920000}"/>
    <cellStyle name="Normal 50 21" xfId="37583" xr:uid="{00000000-0005-0000-0000-0000CD920000}"/>
    <cellStyle name="Normal 50 22" xfId="37584" xr:uid="{00000000-0005-0000-0000-0000CE920000}"/>
    <cellStyle name="Normal 50 23" xfId="37585" xr:uid="{00000000-0005-0000-0000-0000CF920000}"/>
    <cellStyle name="Normal 50 24" xfId="37586" xr:uid="{00000000-0005-0000-0000-0000D0920000}"/>
    <cellStyle name="Normal 50 25" xfId="37587" xr:uid="{00000000-0005-0000-0000-0000D1920000}"/>
    <cellStyle name="Normal 50 26" xfId="37588" xr:uid="{00000000-0005-0000-0000-0000D2920000}"/>
    <cellStyle name="Normal 50 3" xfId="37589" xr:uid="{00000000-0005-0000-0000-0000D3920000}"/>
    <cellStyle name="Normal 50 3 2" xfId="37590" xr:uid="{00000000-0005-0000-0000-0000D4920000}"/>
    <cellStyle name="Normal 50 4" xfId="37591" xr:uid="{00000000-0005-0000-0000-0000D5920000}"/>
    <cellStyle name="Normal 50 4 2" xfId="37592" xr:uid="{00000000-0005-0000-0000-0000D6920000}"/>
    <cellStyle name="Normal 50 5" xfId="37593" xr:uid="{00000000-0005-0000-0000-0000D7920000}"/>
    <cellStyle name="Normal 50 5 2" xfId="37594" xr:uid="{00000000-0005-0000-0000-0000D8920000}"/>
    <cellStyle name="Normal 50 6" xfId="37595" xr:uid="{00000000-0005-0000-0000-0000D9920000}"/>
    <cellStyle name="Normal 50 7" xfId="37596" xr:uid="{00000000-0005-0000-0000-0000DA920000}"/>
    <cellStyle name="Normal 50 8" xfId="37597" xr:uid="{00000000-0005-0000-0000-0000DB920000}"/>
    <cellStyle name="Normal 50 9" xfId="37598" xr:uid="{00000000-0005-0000-0000-0000DC920000}"/>
    <cellStyle name="Normal 51" xfId="37599" xr:uid="{00000000-0005-0000-0000-0000DD920000}"/>
    <cellStyle name="Normal 52" xfId="37600" xr:uid="{00000000-0005-0000-0000-0000DE920000}"/>
    <cellStyle name="Normal 53" xfId="37601" xr:uid="{00000000-0005-0000-0000-0000DF920000}"/>
    <cellStyle name="Normal 54" xfId="37602" xr:uid="{00000000-0005-0000-0000-0000E0920000}"/>
    <cellStyle name="Normal 55" xfId="37603" xr:uid="{00000000-0005-0000-0000-0000E1920000}"/>
    <cellStyle name="Normal 56" xfId="37604" xr:uid="{00000000-0005-0000-0000-0000E2920000}"/>
    <cellStyle name="Normal 57" xfId="37605" xr:uid="{00000000-0005-0000-0000-0000E3920000}"/>
    <cellStyle name="Normal 58" xfId="37606" xr:uid="{00000000-0005-0000-0000-0000E4920000}"/>
    <cellStyle name="Normal 59" xfId="37607" xr:uid="{00000000-0005-0000-0000-0000E5920000}"/>
    <cellStyle name="Normal 6" xfId="37608" xr:uid="{00000000-0005-0000-0000-0000E6920000}"/>
    <cellStyle name="Normal 6 10" xfId="37609" xr:uid="{00000000-0005-0000-0000-0000E7920000}"/>
    <cellStyle name="Normal 6 11" xfId="37610" xr:uid="{00000000-0005-0000-0000-0000E8920000}"/>
    <cellStyle name="Normal 6 12" xfId="37611" xr:uid="{00000000-0005-0000-0000-0000E9920000}"/>
    <cellStyle name="Normal 6 13" xfId="37612" xr:uid="{00000000-0005-0000-0000-0000EA920000}"/>
    <cellStyle name="Normal 6 14" xfId="37613" xr:uid="{00000000-0005-0000-0000-0000EB920000}"/>
    <cellStyle name="Normal 6 15" xfId="37614" xr:uid="{00000000-0005-0000-0000-0000EC920000}"/>
    <cellStyle name="Normal 6 16" xfId="37615" xr:uid="{00000000-0005-0000-0000-0000ED920000}"/>
    <cellStyle name="Normal 6 17" xfId="37616" xr:uid="{00000000-0005-0000-0000-0000EE920000}"/>
    <cellStyle name="Normal 6 18" xfId="37617" xr:uid="{00000000-0005-0000-0000-0000EF920000}"/>
    <cellStyle name="Normal 6 19" xfId="37618" xr:uid="{00000000-0005-0000-0000-0000F0920000}"/>
    <cellStyle name="Normal 6 2" xfId="37619" xr:uid="{00000000-0005-0000-0000-0000F1920000}"/>
    <cellStyle name="Normal 6 2 10" xfId="37620" xr:uid="{00000000-0005-0000-0000-0000F2920000}"/>
    <cellStyle name="Normal 6 2 11" xfId="37621" xr:uid="{00000000-0005-0000-0000-0000F3920000}"/>
    <cellStyle name="Normal 6 2 12" xfId="37622" xr:uid="{00000000-0005-0000-0000-0000F4920000}"/>
    <cellStyle name="Normal 6 2 13" xfId="37623" xr:uid="{00000000-0005-0000-0000-0000F5920000}"/>
    <cellStyle name="Normal 6 2 14" xfId="37624" xr:uid="{00000000-0005-0000-0000-0000F6920000}"/>
    <cellStyle name="Normal 6 2 15" xfId="37625" xr:uid="{00000000-0005-0000-0000-0000F7920000}"/>
    <cellStyle name="Normal 6 2 16" xfId="37626" xr:uid="{00000000-0005-0000-0000-0000F8920000}"/>
    <cellStyle name="Normal 6 2 17" xfId="37627" xr:uid="{00000000-0005-0000-0000-0000F9920000}"/>
    <cellStyle name="Normal 6 2 18" xfId="37628" xr:uid="{00000000-0005-0000-0000-0000FA920000}"/>
    <cellStyle name="Normal 6 2 19" xfId="37629" xr:uid="{00000000-0005-0000-0000-0000FB920000}"/>
    <cellStyle name="Normal 6 2 2" xfId="37630" xr:uid="{00000000-0005-0000-0000-0000FC920000}"/>
    <cellStyle name="Normal 6 2 20" xfId="37631" xr:uid="{00000000-0005-0000-0000-0000FD920000}"/>
    <cellStyle name="Normal 6 2 21" xfId="37632" xr:uid="{00000000-0005-0000-0000-0000FE920000}"/>
    <cellStyle name="Normal 6 2 22" xfId="37633" xr:uid="{00000000-0005-0000-0000-0000FF920000}"/>
    <cellStyle name="Normal 6 2 23" xfId="37634" xr:uid="{00000000-0005-0000-0000-000000930000}"/>
    <cellStyle name="Normal 6 2 24" xfId="37635" xr:uid="{00000000-0005-0000-0000-000001930000}"/>
    <cellStyle name="Normal 6 2 25" xfId="37636" xr:uid="{00000000-0005-0000-0000-000002930000}"/>
    <cellStyle name="Normal 6 2 26" xfId="37637" xr:uid="{00000000-0005-0000-0000-000003930000}"/>
    <cellStyle name="Normal 6 2 27" xfId="37638" xr:uid="{00000000-0005-0000-0000-000004930000}"/>
    <cellStyle name="Normal 6 2 28" xfId="37639" xr:uid="{00000000-0005-0000-0000-000005930000}"/>
    <cellStyle name="Normal 6 2 29" xfId="37640" xr:uid="{00000000-0005-0000-0000-000006930000}"/>
    <cellStyle name="Normal 6 2 3" xfId="37641" xr:uid="{00000000-0005-0000-0000-000007930000}"/>
    <cellStyle name="Normal 6 2 30" xfId="37642" xr:uid="{00000000-0005-0000-0000-000008930000}"/>
    <cellStyle name="Normal 6 2 31" xfId="37643" xr:uid="{00000000-0005-0000-0000-000009930000}"/>
    <cellStyle name="Normal 6 2 32" xfId="37644" xr:uid="{00000000-0005-0000-0000-00000A930000}"/>
    <cellStyle name="Normal 6 2 33" xfId="37645" xr:uid="{00000000-0005-0000-0000-00000B930000}"/>
    <cellStyle name="Normal 6 2 34" xfId="37646" xr:uid="{00000000-0005-0000-0000-00000C930000}"/>
    <cellStyle name="Normal 6 2 35" xfId="37647" xr:uid="{00000000-0005-0000-0000-00000D930000}"/>
    <cellStyle name="Normal 6 2 36" xfId="37648" xr:uid="{00000000-0005-0000-0000-00000E930000}"/>
    <cellStyle name="Normal 6 2 37" xfId="37649" xr:uid="{00000000-0005-0000-0000-00000F930000}"/>
    <cellStyle name="Normal 6 2 38" xfId="37650" xr:uid="{00000000-0005-0000-0000-000010930000}"/>
    <cellStyle name="Normal 6 2 39" xfId="37651" xr:uid="{00000000-0005-0000-0000-000011930000}"/>
    <cellStyle name="Normal 6 2 4" xfId="37652" xr:uid="{00000000-0005-0000-0000-000012930000}"/>
    <cellStyle name="Normal 6 2 40" xfId="37653" xr:uid="{00000000-0005-0000-0000-000013930000}"/>
    <cellStyle name="Normal 6 2 41" xfId="37654" xr:uid="{00000000-0005-0000-0000-000014930000}"/>
    <cellStyle name="Normal 6 2 42" xfId="37655" xr:uid="{00000000-0005-0000-0000-000015930000}"/>
    <cellStyle name="Normal 6 2 43" xfId="37656" xr:uid="{00000000-0005-0000-0000-000016930000}"/>
    <cellStyle name="Normal 6 2 44" xfId="37657" xr:uid="{00000000-0005-0000-0000-000017930000}"/>
    <cellStyle name="Normal 6 2 45" xfId="37658" xr:uid="{00000000-0005-0000-0000-000018930000}"/>
    <cellStyle name="Normal 6 2 46" xfId="37659" xr:uid="{00000000-0005-0000-0000-000019930000}"/>
    <cellStyle name="Normal 6 2 47" xfId="37660" xr:uid="{00000000-0005-0000-0000-00001A930000}"/>
    <cellStyle name="Normal 6 2 48" xfId="37661" xr:uid="{00000000-0005-0000-0000-00001B930000}"/>
    <cellStyle name="Normal 6 2 49" xfId="37662" xr:uid="{00000000-0005-0000-0000-00001C930000}"/>
    <cellStyle name="Normal 6 2 5" xfId="37663" xr:uid="{00000000-0005-0000-0000-00001D930000}"/>
    <cellStyle name="Normal 6 2 50" xfId="37664" xr:uid="{00000000-0005-0000-0000-00001E930000}"/>
    <cellStyle name="Normal 6 2 51" xfId="37665" xr:uid="{00000000-0005-0000-0000-00001F930000}"/>
    <cellStyle name="Normal 6 2 52" xfId="37666" xr:uid="{00000000-0005-0000-0000-000020930000}"/>
    <cellStyle name="Normal 6 2 53" xfId="37667" xr:uid="{00000000-0005-0000-0000-000021930000}"/>
    <cellStyle name="Normal 6 2 54" xfId="37668" xr:uid="{00000000-0005-0000-0000-000022930000}"/>
    <cellStyle name="Normal 6 2 55" xfId="37669" xr:uid="{00000000-0005-0000-0000-000023930000}"/>
    <cellStyle name="Normal 6 2 56" xfId="37670" xr:uid="{00000000-0005-0000-0000-000024930000}"/>
    <cellStyle name="Normal 6 2 57" xfId="37671" xr:uid="{00000000-0005-0000-0000-000025930000}"/>
    <cellStyle name="Normal 6 2 58" xfId="37672" xr:uid="{00000000-0005-0000-0000-000026930000}"/>
    <cellStyle name="Normal 6 2 59" xfId="37673" xr:uid="{00000000-0005-0000-0000-000027930000}"/>
    <cellStyle name="Normal 6 2 6" xfId="37674" xr:uid="{00000000-0005-0000-0000-000028930000}"/>
    <cellStyle name="Normal 6 2 60" xfId="37675" xr:uid="{00000000-0005-0000-0000-000029930000}"/>
    <cellStyle name="Normal 6 2 61" xfId="37676" xr:uid="{00000000-0005-0000-0000-00002A930000}"/>
    <cellStyle name="Normal 6 2 62" xfId="37677" xr:uid="{00000000-0005-0000-0000-00002B930000}"/>
    <cellStyle name="Normal 6 2 63" xfId="37678" xr:uid="{00000000-0005-0000-0000-00002C930000}"/>
    <cellStyle name="Normal 6 2 64" xfId="37679" xr:uid="{00000000-0005-0000-0000-00002D930000}"/>
    <cellStyle name="Normal 6 2 65" xfId="37680" xr:uid="{00000000-0005-0000-0000-00002E930000}"/>
    <cellStyle name="Normal 6 2 66" xfId="37681" xr:uid="{00000000-0005-0000-0000-00002F930000}"/>
    <cellStyle name="Normal 6 2 67" xfId="37682" xr:uid="{00000000-0005-0000-0000-000030930000}"/>
    <cellStyle name="Normal 6 2 68" xfId="37683" xr:uid="{00000000-0005-0000-0000-000031930000}"/>
    <cellStyle name="Normal 6 2 69" xfId="37684" xr:uid="{00000000-0005-0000-0000-000032930000}"/>
    <cellStyle name="Normal 6 2 7" xfId="37685" xr:uid="{00000000-0005-0000-0000-000033930000}"/>
    <cellStyle name="Normal 6 2 70" xfId="37686" xr:uid="{00000000-0005-0000-0000-000034930000}"/>
    <cellStyle name="Normal 6 2 71" xfId="37687" xr:uid="{00000000-0005-0000-0000-000035930000}"/>
    <cellStyle name="Normal 6 2 72" xfId="37688" xr:uid="{00000000-0005-0000-0000-000036930000}"/>
    <cellStyle name="Normal 6 2 73" xfId="37689" xr:uid="{00000000-0005-0000-0000-000037930000}"/>
    <cellStyle name="Normal 6 2 74" xfId="37690" xr:uid="{00000000-0005-0000-0000-000038930000}"/>
    <cellStyle name="Normal 6 2 75" xfId="37691" xr:uid="{00000000-0005-0000-0000-000039930000}"/>
    <cellStyle name="Normal 6 2 76" xfId="37692" xr:uid="{00000000-0005-0000-0000-00003A930000}"/>
    <cellStyle name="Normal 6 2 77" xfId="37693" xr:uid="{00000000-0005-0000-0000-00003B930000}"/>
    <cellStyle name="Normal 6 2 78" xfId="37694" xr:uid="{00000000-0005-0000-0000-00003C930000}"/>
    <cellStyle name="Normal 6 2 79" xfId="37695" xr:uid="{00000000-0005-0000-0000-00003D930000}"/>
    <cellStyle name="Normal 6 2 8" xfId="37696" xr:uid="{00000000-0005-0000-0000-00003E930000}"/>
    <cellStyle name="Normal 6 2 80" xfId="37697" xr:uid="{00000000-0005-0000-0000-00003F930000}"/>
    <cellStyle name="Normal 6 2 81" xfId="37698" xr:uid="{00000000-0005-0000-0000-000040930000}"/>
    <cellStyle name="Normal 6 2 82" xfId="37699" xr:uid="{00000000-0005-0000-0000-000041930000}"/>
    <cellStyle name="Normal 6 2 83" xfId="37700" xr:uid="{00000000-0005-0000-0000-000042930000}"/>
    <cellStyle name="Normal 6 2 84" xfId="37701" xr:uid="{00000000-0005-0000-0000-000043930000}"/>
    <cellStyle name="Normal 6 2 85" xfId="37702" xr:uid="{00000000-0005-0000-0000-000044930000}"/>
    <cellStyle name="Normal 6 2 86" xfId="37703" xr:uid="{00000000-0005-0000-0000-000045930000}"/>
    <cellStyle name="Normal 6 2 9" xfId="37704" xr:uid="{00000000-0005-0000-0000-000046930000}"/>
    <cellStyle name="Normal 6 2_Xa Parametrización de Usuarios" xfId="37705" xr:uid="{00000000-0005-0000-0000-000047930000}"/>
    <cellStyle name="Normal 6 20" xfId="37706" xr:uid="{00000000-0005-0000-0000-000048930000}"/>
    <cellStyle name="Normal 6 21" xfId="37707" xr:uid="{00000000-0005-0000-0000-000049930000}"/>
    <cellStyle name="Normal 6 22" xfId="37708" xr:uid="{00000000-0005-0000-0000-00004A930000}"/>
    <cellStyle name="Normal 6 23" xfId="37709" xr:uid="{00000000-0005-0000-0000-00004B930000}"/>
    <cellStyle name="Normal 6 24" xfId="37710" xr:uid="{00000000-0005-0000-0000-00004C930000}"/>
    <cellStyle name="Normal 6 25" xfId="37711" xr:uid="{00000000-0005-0000-0000-00004D930000}"/>
    <cellStyle name="Normal 6 26" xfId="37712" xr:uid="{00000000-0005-0000-0000-00004E930000}"/>
    <cellStyle name="Normal 6 27" xfId="37713" xr:uid="{00000000-0005-0000-0000-00004F930000}"/>
    <cellStyle name="Normal 6 28" xfId="37714" xr:uid="{00000000-0005-0000-0000-000050930000}"/>
    <cellStyle name="Normal 6 29" xfId="37715" xr:uid="{00000000-0005-0000-0000-000051930000}"/>
    <cellStyle name="Normal 6 3" xfId="37716" xr:uid="{00000000-0005-0000-0000-000052930000}"/>
    <cellStyle name="Normal 6 3 10" xfId="37717" xr:uid="{00000000-0005-0000-0000-000053930000}"/>
    <cellStyle name="Normal 6 3 11" xfId="37718" xr:uid="{00000000-0005-0000-0000-000054930000}"/>
    <cellStyle name="Normal 6 3 12" xfId="37719" xr:uid="{00000000-0005-0000-0000-000055930000}"/>
    <cellStyle name="Normal 6 3 2" xfId="37720" xr:uid="{00000000-0005-0000-0000-000056930000}"/>
    <cellStyle name="Normal 6 3 3" xfId="37721" xr:uid="{00000000-0005-0000-0000-000057930000}"/>
    <cellStyle name="Normal 6 3 4" xfId="37722" xr:uid="{00000000-0005-0000-0000-000058930000}"/>
    <cellStyle name="Normal 6 3 5" xfId="37723" xr:uid="{00000000-0005-0000-0000-000059930000}"/>
    <cellStyle name="Normal 6 3 6" xfId="37724" xr:uid="{00000000-0005-0000-0000-00005A930000}"/>
    <cellStyle name="Normal 6 3 7" xfId="37725" xr:uid="{00000000-0005-0000-0000-00005B930000}"/>
    <cellStyle name="Normal 6 3 8" xfId="37726" xr:uid="{00000000-0005-0000-0000-00005C930000}"/>
    <cellStyle name="Normal 6 3 9" xfId="37727" xr:uid="{00000000-0005-0000-0000-00005D930000}"/>
    <cellStyle name="Normal 6 3_Xa Parametrización de Usuarios" xfId="37728" xr:uid="{00000000-0005-0000-0000-00005E930000}"/>
    <cellStyle name="Normal 6 4" xfId="37729" xr:uid="{00000000-0005-0000-0000-00005F930000}"/>
    <cellStyle name="Normal 6 5" xfId="37730" xr:uid="{00000000-0005-0000-0000-000060930000}"/>
    <cellStyle name="Normal 6 6" xfId="37731" xr:uid="{00000000-0005-0000-0000-000061930000}"/>
    <cellStyle name="Normal 6 7" xfId="37732" xr:uid="{00000000-0005-0000-0000-000062930000}"/>
    <cellStyle name="Normal 6 8" xfId="37733" xr:uid="{00000000-0005-0000-0000-000063930000}"/>
    <cellStyle name="Normal 6 9" xfId="37734" xr:uid="{00000000-0005-0000-0000-000064930000}"/>
    <cellStyle name="Normal 60" xfId="37735" xr:uid="{00000000-0005-0000-0000-000065930000}"/>
    <cellStyle name="Normal 61" xfId="37736" xr:uid="{00000000-0005-0000-0000-000066930000}"/>
    <cellStyle name="Normal 61 2" xfId="37737" xr:uid="{00000000-0005-0000-0000-000067930000}"/>
    <cellStyle name="Normal 61 2 2" xfId="37738" xr:uid="{00000000-0005-0000-0000-000068930000}"/>
    <cellStyle name="Normal 61 2 3" xfId="37739" xr:uid="{00000000-0005-0000-0000-000069930000}"/>
    <cellStyle name="Normal 61 3" xfId="37740" xr:uid="{00000000-0005-0000-0000-00006A930000}"/>
    <cellStyle name="Normal 62" xfId="37741" xr:uid="{00000000-0005-0000-0000-00006B930000}"/>
    <cellStyle name="Normal 62 2" xfId="37742" xr:uid="{00000000-0005-0000-0000-00006C930000}"/>
    <cellStyle name="Normal 62 3" xfId="37743" xr:uid="{00000000-0005-0000-0000-00006D930000}"/>
    <cellStyle name="Normal 63" xfId="37744" xr:uid="{00000000-0005-0000-0000-00006E930000}"/>
    <cellStyle name="Normal 63 2" xfId="37745" xr:uid="{00000000-0005-0000-0000-00006F930000}"/>
    <cellStyle name="Normal 63 3" xfId="37746" xr:uid="{00000000-0005-0000-0000-000070930000}"/>
    <cellStyle name="Normal 63 4" xfId="37747" xr:uid="{00000000-0005-0000-0000-000071930000}"/>
    <cellStyle name="Normal 64" xfId="37748" xr:uid="{00000000-0005-0000-0000-000072930000}"/>
    <cellStyle name="Normal 64 2" xfId="37749" xr:uid="{00000000-0005-0000-0000-000073930000}"/>
    <cellStyle name="Normal 64 3" xfId="37750" xr:uid="{00000000-0005-0000-0000-000074930000}"/>
    <cellStyle name="Normal 64 4" xfId="37751" xr:uid="{00000000-0005-0000-0000-000075930000}"/>
    <cellStyle name="Normal 65" xfId="37752" xr:uid="{00000000-0005-0000-0000-000076930000}"/>
    <cellStyle name="Normal 65 2" xfId="37753" xr:uid="{00000000-0005-0000-0000-000077930000}"/>
    <cellStyle name="Normal 65 3" xfId="37754" xr:uid="{00000000-0005-0000-0000-000078930000}"/>
    <cellStyle name="Normal 66" xfId="37755" xr:uid="{00000000-0005-0000-0000-000079930000}"/>
    <cellStyle name="Normal 66 2" xfId="37756" xr:uid="{00000000-0005-0000-0000-00007A930000}"/>
    <cellStyle name="Normal 66 3" xfId="37757" xr:uid="{00000000-0005-0000-0000-00007B930000}"/>
    <cellStyle name="Normal 67" xfId="37758" xr:uid="{00000000-0005-0000-0000-00007C930000}"/>
    <cellStyle name="Normal 67 2" xfId="37759" xr:uid="{00000000-0005-0000-0000-00007D930000}"/>
    <cellStyle name="Normal 68" xfId="37760" xr:uid="{00000000-0005-0000-0000-00007E930000}"/>
    <cellStyle name="Normal 68 2" xfId="37761" xr:uid="{00000000-0005-0000-0000-00007F930000}"/>
    <cellStyle name="Normal 69" xfId="37762" xr:uid="{00000000-0005-0000-0000-000080930000}"/>
    <cellStyle name="Normal 69 2" xfId="37763" xr:uid="{00000000-0005-0000-0000-000081930000}"/>
    <cellStyle name="Normal 69 3" xfId="37764" xr:uid="{00000000-0005-0000-0000-000082930000}"/>
    <cellStyle name="Normal 7" xfId="1" xr:uid="{00000000-0005-0000-0000-000083930000}"/>
    <cellStyle name="Normal 7 10" xfId="37765" xr:uid="{00000000-0005-0000-0000-000084930000}"/>
    <cellStyle name="Normal 7 11" xfId="37766" xr:uid="{00000000-0005-0000-0000-000085930000}"/>
    <cellStyle name="Normal 7 12" xfId="37767" xr:uid="{00000000-0005-0000-0000-000086930000}"/>
    <cellStyle name="Normal 7 13" xfId="37768" xr:uid="{00000000-0005-0000-0000-000087930000}"/>
    <cellStyle name="Normal 7 14" xfId="37769" xr:uid="{00000000-0005-0000-0000-000088930000}"/>
    <cellStyle name="Normal 7 15" xfId="37770" xr:uid="{00000000-0005-0000-0000-000089930000}"/>
    <cellStyle name="Normal 7 16" xfId="37771" xr:uid="{00000000-0005-0000-0000-00008A930000}"/>
    <cellStyle name="Normal 7 17" xfId="37772" xr:uid="{00000000-0005-0000-0000-00008B930000}"/>
    <cellStyle name="Normal 7 18" xfId="37773" xr:uid="{00000000-0005-0000-0000-00008C930000}"/>
    <cellStyle name="Normal 7 19" xfId="37774" xr:uid="{00000000-0005-0000-0000-00008D930000}"/>
    <cellStyle name="Normal 7 2" xfId="22" xr:uid="{00000000-0005-0000-0000-00008E93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28940000}"/>
    <cellStyle name="Normal 8 2" xfId="37928" xr:uid="{00000000-0005-0000-0000-000029940000}"/>
    <cellStyle name="Normal 8 2 2" xfId="37929" xr:uid="{00000000-0005-0000-0000-00002A940000}"/>
    <cellStyle name="Normal 8 2 2 2" xfId="37930" xr:uid="{00000000-0005-0000-0000-00002B940000}"/>
    <cellStyle name="Normal 8 2 3" xfId="37931" xr:uid="{00000000-0005-0000-0000-00002C940000}"/>
    <cellStyle name="Normal 8 2 3 2" xfId="37932" xr:uid="{00000000-0005-0000-0000-00002D940000}"/>
    <cellStyle name="Normal 8 3" xfId="37933" xr:uid="{00000000-0005-0000-0000-00002E940000}"/>
    <cellStyle name="Normal 8 4" xfId="37934" xr:uid="{00000000-0005-0000-0000-00002F940000}"/>
    <cellStyle name="Normal 8 5" xfId="37935" xr:uid="{00000000-0005-0000-0000-000030940000}"/>
    <cellStyle name="Normal 8 6" xfId="37936" xr:uid="{00000000-0005-0000-0000-000031940000}"/>
    <cellStyle name="Normal 8 7" xfId="37937" xr:uid="{00000000-0005-0000-0000-000032940000}"/>
    <cellStyle name="Normal 8 8" xfId="37938" xr:uid="{00000000-0005-0000-0000-000033940000}"/>
    <cellStyle name="Normal 8 8 2" xfId="37939" xr:uid="{00000000-0005-0000-0000-000034940000}"/>
    <cellStyle name="Normal 80" xfId="37940" xr:uid="{00000000-0005-0000-0000-000035940000}"/>
    <cellStyle name="Normal 80 2" xfId="37941" xr:uid="{00000000-0005-0000-0000-000036940000}"/>
    <cellStyle name="Normal 80 3" xfId="37942" xr:uid="{00000000-0005-0000-0000-000037940000}"/>
    <cellStyle name="Normal 81" xfId="24" xr:uid="{00000000-0005-0000-0000-000038940000}"/>
    <cellStyle name="Normal 81 2" xfId="37943" xr:uid="{00000000-0005-0000-0000-000039940000}"/>
    <cellStyle name="Normal 82" xfId="37944" xr:uid="{00000000-0005-0000-0000-00003A940000}"/>
    <cellStyle name="Normal 82 2" xfId="37945" xr:uid="{00000000-0005-0000-0000-00003B940000}"/>
    <cellStyle name="Normal 83" xfId="37946" xr:uid="{00000000-0005-0000-0000-00003C940000}"/>
    <cellStyle name="Normal 83 2" xfId="37947" xr:uid="{00000000-0005-0000-0000-00003D940000}"/>
    <cellStyle name="Normal 83 3" xfId="37948" xr:uid="{00000000-0005-0000-0000-00003E940000}"/>
    <cellStyle name="Normal 84" xfId="37949" xr:uid="{00000000-0005-0000-0000-00003F940000}"/>
    <cellStyle name="Normal 84 2" xfId="37950" xr:uid="{00000000-0005-0000-0000-000040940000}"/>
    <cellStyle name="Normal 85" xfId="37951" xr:uid="{00000000-0005-0000-0000-000041940000}"/>
    <cellStyle name="Normal 85 2" xfId="37952" xr:uid="{00000000-0005-0000-0000-000042940000}"/>
    <cellStyle name="Normal 85 3" xfId="37953" xr:uid="{00000000-0005-0000-0000-000043940000}"/>
    <cellStyle name="Normal 86" xfId="37954" xr:uid="{00000000-0005-0000-0000-000044940000}"/>
    <cellStyle name="Normal 86 2" xfId="37955" xr:uid="{00000000-0005-0000-0000-000045940000}"/>
    <cellStyle name="Normal 86 3" xfId="37956" xr:uid="{00000000-0005-0000-0000-000046940000}"/>
    <cellStyle name="Normal 87" xfId="37957" xr:uid="{00000000-0005-0000-0000-000047940000}"/>
    <cellStyle name="Normal 87 2" xfId="37958" xr:uid="{00000000-0005-0000-0000-000048940000}"/>
    <cellStyle name="Normal 88" xfId="37959" xr:uid="{00000000-0005-0000-0000-000049940000}"/>
    <cellStyle name="Normal 88 2" xfId="37960" xr:uid="{00000000-0005-0000-0000-00004A940000}"/>
    <cellStyle name="Normal 88 3" xfId="37961" xr:uid="{00000000-0005-0000-0000-00004B940000}"/>
    <cellStyle name="Normal 89" xfId="37962" xr:uid="{00000000-0005-0000-0000-00004C940000}"/>
    <cellStyle name="Normal 89 2" xfId="37963" xr:uid="{00000000-0005-0000-0000-00004D940000}"/>
    <cellStyle name="Normal 9" xfId="37964" xr:uid="{00000000-0005-0000-0000-00004E940000}"/>
    <cellStyle name="Normal 9 10" xfId="37965" xr:uid="{00000000-0005-0000-0000-00004F940000}"/>
    <cellStyle name="Normal 9 11" xfId="37966" xr:uid="{00000000-0005-0000-0000-000050940000}"/>
    <cellStyle name="Normal 9 12" xfId="37967" xr:uid="{00000000-0005-0000-0000-000051940000}"/>
    <cellStyle name="Normal 9 13" xfId="37968" xr:uid="{00000000-0005-0000-0000-000052940000}"/>
    <cellStyle name="Normal 9 14" xfId="37969" xr:uid="{00000000-0005-0000-0000-000053940000}"/>
    <cellStyle name="Normal 9 15" xfId="37970" xr:uid="{00000000-0005-0000-0000-000054940000}"/>
    <cellStyle name="Normal 9 16" xfId="37971" xr:uid="{00000000-0005-0000-0000-000055940000}"/>
    <cellStyle name="Normal 9 17" xfId="37972" xr:uid="{00000000-0005-0000-0000-000056940000}"/>
    <cellStyle name="Normal 9 18" xfId="37973" xr:uid="{00000000-0005-0000-0000-000057940000}"/>
    <cellStyle name="Normal 9 19" xfId="37974" xr:uid="{00000000-0005-0000-0000-000058940000}"/>
    <cellStyle name="Normal 9 2" xfId="37975" xr:uid="{00000000-0005-0000-0000-000059940000}"/>
    <cellStyle name="Normal 9 2 10" xfId="37976" xr:uid="{00000000-0005-0000-0000-00005A940000}"/>
    <cellStyle name="Normal 9 2 11" xfId="37977" xr:uid="{00000000-0005-0000-0000-00005B940000}"/>
    <cellStyle name="Normal 9 2 12" xfId="37978" xr:uid="{00000000-0005-0000-0000-00005C940000}"/>
    <cellStyle name="Normal 9 2 13" xfId="37979" xr:uid="{00000000-0005-0000-0000-00005D940000}"/>
    <cellStyle name="Normal 9 2 14" xfId="37980" xr:uid="{00000000-0005-0000-0000-00005E940000}"/>
    <cellStyle name="Normal 9 2 15" xfId="37981" xr:uid="{00000000-0005-0000-0000-00005F940000}"/>
    <cellStyle name="Normal 9 2 16" xfId="37982" xr:uid="{00000000-0005-0000-0000-000060940000}"/>
    <cellStyle name="Normal 9 2 17" xfId="37983" xr:uid="{00000000-0005-0000-0000-000061940000}"/>
    <cellStyle name="Normal 9 2 18" xfId="37984" xr:uid="{00000000-0005-0000-0000-000062940000}"/>
    <cellStyle name="Normal 9 2 19" xfId="37985" xr:uid="{00000000-0005-0000-0000-000063940000}"/>
    <cellStyle name="Normal 9 2 2" xfId="37986" xr:uid="{00000000-0005-0000-0000-000064940000}"/>
    <cellStyle name="Normal 9 2 2 2" xfId="37987" xr:uid="{00000000-0005-0000-0000-000065940000}"/>
    <cellStyle name="Normal 9 2 2 2 2" xfId="37988" xr:uid="{00000000-0005-0000-0000-000066940000}"/>
    <cellStyle name="Normal 9 2 20" xfId="37989" xr:uid="{00000000-0005-0000-0000-000067940000}"/>
    <cellStyle name="Normal 9 2 21" xfId="37990" xr:uid="{00000000-0005-0000-0000-000068940000}"/>
    <cellStyle name="Normal 9 2 22" xfId="37991" xr:uid="{00000000-0005-0000-0000-000069940000}"/>
    <cellStyle name="Normal 9 2 23" xfId="37992" xr:uid="{00000000-0005-0000-0000-00006A940000}"/>
    <cellStyle name="Normal 9 2 24" xfId="37993" xr:uid="{00000000-0005-0000-0000-00006B940000}"/>
    <cellStyle name="Normal 9 2 25" xfId="37994" xr:uid="{00000000-0005-0000-0000-00006C940000}"/>
    <cellStyle name="Normal 9 2 26" xfId="37995" xr:uid="{00000000-0005-0000-0000-00006D940000}"/>
    <cellStyle name="Normal 9 2 27" xfId="37996" xr:uid="{00000000-0005-0000-0000-00006E940000}"/>
    <cellStyle name="Normal 9 2 28" xfId="37997" xr:uid="{00000000-0005-0000-0000-00006F940000}"/>
    <cellStyle name="Normal 9 2 29" xfId="37998" xr:uid="{00000000-0005-0000-0000-000070940000}"/>
    <cellStyle name="Normal 9 2 3" xfId="37999" xr:uid="{00000000-0005-0000-0000-000071940000}"/>
    <cellStyle name="Normal 9 2 30" xfId="38000" xr:uid="{00000000-0005-0000-0000-000072940000}"/>
    <cellStyle name="Normal 9 2 31" xfId="38001" xr:uid="{00000000-0005-0000-0000-000073940000}"/>
    <cellStyle name="Normal 9 2 32" xfId="38002" xr:uid="{00000000-0005-0000-0000-000074940000}"/>
    <cellStyle name="Normal 9 2 33" xfId="38003" xr:uid="{00000000-0005-0000-0000-000075940000}"/>
    <cellStyle name="Normal 9 2 34" xfId="38004" xr:uid="{00000000-0005-0000-0000-000076940000}"/>
    <cellStyle name="Normal 9 2 35" xfId="38005" xr:uid="{00000000-0005-0000-0000-000077940000}"/>
    <cellStyle name="Normal 9 2 36" xfId="38006" xr:uid="{00000000-0005-0000-0000-000078940000}"/>
    <cellStyle name="Normal 9 2 37" xfId="38007" xr:uid="{00000000-0005-0000-0000-000079940000}"/>
    <cellStyle name="Normal 9 2 38" xfId="38008" xr:uid="{00000000-0005-0000-0000-00007A940000}"/>
    <cellStyle name="Normal 9 2 39" xfId="38009" xr:uid="{00000000-0005-0000-0000-00007B940000}"/>
    <cellStyle name="Normal 9 2 4" xfId="38010" xr:uid="{00000000-0005-0000-0000-00007C940000}"/>
    <cellStyle name="Normal 9 2 40" xfId="38011" xr:uid="{00000000-0005-0000-0000-00007D940000}"/>
    <cellStyle name="Normal 9 2 41" xfId="38012" xr:uid="{00000000-0005-0000-0000-00007E940000}"/>
    <cellStyle name="Normal 9 2 42" xfId="38013" xr:uid="{00000000-0005-0000-0000-00007F940000}"/>
    <cellStyle name="Normal 9 2 43" xfId="38014" xr:uid="{00000000-0005-0000-0000-000080940000}"/>
    <cellStyle name="Normal 9 2 44" xfId="38015" xr:uid="{00000000-0005-0000-0000-000081940000}"/>
    <cellStyle name="Normal 9 2 45" xfId="38016" xr:uid="{00000000-0005-0000-0000-000082940000}"/>
    <cellStyle name="Normal 9 2 46" xfId="38017" xr:uid="{00000000-0005-0000-0000-000083940000}"/>
    <cellStyle name="Normal 9 2 47" xfId="38018" xr:uid="{00000000-0005-0000-0000-000084940000}"/>
    <cellStyle name="Normal 9 2 48" xfId="38019" xr:uid="{00000000-0005-0000-0000-000085940000}"/>
    <cellStyle name="Normal 9 2 49" xfId="38020" xr:uid="{00000000-0005-0000-0000-000086940000}"/>
    <cellStyle name="Normal 9 2 5" xfId="38021" xr:uid="{00000000-0005-0000-0000-000087940000}"/>
    <cellStyle name="Normal 9 2 50" xfId="38022" xr:uid="{00000000-0005-0000-0000-000088940000}"/>
    <cellStyle name="Normal 9 2 51" xfId="38023" xr:uid="{00000000-0005-0000-0000-000089940000}"/>
    <cellStyle name="Normal 9 2 52" xfId="38024" xr:uid="{00000000-0005-0000-0000-00008A940000}"/>
    <cellStyle name="Normal 9 2 53" xfId="38025" xr:uid="{00000000-0005-0000-0000-00008B940000}"/>
    <cellStyle name="Normal 9 2 54" xfId="38026" xr:uid="{00000000-0005-0000-0000-00008C940000}"/>
    <cellStyle name="Normal 9 2 55" xfId="38027" xr:uid="{00000000-0005-0000-0000-00008D940000}"/>
    <cellStyle name="Normal 9 2 56" xfId="38028" xr:uid="{00000000-0005-0000-0000-00008E940000}"/>
    <cellStyle name="Normal 9 2 57" xfId="38029" xr:uid="{00000000-0005-0000-0000-00008F940000}"/>
    <cellStyle name="Normal 9 2 58" xfId="38030" xr:uid="{00000000-0005-0000-0000-000090940000}"/>
    <cellStyle name="Normal 9 2 59" xfId="38031" xr:uid="{00000000-0005-0000-0000-000091940000}"/>
    <cellStyle name="Normal 9 2 6" xfId="38032" xr:uid="{00000000-0005-0000-0000-000092940000}"/>
    <cellStyle name="Normal 9 2 60" xfId="38033" xr:uid="{00000000-0005-0000-0000-000093940000}"/>
    <cellStyle name="Normal 9 2 61" xfId="38034" xr:uid="{00000000-0005-0000-0000-000094940000}"/>
    <cellStyle name="Normal 9 2 62" xfId="38035" xr:uid="{00000000-0005-0000-0000-000095940000}"/>
    <cellStyle name="Normal 9 2 63" xfId="38036" xr:uid="{00000000-0005-0000-0000-000096940000}"/>
    <cellStyle name="Normal 9 2 64" xfId="38037" xr:uid="{00000000-0005-0000-0000-000097940000}"/>
    <cellStyle name="Normal 9 2 65" xfId="38038" xr:uid="{00000000-0005-0000-0000-000098940000}"/>
    <cellStyle name="Normal 9 2 66" xfId="38039" xr:uid="{00000000-0005-0000-0000-000099940000}"/>
    <cellStyle name="Normal 9 2 67" xfId="38040" xr:uid="{00000000-0005-0000-0000-00009A940000}"/>
    <cellStyle name="Normal 9 2 68" xfId="38041" xr:uid="{00000000-0005-0000-0000-00009B940000}"/>
    <cellStyle name="Normal 9 2 69" xfId="38042" xr:uid="{00000000-0005-0000-0000-00009C940000}"/>
    <cellStyle name="Normal 9 2 7" xfId="38043" xr:uid="{00000000-0005-0000-0000-00009D940000}"/>
    <cellStyle name="Normal 9 2 70" xfId="38044" xr:uid="{00000000-0005-0000-0000-00009E940000}"/>
    <cellStyle name="Normal 9 2 71" xfId="38045" xr:uid="{00000000-0005-0000-0000-00009F940000}"/>
    <cellStyle name="Normal 9 2 72" xfId="38046" xr:uid="{00000000-0005-0000-0000-0000A0940000}"/>
    <cellStyle name="Normal 9 2 73" xfId="38047" xr:uid="{00000000-0005-0000-0000-0000A1940000}"/>
    <cellStyle name="Normal 9 2 74" xfId="38048" xr:uid="{00000000-0005-0000-0000-0000A2940000}"/>
    <cellStyle name="Normal 9 2 75" xfId="38049" xr:uid="{00000000-0005-0000-0000-0000A3940000}"/>
    <cellStyle name="Normal 9 2 76" xfId="38050" xr:uid="{00000000-0005-0000-0000-0000A4940000}"/>
    <cellStyle name="Normal 9 2 77" xfId="38051" xr:uid="{00000000-0005-0000-0000-0000A5940000}"/>
    <cellStyle name="Normal 9 2 78" xfId="38052" xr:uid="{00000000-0005-0000-0000-0000A6940000}"/>
    <cellStyle name="Normal 9 2 79" xfId="38053" xr:uid="{00000000-0005-0000-0000-0000A7940000}"/>
    <cellStyle name="Normal 9 2 8" xfId="38054" xr:uid="{00000000-0005-0000-0000-0000A8940000}"/>
    <cellStyle name="Normal 9 2 9" xfId="38055" xr:uid="{00000000-0005-0000-0000-0000A9940000}"/>
    <cellStyle name="Normal 9 2_Enlaces" xfId="38056" xr:uid="{00000000-0005-0000-0000-0000AA940000}"/>
    <cellStyle name="Normal 9 20" xfId="38057" xr:uid="{00000000-0005-0000-0000-0000AB940000}"/>
    <cellStyle name="Normal 9 20 2" xfId="38058" xr:uid="{00000000-0005-0000-0000-0000AC940000}"/>
    <cellStyle name="Normal 9 20 2 2" xfId="38059" xr:uid="{00000000-0005-0000-0000-0000AD940000}"/>
    <cellStyle name="Normal 9 20 2 3" xfId="38060" xr:uid="{00000000-0005-0000-0000-0000AE940000}"/>
    <cellStyle name="Normal 9 20 3" xfId="38061" xr:uid="{00000000-0005-0000-0000-0000AF940000}"/>
    <cellStyle name="Normal 9 20 4" xfId="38062" xr:uid="{00000000-0005-0000-0000-0000B0940000}"/>
    <cellStyle name="Normal 9 21" xfId="38063" xr:uid="{00000000-0005-0000-0000-0000B1940000}"/>
    <cellStyle name="Normal 9 21 2" xfId="38064" xr:uid="{00000000-0005-0000-0000-0000B2940000}"/>
    <cellStyle name="Normal 9 21 2 2" xfId="38065" xr:uid="{00000000-0005-0000-0000-0000B3940000}"/>
    <cellStyle name="Normal 9 21 2 3" xfId="38066" xr:uid="{00000000-0005-0000-0000-0000B4940000}"/>
    <cellStyle name="Normal 9 21 3" xfId="38067" xr:uid="{00000000-0005-0000-0000-0000B5940000}"/>
    <cellStyle name="Normal 9 21 4" xfId="38068" xr:uid="{00000000-0005-0000-0000-0000B6940000}"/>
    <cellStyle name="Normal 9 22" xfId="38069" xr:uid="{00000000-0005-0000-0000-0000B7940000}"/>
    <cellStyle name="Normal 9 22 2" xfId="38070" xr:uid="{00000000-0005-0000-0000-0000B8940000}"/>
    <cellStyle name="Normal 9 22 2 2" xfId="38071" xr:uid="{00000000-0005-0000-0000-0000B9940000}"/>
    <cellStyle name="Normal 9 22 2 3" xfId="38072" xr:uid="{00000000-0005-0000-0000-0000BA940000}"/>
    <cellStyle name="Normal 9 22 3" xfId="38073" xr:uid="{00000000-0005-0000-0000-0000BB940000}"/>
    <cellStyle name="Normal 9 22 4" xfId="38074" xr:uid="{00000000-0005-0000-0000-0000BC940000}"/>
    <cellStyle name="Normal 9 23" xfId="38075" xr:uid="{00000000-0005-0000-0000-0000BD940000}"/>
    <cellStyle name="Normal 9 23 2" xfId="38076" xr:uid="{00000000-0005-0000-0000-0000BE940000}"/>
    <cellStyle name="Normal 9 23 2 2" xfId="38077" xr:uid="{00000000-0005-0000-0000-0000BF940000}"/>
    <cellStyle name="Normal 9 23 2 3" xfId="38078" xr:uid="{00000000-0005-0000-0000-0000C0940000}"/>
    <cellStyle name="Normal 9 23 3" xfId="38079" xr:uid="{00000000-0005-0000-0000-0000C1940000}"/>
    <cellStyle name="Normal 9 23 4" xfId="38080" xr:uid="{00000000-0005-0000-0000-0000C2940000}"/>
    <cellStyle name="Normal 9 24" xfId="38081" xr:uid="{00000000-0005-0000-0000-0000C3940000}"/>
    <cellStyle name="Normal 9 24 2" xfId="38082" xr:uid="{00000000-0005-0000-0000-0000C4940000}"/>
    <cellStyle name="Normal 9 24 2 2" xfId="38083" xr:uid="{00000000-0005-0000-0000-0000C5940000}"/>
    <cellStyle name="Normal 9 24 2 3" xfId="38084" xr:uid="{00000000-0005-0000-0000-0000C6940000}"/>
    <cellStyle name="Normal 9 24 3" xfId="38085" xr:uid="{00000000-0005-0000-0000-0000C7940000}"/>
    <cellStyle name="Normal 9 24 4" xfId="38086" xr:uid="{00000000-0005-0000-0000-0000C8940000}"/>
    <cellStyle name="Normal 9 25" xfId="38087" xr:uid="{00000000-0005-0000-0000-0000C9940000}"/>
    <cellStyle name="Normal 9 25 2" xfId="38088" xr:uid="{00000000-0005-0000-0000-0000CA940000}"/>
    <cellStyle name="Normal 9 25 2 2" xfId="38089" xr:uid="{00000000-0005-0000-0000-0000CB940000}"/>
    <cellStyle name="Normal 9 25 2 3" xfId="38090" xr:uid="{00000000-0005-0000-0000-0000CC940000}"/>
    <cellStyle name="Normal 9 25 3" xfId="38091" xr:uid="{00000000-0005-0000-0000-0000CD940000}"/>
    <cellStyle name="Normal 9 25 4" xfId="38092" xr:uid="{00000000-0005-0000-0000-0000CE940000}"/>
    <cellStyle name="Normal 9 26" xfId="38093" xr:uid="{00000000-0005-0000-0000-0000CF940000}"/>
    <cellStyle name="Normal 9 26 2" xfId="38094" xr:uid="{00000000-0005-0000-0000-0000D0940000}"/>
    <cellStyle name="Normal 9 26 2 2" xfId="38095" xr:uid="{00000000-0005-0000-0000-0000D1940000}"/>
    <cellStyle name="Normal 9 26 2 3" xfId="38096" xr:uid="{00000000-0005-0000-0000-0000D2940000}"/>
    <cellStyle name="Normal 9 26 3" xfId="38097" xr:uid="{00000000-0005-0000-0000-0000D3940000}"/>
    <cellStyle name="Normal 9 26 4" xfId="38098" xr:uid="{00000000-0005-0000-0000-0000D4940000}"/>
    <cellStyle name="Normal 9 27" xfId="38099" xr:uid="{00000000-0005-0000-0000-0000D5940000}"/>
    <cellStyle name="Normal 9 27 2" xfId="38100" xr:uid="{00000000-0005-0000-0000-0000D6940000}"/>
    <cellStyle name="Normal 9 27 2 2" xfId="38101" xr:uid="{00000000-0005-0000-0000-0000D7940000}"/>
    <cellStyle name="Normal 9 27 2 3" xfId="38102" xr:uid="{00000000-0005-0000-0000-0000D8940000}"/>
    <cellStyle name="Normal 9 27 3" xfId="38103" xr:uid="{00000000-0005-0000-0000-0000D9940000}"/>
    <cellStyle name="Normal 9 27 4" xfId="38104" xr:uid="{00000000-0005-0000-0000-0000DA940000}"/>
    <cellStyle name="Normal 9 28" xfId="38105" xr:uid="{00000000-0005-0000-0000-0000DB940000}"/>
    <cellStyle name="Normal 9 28 2" xfId="38106" xr:uid="{00000000-0005-0000-0000-0000DC940000}"/>
    <cellStyle name="Normal 9 28 2 2" xfId="38107" xr:uid="{00000000-0005-0000-0000-0000DD940000}"/>
    <cellStyle name="Normal 9 28 2 3" xfId="38108" xr:uid="{00000000-0005-0000-0000-0000DE940000}"/>
    <cellStyle name="Normal 9 28 3" xfId="38109" xr:uid="{00000000-0005-0000-0000-0000DF940000}"/>
    <cellStyle name="Normal 9 28 4" xfId="38110" xr:uid="{00000000-0005-0000-0000-0000E0940000}"/>
    <cellStyle name="Normal 9 29" xfId="38111" xr:uid="{00000000-0005-0000-0000-0000E1940000}"/>
    <cellStyle name="Normal 9 29 2" xfId="38112" xr:uid="{00000000-0005-0000-0000-0000E2940000}"/>
    <cellStyle name="Normal 9 29 2 2" xfId="38113" xr:uid="{00000000-0005-0000-0000-0000E3940000}"/>
    <cellStyle name="Normal 9 29 2 3" xfId="38114" xr:uid="{00000000-0005-0000-0000-0000E4940000}"/>
    <cellStyle name="Normal 9 29 3" xfId="38115" xr:uid="{00000000-0005-0000-0000-0000E5940000}"/>
    <cellStyle name="Normal 9 29 4" xfId="38116" xr:uid="{00000000-0005-0000-0000-0000E6940000}"/>
    <cellStyle name="Normal 9 3" xfId="38117" xr:uid="{00000000-0005-0000-0000-0000E7940000}"/>
    <cellStyle name="Normal 9 3 2" xfId="38118" xr:uid="{00000000-0005-0000-0000-0000E8940000}"/>
    <cellStyle name="Normal 9 3 2 2" xfId="38119" xr:uid="{00000000-0005-0000-0000-0000E9940000}"/>
    <cellStyle name="Normal 9 3 2 2 2" xfId="38120" xr:uid="{00000000-0005-0000-0000-0000EA940000}"/>
    <cellStyle name="Normal 9 3 2 2 3" xfId="38121" xr:uid="{00000000-0005-0000-0000-0000EB940000}"/>
    <cellStyle name="Normal 9 3 2 3" xfId="38122" xr:uid="{00000000-0005-0000-0000-0000EC940000}"/>
    <cellStyle name="Normal 9 3 2 4" xfId="38123" xr:uid="{00000000-0005-0000-0000-0000ED940000}"/>
    <cellStyle name="Normal 9 3 3" xfId="38124" xr:uid="{00000000-0005-0000-0000-0000EE940000}"/>
    <cellStyle name="Normal 9 3 3 2" xfId="38125" xr:uid="{00000000-0005-0000-0000-0000EF940000}"/>
    <cellStyle name="Normal 9 3 3 2 2" xfId="38126" xr:uid="{00000000-0005-0000-0000-0000F0940000}"/>
    <cellStyle name="Normal 9 3 3 2 3" xfId="38127" xr:uid="{00000000-0005-0000-0000-0000F1940000}"/>
    <cellStyle name="Normal 9 3 3 3" xfId="38128" xr:uid="{00000000-0005-0000-0000-0000F2940000}"/>
    <cellStyle name="Normal 9 3 3 4" xfId="38129" xr:uid="{00000000-0005-0000-0000-0000F3940000}"/>
    <cellStyle name="Normal 9 3 4" xfId="38130" xr:uid="{00000000-0005-0000-0000-0000F4940000}"/>
    <cellStyle name="Normal 9 3 4 2" xfId="38131" xr:uid="{00000000-0005-0000-0000-0000F5940000}"/>
    <cellStyle name="Normal 9 3 4 2 2" xfId="38132" xr:uid="{00000000-0005-0000-0000-0000F6940000}"/>
    <cellStyle name="Normal 9 3 4 2 2 2" xfId="38133" xr:uid="{00000000-0005-0000-0000-0000F7940000}"/>
    <cellStyle name="Normal 9 3 4 2 2 2 2" xfId="38134" xr:uid="{00000000-0005-0000-0000-0000F8940000}"/>
    <cellStyle name="Normal 9 3 4 2 2 2 3" xfId="38135" xr:uid="{00000000-0005-0000-0000-0000F9940000}"/>
    <cellStyle name="Normal 9 3 4 2 2 3" xfId="38136" xr:uid="{00000000-0005-0000-0000-0000FA940000}"/>
    <cellStyle name="Normal 9 3 4 2 2 4" xfId="38137" xr:uid="{00000000-0005-0000-0000-0000FB940000}"/>
    <cellStyle name="Normal 9 3 4 3" xfId="38138" xr:uid="{00000000-0005-0000-0000-0000FC940000}"/>
    <cellStyle name="Normal 9 3 4 3 2" xfId="38139" xr:uid="{00000000-0005-0000-0000-0000FD940000}"/>
    <cellStyle name="Normal 9 3 4 3 2 2" xfId="38140" xr:uid="{00000000-0005-0000-0000-0000FE940000}"/>
    <cellStyle name="Normal 9 3 4 3 2 3" xfId="38141" xr:uid="{00000000-0005-0000-0000-0000FF940000}"/>
    <cellStyle name="Normal 9 3 4 3 3" xfId="38142" xr:uid="{00000000-0005-0000-0000-000000950000}"/>
    <cellStyle name="Normal 9 3 4 3 4" xfId="38143" xr:uid="{00000000-0005-0000-0000-000001950000}"/>
    <cellStyle name="Normal 9 3 4 4" xfId="38144" xr:uid="{00000000-0005-0000-0000-000002950000}"/>
    <cellStyle name="Normal 9 3 4 4 2" xfId="38145" xr:uid="{00000000-0005-0000-0000-000003950000}"/>
    <cellStyle name="Normal 9 3 4 4 3" xfId="38146" xr:uid="{00000000-0005-0000-0000-000004950000}"/>
    <cellStyle name="Normal 9 3 4 5" xfId="38147" xr:uid="{00000000-0005-0000-0000-000005950000}"/>
    <cellStyle name="Normal 9 3 5" xfId="38148" xr:uid="{00000000-0005-0000-0000-000006950000}"/>
    <cellStyle name="Normal 9 3 5 2" xfId="38149" xr:uid="{00000000-0005-0000-0000-000007950000}"/>
    <cellStyle name="Normal 9 3 5 2 2" xfId="38150" xr:uid="{00000000-0005-0000-0000-000008950000}"/>
    <cellStyle name="Normal 9 3 5 2 3" xfId="38151" xr:uid="{00000000-0005-0000-0000-000009950000}"/>
    <cellStyle name="Normal 9 3 5 3" xfId="38152" xr:uid="{00000000-0005-0000-0000-00000A950000}"/>
    <cellStyle name="Normal 9 3 5 4" xfId="38153" xr:uid="{00000000-0005-0000-0000-00000B950000}"/>
    <cellStyle name="Normal 9 3 6" xfId="38154" xr:uid="{00000000-0005-0000-0000-00000C950000}"/>
    <cellStyle name="Normal 9 3 6 2" xfId="38155" xr:uid="{00000000-0005-0000-0000-00000D950000}"/>
    <cellStyle name="Normal 9 3 6 2 2" xfId="38156" xr:uid="{00000000-0005-0000-0000-00000E950000}"/>
    <cellStyle name="Normal 9 3 6 2 3" xfId="38157" xr:uid="{00000000-0005-0000-0000-00000F950000}"/>
    <cellStyle name="Normal 9 3 6 3" xfId="38158" xr:uid="{00000000-0005-0000-0000-000010950000}"/>
    <cellStyle name="Normal 9 3 6 4" xfId="38159" xr:uid="{00000000-0005-0000-0000-000011950000}"/>
    <cellStyle name="Normal 9 3 7" xfId="38160" xr:uid="{00000000-0005-0000-0000-000012950000}"/>
    <cellStyle name="Normal 9 3 7 2" xfId="38161" xr:uid="{00000000-0005-0000-0000-000013950000}"/>
    <cellStyle name="Normal 9 3 7 3" xfId="38162" xr:uid="{00000000-0005-0000-0000-000014950000}"/>
    <cellStyle name="Normal 9 3 7 3 2" xfId="38163" xr:uid="{00000000-0005-0000-0000-000015950000}"/>
    <cellStyle name="Normal 9 3 7 3 3" xfId="38164" xr:uid="{00000000-0005-0000-0000-000016950000}"/>
    <cellStyle name="Normal 9 3 7 4" xfId="38165" xr:uid="{00000000-0005-0000-0000-000017950000}"/>
    <cellStyle name="Normal 9 3 8" xfId="38166" xr:uid="{00000000-0005-0000-0000-000018950000}"/>
    <cellStyle name="Normal 9 3 9" xfId="38167" xr:uid="{00000000-0005-0000-0000-000019950000}"/>
    <cellStyle name="Normal 9 3 9 2" xfId="38168" xr:uid="{00000000-0005-0000-0000-00001A950000}"/>
    <cellStyle name="Normal 9 3 9 2 2" xfId="38169" xr:uid="{00000000-0005-0000-0000-00001B950000}"/>
    <cellStyle name="Normal 9 3 9 2 3" xfId="38170" xr:uid="{00000000-0005-0000-0000-00001C950000}"/>
    <cellStyle name="Normal 9 3 9 3" xfId="38171" xr:uid="{00000000-0005-0000-0000-00001D950000}"/>
    <cellStyle name="Normal 9 3 9 4" xfId="38172" xr:uid="{00000000-0005-0000-0000-00001E950000}"/>
    <cellStyle name="Normal 9 3_Implem" xfId="38173" xr:uid="{00000000-0005-0000-0000-00001F950000}"/>
    <cellStyle name="Normal 9 4" xfId="38174" xr:uid="{00000000-0005-0000-0000-000020950000}"/>
    <cellStyle name="Normal 9 4 2" xfId="38175" xr:uid="{00000000-0005-0000-0000-000021950000}"/>
    <cellStyle name="Normal 9 4 2 2" xfId="38176" xr:uid="{00000000-0005-0000-0000-000022950000}"/>
    <cellStyle name="Normal 9 4 2 3" xfId="38177" xr:uid="{00000000-0005-0000-0000-000023950000}"/>
    <cellStyle name="Normal 9 4 3" xfId="38178" xr:uid="{00000000-0005-0000-0000-000024950000}"/>
    <cellStyle name="Normal 9 4 4" xfId="38179" xr:uid="{00000000-0005-0000-0000-000025950000}"/>
    <cellStyle name="Normal 9 5" xfId="38180" xr:uid="{00000000-0005-0000-0000-000026950000}"/>
    <cellStyle name="Normal 9 5 2" xfId="38181" xr:uid="{00000000-0005-0000-0000-000027950000}"/>
    <cellStyle name="Normal 9 5 2 2" xfId="38182" xr:uid="{00000000-0005-0000-0000-000028950000}"/>
    <cellStyle name="Normal 9 5 2 3" xfId="38183" xr:uid="{00000000-0005-0000-0000-000029950000}"/>
    <cellStyle name="Normal 9 5 3" xfId="38184" xr:uid="{00000000-0005-0000-0000-00002A950000}"/>
    <cellStyle name="Normal 9 5 4" xfId="38185" xr:uid="{00000000-0005-0000-0000-00002B950000}"/>
    <cellStyle name="Normal 9 6" xfId="38186" xr:uid="{00000000-0005-0000-0000-00002C950000}"/>
    <cellStyle name="Normal 9 6 2" xfId="38187" xr:uid="{00000000-0005-0000-0000-00002D950000}"/>
    <cellStyle name="Normal 9 6 2 2" xfId="38188" xr:uid="{00000000-0005-0000-0000-00002E950000}"/>
    <cellStyle name="Normal 9 6 2 3" xfId="38189" xr:uid="{00000000-0005-0000-0000-00002F950000}"/>
    <cellStyle name="Normal 9 6 3" xfId="38190" xr:uid="{00000000-0005-0000-0000-000030950000}"/>
    <cellStyle name="Normal 9 6 4" xfId="38191" xr:uid="{00000000-0005-0000-0000-000031950000}"/>
    <cellStyle name="Normal 9 7" xfId="38192" xr:uid="{00000000-0005-0000-0000-000032950000}"/>
    <cellStyle name="Normal 9 7 2" xfId="38193" xr:uid="{00000000-0005-0000-0000-000033950000}"/>
    <cellStyle name="Normal 9 7 2 2" xfId="38194" xr:uid="{00000000-0005-0000-0000-000034950000}"/>
    <cellStyle name="Normal 9 7 2 3" xfId="38195" xr:uid="{00000000-0005-0000-0000-000035950000}"/>
    <cellStyle name="Normal 9 7 3" xfId="38196" xr:uid="{00000000-0005-0000-0000-000036950000}"/>
    <cellStyle name="Normal 9 7 4" xfId="38197" xr:uid="{00000000-0005-0000-0000-000037950000}"/>
    <cellStyle name="Normal 9 8" xfId="38198" xr:uid="{00000000-0005-0000-0000-000038950000}"/>
    <cellStyle name="Normal 9 8 2" xfId="38199" xr:uid="{00000000-0005-0000-0000-000039950000}"/>
    <cellStyle name="Normal 9 8 2 2" xfId="38200" xr:uid="{00000000-0005-0000-0000-00003A950000}"/>
    <cellStyle name="Normal 9 8 2 3" xfId="38201" xr:uid="{00000000-0005-0000-0000-00003B950000}"/>
    <cellStyle name="Normal 9 8 3" xfId="38202" xr:uid="{00000000-0005-0000-0000-00003C950000}"/>
    <cellStyle name="Normal 9 8 4" xfId="38203" xr:uid="{00000000-0005-0000-0000-00003D950000}"/>
    <cellStyle name="Normal 9 9" xfId="38204" xr:uid="{00000000-0005-0000-0000-00003E950000}"/>
    <cellStyle name="Normal 9 9 2" xfId="38205" xr:uid="{00000000-0005-0000-0000-00003F950000}"/>
    <cellStyle name="Normal 9 9 2 2" xfId="38206" xr:uid="{00000000-0005-0000-0000-000040950000}"/>
    <cellStyle name="Normal 9 9 2 3" xfId="38207" xr:uid="{00000000-0005-0000-0000-000041950000}"/>
    <cellStyle name="Normal 9 9 3" xfId="38208" xr:uid="{00000000-0005-0000-0000-000042950000}"/>
    <cellStyle name="Normal 9 9 4" xfId="38209" xr:uid="{00000000-0005-0000-0000-000043950000}"/>
    <cellStyle name="Normal 90" xfId="38210" xr:uid="{00000000-0005-0000-0000-000044950000}"/>
    <cellStyle name="Normal 90 2" xfId="38211" xr:uid="{00000000-0005-0000-0000-000045950000}"/>
    <cellStyle name="Normal 90 2 2" xfId="38212" xr:uid="{00000000-0005-0000-0000-000046950000}"/>
    <cellStyle name="Normal 90 2 2 2" xfId="38213" xr:uid="{00000000-0005-0000-0000-000047950000}"/>
    <cellStyle name="Normal 90 2 2 3" xfId="38214" xr:uid="{00000000-0005-0000-0000-000048950000}"/>
    <cellStyle name="Normal 90 2 3" xfId="38215" xr:uid="{00000000-0005-0000-0000-000049950000}"/>
    <cellStyle name="Normal 90 2 4" xfId="38216" xr:uid="{00000000-0005-0000-0000-00004A950000}"/>
    <cellStyle name="Normal 90 3" xfId="38217" xr:uid="{00000000-0005-0000-0000-00004B950000}"/>
    <cellStyle name="Normal 90 3 2" xfId="38218" xr:uid="{00000000-0005-0000-0000-00004C950000}"/>
    <cellStyle name="Normal 90 3 3" xfId="38219" xr:uid="{00000000-0005-0000-0000-00004D950000}"/>
    <cellStyle name="Normal 90 4" xfId="38220" xr:uid="{00000000-0005-0000-0000-00004E950000}"/>
    <cellStyle name="Normal 90 5" xfId="38221" xr:uid="{00000000-0005-0000-0000-00004F950000}"/>
    <cellStyle name="Normal 91" xfId="38222" xr:uid="{00000000-0005-0000-0000-000050950000}"/>
    <cellStyle name="Normal 91 2" xfId="38223" xr:uid="{00000000-0005-0000-0000-000051950000}"/>
    <cellStyle name="Normal 91 2 2" xfId="38224" xr:uid="{00000000-0005-0000-0000-000052950000}"/>
    <cellStyle name="Normal 91 2 2 2" xfId="38225" xr:uid="{00000000-0005-0000-0000-000053950000}"/>
    <cellStyle name="Normal 91 2 2 3" xfId="38226" xr:uid="{00000000-0005-0000-0000-000054950000}"/>
    <cellStyle name="Normal 91 2 3" xfId="38227" xr:uid="{00000000-0005-0000-0000-000055950000}"/>
    <cellStyle name="Normal 91 2 4" xfId="38228" xr:uid="{00000000-0005-0000-0000-000056950000}"/>
    <cellStyle name="Normal 91 3" xfId="38229" xr:uid="{00000000-0005-0000-0000-000057950000}"/>
    <cellStyle name="Normal 91 3 2" xfId="38230" xr:uid="{00000000-0005-0000-0000-000058950000}"/>
    <cellStyle name="Normal 91 3 3" xfId="38231" xr:uid="{00000000-0005-0000-0000-000059950000}"/>
    <cellStyle name="Normal 91 4" xfId="38232" xr:uid="{00000000-0005-0000-0000-00005A950000}"/>
    <cellStyle name="Normal 91 5" xfId="38233" xr:uid="{00000000-0005-0000-0000-00005B950000}"/>
    <cellStyle name="Normal 92" xfId="38234" xr:uid="{00000000-0005-0000-0000-00005C950000}"/>
    <cellStyle name="Normal 92 2" xfId="38235" xr:uid="{00000000-0005-0000-0000-00005D950000}"/>
    <cellStyle name="Normal 92 2 2" xfId="38236" xr:uid="{00000000-0005-0000-0000-00005E950000}"/>
    <cellStyle name="Normal 92 2 2 2" xfId="38237" xr:uid="{00000000-0005-0000-0000-00005F950000}"/>
    <cellStyle name="Normal 92 2 2 3" xfId="38238" xr:uid="{00000000-0005-0000-0000-000060950000}"/>
    <cellStyle name="Normal 92 2 3" xfId="38239" xr:uid="{00000000-0005-0000-0000-000061950000}"/>
    <cellStyle name="Normal 92 2 4" xfId="38240" xr:uid="{00000000-0005-0000-0000-000062950000}"/>
    <cellStyle name="Normal 92 3" xfId="38241" xr:uid="{00000000-0005-0000-0000-000063950000}"/>
    <cellStyle name="Normal 92 3 2" xfId="38242" xr:uid="{00000000-0005-0000-0000-000064950000}"/>
    <cellStyle name="Normal 92 3 3" xfId="38243" xr:uid="{00000000-0005-0000-0000-000065950000}"/>
    <cellStyle name="Normal 92 4" xfId="38244" xr:uid="{00000000-0005-0000-0000-000066950000}"/>
    <cellStyle name="Normal 92 5" xfId="38245" xr:uid="{00000000-0005-0000-0000-000067950000}"/>
    <cellStyle name="Normal 92 6" xfId="38246" xr:uid="{00000000-0005-0000-0000-000068950000}"/>
    <cellStyle name="Normal 93" xfId="38247" xr:uid="{00000000-0005-0000-0000-000069950000}"/>
    <cellStyle name="Normal 93 2" xfId="38248" xr:uid="{00000000-0005-0000-0000-00006A950000}"/>
    <cellStyle name="Normal 93 2 2" xfId="38249" xr:uid="{00000000-0005-0000-0000-00006B950000}"/>
    <cellStyle name="Normal 93 2 2 2" xfId="38250" xr:uid="{00000000-0005-0000-0000-00006C950000}"/>
    <cellStyle name="Normal 93 2 2 3" xfId="38251" xr:uid="{00000000-0005-0000-0000-00006D950000}"/>
    <cellStyle name="Normal 93 2 3" xfId="38252" xr:uid="{00000000-0005-0000-0000-00006E950000}"/>
    <cellStyle name="Normal 93 2 4" xfId="38253" xr:uid="{00000000-0005-0000-0000-00006F950000}"/>
    <cellStyle name="Normal 93 3" xfId="38254" xr:uid="{00000000-0005-0000-0000-000070950000}"/>
    <cellStyle name="Normal 93 3 2" xfId="38255" xr:uid="{00000000-0005-0000-0000-000071950000}"/>
    <cellStyle name="Normal 93 3 3" xfId="38256" xr:uid="{00000000-0005-0000-0000-000072950000}"/>
    <cellStyle name="Normal 93 4" xfId="38257" xr:uid="{00000000-0005-0000-0000-000073950000}"/>
    <cellStyle name="Normal 93 5" xfId="38258" xr:uid="{00000000-0005-0000-0000-000074950000}"/>
    <cellStyle name="Normal 93 6" xfId="38259" xr:uid="{00000000-0005-0000-0000-000075950000}"/>
    <cellStyle name="Normal 94" xfId="38260" xr:uid="{00000000-0005-0000-0000-000076950000}"/>
    <cellStyle name="Normal 94 2" xfId="38261" xr:uid="{00000000-0005-0000-0000-000077950000}"/>
    <cellStyle name="Normal 94 2 2" xfId="38262" xr:uid="{00000000-0005-0000-0000-000078950000}"/>
    <cellStyle name="Normal 94 2 2 2" xfId="38263" xr:uid="{00000000-0005-0000-0000-000079950000}"/>
    <cellStyle name="Normal 94 2 2 3" xfId="38264" xr:uid="{00000000-0005-0000-0000-00007A950000}"/>
    <cellStyle name="Normal 94 2 3" xfId="38265" xr:uid="{00000000-0005-0000-0000-00007B950000}"/>
    <cellStyle name="Normal 94 2 4" xfId="38266" xr:uid="{00000000-0005-0000-0000-00007C950000}"/>
    <cellStyle name="Normal 94 3" xfId="38267" xr:uid="{00000000-0005-0000-0000-00007D950000}"/>
    <cellStyle name="Normal 94 3 2" xfId="38268" xr:uid="{00000000-0005-0000-0000-00007E950000}"/>
    <cellStyle name="Normal 94 3 3" xfId="38269" xr:uid="{00000000-0005-0000-0000-00007F950000}"/>
    <cellStyle name="Normal 94 4" xfId="38270" xr:uid="{00000000-0005-0000-0000-000080950000}"/>
    <cellStyle name="Normal 94 5" xfId="38271" xr:uid="{00000000-0005-0000-0000-000081950000}"/>
    <cellStyle name="Normal 94 6" xfId="38272" xr:uid="{00000000-0005-0000-0000-000082950000}"/>
    <cellStyle name="Normal 95" xfId="38273" xr:uid="{00000000-0005-0000-0000-000083950000}"/>
    <cellStyle name="Normal 95 2" xfId="38274" xr:uid="{00000000-0005-0000-0000-000084950000}"/>
    <cellStyle name="Normal 95 2 2" xfId="38275" xr:uid="{00000000-0005-0000-0000-000085950000}"/>
    <cellStyle name="Normal 95 2 2 2" xfId="38276" xr:uid="{00000000-0005-0000-0000-000086950000}"/>
    <cellStyle name="Normal 95 2 2 3" xfId="38277" xr:uid="{00000000-0005-0000-0000-000087950000}"/>
    <cellStyle name="Normal 95 2 3" xfId="38278" xr:uid="{00000000-0005-0000-0000-000088950000}"/>
    <cellStyle name="Normal 95 2 4" xfId="38279" xr:uid="{00000000-0005-0000-0000-000089950000}"/>
    <cellStyle name="Normal 95 3" xfId="38280" xr:uid="{00000000-0005-0000-0000-00008A950000}"/>
    <cellStyle name="Normal 95 3 2" xfId="38281" xr:uid="{00000000-0005-0000-0000-00008B950000}"/>
    <cellStyle name="Normal 95 3 3" xfId="38282" xr:uid="{00000000-0005-0000-0000-00008C950000}"/>
    <cellStyle name="Normal 95 4" xfId="38283" xr:uid="{00000000-0005-0000-0000-00008D950000}"/>
    <cellStyle name="Normal 95 5" xfId="38284" xr:uid="{00000000-0005-0000-0000-00008E950000}"/>
    <cellStyle name="Normal 96" xfId="38285" xr:uid="{00000000-0005-0000-0000-00008F950000}"/>
    <cellStyle name="Normal 96 2" xfId="38286" xr:uid="{00000000-0005-0000-0000-000090950000}"/>
    <cellStyle name="Normal 96 2 2" xfId="38287" xr:uid="{00000000-0005-0000-0000-000091950000}"/>
    <cellStyle name="Normal 96 2 2 2" xfId="38288" xr:uid="{00000000-0005-0000-0000-000092950000}"/>
    <cellStyle name="Normal 96 2 2 3" xfId="38289" xr:uid="{00000000-0005-0000-0000-000093950000}"/>
    <cellStyle name="Normal 96 2 3" xfId="38290" xr:uid="{00000000-0005-0000-0000-000094950000}"/>
    <cellStyle name="Normal 96 2 4" xfId="38291" xr:uid="{00000000-0005-0000-0000-000095950000}"/>
    <cellStyle name="Normal 96 3" xfId="38292" xr:uid="{00000000-0005-0000-0000-000096950000}"/>
    <cellStyle name="Normal 96 3 2" xfId="38293" xr:uid="{00000000-0005-0000-0000-000097950000}"/>
    <cellStyle name="Normal 96 3 3" xfId="38294" xr:uid="{00000000-0005-0000-0000-000098950000}"/>
    <cellStyle name="Normal 96 4" xfId="38295" xr:uid="{00000000-0005-0000-0000-000099950000}"/>
    <cellStyle name="Normal 96 5" xfId="38296" xr:uid="{00000000-0005-0000-0000-00009A950000}"/>
    <cellStyle name="Normal 96 6" xfId="38297" xr:uid="{00000000-0005-0000-0000-00009B950000}"/>
    <cellStyle name="Normal 97" xfId="38298" xr:uid="{00000000-0005-0000-0000-00009C950000}"/>
    <cellStyle name="Normal 97 2" xfId="38299" xr:uid="{00000000-0005-0000-0000-00009D950000}"/>
    <cellStyle name="Normal 97 2 2" xfId="38300" xr:uid="{00000000-0005-0000-0000-00009E950000}"/>
    <cellStyle name="Normal 97 2 2 2" xfId="38301" xr:uid="{00000000-0005-0000-0000-00009F950000}"/>
    <cellStyle name="Normal 97 2 2 3" xfId="38302" xr:uid="{00000000-0005-0000-0000-0000A0950000}"/>
    <cellStyle name="Normal 97 2 3" xfId="38303" xr:uid="{00000000-0005-0000-0000-0000A1950000}"/>
    <cellStyle name="Normal 97 2 4" xfId="38304" xr:uid="{00000000-0005-0000-0000-0000A2950000}"/>
    <cellStyle name="Normal 97 3" xfId="38305" xr:uid="{00000000-0005-0000-0000-0000A3950000}"/>
    <cellStyle name="Normal 97 3 2" xfId="38306" xr:uid="{00000000-0005-0000-0000-0000A4950000}"/>
    <cellStyle name="Normal 97 3 3" xfId="38307" xr:uid="{00000000-0005-0000-0000-0000A5950000}"/>
    <cellStyle name="Normal 97 4" xfId="38308" xr:uid="{00000000-0005-0000-0000-0000A6950000}"/>
    <cellStyle name="Normal 97 5" xfId="38309" xr:uid="{00000000-0005-0000-0000-0000A7950000}"/>
    <cellStyle name="Normal 98" xfId="38310" xr:uid="{00000000-0005-0000-0000-0000A8950000}"/>
    <cellStyle name="Normal 98 2" xfId="38311" xr:uid="{00000000-0005-0000-0000-0000A9950000}"/>
    <cellStyle name="Normal 98 2 2" xfId="38312" xr:uid="{00000000-0005-0000-0000-0000AA950000}"/>
    <cellStyle name="Normal 98 2 2 2" xfId="38313" xr:uid="{00000000-0005-0000-0000-0000AB950000}"/>
    <cellStyle name="Normal 98 2 2 3" xfId="38314" xr:uid="{00000000-0005-0000-0000-0000AC950000}"/>
    <cellStyle name="Normal 98 2 3" xfId="38315" xr:uid="{00000000-0005-0000-0000-0000AD950000}"/>
    <cellStyle name="Normal 98 2 4" xfId="38316" xr:uid="{00000000-0005-0000-0000-0000AE950000}"/>
    <cellStyle name="Normal 98 3" xfId="38317" xr:uid="{00000000-0005-0000-0000-0000AF950000}"/>
    <cellStyle name="Normal 98 3 2" xfId="38318" xr:uid="{00000000-0005-0000-0000-0000B0950000}"/>
    <cellStyle name="Normal 98 3 3" xfId="38319" xr:uid="{00000000-0005-0000-0000-0000B1950000}"/>
    <cellStyle name="Normal 98 4" xfId="38320" xr:uid="{00000000-0005-0000-0000-0000B2950000}"/>
    <cellStyle name="Normal 98 5" xfId="38321" xr:uid="{00000000-0005-0000-0000-0000B3950000}"/>
    <cellStyle name="Normal 99" xfId="38322" xr:uid="{00000000-0005-0000-0000-0000B4950000}"/>
    <cellStyle name="Normal 99 2" xfId="38323" xr:uid="{00000000-0005-0000-0000-0000B5950000}"/>
    <cellStyle name="Normal 99 2 2" xfId="38324" xr:uid="{00000000-0005-0000-0000-0000B6950000}"/>
    <cellStyle name="Normal 99 2 2 2" xfId="38325" xr:uid="{00000000-0005-0000-0000-0000B7950000}"/>
    <cellStyle name="Normal 99 2 2 3" xfId="38326" xr:uid="{00000000-0005-0000-0000-0000B8950000}"/>
    <cellStyle name="Normal 99 2 3" xfId="38327" xr:uid="{00000000-0005-0000-0000-0000B9950000}"/>
    <cellStyle name="Normal 99 2 4" xfId="38328" xr:uid="{00000000-0005-0000-0000-0000BA950000}"/>
    <cellStyle name="Normal 99 3" xfId="38329" xr:uid="{00000000-0005-0000-0000-0000BB950000}"/>
    <cellStyle name="Normal 99 3 2" xfId="38330" xr:uid="{00000000-0005-0000-0000-0000BC950000}"/>
    <cellStyle name="Normal 99 3 3" xfId="38331" xr:uid="{00000000-0005-0000-0000-0000BD950000}"/>
    <cellStyle name="Normal 99 4" xfId="38332" xr:uid="{00000000-0005-0000-0000-0000BE950000}"/>
    <cellStyle name="Normal 99 5" xfId="38333" xr:uid="{00000000-0005-0000-0000-0000BF950000}"/>
    <cellStyle name="Normal 99 6" xfId="38334" xr:uid="{00000000-0005-0000-0000-0000C0950000}"/>
    <cellStyle name="Notas 10" xfId="38335" xr:uid="{00000000-0005-0000-0000-0000C1950000}"/>
    <cellStyle name="Notas 2" xfId="38336" xr:uid="{00000000-0005-0000-0000-0000C2950000}"/>
    <cellStyle name="Notas 2 2" xfId="38337" xr:uid="{00000000-0005-0000-0000-0000C3950000}"/>
    <cellStyle name="Notas 2 2 2" xfId="38338" xr:uid="{00000000-0005-0000-0000-0000C4950000}"/>
    <cellStyle name="Notas 2 2 2 2" xfId="38339" xr:uid="{00000000-0005-0000-0000-0000C5950000}"/>
    <cellStyle name="Notas 2 2 2 2 2" xfId="38340" xr:uid="{00000000-0005-0000-0000-0000C6950000}"/>
    <cellStyle name="Notas 2 2 2 2 2 2" xfId="38341" xr:uid="{00000000-0005-0000-0000-0000C7950000}"/>
    <cellStyle name="Notas 2 2 2 2 2 2 2" xfId="38342" xr:uid="{00000000-0005-0000-0000-0000C8950000}"/>
    <cellStyle name="Notas 2 2 2 2 2 2 3" xfId="38343" xr:uid="{00000000-0005-0000-0000-0000C9950000}"/>
    <cellStyle name="Notas 2 2 2 2 2 3" xfId="38344" xr:uid="{00000000-0005-0000-0000-0000CA950000}"/>
    <cellStyle name="Notas 2 2 2 2 2 4" xfId="38345" xr:uid="{00000000-0005-0000-0000-0000CB950000}"/>
    <cellStyle name="Notas 2 2 2 2 3" xfId="38346" xr:uid="{00000000-0005-0000-0000-0000CC950000}"/>
    <cellStyle name="Notas 2 2 2 2 3 2" xfId="38347" xr:uid="{00000000-0005-0000-0000-0000CD950000}"/>
    <cellStyle name="Notas 2 2 2 2 3 3" xfId="38348" xr:uid="{00000000-0005-0000-0000-0000CE950000}"/>
    <cellStyle name="Notas 2 2 2 2 4" xfId="38349" xr:uid="{00000000-0005-0000-0000-0000CF950000}"/>
    <cellStyle name="Notas 2 2 2 2 5" xfId="38350" xr:uid="{00000000-0005-0000-0000-0000D0950000}"/>
    <cellStyle name="Notas 2 2 2 3" xfId="38351" xr:uid="{00000000-0005-0000-0000-0000D1950000}"/>
    <cellStyle name="Notas 2 2 2 3 2" xfId="38352" xr:uid="{00000000-0005-0000-0000-0000D2950000}"/>
    <cellStyle name="Notas 2 2 2 3 3" xfId="38353" xr:uid="{00000000-0005-0000-0000-0000D3950000}"/>
    <cellStyle name="Notas 2 2 2 4" xfId="38354" xr:uid="{00000000-0005-0000-0000-0000D4950000}"/>
    <cellStyle name="Notas 2 2 2 5" xfId="38355" xr:uid="{00000000-0005-0000-0000-0000D5950000}"/>
    <cellStyle name="Notas 2 2 3" xfId="38356" xr:uid="{00000000-0005-0000-0000-0000D6950000}"/>
    <cellStyle name="Notas 2 2 3 2" xfId="38357" xr:uid="{00000000-0005-0000-0000-0000D7950000}"/>
    <cellStyle name="Notas 2 2 3 2 2" xfId="38358" xr:uid="{00000000-0005-0000-0000-0000D8950000}"/>
    <cellStyle name="Notas 2 2 3 2 3" xfId="38359" xr:uid="{00000000-0005-0000-0000-0000D9950000}"/>
    <cellStyle name="Notas 2 2 3 3" xfId="38360" xr:uid="{00000000-0005-0000-0000-0000DA950000}"/>
    <cellStyle name="Notas 2 2 3 4" xfId="38361" xr:uid="{00000000-0005-0000-0000-0000DB950000}"/>
    <cellStyle name="Notas 2 2 4" xfId="38362" xr:uid="{00000000-0005-0000-0000-0000DC950000}"/>
    <cellStyle name="Notas 2 2 4 2" xfId="38363" xr:uid="{00000000-0005-0000-0000-0000DD950000}"/>
    <cellStyle name="Notas 2 2 4 2 2" xfId="38364" xr:uid="{00000000-0005-0000-0000-0000DE950000}"/>
    <cellStyle name="Notas 2 2 4 2 3" xfId="38365" xr:uid="{00000000-0005-0000-0000-0000DF950000}"/>
    <cellStyle name="Notas 2 2 4 3" xfId="38366" xr:uid="{00000000-0005-0000-0000-0000E0950000}"/>
    <cellStyle name="Notas 2 2 4 4" xfId="38367" xr:uid="{00000000-0005-0000-0000-0000E1950000}"/>
    <cellStyle name="Notas 2 2 5" xfId="38368" xr:uid="{00000000-0005-0000-0000-0000E2950000}"/>
    <cellStyle name="Notas 2 2 5 2" xfId="38369" xr:uid="{00000000-0005-0000-0000-0000E3950000}"/>
    <cellStyle name="Notas 2 2 5 3" xfId="38370" xr:uid="{00000000-0005-0000-0000-0000E4950000}"/>
    <cellStyle name="Notas 2 2 6" xfId="38371" xr:uid="{00000000-0005-0000-0000-0000E5950000}"/>
    <cellStyle name="Notas 2 2 7" xfId="38372" xr:uid="{00000000-0005-0000-0000-0000E6950000}"/>
    <cellStyle name="Notas 2 3" xfId="38373" xr:uid="{00000000-0005-0000-0000-0000E7950000}"/>
    <cellStyle name="Notas 2 3 2" xfId="38374" xr:uid="{00000000-0005-0000-0000-0000E8950000}"/>
    <cellStyle name="Notas 2 3 2 2" xfId="38375" xr:uid="{00000000-0005-0000-0000-0000E9950000}"/>
    <cellStyle name="Notas 2 3 2 3" xfId="38376" xr:uid="{00000000-0005-0000-0000-0000EA950000}"/>
    <cellStyle name="Notas 2 3 3" xfId="38377" xr:uid="{00000000-0005-0000-0000-0000EB950000}"/>
    <cellStyle name="Notas 2 3 4" xfId="38378" xr:uid="{00000000-0005-0000-0000-0000EC950000}"/>
    <cellStyle name="Notas 2 4" xfId="38379" xr:uid="{00000000-0005-0000-0000-0000ED950000}"/>
    <cellStyle name="Notas 2 4 2" xfId="38380" xr:uid="{00000000-0005-0000-0000-0000EE950000}"/>
    <cellStyle name="Notas 2 4 2 2" xfId="38381" xr:uid="{00000000-0005-0000-0000-0000EF950000}"/>
    <cellStyle name="Notas 2 4 2 3" xfId="38382" xr:uid="{00000000-0005-0000-0000-0000F0950000}"/>
    <cellStyle name="Notas 2 4 3" xfId="38383" xr:uid="{00000000-0005-0000-0000-0000F1950000}"/>
    <cellStyle name="Notas 2 4 4" xfId="38384" xr:uid="{00000000-0005-0000-0000-0000F2950000}"/>
    <cellStyle name="Notas 2 5" xfId="38385" xr:uid="{00000000-0005-0000-0000-0000F3950000}"/>
    <cellStyle name="Notas 2 5 2" xfId="38386" xr:uid="{00000000-0005-0000-0000-0000F4950000}"/>
    <cellStyle name="Notas 2 5 2 2" xfId="38387" xr:uid="{00000000-0005-0000-0000-0000F5950000}"/>
    <cellStyle name="Notas 2 5 2 3" xfId="38388" xr:uid="{00000000-0005-0000-0000-0000F6950000}"/>
    <cellStyle name="Notas 2 5 3" xfId="38389" xr:uid="{00000000-0005-0000-0000-0000F7950000}"/>
    <cellStyle name="Notas 2 5 4" xfId="38390" xr:uid="{00000000-0005-0000-0000-0000F8950000}"/>
    <cellStyle name="Notas 2 6" xfId="38391" xr:uid="{00000000-0005-0000-0000-0000F9950000}"/>
    <cellStyle name="Notas 2 6 2" xfId="38392" xr:uid="{00000000-0005-0000-0000-0000FA950000}"/>
    <cellStyle name="Notas 2 6 3" xfId="38393" xr:uid="{00000000-0005-0000-0000-0000FB950000}"/>
    <cellStyle name="Notas 2 7" xfId="38394" xr:uid="{00000000-0005-0000-0000-0000FC950000}"/>
    <cellStyle name="Notas 2 8" xfId="38395" xr:uid="{00000000-0005-0000-0000-0000FD950000}"/>
    <cellStyle name="Notas 3" xfId="38396" xr:uid="{00000000-0005-0000-0000-0000FE950000}"/>
    <cellStyle name="Notas 3 2" xfId="38397" xr:uid="{00000000-0005-0000-0000-0000FF950000}"/>
    <cellStyle name="Notas 3 2 2" xfId="38398" xr:uid="{00000000-0005-0000-0000-000000960000}"/>
    <cellStyle name="Notas 3 2 2 2" xfId="38399" xr:uid="{00000000-0005-0000-0000-000001960000}"/>
    <cellStyle name="Notas 3 2 2 3" xfId="38400" xr:uid="{00000000-0005-0000-0000-000002960000}"/>
    <cellStyle name="Notas 3 2 3" xfId="38401" xr:uid="{00000000-0005-0000-0000-000003960000}"/>
    <cellStyle name="Notas 3 2 4" xfId="38402" xr:uid="{00000000-0005-0000-0000-000004960000}"/>
    <cellStyle name="Notas 3 2 5" xfId="38403" xr:uid="{00000000-0005-0000-0000-000005960000}"/>
    <cellStyle name="Notas 3 3" xfId="38404" xr:uid="{00000000-0005-0000-0000-000006960000}"/>
    <cellStyle name="Notas 3 3 2" xfId="38405" xr:uid="{00000000-0005-0000-0000-000007960000}"/>
    <cellStyle name="Notas 3 3 3" xfId="38406" xr:uid="{00000000-0005-0000-0000-000008960000}"/>
    <cellStyle name="Notas 3 4" xfId="38407" xr:uid="{00000000-0005-0000-0000-000009960000}"/>
    <cellStyle name="Notas 3 5" xfId="38408" xr:uid="{00000000-0005-0000-0000-00000A960000}"/>
    <cellStyle name="Notas 4" xfId="38409" xr:uid="{00000000-0005-0000-0000-00000B960000}"/>
    <cellStyle name="Notas 4 2" xfId="38410" xr:uid="{00000000-0005-0000-0000-00000C960000}"/>
    <cellStyle name="Notas 4 2 2" xfId="38411" xr:uid="{00000000-0005-0000-0000-00000D960000}"/>
    <cellStyle name="Notas 4 2 3" xfId="38412" xr:uid="{00000000-0005-0000-0000-00000E960000}"/>
    <cellStyle name="Notas 4 3" xfId="38413" xr:uid="{00000000-0005-0000-0000-00000F960000}"/>
    <cellStyle name="Notas 4 4" xfId="38414" xr:uid="{00000000-0005-0000-0000-000010960000}"/>
    <cellStyle name="Notas 5" xfId="38415" xr:uid="{00000000-0005-0000-0000-000011960000}"/>
    <cellStyle name="Notas 5 2" xfId="38416" xr:uid="{00000000-0005-0000-0000-000012960000}"/>
    <cellStyle name="Notas 5 2 2" xfId="38417" xr:uid="{00000000-0005-0000-0000-000013960000}"/>
    <cellStyle name="Notas 5 2 3" xfId="38418" xr:uid="{00000000-0005-0000-0000-000014960000}"/>
    <cellStyle name="Notas 5 3" xfId="38419" xr:uid="{00000000-0005-0000-0000-000015960000}"/>
    <cellStyle name="Notas 5 4" xfId="38420" xr:uid="{00000000-0005-0000-0000-000016960000}"/>
    <cellStyle name="Notas 6" xfId="38421" xr:uid="{00000000-0005-0000-0000-000017960000}"/>
    <cellStyle name="Notas 6 2" xfId="38422" xr:uid="{00000000-0005-0000-0000-000018960000}"/>
    <cellStyle name="Notas 6 2 2" xfId="38423" xr:uid="{00000000-0005-0000-0000-000019960000}"/>
    <cellStyle name="Notas 6 2 3" xfId="38424" xr:uid="{00000000-0005-0000-0000-00001A960000}"/>
    <cellStyle name="Notas 6 3" xfId="38425" xr:uid="{00000000-0005-0000-0000-00001B960000}"/>
    <cellStyle name="Notas 6 4" xfId="38426" xr:uid="{00000000-0005-0000-0000-00001C960000}"/>
    <cellStyle name="Notas 7" xfId="38427" xr:uid="{00000000-0005-0000-0000-00001D960000}"/>
    <cellStyle name="Notas 7 2" xfId="38428" xr:uid="{00000000-0005-0000-0000-00001E960000}"/>
    <cellStyle name="Notas 7 2 2" xfId="38429" xr:uid="{00000000-0005-0000-0000-00001F960000}"/>
    <cellStyle name="Notas 7 2 3" xfId="38430" xr:uid="{00000000-0005-0000-0000-000020960000}"/>
    <cellStyle name="Notas 7 3" xfId="38431" xr:uid="{00000000-0005-0000-0000-000021960000}"/>
    <cellStyle name="Notas 7 4" xfId="38432" xr:uid="{00000000-0005-0000-0000-000022960000}"/>
    <cellStyle name="Notas 8" xfId="38433" xr:uid="{00000000-0005-0000-0000-000023960000}"/>
    <cellStyle name="Notas 8 2" xfId="38434" xr:uid="{00000000-0005-0000-0000-000024960000}"/>
    <cellStyle name="Notas 8 2 2" xfId="38435" xr:uid="{00000000-0005-0000-0000-000025960000}"/>
    <cellStyle name="Notas 8 2 3" xfId="38436" xr:uid="{00000000-0005-0000-0000-000026960000}"/>
    <cellStyle name="Notas 8 3" xfId="38437" xr:uid="{00000000-0005-0000-0000-000027960000}"/>
    <cellStyle name="Notas 8 4" xfId="38438" xr:uid="{00000000-0005-0000-0000-000028960000}"/>
    <cellStyle name="Notas 9" xfId="38439" xr:uid="{00000000-0005-0000-0000-000029960000}"/>
    <cellStyle name="Notas 9 2" xfId="38440" xr:uid="{00000000-0005-0000-0000-00002A960000}"/>
    <cellStyle name="Notas 9 2 2" xfId="38441" xr:uid="{00000000-0005-0000-0000-00002B960000}"/>
    <cellStyle name="Notas 9 2 3" xfId="38442" xr:uid="{00000000-0005-0000-0000-00002C960000}"/>
    <cellStyle name="Notas 9 3" xfId="38443" xr:uid="{00000000-0005-0000-0000-00002D960000}"/>
    <cellStyle name="Notas 9 4" xfId="38444" xr:uid="{00000000-0005-0000-0000-00002E960000}"/>
    <cellStyle name="Note" xfId="38445" xr:uid="{00000000-0005-0000-0000-00002F960000}"/>
    <cellStyle name="Note 10" xfId="38446" xr:uid="{00000000-0005-0000-0000-000030960000}"/>
    <cellStyle name="Note 11" xfId="38447" xr:uid="{00000000-0005-0000-0000-000031960000}"/>
    <cellStyle name="Note 2" xfId="38448" xr:uid="{00000000-0005-0000-0000-000032960000}"/>
    <cellStyle name="Note 2 2" xfId="38449" xr:uid="{00000000-0005-0000-0000-000033960000}"/>
    <cellStyle name="Note 2 2 2" xfId="38450" xr:uid="{00000000-0005-0000-0000-000034960000}"/>
    <cellStyle name="Note 2 2 2 2" xfId="38451" xr:uid="{00000000-0005-0000-0000-000035960000}"/>
    <cellStyle name="Note 2 2 2 3" xfId="38452" xr:uid="{00000000-0005-0000-0000-000036960000}"/>
    <cellStyle name="Note 2 2 3" xfId="38453" xr:uid="{00000000-0005-0000-0000-000037960000}"/>
    <cellStyle name="Note 2 2 4" xfId="38454" xr:uid="{00000000-0005-0000-0000-000038960000}"/>
    <cellStyle name="Note 2 3" xfId="38455" xr:uid="{00000000-0005-0000-0000-000039960000}"/>
    <cellStyle name="Note 2 3 2" xfId="38456" xr:uid="{00000000-0005-0000-0000-00003A960000}"/>
    <cellStyle name="Note 2 3 2 2" xfId="38457" xr:uid="{00000000-0005-0000-0000-00003B960000}"/>
    <cellStyle name="Note 2 3 2 3" xfId="38458" xr:uid="{00000000-0005-0000-0000-00003C960000}"/>
    <cellStyle name="Note 2 3 3" xfId="38459" xr:uid="{00000000-0005-0000-0000-00003D960000}"/>
    <cellStyle name="Note 2 3 4" xfId="38460" xr:uid="{00000000-0005-0000-0000-00003E960000}"/>
    <cellStyle name="Note 2 4" xfId="38461" xr:uid="{00000000-0005-0000-0000-00003F960000}"/>
    <cellStyle name="Note 2 4 2" xfId="38462" xr:uid="{00000000-0005-0000-0000-000040960000}"/>
    <cellStyle name="Note 2 4 2 2" xfId="38463" xr:uid="{00000000-0005-0000-0000-000041960000}"/>
    <cellStyle name="Note 2 4 2 3" xfId="38464" xr:uid="{00000000-0005-0000-0000-000042960000}"/>
    <cellStyle name="Note 2 4 3" xfId="38465" xr:uid="{00000000-0005-0000-0000-000043960000}"/>
    <cellStyle name="Note 2 4 4" xfId="38466" xr:uid="{00000000-0005-0000-0000-000044960000}"/>
    <cellStyle name="Note 2 5" xfId="38467" xr:uid="{00000000-0005-0000-0000-000045960000}"/>
    <cellStyle name="Note 2 5 2" xfId="38468" xr:uid="{00000000-0005-0000-0000-000046960000}"/>
    <cellStyle name="Note 2 5 3" xfId="38469" xr:uid="{00000000-0005-0000-0000-000047960000}"/>
    <cellStyle name="Note 2 6" xfId="38470" xr:uid="{00000000-0005-0000-0000-000048960000}"/>
    <cellStyle name="Note 2 7" xfId="38471" xr:uid="{00000000-0005-0000-0000-000049960000}"/>
    <cellStyle name="Note 3" xfId="38472" xr:uid="{00000000-0005-0000-0000-00004A960000}"/>
    <cellStyle name="Note 3 2" xfId="38473" xr:uid="{00000000-0005-0000-0000-00004B960000}"/>
    <cellStyle name="Note 3 2 2" xfId="38474" xr:uid="{00000000-0005-0000-0000-00004C960000}"/>
    <cellStyle name="Note 3 2 2 2" xfId="38475" xr:uid="{00000000-0005-0000-0000-00004D960000}"/>
    <cellStyle name="Note 3 2 2 3" xfId="38476" xr:uid="{00000000-0005-0000-0000-00004E960000}"/>
    <cellStyle name="Note 3 2 3" xfId="38477" xr:uid="{00000000-0005-0000-0000-00004F960000}"/>
    <cellStyle name="Note 3 2 4" xfId="38478" xr:uid="{00000000-0005-0000-0000-000050960000}"/>
    <cellStyle name="Note 3 3" xfId="38479" xr:uid="{00000000-0005-0000-0000-000051960000}"/>
    <cellStyle name="Note 3 3 2" xfId="38480" xr:uid="{00000000-0005-0000-0000-000052960000}"/>
    <cellStyle name="Note 3 3 2 2" xfId="38481" xr:uid="{00000000-0005-0000-0000-000053960000}"/>
    <cellStyle name="Note 3 3 2 3" xfId="38482" xr:uid="{00000000-0005-0000-0000-000054960000}"/>
    <cellStyle name="Note 3 3 3" xfId="38483" xr:uid="{00000000-0005-0000-0000-000055960000}"/>
    <cellStyle name="Note 3 3 4" xfId="38484" xr:uid="{00000000-0005-0000-0000-000056960000}"/>
    <cellStyle name="Note 3 4" xfId="38485" xr:uid="{00000000-0005-0000-0000-000057960000}"/>
    <cellStyle name="Note 3 4 2" xfId="38486" xr:uid="{00000000-0005-0000-0000-000058960000}"/>
    <cellStyle name="Note 3 4 2 2" xfId="38487" xr:uid="{00000000-0005-0000-0000-000059960000}"/>
    <cellStyle name="Note 3 4 2 3" xfId="38488" xr:uid="{00000000-0005-0000-0000-00005A960000}"/>
    <cellStyle name="Note 3 4 3" xfId="38489" xr:uid="{00000000-0005-0000-0000-00005B960000}"/>
    <cellStyle name="Note 3 4 4" xfId="38490" xr:uid="{00000000-0005-0000-0000-00005C960000}"/>
    <cellStyle name="Note 3 5" xfId="38491" xr:uid="{00000000-0005-0000-0000-00005D960000}"/>
    <cellStyle name="Note 3 5 2" xfId="38492" xr:uid="{00000000-0005-0000-0000-00005E960000}"/>
    <cellStyle name="Note 3 5 3" xfId="38493" xr:uid="{00000000-0005-0000-0000-00005F960000}"/>
    <cellStyle name="Note 3 6" xfId="38494" xr:uid="{00000000-0005-0000-0000-000060960000}"/>
    <cellStyle name="Note 3 7" xfId="38495" xr:uid="{00000000-0005-0000-0000-000061960000}"/>
    <cellStyle name="Note 4" xfId="38496" xr:uid="{00000000-0005-0000-0000-000062960000}"/>
    <cellStyle name="Note 4 2" xfId="38497" xr:uid="{00000000-0005-0000-0000-000063960000}"/>
    <cellStyle name="Note 4 2 2" xfId="38498" xr:uid="{00000000-0005-0000-0000-000064960000}"/>
    <cellStyle name="Note 4 2 2 2" xfId="38499" xr:uid="{00000000-0005-0000-0000-000065960000}"/>
    <cellStyle name="Note 4 2 2 3" xfId="38500" xr:uid="{00000000-0005-0000-0000-000066960000}"/>
    <cellStyle name="Note 4 2 3" xfId="38501" xr:uid="{00000000-0005-0000-0000-000067960000}"/>
    <cellStyle name="Note 4 2 4" xfId="38502" xr:uid="{00000000-0005-0000-0000-000068960000}"/>
    <cellStyle name="Note 4 3" xfId="38503" xr:uid="{00000000-0005-0000-0000-000069960000}"/>
    <cellStyle name="Note 4 3 2" xfId="38504" xr:uid="{00000000-0005-0000-0000-00006A960000}"/>
    <cellStyle name="Note 4 3 2 2" xfId="38505" xr:uid="{00000000-0005-0000-0000-00006B960000}"/>
    <cellStyle name="Note 4 3 2 3" xfId="38506" xr:uid="{00000000-0005-0000-0000-00006C960000}"/>
    <cellStyle name="Note 4 3 3" xfId="38507" xr:uid="{00000000-0005-0000-0000-00006D960000}"/>
    <cellStyle name="Note 4 3 4" xfId="38508" xr:uid="{00000000-0005-0000-0000-00006E960000}"/>
    <cellStyle name="Note 4 4" xfId="38509" xr:uid="{00000000-0005-0000-0000-00006F960000}"/>
    <cellStyle name="Note 4 4 2" xfId="38510" xr:uid="{00000000-0005-0000-0000-000070960000}"/>
    <cellStyle name="Note 4 4 2 2" xfId="38511" xr:uid="{00000000-0005-0000-0000-000071960000}"/>
    <cellStyle name="Note 4 4 2 3" xfId="38512" xr:uid="{00000000-0005-0000-0000-000072960000}"/>
    <cellStyle name="Note 4 4 3" xfId="38513" xr:uid="{00000000-0005-0000-0000-000073960000}"/>
    <cellStyle name="Note 4 4 4" xfId="38514" xr:uid="{00000000-0005-0000-0000-000074960000}"/>
    <cellStyle name="Note 4 5" xfId="38515" xr:uid="{00000000-0005-0000-0000-000075960000}"/>
    <cellStyle name="Note 4 5 2" xfId="38516" xr:uid="{00000000-0005-0000-0000-000076960000}"/>
    <cellStyle name="Note 4 5 3" xfId="38517" xr:uid="{00000000-0005-0000-0000-000077960000}"/>
    <cellStyle name="Note 4 6" xfId="38518" xr:uid="{00000000-0005-0000-0000-000078960000}"/>
    <cellStyle name="Note 4 7" xfId="38519" xr:uid="{00000000-0005-0000-0000-000079960000}"/>
    <cellStyle name="Note 5" xfId="38520" xr:uid="{00000000-0005-0000-0000-00007A960000}"/>
    <cellStyle name="Note 5 2" xfId="38521" xr:uid="{00000000-0005-0000-0000-00007B960000}"/>
    <cellStyle name="Note 5 2 2" xfId="38522" xr:uid="{00000000-0005-0000-0000-00007C960000}"/>
    <cellStyle name="Note 5 2 2 2" xfId="38523" xr:uid="{00000000-0005-0000-0000-00007D960000}"/>
    <cellStyle name="Note 5 2 2 3" xfId="38524" xr:uid="{00000000-0005-0000-0000-00007E960000}"/>
    <cellStyle name="Note 5 2 3" xfId="38525" xr:uid="{00000000-0005-0000-0000-00007F960000}"/>
    <cellStyle name="Note 5 2 4" xfId="38526" xr:uid="{00000000-0005-0000-0000-000080960000}"/>
    <cellStyle name="Note 5 3" xfId="38527" xr:uid="{00000000-0005-0000-0000-000081960000}"/>
    <cellStyle name="Note 5 3 2" xfId="38528" xr:uid="{00000000-0005-0000-0000-000082960000}"/>
    <cellStyle name="Note 5 3 2 2" xfId="38529" xr:uid="{00000000-0005-0000-0000-000083960000}"/>
    <cellStyle name="Note 5 3 2 3" xfId="38530" xr:uid="{00000000-0005-0000-0000-000084960000}"/>
    <cellStyle name="Note 5 3 3" xfId="38531" xr:uid="{00000000-0005-0000-0000-000085960000}"/>
    <cellStyle name="Note 5 3 4" xfId="38532" xr:uid="{00000000-0005-0000-0000-000086960000}"/>
    <cellStyle name="Note 5 4" xfId="38533" xr:uid="{00000000-0005-0000-0000-000087960000}"/>
    <cellStyle name="Note 5 4 2" xfId="38534" xr:uid="{00000000-0005-0000-0000-000088960000}"/>
    <cellStyle name="Note 5 4 2 2" xfId="38535" xr:uid="{00000000-0005-0000-0000-000089960000}"/>
    <cellStyle name="Note 5 4 2 3" xfId="38536" xr:uid="{00000000-0005-0000-0000-00008A960000}"/>
    <cellStyle name="Note 5 4 3" xfId="38537" xr:uid="{00000000-0005-0000-0000-00008B960000}"/>
    <cellStyle name="Note 5 4 4" xfId="38538" xr:uid="{00000000-0005-0000-0000-00008C960000}"/>
    <cellStyle name="Note 5 5" xfId="38539" xr:uid="{00000000-0005-0000-0000-00008D960000}"/>
    <cellStyle name="Note 5 5 2" xfId="38540" xr:uid="{00000000-0005-0000-0000-00008E960000}"/>
    <cellStyle name="Note 5 5 3" xfId="38541" xr:uid="{00000000-0005-0000-0000-00008F960000}"/>
    <cellStyle name="Note 5 6" xfId="38542" xr:uid="{00000000-0005-0000-0000-000090960000}"/>
    <cellStyle name="Note 5 7" xfId="38543" xr:uid="{00000000-0005-0000-0000-000091960000}"/>
    <cellStyle name="Note 6" xfId="38544" xr:uid="{00000000-0005-0000-0000-000092960000}"/>
    <cellStyle name="Note 6 2" xfId="38545" xr:uid="{00000000-0005-0000-0000-000093960000}"/>
    <cellStyle name="Note 6 2 2" xfId="38546" xr:uid="{00000000-0005-0000-0000-000094960000}"/>
    <cellStyle name="Note 6 2 3" xfId="38547" xr:uid="{00000000-0005-0000-0000-000095960000}"/>
    <cellStyle name="Note 6 3" xfId="38548" xr:uid="{00000000-0005-0000-0000-000096960000}"/>
    <cellStyle name="Note 6 4" xfId="38549" xr:uid="{00000000-0005-0000-0000-000097960000}"/>
    <cellStyle name="Note 7" xfId="38550" xr:uid="{00000000-0005-0000-0000-000098960000}"/>
    <cellStyle name="Note 7 2" xfId="38551" xr:uid="{00000000-0005-0000-0000-000099960000}"/>
    <cellStyle name="Note 7 2 2" xfId="38552" xr:uid="{00000000-0005-0000-0000-00009A960000}"/>
    <cellStyle name="Note 7 2 3" xfId="38553" xr:uid="{00000000-0005-0000-0000-00009B960000}"/>
    <cellStyle name="Note 7 3" xfId="38554" xr:uid="{00000000-0005-0000-0000-00009C960000}"/>
    <cellStyle name="Note 7 4" xfId="38555" xr:uid="{00000000-0005-0000-0000-00009D960000}"/>
    <cellStyle name="Note 8" xfId="38556" xr:uid="{00000000-0005-0000-0000-00009E960000}"/>
    <cellStyle name="Note 8 2" xfId="38557" xr:uid="{00000000-0005-0000-0000-00009F960000}"/>
    <cellStyle name="Note 8 2 2" xfId="38558" xr:uid="{00000000-0005-0000-0000-0000A0960000}"/>
    <cellStyle name="Note 8 2 3" xfId="38559" xr:uid="{00000000-0005-0000-0000-0000A1960000}"/>
    <cellStyle name="Note 8 3" xfId="38560" xr:uid="{00000000-0005-0000-0000-0000A2960000}"/>
    <cellStyle name="Note 8 4" xfId="38561" xr:uid="{00000000-0005-0000-0000-0000A3960000}"/>
    <cellStyle name="Note 9" xfId="38562" xr:uid="{00000000-0005-0000-0000-0000A4960000}"/>
    <cellStyle name="Note 9 2" xfId="38563" xr:uid="{00000000-0005-0000-0000-0000A5960000}"/>
    <cellStyle name="Note 9 3" xfId="38564" xr:uid="{00000000-0005-0000-0000-0000A6960000}"/>
    <cellStyle name="Output" xfId="38565" xr:uid="{00000000-0005-0000-0000-0000A7960000}"/>
    <cellStyle name="Output 2" xfId="38566" xr:uid="{00000000-0005-0000-0000-0000A8960000}"/>
    <cellStyle name="Output 2 2" xfId="38567" xr:uid="{00000000-0005-0000-0000-0000A9960000}"/>
    <cellStyle name="Output 2 2 2" xfId="38568" xr:uid="{00000000-0005-0000-0000-0000AA960000}"/>
    <cellStyle name="Output 2 2 3" xfId="38569" xr:uid="{00000000-0005-0000-0000-0000AB960000}"/>
    <cellStyle name="Output 2 3" xfId="38570" xr:uid="{00000000-0005-0000-0000-0000AC960000}"/>
    <cellStyle name="Output 2 4" xfId="38571" xr:uid="{00000000-0005-0000-0000-0000AD960000}"/>
    <cellStyle name="Output 3" xfId="38572" xr:uid="{00000000-0005-0000-0000-0000AE960000}"/>
    <cellStyle name="Output 3 2" xfId="38573" xr:uid="{00000000-0005-0000-0000-0000AF960000}"/>
    <cellStyle name="Output 3 2 2" xfId="38574" xr:uid="{00000000-0005-0000-0000-0000B0960000}"/>
    <cellStyle name="Output 3 2 3" xfId="38575" xr:uid="{00000000-0005-0000-0000-0000B1960000}"/>
    <cellStyle name="Output 3 3" xfId="38576" xr:uid="{00000000-0005-0000-0000-0000B2960000}"/>
    <cellStyle name="Output 3 4" xfId="38577" xr:uid="{00000000-0005-0000-0000-0000B3960000}"/>
    <cellStyle name="Output 4" xfId="38578" xr:uid="{00000000-0005-0000-0000-0000B4960000}"/>
    <cellStyle name="Output 4 2" xfId="38579" xr:uid="{00000000-0005-0000-0000-0000B5960000}"/>
    <cellStyle name="Output 4 2 2" xfId="38580" xr:uid="{00000000-0005-0000-0000-0000B6960000}"/>
    <cellStyle name="Output 4 2 3" xfId="38581" xr:uid="{00000000-0005-0000-0000-0000B7960000}"/>
    <cellStyle name="Output 4 3" xfId="38582" xr:uid="{00000000-0005-0000-0000-0000B8960000}"/>
    <cellStyle name="Output 4 4" xfId="38583" xr:uid="{00000000-0005-0000-0000-0000B9960000}"/>
    <cellStyle name="Output 5" xfId="38584" xr:uid="{00000000-0005-0000-0000-0000BA960000}"/>
    <cellStyle name="Output 5 2" xfId="38585" xr:uid="{00000000-0005-0000-0000-0000BB960000}"/>
    <cellStyle name="Output 5 2 2" xfId="38586" xr:uid="{00000000-0005-0000-0000-0000BC960000}"/>
    <cellStyle name="Output 5 2 3" xfId="38587" xr:uid="{00000000-0005-0000-0000-0000BD960000}"/>
    <cellStyle name="Output 5 3" xfId="38588" xr:uid="{00000000-0005-0000-0000-0000BE960000}"/>
    <cellStyle name="Output 5 4" xfId="38589" xr:uid="{00000000-0005-0000-0000-0000BF960000}"/>
    <cellStyle name="Output 6" xfId="38590" xr:uid="{00000000-0005-0000-0000-0000C0960000}"/>
    <cellStyle name="Output 6 2" xfId="38591" xr:uid="{00000000-0005-0000-0000-0000C1960000}"/>
    <cellStyle name="Output 6 3" xfId="38592" xr:uid="{00000000-0005-0000-0000-0000C2960000}"/>
    <cellStyle name="Output 7" xfId="38593" xr:uid="{00000000-0005-0000-0000-0000C3960000}"/>
    <cellStyle name="Output 8" xfId="38594" xr:uid="{00000000-0005-0000-0000-0000C4960000}"/>
    <cellStyle name="Porcentaje 2" xfId="38595" xr:uid="{00000000-0005-0000-0000-0000C5960000}"/>
    <cellStyle name="Porcentual 2" xfId="38596" xr:uid="{00000000-0005-0000-0000-0000C6960000}"/>
    <cellStyle name="Porcentual 2 2" xfId="38597" xr:uid="{00000000-0005-0000-0000-0000C7960000}"/>
    <cellStyle name="Porcentual 2 2 2" xfId="38598" xr:uid="{00000000-0005-0000-0000-0000C8960000}"/>
    <cellStyle name="Porcentual 2 2 2 2" xfId="38599" xr:uid="{00000000-0005-0000-0000-0000C9960000}"/>
    <cellStyle name="Porcentual 2 2 2 3" xfId="38600" xr:uid="{00000000-0005-0000-0000-0000CA960000}"/>
    <cellStyle name="Porcentual 2 2 3" xfId="38601" xr:uid="{00000000-0005-0000-0000-0000CB960000}"/>
    <cellStyle name="Porcentual 2 2 4" xfId="38602" xr:uid="{00000000-0005-0000-0000-0000CC960000}"/>
    <cellStyle name="Porcentual 2 3" xfId="38603" xr:uid="{00000000-0005-0000-0000-0000CD960000}"/>
    <cellStyle name="Porcentual 2 3 2" xfId="38604" xr:uid="{00000000-0005-0000-0000-0000CE960000}"/>
    <cellStyle name="Porcentual 2 3 2 2" xfId="38605" xr:uid="{00000000-0005-0000-0000-0000CF960000}"/>
    <cellStyle name="Porcentual 2 3 2 3" xfId="38606" xr:uid="{00000000-0005-0000-0000-0000D0960000}"/>
    <cellStyle name="Porcentual 2 3 3" xfId="38607" xr:uid="{00000000-0005-0000-0000-0000D1960000}"/>
    <cellStyle name="Porcentual 2 3 4" xfId="38608" xr:uid="{00000000-0005-0000-0000-0000D2960000}"/>
    <cellStyle name="Porcentual 2 4" xfId="38609" xr:uid="{00000000-0005-0000-0000-0000D3960000}"/>
    <cellStyle name="Porcentual 2 4 2" xfId="38610" xr:uid="{00000000-0005-0000-0000-0000D4960000}"/>
    <cellStyle name="Porcentual 2 4 2 2" xfId="38611" xr:uid="{00000000-0005-0000-0000-0000D5960000}"/>
    <cellStyle name="Porcentual 2 4 2 3" xfId="38612" xr:uid="{00000000-0005-0000-0000-0000D6960000}"/>
    <cellStyle name="Porcentual 2 4 3" xfId="38613" xr:uid="{00000000-0005-0000-0000-0000D7960000}"/>
    <cellStyle name="Porcentual 2 4 4" xfId="38614" xr:uid="{00000000-0005-0000-0000-0000D8960000}"/>
    <cellStyle name="Porcentual 2 5" xfId="38615" xr:uid="{00000000-0005-0000-0000-0000D9960000}"/>
    <cellStyle name="Porcentual 2 5 2" xfId="38616" xr:uid="{00000000-0005-0000-0000-0000DA960000}"/>
    <cellStyle name="Porcentual 2 5 2 2" xfId="38617" xr:uid="{00000000-0005-0000-0000-0000DB960000}"/>
    <cellStyle name="Porcentual 2 5 2 3" xfId="38618" xr:uid="{00000000-0005-0000-0000-0000DC960000}"/>
    <cellStyle name="Porcentual 2 5 3" xfId="38619" xr:uid="{00000000-0005-0000-0000-0000DD960000}"/>
    <cellStyle name="Porcentual 2 5 4" xfId="38620" xr:uid="{00000000-0005-0000-0000-0000DE960000}"/>
    <cellStyle name="Salida 10" xfId="38621" xr:uid="{00000000-0005-0000-0000-0000DF960000}"/>
    <cellStyle name="Salida 11" xfId="38622" xr:uid="{00000000-0005-0000-0000-0000E0960000}"/>
    <cellStyle name="Salida 2" xfId="38623" xr:uid="{00000000-0005-0000-0000-0000E1960000}"/>
    <cellStyle name="Salida 2 2" xfId="38624" xr:uid="{00000000-0005-0000-0000-0000E2960000}"/>
    <cellStyle name="Salida 2 2 2" xfId="38625" xr:uid="{00000000-0005-0000-0000-0000E3960000}"/>
    <cellStyle name="Salida 2 2 3" xfId="38626" xr:uid="{00000000-0005-0000-0000-0000E4960000}"/>
    <cellStyle name="Salida 2 2 4" xfId="38627" xr:uid="{00000000-0005-0000-0000-0000E5960000}"/>
    <cellStyle name="Salida 2 3" xfId="38628" xr:uid="{00000000-0005-0000-0000-0000E6960000}"/>
    <cellStyle name="Salida 2 4" xfId="38629" xr:uid="{00000000-0005-0000-0000-0000E7960000}"/>
    <cellStyle name="Salida 3" xfId="38630" xr:uid="{00000000-0005-0000-0000-0000E8960000}"/>
    <cellStyle name="Salida 3 2" xfId="38631" xr:uid="{00000000-0005-0000-0000-0000E9960000}"/>
    <cellStyle name="Salida 3 2 2" xfId="38632" xr:uid="{00000000-0005-0000-0000-0000EA960000}"/>
    <cellStyle name="Salida 3 2 3" xfId="38633" xr:uid="{00000000-0005-0000-0000-0000EB960000}"/>
    <cellStyle name="Salida 3 3" xfId="38634" xr:uid="{00000000-0005-0000-0000-0000EC960000}"/>
    <cellStyle name="Salida 3 4" xfId="38635" xr:uid="{00000000-0005-0000-0000-0000ED960000}"/>
    <cellStyle name="Salida 4" xfId="38636" xr:uid="{00000000-0005-0000-0000-0000EE960000}"/>
    <cellStyle name="Salida 4 2" xfId="38637" xr:uid="{00000000-0005-0000-0000-0000EF960000}"/>
    <cellStyle name="Salida 4 2 2" xfId="38638" xr:uid="{00000000-0005-0000-0000-0000F0960000}"/>
    <cellStyle name="Salida 4 2 3" xfId="38639" xr:uid="{00000000-0005-0000-0000-0000F1960000}"/>
    <cellStyle name="Salida 4 3" xfId="38640" xr:uid="{00000000-0005-0000-0000-0000F2960000}"/>
    <cellStyle name="Salida 4 4" xfId="38641" xr:uid="{00000000-0005-0000-0000-0000F3960000}"/>
    <cellStyle name="Salida 5" xfId="38642" xr:uid="{00000000-0005-0000-0000-0000F4960000}"/>
    <cellStyle name="Salida 5 2" xfId="38643" xr:uid="{00000000-0005-0000-0000-0000F5960000}"/>
    <cellStyle name="Salida 5 2 2" xfId="38644" xr:uid="{00000000-0005-0000-0000-0000F6960000}"/>
    <cellStyle name="Salida 5 2 3" xfId="38645" xr:uid="{00000000-0005-0000-0000-0000F7960000}"/>
    <cellStyle name="Salida 5 3" xfId="38646" xr:uid="{00000000-0005-0000-0000-0000F8960000}"/>
    <cellStyle name="Salida 5 4" xfId="38647" xr:uid="{00000000-0005-0000-0000-0000F9960000}"/>
    <cellStyle name="Salida 6" xfId="38648" xr:uid="{00000000-0005-0000-0000-0000FA960000}"/>
    <cellStyle name="Salida 6 2" xfId="38649" xr:uid="{00000000-0005-0000-0000-0000FB960000}"/>
    <cellStyle name="Salida 6 2 2" xfId="38650" xr:uid="{00000000-0005-0000-0000-0000FC960000}"/>
    <cellStyle name="Salida 6 2 3" xfId="38651" xr:uid="{00000000-0005-0000-0000-0000FD960000}"/>
    <cellStyle name="Salida 6 3" xfId="38652" xr:uid="{00000000-0005-0000-0000-0000FE960000}"/>
    <cellStyle name="Salida 6 4" xfId="38653" xr:uid="{00000000-0005-0000-0000-0000FF960000}"/>
    <cellStyle name="Salida 7" xfId="38654" xr:uid="{00000000-0005-0000-0000-000000970000}"/>
    <cellStyle name="Salida 7 2" xfId="38655" xr:uid="{00000000-0005-0000-0000-000001970000}"/>
    <cellStyle name="Salida 7 2 2" xfId="38656" xr:uid="{00000000-0005-0000-0000-000002970000}"/>
    <cellStyle name="Salida 7 2 3" xfId="38657" xr:uid="{00000000-0005-0000-0000-000003970000}"/>
    <cellStyle name="Salida 7 3" xfId="38658" xr:uid="{00000000-0005-0000-0000-000004970000}"/>
    <cellStyle name="Salida 7 4" xfId="38659" xr:uid="{00000000-0005-0000-0000-000005970000}"/>
    <cellStyle name="Salida 8" xfId="38660" xr:uid="{00000000-0005-0000-0000-000006970000}"/>
    <cellStyle name="Salida 8 2" xfId="38661" xr:uid="{00000000-0005-0000-0000-000007970000}"/>
    <cellStyle name="Salida 8 2 2" xfId="38662" xr:uid="{00000000-0005-0000-0000-000008970000}"/>
    <cellStyle name="Salida 8 2 3" xfId="38663" xr:uid="{00000000-0005-0000-0000-000009970000}"/>
    <cellStyle name="Salida 8 3" xfId="38664" xr:uid="{00000000-0005-0000-0000-00000A970000}"/>
    <cellStyle name="Salida 8 4" xfId="38665" xr:uid="{00000000-0005-0000-0000-00000B970000}"/>
    <cellStyle name="Salida 9" xfId="38666" xr:uid="{00000000-0005-0000-0000-00000C970000}"/>
    <cellStyle name="Salida 9 2" xfId="38667" xr:uid="{00000000-0005-0000-0000-00000D970000}"/>
    <cellStyle name="Salida 9 3" xfId="38668" xr:uid="{00000000-0005-0000-0000-00000E970000}"/>
    <cellStyle name="TableStyleLight1" xfId="38669" xr:uid="{00000000-0005-0000-0000-00000F970000}"/>
    <cellStyle name="TableStyleLight1 2" xfId="38670" xr:uid="{00000000-0005-0000-0000-000010970000}"/>
    <cellStyle name="TableStyleLight1 2 2" xfId="38671" xr:uid="{00000000-0005-0000-0000-000011970000}"/>
    <cellStyle name="TableStyleLight1 2 3" xfId="38672" xr:uid="{00000000-0005-0000-0000-000012970000}"/>
    <cellStyle name="TableStyleLight1 3" xfId="38673" xr:uid="{00000000-0005-0000-0000-000013970000}"/>
    <cellStyle name="TableStyleLight1 4" xfId="38674" xr:uid="{00000000-0005-0000-0000-000014970000}"/>
    <cellStyle name="Texto de advertencia 10" xfId="38675" xr:uid="{00000000-0005-0000-0000-000015970000}"/>
    <cellStyle name="Texto de advertencia 10 2" xfId="38676" xr:uid="{00000000-0005-0000-0000-000016970000}"/>
    <cellStyle name="Texto de advertencia 10 3" xfId="38677" xr:uid="{00000000-0005-0000-0000-000017970000}"/>
    <cellStyle name="Texto de advertencia 11" xfId="38678" xr:uid="{00000000-0005-0000-0000-000018970000}"/>
    <cellStyle name="Texto de advertencia 12" xfId="38679" xr:uid="{00000000-0005-0000-0000-000019970000}"/>
    <cellStyle name="Texto de advertencia 2" xfId="38680" xr:uid="{00000000-0005-0000-0000-00001A970000}"/>
    <cellStyle name="Texto de advertencia 2 2" xfId="38681" xr:uid="{00000000-0005-0000-0000-00001B970000}"/>
    <cellStyle name="Texto de advertencia 2 2 2" xfId="38682" xr:uid="{00000000-0005-0000-0000-00001C970000}"/>
    <cellStyle name="Texto de advertencia 2 2 2 2" xfId="38683" xr:uid="{00000000-0005-0000-0000-00001D970000}"/>
    <cellStyle name="Texto de advertencia 2 2 2 2 2" xfId="38684" xr:uid="{00000000-0005-0000-0000-00001E970000}"/>
    <cellStyle name="Texto de advertencia 2 2 2 2 2 2" xfId="38685" xr:uid="{00000000-0005-0000-0000-00001F970000}"/>
    <cellStyle name="Texto de advertencia 2 2 2 2 2 2 2" xfId="38686" xr:uid="{00000000-0005-0000-0000-000020970000}"/>
    <cellStyle name="Texto de advertencia 2 2 2 2 2 2 3" xfId="38687" xr:uid="{00000000-0005-0000-0000-000021970000}"/>
    <cellStyle name="Texto de advertencia 2 2 2 2 2 3" xfId="38688" xr:uid="{00000000-0005-0000-0000-000022970000}"/>
    <cellStyle name="Texto de advertencia 2 2 2 2 2 4" xfId="38689" xr:uid="{00000000-0005-0000-0000-000023970000}"/>
    <cellStyle name="Texto de advertencia 2 2 2 2 3" xfId="38690" xr:uid="{00000000-0005-0000-0000-000024970000}"/>
    <cellStyle name="Texto de advertencia 2 2 2 2 3 2" xfId="38691" xr:uid="{00000000-0005-0000-0000-000025970000}"/>
    <cellStyle name="Texto de advertencia 2 2 2 2 3 3" xfId="38692" xr:uid="{00000000-0005-0000-0000-000026970000}"/>
    <cellStyle name="Texto de advertencia 2 2 2 2 4" xfId="38693" xr:uid="{00000000-0005-0000-0000-000027970000}"/>
    <cellStyle name="Texto de advertencia 2 2 2 2 5" xfId="38694" xr:uid="{00000000-0005-0000-0000-000028970000}"/>
    <cellStyle name="Texto de advertencia 2 2 2 3" xfId="38695" xr:uid="{00000000-0005-0000-0000-000029970000}"/>
    <cellStyle name="Texto de advertencia 2 2 2 3 2" xfId="38696" xr:uid="{00000000-0005-0000-0000-00002A970000}"/>
    <cellStyle name="Texto de advertencia 2 2 2 3 3" xfId="38697" xr:uid="{00000000-0005-0000-0000-00002B970000}"/>
    <cellStyle name="Texto de advertencia 2 2 2 4" xfId="38698" xr:uid="{00000000-0005-0000-0000-00002C970000}"/>
    <cellStyle name="Texto de advertencia 2 2 2 5" xfId="38699" xr:uid="{00000000-0005-0000-0000-00002D970000}"/>
    <cellStyle name="Texto de advertencia 2 2 3" xfId="38700" xr:uid="{00000000-0005-0000-0000-00002E970000}"/>
    <cellStyle name="Texto de advertencia 2 2 3 2" xfId="38701" xr:uid="{00000000-0005-0000-0000-00002F970000}"/>
    <cellStyle name="Texto de advertencia 2 2 3 2 2" xfId="38702" xr:uid="{00000000-0005-0000-0000-000030970000}"/>
    <cellStyle name="Texto de advertencia 2 2 3 2 3" xfId="38703" xr:uid="{00000000-0005-0000-0000-000031970000}"/>
    <cellStyle name="Texto de advertencia 2 2 3 3" xfId="38704" xr:uid="{00000000-0005-0000-0000-000032970000}"/>
    <cellStyle name="Texto de advertencia 2 2 3 4" xfId="38705" xr:uid="{00000000-0005-0000-0000-000033970000}"/>
    <cellStyle name="Texto de advertencia 2 2 4" xfId="38706" xr:uid="{00000000-0005-0000-0000-000034970000}"/>
    <cellStyle name="Texto de advertencia 2 2 4 2" xfId="38707" xr:uid="{00000000-0005-0000-0000-000035970000}"/>
    <cellStyle name="Texto de advertencia 2 2 4 2 2" xfId="38708" xr:uid="{00000000-0005-0000-0000-000036970000}"/>
    <cellStyle name="Texto de advertencia 2 2 4 2 3" xfId="38709" xr:uid="{00000000-0005-0000-0000-000037970000}"/>
    <cellStyle name="Texto de advertencia 2 2 4 3" xfId="38710" xr:uid="{00000000-0005-0000-0000-000038970000}"/>
    <cellStyle name="Texto de advertencia 2 2 4 4" xfId="38711" xr:uid="{00000000-0005-0000-0000-000039970000}"/>
    <cellStyle name="Texto de advertencia 2 2 5" xfId="38712" xr:uid="{00000000-0005-0000-0000-00003A970000}"/>
    <cellStyle name="Texto de advertencia 2 2 5 2" xfId="38713" xr:uid="{00000000-0005-0000-0000-00003B970000}"/>
    <cellStyle name="Texto de advertencia 2 2 5 3" xfId="38714" xr:uid="{00000000-0005-0000-0000-00003C970000}"/>
    <cellStyle name="Texto de advertencia 2 2 6" xfId="38715" xr:uid="{00000000-0005-0000-0000-00003D970000}"/>
    <cellStyle name="Texto de advertencia 2 2 7" xfId="38716" xr:uid="{00000000-0005-0000-0000-00003E970000}"/>
    <cellStyle name="Texto de advertencia 2 3" xfId="38717" xr:uid="{00000000-0005-0000-0000-00003F970000}"/>
    <cellStyle name="Texto de advertencia 2 3 2" xfId="38718" xr:uid="{00000000-0005-0000-0000-000040970000}"/>
    <cellStyle name="Texto de advertencia 2 3 2 2" xfId="38719" xr:uid="{00000000-0005-0000-0000-000041970000}"/>
    <cellStyle name="Texto de advertencia 2 3 2 3" xfId="38720" xr:uid="{00000000-0005-0000-0000-000042970000}"/>
    <cellStyle name="Texto de advertencia 2 3 3" xfId="38721" xr:uid="{00000000-0005-0000-0000-000043970000}"/>
    <cellStyle name="Texto de advertencia 2 3 4" xfId="38722" xr:uid="{00000000-0005-0000-0000-000044970000}"/>
    <cellStyle name="Texto de advertencia 2 4" xfId="38723" xr:uid="{00000000-0005-0000-0000-000045970000}"/>
    <cellStyle name="Texto de advertencia 2 4 2" xfId="38724" xr:uid="{00000000-0005-0000-0000-000046970000}"/>
    <cellStyle name="Texto de advertencia 2 4 2 2" xfId="38725" xr:uid="{00000000-0005-0000-0000-000047970000}"/>
    <cellStyle name="Texto de advertencia 2 4 2 3" xfId="38726" xr:uid="{00000000-0005-0000-0000-000048970000}"/>
    <cellStyle name="Texto de advertencia 2 4 3" xfId="38727" xr:uid="{00000000-0005-0000-0000-000049970000}"/>
    <cellStyle name="Texto de advertencia 2 4 4" xfId="38728" xr:uid="{00000000-0005-0000-0000-00004A970000}"/>
    <cellStyle name="Texto de advertencia 2 5" xfId="38729" xr:uid="{00000000-0005-0000-0000-00004B970000}"/>
    <cellStyle name="Texto de advertencia 2 5 2" xfId="38730" xr:uid="{00000000-0005-0000-0000-00004C970000}"/>
    <cellStyle name="Texto de advertencia 2 5 3" xfId="38731" xr:uid="{00000000-0005-0000-0000-00004D970000}"/>
    <cellStyle name="Texto de advertencia 2 6" xfId="38732" xr:uid="{00000000-0005-0000-0000-00004E970000}"/>
    <cellStyle name="Texto de advertencia 2 7" xfId="38733" xr:uid="{00000000-0005-0000-0000-00004F970000}"/>
    <cellStyle name="Texto de advertencia 3" xfId="38734" xr:uid="{00000000-0005-0000-0000-000050970000}"/>
    <cellStyle name="Texto de advertencia 3 2" xfId="38735" xr:uid="{00000000-0005-0000-0000-000051970000}"/>
    <cellStyle name="Texto de advertencia 3 2 2" xfId="38736" xr:uid="{00000000-0005-0000-0000-000052970000}"/>
    <cellStyle name="Texto de advertencia 3 2 3" xfId="38737" xr:uid="{00000000-0005-0000-0000-000053970000}"/>
    <cellStyle name="Texto de advertencia 3 3" xfId="38738" xr:uid="{00000000-0005-0000-0000-000054970000}"/>
    <cellStyle name="Texto de advertencia 3 4" xfId="38739" xr:uid="{00000000-0005-0000-0000-000055970000}"/>
    <cellStyle name="Texto de advertencia 4" xfId="38740" xr:uid="{00000000-0005-0000-0000-000056970000}"/>
    <cellStyle name="Texto de advertencia 4 2" xfId="38741" xr:uid="{00000000-0005-0000-0000-000057970000}"/>
    <cellStyle name="Texto de advertencia 4 2 2" xfId="38742" xr:uid="{00000000-0005-0000-0000-000058970000}"/>
    <cellStyle name="Texto de advertencia 4 2 3" xfId="38743" xr:uid="{00000000-0005-0000-0000-000059970000}"/>
    <cellStyle name="Texto de advertencia 4 3" xfId="38744" xr:uid="{00000000-0005-0000-0000-00005A970000}"/>
    <cellStyle name="Texto de advertencia 4 4" xfId="38745" xr:uid="{00000000-0005-0000-0000-00005B970000}"/>
    <cellStyle name="Texto de advertencia 5" xfId="38746" xr:uid="{00000000-0005-0000-0000-00005C970000}"/>
    <cellStyle name="Texto de advertencia 5 2" xfId="38747" xr:uid="{00000000-0005-0000-0000-00005D970000}"/>
    <cellStyle name="Texto de advertencia 5 2 2" xfId="38748" xr:uid="{00000000-0005-0000-0000-00005E970000}"/>
    <cellStyle name="Texto de advertencia 5 2 3" xfId="38749" xr:uid="{00000000-0005-0000-0000-00005F970000}"/>
    <cellStyle name="Texto de advertencia 5 3" xfId="38750" xr:uid="{00000000-0005-0000-0000-000060970000}"/>
    <cellStyle name="Texto de advertencia 5 4" xfId="38751" xr:uid="{00000000-0005-0000-0000-000061970000}"/>
    <cellStyle name="Texto de advertencia 6" xfId="38752" xr:uid="{00000000-0005-0000-0000-000062970000}"/>
    <cellStyle name="Texto de advertencia 6 2" xfId="38753" xr:uid="{00000000-0005-0000-0000-000063970000}"/>
    <cellStyle name="Texto de advertencia 6 2 2" xfId="38754" xr:uid="{00000000-0005-0000-0000-000064970000}"/>
    <cellStyle name="Texto de advertencia 6 2 3" xfId="38755" xr:uid="{00000000-0005-0000-0000-000065970000}"/>
    <cellStyle name="Texto de advertencia 6 3" xfId="38756" xr:uid="{00000000-0005-0000-0000-000066970000}"/>
    <cellStyle name="Texto de advertencia 6 4" xfId="38757" xr:uid="{00000000-0005-0000-0000-000067970000}"/>
    <cellStyle name="Texto de advertencia 7" xfId="38758" xr:uid="{00000000-0005-0000-0000-000068970000}"/>
    <cellStyle name="Texto de advertencia 7 2" xfId="38759" xr:uid="{00000000-0005-0000-0000-000069970000}"/>
    <cellStyle name="Texto de advertencia 7 2 2" xfId="38760" xr:uid="{00000000-0005-0000-0000-00006A970000}"/>
    <cellStyle name="Texto de advertencia 7 2 3" xfId="38761" xr:uid="{00000000-0005-0000-0000-00006B970000}"/>
    <cellStyle name="Texto de advertencia 7 3" xfId="38762" xr:uid="{00000000-0005-0000-0000-00006C970000}"/>
    <cellStyle name="Texto de advertencia 7 4" xfId="38763" xr:uid="{00000000-0005-0000-0000-00006D970000}"/>
    <cellStyle name="Texto de advertencia 8" xfId="38764" xr:uid="{00000000-0005-0000-0000-00006E970000}"/>
    <cellStyle name="Texto de advertencia 8 2" xfId="38765" xr:uid="{00000000-0005-0000-0000-00006F970000}"/>
    <cellStyle name="Texto de advertencia 8 2 2" xfId="38766" xr:uid="{00000000-0005-0000-0000-000070970000}"/>
    <cellStyle name="Texto de advertencia 8 2 3" xfId="38767" xr:uid="{00000000-0005-0000-0000-000071970000}"/>
    <cellStyle name="Texto de advertencia 8 3" xfId="38768" xr:uid="{00000000-0005-0000-0000-000072970000}"/>
    <cellStyle name="Texto de advertencia 8 4" xfId="38769" xr:uid="{00000000-0005-0000-0000-000073970000}"/>
    <cellStyle name="Texto de advertencia 9" xfId="38770" xr:uid="{00000000-0005-0000-0000-000074970000}"/>
    <cellStyle name="Texto de advertencia 9 2" xfId="38771" xr:uid="{00000000-0005-0000-0000-000075970000}"/>
    <cellStyle name="Texto de advertencia 9 2 2" xfId="38772" xr:uid="{00000000-0005-0000-0000-000076970000}"/>
    <cellStyle name="Texto de advertencia 9 2 3" xfId="38773" xr:uid="{00000000-0005-0000-0000-000077970000}"/>
    <cellStyle name="Texto de advertencia 9 3" xfId="38774" xr:uid="{00000000-0005-0000-0000-000078970000}"/>
    <cellStyle name="Texto de advertencia 9 4" xfId="38775" xr:uid="{00000000-0005-0000-0000-000079970000}"/>
    <cellStyle name="Texto explicativo 10" xfId="38776" xr:uid="{00000000-0005-0000-0000-00007A970000}"/>
    <cellStyle name="Texto explicativo 11" xfId="38777" xr:uid="{00000000-0005-0000-0000-00007B970000}"/>
    <cellStyle name="Texto explicativo 2" xfId="38778" xr:uid="{00000000-0005-0000-0000-00007C970000}"/>
    <cellStyle name="Texto explicativo 2 2" xfId="38779" xr:uid="{00000000-0005-0000-0000-00007D970000}"/>
    <cellStyle name="Texto explicativo 2 2 2" xfId="38780" xr:uid="{00000000-0005-0000-0000-00007E970000}"/>
    <cellStyle name="Texto explicativo 2 2 3" xfId="38781" xr:uid="{00000000-0005-0000-0000-00007F970000}"/>
    <cellStyle name="Texto explicativo 2 2 4" xfId="38782" xr:uid="{00000000-0005-0000-0000-000080970000}"/>
    <cellStyle name="Texto explicativo 2 3" xfId="38783" xr:uid="{00000000-0005-0000-0000-000081970000}"/>
    <cellStyle name="Texto explicativo 2 4" xfId="38784" xr:uid="{00000000-0005-0000-0000-000082970000}"/>
    <cellStyle name="Texto explicativo 3" xfId="38785" xr:uid="{00000000-0005-0000-0000-000083970000}"/>
    <cellStyle name="Texto explicativo 3 2" xfId="38786" xr:uid="{00000000-0005-0000-0000-000084970000}"/>
    <cellStyle name="Texto explicativo 3 2 2" xfId="38787" xr:uid="{00000000-0005-0000-0000-000085970000}"/>
    <cellStyle name="Texto explicativo 3 2 3" xfId="38788" xr:uid="{00000000-0005-0000-0000-000086970000}"/>
    <cellStyle name="Texto explicativo 3 3" xfId="38789" xr:uid="{00000000-0005-0000-0000-000087970000}"/>
    <cellStyle name="Texto explicativo 3 4" xfId="38790" xr:uid="{00000000-0005-0000-0000-000088970000}"/>
    <cellStyle name="Texto explicativo 4" xfId="38791" xr:uid="{00000000-0005-0000-0000-000089970000}"/>
    <cellStyle name="Texto explicativo 4 2" xfId="38792" xr:uid="{00000000-0005-0000-0000-00008A970000}"/>
    <cellStyle name="Texto explicativo 4 2 2" xfId="38793" xr:uid="{00000000-0005-0000-0000-00008B970000}"/>
    <cellStyle name="Texto explicativo 4 2 3" xfId="38794" xr:uid="{00000000-0005-0000-0000-00008C970000}"/>
    <cellStyle name="Texto explicativo 4 3" xfId="38795" xr:uid="{00000000-0005-0000-0000-00008D970000}"/>
    <cellStyle name="Texto explicativo 4 4" xfId="38796" xr:uid="{00000000-0005-0000-0000-00008E970000}"/>
    <cellStyle name="Texto explicativo 5" xfId="38797" xr:uid="{00000000-0005-0000-0000-00008F970000}"/>
    <cellStyle name="Texto explicativo 5 2" xfId="38798" xr:uid="{00000000-0005-0000-0000-000090970000}"/>
    <cellStyle name="Texto explicativo 5 2 2" xfId="38799" xr:uid="{00000000-0005-0000-0000-000091970000}"/>
    <cellStyle name="Texto explicativo 5 2 3" xfId="38800" xr:uid="{00000000-0005-0000-0000-000092970000}"/>
    <cellStyle name="Texto explicativo 5 3" xfId="38801" xr:uid="{00000000-0005-0000-0000-000093970000}"/>
    <cellStyle name="Texto explicativo 5 4" xfId="38802" xr:uid="{00000000-0005-0000-0000-000094970000}"/>
    <cellStyle name="Texto explicativo 6" xfId="38803" xr:uid="{00000000-0005-0000-0000-000095970000}"/>
    <cellStyle name="Texto explicativo 6 2" xfId="38804" xr:uid="{00000000-0005-0000-0000-000096970000}"/>
    <cellStyle name="Texto explicativo 6 2 2" xfId="38805" xr:uid="{00000000-0005-0000-0000-000097970000}"/>
    <cellStyle name="Texto explicativo 6 2 3" xfId="38806" xr:uid="{00000000-0005-0000-0000-000098970000}"/>
    <cellStyle name="Texto explicativo 6 3" xfId="38807" xr:uid="{00000000-0005-0000-0000-000099970000}"/>
    <cellStyle name="Texto explicativo 6 4" xfId="38808" xr:uid="{00000000-0005-0000-0000-00009A970000}"/>
    <cellStyle name="Texto explicativo 7" xfId="38809" xr:uid="{00000000-0005-0000-0000-00009B970000}"/>
    <cellStyle name="Texto explicativo 7 2" xfId="38810" xr:uid="{00000000-0005-0000-0000-00009C970000}"/>
    <cellStyle name="Texto explicativo 7 2 2" xfId="38811" xr:uid="{00000000-0005-0000-0000-00009D970000}"/>
    <cellStyle name="Texto explicativo 7 2 3" xfId="38812" xr:uid="{00000000-0005-0000-0000-00009E970000}"/>
    <cellStyle name="Texto explicativo 7 3" xfId="38813" xr:uid="{00000000-0005-0000-0000-00009F970000}"/>
    <cellStyle name="Texto explicativo 7 4" xfId="38814" xr:uid="{00000000-0005-0000-0000-0000A0970000}"/>
    <cellStyle name="Texto explicativo 8" xfId="38815" xr:uid="{00000000-0005-0000-0000-0000A1970000}"/>
    <cellStyle name="Texto explicativo 8 2" xfId="38816" xr:uid="{00000000-0005-0000-0000-0000A2970000}"/>
    <cellStyle name="Texto explicativo 8 2 2" xfId="38817" xr:uid="{00000000-0005-0000-0000-0000A3970000}"/>
    <cellStyle name="Texto explicativo 8 2 3" xfId="38818" xr:uid="{00000000-0005-0000-0000-0000A4970000}"/>
    <cellStyle name="Texto explicativo 8 3" xfId="38819" xr:uid="{00000000-0005-0000-0000-0000A5970000}"/>
    <cellStyle name="Texto explicativo 8 4" xfId="38820" xr:uid="{00000000-0005-0000-0000-0000A6970000}"/>
    <cellStyle name="Texto explicativo 9" xfId="38821" xr:uid="{00000000-0005-0000-0000-0000A7970000}"/>
    <cellStyle name="Texto explicativo 9 2" xfId="38822" xr:uid="{00000000-0005-0000-0000-0000A8970000}"/>
    <cellStyle name="Texto explicativo 9 3" xfId="38823" xr:uid="{00000000-0005-0000-0000-0000A9970000}"/>
    <cellStyle name="Title" xfId="38824" xr:uid="{00000000-0005-0000-0000-0000AA970000}"/>
    <cellStyle name="Title 2" xfId="38825" xr:uid="{00000000-0005-0000-0000-0000AB970000}"/>
    <cellStyle name="Title 2 2" xfId="38826" xr:uid="{00000000-0005-0000-0000-0000AC970000}"/>
    <cellStyle name="Title 2 2 2" xfId="38827" xr:uid="{00000000-0005-0000-0000-0000AD970000}"/>
    <cellStyle name="Title 2 2 3" xfId="38828" xr:uid="{00000000-0005-0000-0000-0000AE970000}"/>
    <cellStyle name="Title 2 3" xfId="38829" xr:uid="{00000000-0005-0000-0000-0000AF970000}"/>
    <cellStyle name="Title 2 4" xfId="38830" xr:uid="{00000000-0005-0000-0000-0000B0970000}"/>
    <cellStyle name="Title 3" xfId="38831" xr:uid="{00000000-0005-0000-0000-0000B1970000}"/>
    <cellStyle name="Title 3 2" xfId="38832" xr:uid="{00000000-0005-0000-0000-0000B2970000}"/>
    <cellStyle name="Title 3 2 2" xfId="38833" xr:uid="{00000000-0005-0000-0000-0000B3970000}"/>
    <cellStyle name="Title 3 2 3" xfId="38834" xr:uid="{00000000-0005-0000-0000-0000B4970000}"/>
    <cellStyle name="Title 3 3" xfId="38835" xr:uid="{00000000-0005-0000-0000-0000B5970000}"/>
    <cellStyle name="Title 3 4" xfId="38836" xr:uid="{00000000-0005-0000-0000-0000B6970000}"/>
    <cellStyle name="Title 4" xfId="38837" xr:uid="{00000000-0005-0000-0000-0000B7970000}"/>
    <cellStyle name="Title 4 2" xfId="38838" xr:uid="{00000000-0005-0000-0000-0000B8970000}"/>
    <cellStyle name="Title 4 2 2" xfId="38839" xr:uid="{00000000-0005-0000-0000-0000B9970000}"/>
    <cellStyle name="Title 4 2 3" xfId="38840" xr:uid="{00000000-0005-0000-0000-0000BA970000}"/>
    <cellStyle name="Title 4 3" xfId="38841" xr:uid="{00000000-0005-0000-0000-0000BB970000}"/>
    <cellStyle name="Title 4 4" xfId="38842" xr:uid="{00000000-0005-0000-0000-0000BC970000}"/>
    <cellStyle name="Title 5" xfId="38843" xr:uid="{00000000-0005-0000-0000-0000BD970000}"/>
    <cellStyle name="Title 5 2" xfId="38844" xr:uid="{00000000-0005-0000-0000-0000BE970000}"/>
    <cellStyle name="Title 5 2 2" xfId="38845" xr:uid="{00000000-0005-0000-0000-0000BF970000}"/>
    <cellStyle name="Title 5 2 3" xfId="38846" xr:uid="{00000000-0005-0000-0000-0000C0970000}"/>
    <cellStyle name="Title 5 3" xfId="38847" xr:uid="{00000000-0005-0000-0000-0000C1970000}"/>
    <cellStyle name="Title 5 4" xfId="38848" xr:uid="{00000000-0005-0000-0000-0000C2970000}"/>
    <cellStyle name="Title 6" xfId="38849" xr:uid="{00000000-0005-0000-0000-0000C3970000}"/>
    <cellStyle name="Title 6 2" xfId="38850" xr:uid="{00000000-0005-0000-0000-0000C4970000}"/>
    <cellStyle name="Title 6 3" xfId="38851" xr:uid="{00000000-0005-0000-0000-0000C5970000}"/>
    <cellStyle name="Title 7" xfId="38852" xr:uid="{00000000-0005-0000-0000-0000C6970000}"/>
    <cellStyle name="Title 8" xfId="38853" xr:uid="{00000000-0005-0000-0000-0000C7970000}"/>
    <cellStyle name="Título 1 10" xfId="38854" xr:uid="{00000000-0005-0000-0000-0000C8970000}"/>
    <cellStyle name="Título 1 11" xfId="38855" xr:uid="{00000000-0005-0000-0000-0000C9970000}"/>
    <cellStyle name="Título 1 2" xfId="38856" xr:uid="{00000000-0005-0000-0000-0000CA970000}"/>
    <cellStyle name="Título 1 2 2" xfId="38857" xr:uid="{00000000-0005-0000-0000-0000CB970000}"/>
    <cellStyle name="Título 1 2 2 2" xfId="38858" xr:uid="{00000000-0005-0000-0000-0000CC970000}"/>
    <cellStyle name="Título 1 2 2 3" xfId="38859" xr:uid="{00000000-0005-0000-0000-0000CD970000}"/>
    <cellStyle name="Título 1 2 3" xfId="38860" xr:uid="{00000000-0005-0000-0000-0000CE970000}"/>
    <cellStyle name="Título 1 2 4" xfId="38861" xr:uid="{00000000-0005-0000-0000-0000CF970000}"/>
    <cellStyle name="Título 1 3" xfId="38862" xr:uid="{00000000-0005-0000-0000-0000D0970000}"/>
    <cellStyle name="Título 1 3 2" xfId="38863" xr:uid="{00000000-0005-0000-0000-0000D1970000}"/>
    <cellStyle name="Título 1 3 2 2" xfId="38864" xr:uid="{00000000-0005-0000-0000-0000D2970000}"/>
    <cellStyle name="Título 1 3 2 3" xfId="38865" xr:uid="{00000000-0005-0000-0000-0000D3970000}"/>
    <cellStyle name="Título 1 3 3" xfId="38866" xr:uid="{00000000-0005-0000-0000-0000D4970000}"/>
    <cellStyle name="Título 1 3 4" xfId="38867" xr:uid="{00000000-0005-0000-0000-0000D5970000}"/>
    <cellStyle name="Título 1 4" xfId="38868" xr:uid="{00000000-0005-0000-0000-0000D6970000}"/>
    <cellStyle name="Título 1 4 2" xfId="38869" xr:uid="{00000000-0005-0000-0000-0000D7970000}"/>
    <cellStyle name="Título 1 4 2 2" xfId="38870" xr:uid="{00000000-0005-0000-0000-0000D8970000}"/>
    <cellStyle name="Título 1 4 2 3" xfId="38871" xr:uid="{00000000-0005-0000-0000-0000D9970000}"/>
    <cellStyle name="Título 1 4 3" xfId="38872" xr:uid="{00000000-0005-0000-0000-0000DA970000}"/>
    <cellStyle name="Título 1 4 4" xfId="38873" xr:uid="{00000000-0005-0000-0000-0000DB970000}"/>
    <cellStyle name="Título 1 5" xfId="38874" xr:uid="{00000000-0005-0000-0000-0000DC970000}"/>
    <cellStyle name="Título 1 5 2" xfId="38875" xr:uid="{00000000-0005-0000-0000-0000DD970000}"/>
    <cellStyle name="Título 1 5 2 2" xfId="38876" xr:uid="{00000000-0005-0000-0000-0000DE970000}"/>
    <cellStyle name="Título 1 5 2 3" xfId="38877" xr:uid="{00000000-0005-0000-0000-0000DF970000}"/>
    <cellStyle name="Título 1 5 3" xfId="38878" xr:uid="{00000000-0005-0000-0000-0000E0970000}"/>
    <cellStyle name="Título 1 5 4" xfId="38879" xr:uid="{00000000-0005-0000-0000-0000E1970000}"/>
    <cellStyle name="Título 1 6" xfId="38880" xr:uid="{00000000-0005-0000-0000-0000E2970000}"/>
    <cellStyle name="Título 1 6 2" xfId="38881" xr:uid="{00000000-0005-0000-0000-0000E3970000}"/>
    <cellStyle name="Título 1 6 2 2" xfId="38882" xr:uid="{00000000-0005-0000-0000-0000E4970000}"/>
    <cellStyle name="Título 1 6 2 3" xfId="38883" xr:uid="{00000000-0005-0000-0000-0000E5970000}"/>
    <cellStyle name="Título 1 6 3" xfId="38884" xr:uid="{00000000-0005-0000-0000-0000E6970000}"/>
    <cellStyle name="Título 1 6 4" xfId="38885" xr:uid="{00000000-0005-0000-0000-0000E7970000}"/>
    <cellStyle name="Título 1 7" xfId="38886" xr:uid="{00000000-0005-0000-0000-0000E8970000}"/>
    <cellStyle name="Título 1 7 2" xfId="38887" xr:uid="{00000000-0005-0000-0000-0000E9970000}"/>
    <cellStyle name="Título 1 7 2 2" xfId="38888" xr:uid="{00000000-0005-0000-0000-0000EA970000}"/>
    <cellStyle name="Título 1 7 2 3" xfId="38889" xr:uid="{00000000-0005-0000-0000-0000EB970000}"/>
    <cellStyle name="Título 1 7 3" xfId="38890" xr:uid="{00000000-0005-0000-0000-0000EC970000}"/>
    <cellStyle name="Título 1 7 4" xfId="38891" xr:uid="{00000000-0005-0000-0000-0000ED970000}"/>
    <cellStyle name="Título 1 8" xfId="38892" xr:uid="{00000000-0005-0000-0000-0000EE970000}"/>
    <cellStyle name="Título 1 8 2" xfId="38893" xr:uid="{00000000-0005-0000-0000-0000EF970000}"/>
    <cellStyle name="Título 1 8 2 2" xfId="38894" xr:uid="{00000000-0005-0000-0000-0000F0970000}"/>
    <cellStyle name="Título 1 8 2 3" xfId="38895" xr:uid="{00000000-0005-0000-0000-0000F1970000}"/>
    <cellStyle name="Título 1 8 3" xfId="38896" xr:uid="{00000000-0005-0000-0000-0000F2970000}"/>
    <cellStyle name="Título 1 8 4" xfId="38897" xr:uid="{00000000-0005-0000-0000-0000F3970000}"/>
    <cellStyle name="Título 1 9" xfId="38898" xr:uid="{00000000-0005-0000-0000-0000F4970000}"/>
    <cellStyle name="Título 1 9 2" xfId="38899" xr:uid="{00000000-0005-0000-0000-0000F5970000}"/>
    <cellStyle name="Título 1 9 3" xfId="38900" xr:uid="{00000000-0005-0000-0000-0000F6970000}"/>
    <cellStyle name="Título 10" xfId="38901" xr:uid="{00000000-0005-0000-0000-0000F7970000}"/>
    <cellStyle name="Título 10 2" xfId="38902" xr:uid="{00000000-0005-0000-0000-0000F8970000}"/>
    <cellStyle name="Título 10 2 2" xfId="38903" xr:uid="{00000000-0005-0000-0000-0000F9970000}"/>
    <cellStyle name="Título 10 2 3" xfId="38904" xr:uid="{00000000-0005-0000-0000-0000FA970000}"/>
    <cellStyle name="Título 10 3" xfId="38905" xr:uid="{00000000-0005-0000-0000-0000FB970000}"/>
    <cellStyle name="Título 10 4" xfId="38906" xr:uid="{00000000-0005-0000-0000-0000FC970000}"/>
    <cellStyle name="Título 11" xfId="38907" xr:uid="{00000000-0005-0000-0000-0000FD970000}"/>
    <cellStyle name="Título 11 2" xfId="38908" xr:uid="{00000000-0005-0000-0000-0000FE970000}"/>
    <cellStyle name="Título 11 3" xfId="38909" xr:uid="{00000000-0005-0000-0000-0000FF970000}"/>
    <cellStyle name="Título 12" xfId="38910" xr:uid="{00000000-0005-0000-0000-000000980000}"/>
    <cellStyle name="Título 13" xfId="38911" xr:uid="{00000000-0005-0000-0000-000001980000}"/>
    <cellStyle name="Título 2 10" xfId="38912" xr:uid="{00000000-0005-0000-0000-000002980000}"/>
    <cellStyle name="Título 2 11" xfId="38913" xr:uid="{00000000-0005-0000-0000-000003980000}"/>
    <cellStyle name="Título 2 2" xfId="38914" xr:uid="{00000000-0005-0000-0000-000004980000}"/>
    <cellStyle name="Título 2 2 2" xfId="38915" xr:uid="{00000000-0005-0000-0000-000005980000}"/>
    <cellStyle name="Título 2 2 2 2" xfId="38916" xr:uid="{00000000-0005-0000-0000-000006980000}"/>
    <cellStyle name="Título 2 2 2 3" xfId="38917" xr:uid="{00000000-0005-0000-0000-000007980000}"/>
    <cellStyle name="Título 2 2 2 4" xfId="38918" xr:uid="{00000000-0005-0000-0000-000008980000}"/>
    <cellStyle name="Título 2 2 3" xfId="38919" xr:uid="{00000000-0005-0000-0000-000009980000}"/>
    <cellStyle name="Título 2 2 4" xfId="38920" xr:uid="{00000000-0005-0000-0000-00000A980000}"/>
    <cellStyle name="Título 2 3" xfId="38921" xr:uid="{00000000-0005-0000-0000-00000B980000}"/>
    <cellStyle name="Título 2 3 2" xfId="38922" xr:uid="{00000000-0005-0000-0000-00000C980000}"/>
    <cellStyle name="Título 2 3 2 2" xfId="38923" xr:uid="{00000000-0005-0000-0000-00000D980000}"/>
    <cellStyle name="Título 2 3 2 3" xfId="38924" xr:uid="{00000000-0005-0000-0000-00000E980000}"/>
    <cellStyle name="Título 2 3 3" xfId="38925" xr:uid="{00000000-0005-0000-0000-00000F980000}"/>
    <cellStyle name="Título 2 3 4" xfId="38926" xr:uid="{00000000-0005-0000-0000-000010980000}"/>
    <cellStyle name="Título 2 4" xfId="38927" xr:uid="{00000000-0005-0000-0000-000011980000}"/>
    <cellStyle name="Título 2 4 2" xfId="38928" xr:uid="{00000000-0005-0000-0000-000012980000}"/>
    <cellStyle name="Título 2 4 2 2" xfId="38929" xr:uid="{00000000-0005-0000-0000-000013980000}"/>
    <cellStyle name="Título 2 4 2 3" xfId="38930" xr:uid="{00000000-0005-0000-0000-000014980000}"/>
    <cellStyle name="Título 2 4 3" xfId="38931" xr:uid="{00000000-0005-0000-0000-000015980000}"/>
    <cellStyle name="Título 2 4 4" xfId="38932" xr:uid="{00000000-0005-0000-0000-000016980000}"/>
    <cellStyle name="Título 2 5" xfId="38933" xr:uid="{00000000-0005-0000-0000-000017980000}"/>
    <cellStyle name="Título 2 5 2" xfId="38934" xr:uid="{00000000-0005-0000-0000-000018980000}"/>
    <cellStyle name="Título 2 5 2 2" xfId="38935" xr:uid="{00000000-0005-0000-0000-000019980000}"/>
    <cellStyle name="Título 2 5 2 3" xfId="38936" xr:uid="{00000000-0005-0000-0000-00001A980000}"/>
    <cellStyle name="Título 2 5 3" xfId="38937" xr:uid="{00000000-0005-0000-0000-00001B980000}"/>
    <cellStyle name="Título 2 5 4" xfId="38938" xr:uid="{00000000-0005-0000-0000-00001C980000}"/>
    <cellStyle name="Título 2 6" xfId="38939" xr:uid="{00000000-0005-0000-0000-00001D980000}"/>
    <cellStyle name="Título 2 6 2" xfId="38940" xr:uid="{00000000-0005-0000-0000-00001E980000}"/>
    <cellStyle name="Título 2 6 2 2" xfId="38941" xr:uid="{00000000-0005-0000-0000-00001F980000}"/>
    <cellStyle name="Título 2 6 2 3" xfId="38942" xr:uid="{00000000-0005-0000-0000-000020980000}"/>
    <cellStyle name="Título 2 6 3" xfId="38943" xr:uid="{00000000-0005-0000-0000-000021980000}"/>
    <cellStyle name="Título 2 6 4" xfId="38944" xr:uid="{00000000-0005-0000-0000-000022980000}"/>
    <cellStyle name="Título 2 7" xfId="38945" xr:uid="{00000000-0005-0000-0000-000023980000}"/>
    <cellStyle name="Título 2 7 2" xfId="38946" xr:uid="{00000000-0005-0000-0000-000024980000}"/>
    <cellStyle name="Título 2 7 2 2" xfId="38947" xr:uid="{00000000-0005-0000-0000-000025980000}"/>
    <cellStyle name="Título 2 7 2 3" xfId="38948" xr:uid="{00000000-0005-0000-0000-000026980000}"/>
    <cellStyle name="Título 2 7 3" xfId="38949" xr:uid="{00000000-0005-0000-0000-000027980000}"/>
    <cellStyle name="Título 2 7 4" xfId="38950" xr:uid="{00000000-0005-0000-0000-000028980000}"/>
    <cellStyle name="Título 2 8" xfId="38951" xr:uid="{00000000-0005-0000-0000-000029980000}"/>
    <cellStyle name="Título 2 8 2" xfId="38952" xr:uid="{00000000-0005-0000-0000-00002A980000}"/>
    <cellStyle name="Título 2 8 2 2" xfId="38953" xr:uid="{00000000-0005-0000-0000-00002B980000}"/>
    <cellStyle name="Título 2 8 2 3" xfId="38954" xr:uid="{00000000-0005-0000-0000-00002C980000}"/>
    <cellStyle name="Título 2 8 3" xfId="38955" xr:uid="{00000000-0005-0000-0000-00002D980000}"/>
    <cellStyle name="Título 2 8 4" xfId="38956" xr:uid="{00000000-0005-0000-0000-00002E980000}"/>
    <cellStyle name="Título 2 9" xfId="38957" xr:uid="{00000000-0005-0000-0000-00002F980000}"/>
    <cellStyle name="Título 2 9 2" xfId="38958" xr:uid="{00000000-0005-0000-0000-000030980000}"/>
    <cellStyle name="Título 2 9 3" xfId="38959" xr:uid="{00000000-0005-0000-0000-000031980000}"/>
    <cellStyle name="Título 3 10" xfId="38960" xr:uid="{00000000-0005-0000-0000-000032980000}"/>
    <cellStyle name="Título 3 11" xfId="38961" xr:uid="{00000000-0005-0000-0000-000033980000}"/>
    <cellStyle name="Título 3 2" xfId="38962" xr:uid="{00000000-0005-0000-0000-000034980000}"/>
    <cellStyle name="Título 3 2 2" xfId="38963" xr:uid="{00000000-0005-0000-0000-000035980000}"/>
    <cellStyle name="Título 3 2 2 2" xfId="38964" xr:uid="{00000000-0005-0000-0000-000036980000}"/>
    <cellStyle name="Título 3 2 2 3" xfId="38965" xr:uid="{00000000-0005-0000-0000-000037980000}"/>
    <cellStyle name="Título 3 2 2 4" xfId="38966" xr:uid="{00000000-0005-0000-0000-000038980000}"/>
    <cellStyle name="Título 3 2 3" xfId="38967" xr:uid="{00000000-0005-0000-0000-000039980000}"/>
    <cellStyle name="Título 3 2 4" xfId="38968" xr:uid="{00000000-0005-0000-0000-00003A980000}"/>
    <cellStyle name="Título 3 3" xfId="38969" xr:uid="{00000000-0005-0000-0000-00003B980000}"/>
    <cellStyle name="Título 3 3 2" xfId="38970" xr:uid="{00000000-0005-0000-0000-00003C980000}"/>
    <cellStyle name="Título 3 3 2 2" xfId="38971" xr:uid="{00000000-0005-0000-0000-00003D980000}"/>
    <cellStyle name="Título 3 3 2 3" xfId="38972" xr:uid="{00000000-0005-0000-0000-00003E980000}"/>
    <cellStyle name="Título 3 3 3" xfId="38973" xr:uid="{00000000-0005-0000-0000-00003F980000}"/>
    <cellStyle name="Título 3 3 4" xfId="38974" xr:uid="{00000000-0005-0000-0000-000040980000}"/>
    <cellStyle name="Título 3 4" xfId="38975" xr:uid="{00000000-0005-0000-0000-000041980000}"/>
    <cellStyle name="Título 3 4 2" xfId="38976" xr:uid="{00000000-0005-0000-0000-000042980000}"/>
    <cellStyle name="Título 3 4 2 2" xfId="38977" xr:uid="{00000000-0005-0000-0000-000043980000}"/>
    <cellStyle name="Título 3 4 2 3" xfId="38978" xr:uid="{00000000-0005-0000-0000-000044980000}"/>
    <cellStyle name="Título 3 4 3" xfId="38979" xr:uid="{00000000-0005-0000-0000-000045980000}"/>
    <cellStyle name="Título 3 4 4" xfId="38980" xr:uid="{00000000-0005-0000-0000-000046980000}"/>
    <cellStyle name="Título 3 5" xfId="38981" xr:uid="{00000000-0005-0000-0000-000047980000}"/>
    <cellStyle name="Título 3 5 2" xfId="38982" xr:uid="{00000000-0005-0000-0000-000048980000}"/>
    <cellStyle name="Título 3 5 2 2" xfId="38983" xr:uid="{00000000-0005-0000-0000-000049980000}"/>
    <cellStyle name="Título 3 5 2 3" xfId="38984" xr:uid="{00000000-0005-0000-0000-00004A980000}"/>
    <cellStyle name="Título 3 5 3" xfId="38985" xr:uid="{00000000-0005-0000-0000-00004B980000}"/>
    <cellStyle name="Título 3 5 4" xfId="38986" xr:uid="{00000000-0005-0000-0000-00004C980000}"/>
    <cellStyle name="Título 3 6" xfId="38987" xr:uid="{00000000-0005-0000-0000-00004D980000}"/>
    <cellStyle name="Título 3 6 2" xfId="38988" xr:uid="{00000000-0005-0000-0000-00004E980000}"/>
    <cellStyle name="Título 3 6 2 2" xfId="38989" xr:uid="{00000000-0005-0000-0000-00004F980000}"/>
    <cellStyle name="Título 3 6 2 3" xfId="38990" xr:uid="{00000000-0005-0000-0000-000050980000}"/>
    <cellStyle name="Título 3 6 3" xfId="38991" xr:uid="{00000000-0005-0000-0000-000051980000}"/>
    <cellStyle name="Título 3 6 4" xfId="38992" xr:uid="{00000000-0005-0000-0000-000052980000}"/>
    <cellStyle name="Título 3 7" xfId="38993" xr:uid="{00000000-0005-0000-0000-000053980000}"/>
    <cellStyle name="Título 3 7 2" xfId="38994" xr:uid="{00000000-0005-0000-0000-000054980000}"/>
    <cellStyle name="Título 3 7 2 2" xfId="38995" xr:uid="{00000000-0005-0000-0000-000055980000}"/>
    <cellStyle name="Título 3 7 2 3" xfId="38996" xr:uid="{00000000-0005-0000-0000-000056980000}"/>
    <cellStyle name="Título 3 7 3" xfId="38997" xr:uid="{00000000-0005-0000-0000-000057980000}"/>
    <cellStyle name="Título 3 7 4" xfId="38998" xr:uid="{00000000-0005-0000-0000-000058980000}"/>
    <cellStyle name="Título 3 8" xfId="38999" xr:uid="{00000000-0005-0000-0000-000059980000}"/>
    <cellStyle name="Título 3 8 2" xfId="39000" xr:uid="{00000000-0005-0000-0000-00005A980000}"/>
    <cellStyle name="Título 3 8 2 2" xfId="39001" xr:uid="{00000000-0005-0000-0000-00005B980000}"/>
    <cellStyle name="Título 3 8 2 3" xfId="39002" xr:uid="{00000000-0005-0000-0000-00005C980000}"/>
    <cellStyle name="Título 3 8 3" xfId="39003" xr:uid="{00000000-0005-0000-0000-00005D980000}"/>
    <cellStyle name="Título 3 8 4" xfId="39004" xr:uid="{00000000-0005-0000-0000-00005E980000}"/>
    <cellStyle name="Título 3 9" xfId="39005" xr:uid="{00000000-0005-0000-0000-00005F980000}"/>
    <cellStyle name="Título 3 9 2" xfId="39006" xr:uid="{00000000-0005-0000-0000-000060980000}"/>
    <cellStyle name="Título 3 9 3" xfId="39007" xr:uid="{00000000-0005-0000-0000-000061980000}"/>
    <cellStyle name="Título 4" xfId="39008" xr:uid="{00000000-0005-0000-0000-000062980000}"/>
    <cellStyle name="Título 4 2" xfId="39009" xr:uid="{00000000-0005-0000-0000-000063980000}"/>
    <cellStyle name="Título 4 2 2" xfId="39010" xr:uid="{00000000-0005-0000-0000-000064980000}"/>
    <cellStyle name="Título 4 2 3" xfId="39011" xr:uid="{00000000-0005-0000-0000-000065980000}"/>
    <cellStyle name="Título 4 2 4" xfId="39012" xr:uid="{00000000-0005-0000-0000-000066980000}"/>
    <cellStyle name="Título 4 3" xfId="39013" xr:uid="{00000000-0005-0000-0000-000067980000}"/>
    <cellStyle name="Título 4 4" xfId="39014" xr:uid="{00000000-0005-0000-0000-000068980000}"/>
    <cellStyle name="Título 5" xfId="39015" xr:uid="{00000000-0005-0000-0000-000069980000}"/>
    <cellStyle name="Título 5 2" xfId="39016" xr:uid="{00000000-0005-0000-0000-00006A980000}"/>
    <cellStyle name="Título 5 2 2" xfId="39017" xr:uid="{00000000-0005-0000-0000-00006B980000}"/>
    <cellStyle name="Título 5 2 3" xfId="39018" xr:uid="{00000000-0005-0000-0000-00006C980000}"/>
    <cellStyle name="Título 5 2 4" xfId="39019" xr:uid="{00000000-0005-0000-0000-00006D980000}"/>
    <cellStyle name="Título 5 3" xfId="39020" xr:uid="{00000000-0005-0000-0000-00006E980000}"/>
    <cellStyle name="Título 5 4" xfId="39021" xr:uid="{00000000-0005-0000-0000-00006F980000}"/>
    <cellStyle name="Título 6" xfId="39022" xr:uid="{00000000-0005-0000-0000-000070980000}"/>
    <cellStyle name="Título 6 2" xfId="39023" xr:uid="{00000000-0005-0000-0000-000071980000}"/>
    <cellStyle name="Título 6 2 2" xfId="39024" xr:uid="{00000000-0005-0000-0000-000072980000}"/>
    <cellStyle name="Título 6 2 3" xfId="39025" xr:uid="{00000000-0005-0000-0000-000073980000}"/>
    <cellStyle name="Título 6 3" xfId="39026" xr:uid="{00000000-0005-0000-0000-000074980000}"/>
    <cellStyle name="Título 6 4" xfId="39027" xr:uid="{00000000-0005-0000-0000-000075980000}"/>
    <cellStyle name="Título 7" xfId="39028" xr:uid="{00000000-0005-0000-0000-000076980000}"/>
    <cellStyle name="Título 7 2" xfId="39029" xr:uid="{00000000-0005-0000-0000-000077980000}"/>
    <cellStyle name="Título 7 2 2" xfId="39030" xr:uid="{00000000-0005-0000-0000-000078980000}"/>
    <cellStyle name="Título 7 2 3" xfId="39031" xr:uid="{00000000-0005-0000-0000-000079980000}"/>
    <cellStyle name="Título 7 3" xfId="39032" xr:uid="{00000000-0005-0000-0000-00007A980000}"/>
    <cellStyle name="Título 7 4" xfId="39033" xr:uid="{00000000-0005-0000-0000-00007B980000}"/>
    <cellStyle name="Título 8" xfId="39034" xr:uid="{00000000-0005-0000-0000-00007C980000}"/>
    <cellStyle name="Título 8 2" xfId="39035" xr:uid="{00000000-0005-0000-0000-00007D980000}"/>
    <cellStyle name="Título 8 2 2" xfId="39036" xr:uid="{00000000-0005-0000-0000-00007E980000}"/>
    <cellStyle name="Título 8 2 3" xfId="39037" xr:uid="{00000000-0005-0000-0000-00007F980000}"/>
    <cellStyle name="Título 8 3" xfId="39038" xr:uid="{00000000-0005-0000-0000-000080980000}"/>
    <cellStyle name="Título 8 4" xfId="39039" xr:uid="{00000000-0005-0000-0000-000081980000}"/>
    <cellStyle name="Título 9" xfId="39040" xr:uid="{00000000-0005-0000-0000-000082980000}"/>
    <cellStyle name="Título 9 2" xfId="39041" xr:uid="{00000000-0005-0000-0000-000083980000}"/>
    <cellStyle name="Título 9 2 2" xfId="39042" xr:uid="{00000000-0005-0000-0000-000084980000}"/>
    <cellStyle name="Título 9 2 3" xfId="39043" xr:uid="{00000000-0005-0000-0000-000085980000}"/>
    <cellStyle name="Título 9 3" xfId="39044" xr:uid="{00000000-0005-0000-0000-000086980000}"/>
    <cellStyle name="Título 9 4" xfId="39045" xr:uid="{00000000-0005-0000-0000-000087980000}"/>
    <cellStyle name="Total 2" xfId="39046" xr:uid="{00000000-0005-0000-0000-000088980000}"/>
    <cellStyle name="Total 2 2" xfId="39047" xr:uid="{00000000-0005-0000-0000-000089980000}"/>
    <cellStyle name="Total 2 2 2" xfId="39048" xr:uid="{00000000-0005-0000-0000-00008A980000}"/>
    <cellStyle name="Total 2 2 3" xfId="39049" xr:uid="{00000000-0005-0000-0000-00008B980000}"/>
    <cellStyle name="Total 2 3" xfId="39050" xr:uid="{00000000-0005-0000-0000-00008C980000}"/>
    <cellStyle name="Total 2 4" xfId="39051" xr:uid="{00000000-0005-0000-0000-00008D980000}"/>
    <cellStyle name="Total 3" xfId="39052" xr:uid="{00000000-0005-0000-0000-00008E980000}"/>
    <cellStyle name="Total 3 2" xfId="39053" xr:uid="{00000000-0005-0000-0000-00008F980000}"/>
    <cellStyle name="Total 3 2 2" xfId="39054" xr:uid="{00000000-0005-0000-0000-000090980000}"/>
    <cellStyle name="Total 3 2 3" xfId="39055" xr:uid="{00000000-0005-0000-0000-000091980000}"/>
    <cellStyle name="Total 3 3" xfId="39056" xr:uid="{00000000-0005-0000-0000-000092980000}"/>
    <cellStyle name="Total 3 4" xfId="39057" xr:uid="{00000000-0005-0000-0000-000093980000}"/>
    <cellStyle name="Total 4" xfId="39058" xr:uid="{00000000-0005-0000-0000-000094980000}"/>
    <cellStyle name="Total 4 2" xfId="39059" xr:uid="{00000000-0005-0000-0000-000095980000}"/>
    <cellStyle name="Total 4 2 2" xfId="39060" xr:uid="{00000000-0005-0000-0000-000096980000}"/>
    <cellStyle name="Total 4 2 3" xfId="39061" xr:uid="{00000000-0005-0000-0000-000097980000}"/>
    <cellStyle name="Total 4 3" xfId="39062" xr:uid="{00000000-0005-0000-0000-000098980000}"/>
    <cellStyle name="Total 4 4" xfId="39063" xr:uid="{00000000-0005-0000-0000-000099980000}"/>
    <cellStyle name="Total 5" xfId="39064" xr:uid="{00000000-0005-0000-0000-00009A980000}"/>
    <cellStyle name="Total 5 2" xfId="39065" xr:uid="{00000000-0005-0000-0000-00009B980000}"/>
    <cellStyle name="Total 5 3" xfId="39066" xr:uid="{00000000-0005-0000-0000-00009C980000}"/>
    <cellStyle name="Total 6" xfId="39067" xr:uid="{00000000-0005-0000-0000-00009D980000}"/>
    <cellStyle name="Total 7" xfId="39068" xr:uid="{00000000-0005-0000-0000-00009E980000}"/>
    <cellStyle name="Warning Text" xfId="39069" xr:uid="{00000000-0005-0000-0000-00009F980000}"/>
    <cellStyle name="Warning Text 2" xfId="39070" xr:uid="{00000000-0005-0000-0000-0000A0980000}"/>
    <cellStyle name="Warning Text 2 2" xfId="39071" xr:uid="{00000000-0005-0000-0000-0000A1980000}"/>
    <cellStyle name="Warning Text 2 2 2" xfId="39072" xr:uid="{00000000-0005-0000-0000-0000A2980000}"/>
    <cellStyle name="Warning Text 2 2 3" xfId="39073" xr:uid="{00000000-0005-0000-0000-0000A3980000}"/>
    <cellStyle name="Warning Text 2 3" xfId="39074" xr:uid="{00000000-0005-0000-0000-0000A4980000}"/>
    <cellStyle name="Warning Text 2 4" xfId="39075" xr:uid="{00000000-0005-0000-0000-0000A5980000}"/>
    <cellStyle name="Warning Text 3" xfId="39076" xr:uid="{00000000-0005-0000-0000-0000A6980000}"/>
    <cellStyle name="Warning Text 3 2" xfId="39077" xr:uid="{00000000-0005-0000-0000-0000A7980000}"/>
    <cellStyle name="Warning Text 3 2 2" xfId="39078" xr:uid="{00000000-0005-0000-0000-0000A8980000}"/>
    <cellStyle name="Warning Text 3 2 3" xfId="39079" xr:uid="{00000000-0005-0000-0000-0000A9980000}"/>
    <cellStyle name="Warning Text 3 3" xfId="39080" xr:uid="{00000000-0005-0000-0000-0000AA980000}"/>
    <cellStyle name="Warning Text 3 4" xfId="39081" xr:uid="{00000000-0005-0000-0000-0000AB980000}"/>
    <cellStyle name="Warning Text 4" xfId="39082" xr:uid="{00000000-0005-0000-0000-0000AC980000}"/>
    <cellStyle name="Warning Text 4 2" xfId="39083" xr:uid="{00000000-0005-0000-0000-0000AD980000}"/>
    <cellStyle name="Warning Text 4 2 2" xfId="39084" xr:uid="{00000000-0005-0000-0000-0000AE980000}"/>
    <cellStyle name="Warning Text 4 2 3" xfId="39085" xr:uid="{00000000-0005-0000-0000-0000AF980000}"/>
    <cellStyle name="Warning Text 4 3" xfId="39086" xr:uid="{00000000-0005-0000-0000-0000B0980000}"/>
    <cellStyle name="Warning Text 4 4" xfId="39087" xr:uid="{00000000-0005-0000-0000-0000B1980000}"/>
    <cellStyle name="Warning Text 5" xfId="39088" xr:uid="{00000000-0005-0000-0000-0000B2980000}"/>
    <cellStyle name="Warning Text 5 2" xfId="39089" xr:uid="{00000000-0005-0000-0000-0000B3980000}"/>
    <cellStyle name="Warning Text 5 2 2" xfId="39090" xr:uid="{00000000-0005-0000-0000-0000B4980000}"/>
    <cellStyle name="Warning Text 5 2 3" xfId="39091" xr:uid="{00000000-0005-0000-0000-0000B5980000}"/>
    <cellStyle name="Warning Text 5 3" xfId="39092" xr:uid="{00000000-0005-0000-0000-0000B6980000}"/>
    <cellStyle name="Warning Text 5 4" xfId="39093" xr:uid="{00000000-0005-0000-0000-0000B7980000}"/>
    <cellStyle name="Warning Text 6" xfId="39094" xr:uid="{00000000-0005-0000-0000-0000B8980000}"/>
    <cellStyle name="Warning Text 6 2" xfId="39095" xr:uid="{00000000-0005-0000-0000-0000B9980000}"/>
    <cellStyle name="Warning Text 6 3" xfId="39096" xr:uid="{00000000-0005-0000-0000-0000BA980000}"/>
    <cellStyle name="Warning Text 7" xfId="39097" xr:uid="{00000000-0005-0000-0000-0000BB980000}"/>
    <cellStyle name="Warning Text 8" xfId="39098" xr:uid="{00000000-0005-0000-0000-0000BC980000}"/>
    <cellStyle name="好" xfId="39099" xr:uid="{00000000-0005-0000-0000-0000BD980000}"/>
    <cellStyle name="差" xfId="39100" xr:uid="{00000000-0005-0000-0000-0000BE980000}"/>
    <cellStyle name="强调文字颜色 1" xfId="39101" xr:uid="{00000000-0005-0000-0000-0000BF980000}"/>
    <cellStyle name="强调文字颜色 2" xfId="39102" xr:uid="{00000000-0005-0000-0000-0000C0980000}"/>
    <cellStyle name="强调文字颜色 3" xfId="39103" xr:uid="{00000000-0005-0000-0000-0000C1980000}"/>
    <cellStyle name="强调文字颜色 4" xfId="39104" xr:uid="{00000000-0005-0000-0000-0000C2980000}"/>
    <cellStyle name="强调文字颜色 5" xfId="39105" xr:uid="{00000000-0005-0000-0000-0000C3980000}"/>
    <cellStyle name="强调文字颜色 6" xfId="39106" xr:uid="{00000000-0005-0000-0000-0000C4980000}"/>
    <cellStyle name="标题" xfId="39107" xr:uid="{00000000-0005-0000-0000-0000C5980000}"/>
    <cellStyle name="标题 1" xfId="39108" xr:uid="{00000000-0005-0000-0000-0000C6980000}"/>
    <cellStyle name="标题 2" xfId="39109" xr:uid="{00000000-0005-0000-0000-0000C7980000}"/>
    <cellStyle name="标题 3" xfId="39110" xr:uid="{00000000-0005-0000-0000-0000C8980000}"/>
    <cellStyle name="标题 4" xfId="39111" xr:uid="{00000000-0005-0000-0000-0000C9980000}"/>
    <cellStyle name="检查单元格" xfId="39112" xr:uid="{00000000-0005-0000-0000-0000CA980000}"/>
    <cellStyle name="汇总" xfId="39113" xr:uid="{00000000-0005-0000-0000-0000CB980000}"/>
    <cellStyle name="注释" xfId="39114" xr:uid="{00000000-0005-0000-0000-0000CC980000}"/>
    <cellStyle name="解释性文本" xfId="39115" xr:uid="{00000000-0005-0000-0000-0000CD980000}"/>
    <cellStyle name="警告文本" xfId="39116" xr:uid="{00000000-0005-0000-0000-0000CE980000}"/>
    <cellStyle name="计算" xfId="39117" xr:uid="{00000000-0005-0000-0000-0000CF980000}"/>
    <cellStyle name="输入" xfId="39118" xr:uid="{00000000-0005-0000-0000-0000D0980000}"/>
    <cellStyle name="输出" xfId="39119" xr:uid="{00000000-0005-0000-0000-0000D1980000}"/>
    <cellStyle name="适中" xfId="39120" xr:uid="{00000000-0005-0000-0000-0000D2980000}"/>
    <cellStyle name="链接单元格" xfId="39121" xr:uid="{00000000-0005-0000-0000-0000D398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2" formatCode="_-[$$-240A]\ * #,##0_-;\-[$$-240A]\ * #,##0_-;_-[$$-240A]\ * &quot;-&quot;_-;_-@_-"/>
    </dxf>
    <dxf>
      <numFmt numFmtId="14" formatCode="0.00%"/>
    </dxf>
  </dxfs>
  <tableStyles count="0" defaultTableStyle="TableStyleMedium2" defaultPivotStyle="PivotStyleLight16"/>
  <colors>
    <mruColors>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pivotCacheDefinition" Target="pivotCache/pivotCacheDefinition1.xml"/><Relationship Id="rId35" Type="http://schemas.openxmlformats.org/officeDocument/2006/relationships/customXml" Target="../customXml/item1.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1</xdr:row>
      <xdr:rowOff>0</xdr:rowOff>
    </xdr:from>
    <xdr:to>
      <xdr:col>14</xdr:col>
      <xdr:colOff>762000</xdr:colOff>
      <xdr:row>1</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11B2688-EC77-4BC9-8871-643821A066E5}"/>
            </a:ext>
          </a:extLst>
        </xdr:cNvPr>
        <xdr:cNvSpPr/>
      </xdr:nvSpPr>
      <xdr:spPr bwMode="auto">
        <a:xfrm>
          <a:off x="5324475" y="6191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752475</xdr:colOff>
      <xdr:row>1</xdr:row>
      <xdr:rowOff>0</xdr:rowOff>
    </xdr:from>
    <xdr:ext cx="9525" cy="76200"/>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F8BF9B92-57A4-4ED4-936D-36E4DC42462C}"/>
            </a:ext>
          </a:extLst>
        </xdr:cNvPr>
        <xdr:cNvSpPr/>
      </xdr:nvSpPr>
      <xdr:spPr bwMode="auto">
        <a:xfrm>
          <a:off x="6877050" y="533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5CA9883B-CEB0-442B-8869-5747EEEC10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7241C82F-BDEA-469C-B88D-661452C7D3C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3.793217592596" createdVersion="8" refreshedVersion="8" minRefreshableVersion="3" recordCount="614" xr:uid="{31B31C1C-BFC3-4D54-90D9-2275AEE0623A}">
  <cacheSource type="worksheet">
    <worksheetSource ref="A1:AC1048576" sheet="CAPACITACIONES APERTURAS"/>
  </cacheSource>
  <cacheFields count="29">
    <cacheField name="CIUDAD SEDE" numFmtId="0">
      <sharedItems containsBlank="1"/>
    </cacheField>
    <cacheField name="COORDINADOR" numFmtId="0">
      <sharedItems containsBlank="1" count="7">
        <s v="KEVIN ALEXIS CORZO BUSTOS"/>
        <s v="DIEGO FERNANDO HENAO CARDONA"/>
        <s v="JUAN SEBASTIÁN RÍOS CASTRILLÓN"/>
        <s v="MIGUEL JULIÁN HERNÁNDEZ GUARÍN"/>
        <s v="JOSE MAURICIO HERNANDEZ ROJAS"/>
        <s v="WILLIAM ASDRUBAL ROZO ROZO"/>
        <m/>
      </sharedItems>
    </cacheField>
    <cacheField name="CENTRO DE COSTOS LÍNEACOM" numFmtId="0">
      <sharedItems containsBlank="1" count="8">
        <s v="0004-0007"/>
        <s v="0004-0003"/>
        <s v="0004-0005"/>
        <s v="0004-0008"/>
        <s v="0004-0001"/>
        <s v="0004-0004"/>
        <s v="0004-0002"/>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80664" maxValue="81253"/>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7-28T00:00:00" maxDate="2025-08-28T00:00:00"/>
    </cacheField>
    <cacheField name="FECHA ULTIMA ACTUALIZACION" numFmtId="14">
      <sharedItems containsNonDate="0" containsDate="1" containsString="0" containsBlank="1" minDate="2025-08-01T00:00:00" maxDate="2025-08-30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CAPACITACIÓN COMPLETA" numFmtId="0">
      <sharedItems containsString="0" containsBlank="1" containsNumber="1" containsInteger="1" minValue="1" maxValue="1"/>
    </cacheField>
    <cacheField name="CAPACITACIÓN ESPECÍFICA" numFmtId="0">
      <sharedItems containsString="0" containsBlank="1" containsNumber="1" containsInteger="1" minValue="0" maxValue="0"/>
    </cacheField>
    <cacheField name="VALOR CAPACITACIÓN COMPLETA" numFmtId="0">
      <sharedItems containsString="0" containsBlank="1" containsNumber="1" minValue="122645.45276000001" maxValue="122645.45276000001"/>
    </cacheField>
    <cacheField name="VALOR CAPACITACIÓN ESPECÍFICA" numFmtId="0">
      <sharedItems containsString="0" containsBlank="1" containsNumber="1" minValue="65164.677720000007" maxValue="65164.677720000007"/>
    </cacheField>
    <cacheField name=" VALOR TOTAL " numFmtId="0">
      <sharedItems containsString="0" containsBlank="1" containsNumber="1" minValue="122645.45276000001" maxValue="56907490.0806406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s v="NEIVA"/>
    <x v="0"/>
    <x v="0"/>
    <n v="18001"/>
    <s v="TA-25-897275"/>
    <n v="80665"/>
    <s v="APERTURA"/>
    <s v="CB CRECIMIENTO - NUEVO"/>
    <s v="CAQUETA"/>
    <s v="FLORENCIA"/>
    <s v="BARRIO BUENOS AIRES FLORENCIA 1"/>
    <s v="REDEBAN"/>
    <s v="FO-25-1293630"/>
    <d v="2025-07-28T00:00:00"/>
    <d v="2025-08-01T00:00:00"/>
    <s v="UNO A UNO"/>
    <s v="UNO A UNO"/>
    <s v="EJECUTADO"/>
    <s v="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
    <s v="VISITA_TÉCNICA"/>
    <s v="V8ZZZ345"/>
    <s v="TIPO IV"/>
    <s v="TERRESTRE"/>
    <s v="DEVIA REINOSO JUAN CARLOS"/>
    <n v="1"/>
    <n v="0"/>
    <n v="122645.45276000001"/>
    <n v="65164.677720000007"/>
    <n v="122645.45276000001"/>
  </r>
  <r>
    <s v="NEIVA"/>
    <x v="0"/>
    <x v="0"/>
    <n v="18001"/>
    <s v="TA-25-897283"/>
    <n v="80664"/>
    <s v="APERTURA"/>
    <s v="CB CRECIMIENTO - NUEVO"/>
    <s v="CAQUETA"/>
    <s v="FLORENCIA"/>
    <s v="BARRIO SIETE DE AGOSTO FLORENCIA 7"/>
    <s v="REDEBAN"/>
    <s v="FO-25-1293646"/>
    <d v="2025-07-28T00:00:00"/>
    <d v="2025-08-01T00:00:00"/>
    <s v="UNO A UNO"/>
    <s v="UNO A UNO"/>
    <s v="EJECUTADO"/>
    <s v="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
    <s v="VISITA_TÉCNICA"/>
    <s v="V8ZZZ349"/>
    <s v="TIPO IV"/>
    <s v="TERRESTRE"/>
    <s v="DEVIA REINOSO JUAN CARLOS"/>
    <n v="1"/>
    <n v="0"/>
    <n v="122645.45276000001"/>
    <n v="65164.677720000007"/>
    <n v="122645.45276000001"/>
  </r>
  <r>
    <s v="PASTO"/>
    <x v="1"/>
    <x v="1"/>
    <n v="52427"/>
    <s v="TA-25-897342"/>
    <n v="80676"/>
    <s v="APERTURA"/>
    <s v="CB CRECIMIENTO - NUEVO"/>
    <s v="NARIÑO"/>
    <s v="MAGUI"/>
    <s v="BARRIO CRR BRISAS DE HAMBURGO MAGUI"/>
    <s v="REDEBAN"/>
    <s v="FO-25-1293775"/>
    <d v="2025-07-28T00:00:00"/>
    <d v="2025-08-14T00:00:00"/>
    <s v="UNO A UNO"/>
    <s v="UNO A UNO"/>
    <s v="EJECUTADO"/>
    <s v="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VISITA_TÉCNICA"/>
    <s v="V8ZZZ380"/>
    <s v="TIPO IV ESPECIAL"/>
    <s v="FLUVIAL"/>
    <s v="PAZ MARTINEZ RICHARD HUMBERTO"/>
    <n v="1"/>
    <n v="0"/>
    <n v="122645.45276000001"/>
    <n v="65164.677720000007"/>
    <n v="122645.45276000001"/>
  </r>
  <r>
    <s v="PASTO"/>
    <x v="1"/>
    <x v="1"/>
    <n v="52427"/>
    <s v="TA-25-897364"/>
    <n v="80675"/>
    <s v="APERTURA"/>
    <s v="CB CRECIMIENTO - NUEVO"/>
    <s v="NARIÑO"/>
    <s v="MAGUI"/>
    <s v="BARRIO LA PISTA MAGUI"/>
    <s v="REDEBAN"/>
    <s v="FO-25-1293834"/>
    <d v="2025-07-28T00:00:00"/>
    <d v="2025-08-14T00:00:00"/>
    <s v="UNO A UNO"/>
    <s v="UNO A UNO"/>
    <s v="EJECUTADO"/>
    <s v="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VISITA_TÉCNICA"/>
    <s v="V8ZZZ393"/>
    <s v="TIPO IV ESPECIAL"/>
    <s v="FLUVIAL"/>
    <s v="PAZ MARTINEZ RICHARD HUMBERTO"/>
    <n v="1"/>
    <n v="0"/>
    <n v="122645.45276000001"/>
    <n v="65164.677720000007"/>
    <n v="122645.45276000001"/>
  </r>
  <r>
    <s v="YOPAL"/>
    <x v="0"/>
    <x v="0"/>
    <n v="85001"/>
    <s v="TA-25-897375"/>
    <n v="80709"/>
    <s v="APERTURA"/>
    <s v="CB CRECIMIENTO - NUEVO"/>
    <s v="CASANARE"/>
    <s v="YOPAL"/>
    <s v="BARRIO LA ESPERANZA YOPAL 6"/>
    <s v="REDEBAN"/>
    <s v="FO-25-1293877"/>
    <d v="2025-07-28T00:00:00"/>
    <d v="2025-08-01T00:00:00"/>
    <s v="UNO A UNO"/>
    <s v="UNO A UNO"/>
    <s v="EJECUTADO"/>
    <s v="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
    <s v="VISITA_TÉCNICA"/>
    <s v="V8ZZZ402"/>
    <s v="TIPO I"/>
    <s v="TERRESTRE"/>
    <s v="BERNAL ELAICA EDGAR ALEXIS"/>
    <n v="1"/>
    <n v="0"/>
    <n v="122645.45276000001"/>
    <n v="65164.677720000007"/>
    <n v="122645.45276000001"/>
  </r>
  <r>
    <s v="MEDELLIN"/>
    <x v="2"/>
    <x v="2"/>
    <n v="5001"/>
    <s v="TA-25-904686"/>
    <n v="80717"/>
    <s v="APERTURA"/>
    <s v="CB CRECIMIENTO ALIANZA - NUEVO"/>
    <s v="ANTIOQUIA"/>
    <s v="MEDELLIN"/>
    <s v="DISTRICOL VARIEDADES Y DETALLE"/>
    <s v="REDEBAN"/>
    <s v="FO-25-130601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ÉCNICA"/>
    <s v="VAZZZ340"/>
    <s v="TIPO I"/>
    <s v="TERRESTRE"/>
    <s v="BARRIENTOS HERNANDEZ CRISTIAN HORACIO"/>
    <n v="1"/>
    <n v="0"/>
    <n v="122645.45276000001"/>
    <n v="65164.677720000007"/>
    <n v="122645.45276000001"/>
  </r>
  <r>
    <s v="MEDELLIN"/>
    <x v="2"/>
    <x v="2"/>
    <n v="5001"/>
    <s v="TA-25-904688"/>
    <n v="80718"/>
    <s v="APERTURA"/>
    <s v="CB CRECIMIENTO ALIANZA - NUEVO"/>
    <s v="ANTIOQUIA"/>
    <s v="MEDELLIN"/>
    <s v="DISTRICOL PAPELERIA LA PIZARRA"/>
    <s v="REDEBAN"/>
    <s v="FO-25-1306018"/>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ÉCNICA"/>
    <s v="VAZZZ341"/>
    <s v="TIPO I"/>
    <s v="TERRESTRE"/>
    <s v="PAREJA ECHAVARRIA JHON DAVID"/>
    <n v="1"/>
    <n v="0"/>
    <n v="122645.45276000001"/>
    <n v="65164.677720000007"/>
    <n v="122645.45276000001"/>
  </r>
  <r>
    <s v="MEDELLIN"/>
    <x v="2"/>
    <x v="2"/>
    <n v="5088"/>
    <s v="TA-25-904689"/>
    <n v="80715"/>
    <s v="APERTURA"/>
    <s v="CB CRECIMIENTO ALIANZA - NUEVO"/>
    <s v="ANTIOQUIA"/>
    <s v="BELLO"/>
    <s v="DISTRICOL ABARROTES EL PUERTO"/>
    <s v="REDEBAN"/>
    <s v="FO-25-130602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ÉCNICA"/>
    <s v="VAZZZ342"/>
    <s v="TIPO I"/>
    <s v="TERRESTRE"/>
    <s v="BARRIENTOS HERNANDEZ CRISTIAN HORACIO"/>
    <n v="1"/>
    <n v="0"/>
    <n v="122645.45276000001"/>
    <n v="65164.677720000007"/>
    <n v="122645.45276000001"/>
  </r>
  <r>
    <s v="YOPAL"/>
    <x v="0"/>
    <x v="0"/>
    <n v="85162"/>
    <s v="TA-25-904063"/>
    <n v="80742"/>
    <s v="APERTURA"/>
    <s v="CB CRECIMIENTO - NUEVO"/>
    <s v="CASANARE"/>
    <s v="MONTERREY"/>
    <s v="BARRIO ALCARAVANES MONTERREY 1"/>
    <s v="REDEBAN"/>
    <s v="FO-25-1304972"/>
    <d v="2025-07-30T00:00:00"/>
    <d v="2025-08-05T00:00:00"/>
    <s v="UNO A UNO"/>
    <s v="UNO A UNO"/>
    <s v="EJECUTADO"/>
    <s v="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
    <s v="VISITA_TÉCNICA"/>
    <s v="VAZZZ361"/>
    <s v="TIPO II"/>
    <s v="TERRESTRE"/>
    <s v="BERNAL ELAICA EDGAR ALEXIS"/>
    <n v="1"/>
    <n v="0"/>
    <n v="122645.45276000001"/>
    <n v="65164.677720000007"/>
    <n v="122645.45276000001"/>
  </r>
  <r>
    <s v="TUNJA"/>
    <x v="3"/>
    <x v="3"/>
    <n v="15464"/>
    <s v="TA-25-904065"/>
    <n v="80720"/>
    <s v="APERTURA"/>
    <s v="CB CRECIMIENTO - NUEVO"/>
    <s v="BOYACA"/>
    <s v="MONGUA"/>
    <s v="BARRIO CENTRO MONGUA 1"/>
    <s v="REDEBAN"/>
    <s v="FO-25-1304982"/>
    <d v="2025-07-30T00:00:00"/>
    <d v="2025-08-01T00:00:00"/>
    <s v="UNO A UNO"/>
    <s v="UNO A UNO"/>
    <s v="EJECUTADO"/>
    <s v="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
    <s v="VISITA_TÉCNICA"/>
    <s v="VAZZZ363"/>
    <s v="TIPO II"/>
    <s v="TERRESTRE"/>
    <s v="SOLER HOYOS CRISTIAN LEONARDO"/>
    <n v="1"/>
    <n v="0"/>
    <n v="122645.45276000001"/>
    <n v="65164.677720000007"/>
    <n v="122645.45276000001"/>
  </r>
  <r>
    <s v="NEIVA"/>
    <x v="0"/>
    <x v="0"/>
    <n v="41306"/>
    <s v="TA-25-904066"/>
    <n v="80736"/>
    <s v="APERTURA"/>
    <s v="CB CRECIMIENTO - NUEVO"/>
    <s v="HUILA"/>
    <s v="GIGANTE"/>
    <s v="BARRIO CENTRO GIGANTE  6"/>
    <s v="REDEBAN"/>
    <s v="FO-25-1304987"/>
    <d v="2025-07-30T00:00:00"/>
    <d v="2025-08-01T00:00:00"/>
    <s v="UNO A UNO"/>
    <s v="UNO A UNO"/>
    <s v="EJECUTADO"/>
    <s v="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VISITA_TÉCNICA"/>
    <s v="VAZZZ364"/>
    <s v="TIPO II"/>
    <s v="TERRESTRE"/>
    <s v="DIAZ VARGAS JONATHAN MIGUEL"/>
    <n v="1"/>
    <n v="0"/>
    <n v="122645.45276000001"/>
    <n v="65164.677720000007"/>
    <n v="122645.45276000001"/>
  </r>
  <r>
    <s v="CALI"/>
    <x v="1"/>
    <x v="1"/>
    <n v="19212"/>
    <s v="TA-25-904070"/>
    <n v="80727"/>
    <s v="APERTURA"/>
    <s v="CAMBIO DE RAZON SOCIAL"/>
    <s v="CAUCA"/>
    <s v="CORINTO"/>
    <s v="BARRIO CENTRO CORINTO 9"/>
    <s v="REDEBAN"/>
    <s v="FO-25-1305008"/>
    <d v="2025-07-30T00:00:00"/>
    <d v="2025-08-01T00:00:00"/>
    <s v="UNO A UNO"/>
    <s v="UNO A UNO"/>
    <s v="EJECUTADO"/>
    <s v="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VISITA_TÉCNICA"/>
    <s v="VAZZZ368"/>
    <s v="TIPO III"/>
    <s v="TERRESTRE"/>
    <s v="PAREDES CASTILLO DIEGO"/>
    <n v="1"/>
    <n v="0"/>
    <n v="122645.45276000001"/>
    <n v="65164.677720000007"/>
    <n v="122645.45276000001"/>
  </r>
  <r>
    <s v="MEDELLIN"/>
    <x v="2"/>
    <x v="2"/>
    <n v="5001"/>
    <s v="TA-25-904072"/>
    <n v="80762"/>
    <s v="APERTURA"/>
    <s v="CB CRECIMIENTO - NUEVO"/>
    <s v="ANTIOQUIA"/>
    <s v="MEDELLIN"/>
    <s v="BARRIO BELEN MALIBU MEDELLIN"/>
    <s v="REDEBAN"/>
    <s v="FO-25-1305019"/>
    <d v="2025-07-30T00:00:00"/>
    <d v="2025-08-01T00:00:00"/>
    <s v="UNO A UNO"/>
    <s v="UNO A UNO"/>
    <s v="EJECUTADO"/>
    <s v="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VISITA_TÉCNICA"/>
    <s v="VAZZZ370"/>
    <s v="TIPO I"/>
    <s v="TERRESTRE"/>
    <s v="QUINTERO SANCHEZ JUAN SEBASTIAN"/>
    <n v="1"/>
    <n v="0"/>
    <n v="122645.45276000001"/>
    <n v="65164.677720000007"/>
    <n v="122645.45276000001"/>
  </r>
  <r>
    <s v="PASTO"/>
    <x v="1"/>
    <x v="1"/>
    <n v="52621"/>
    <s v="TA-25-904073"/>
    <n v="80750"/>
    <s v="APERTURA"/>
    <s v="CB CRECIMIENTO - NUEVO"/>
    <s v="NARIÑO"/>
    <s v="ROBERTO PAYAN"/>
    <s v="BARRIO LA PRIMAVERA ROBERTO PAYAN"/>
    <s v="REDEBAN"/>
    <s v="FO-25-1305024"/>
    <d v="2025-07-30T00:00:00"/>
    <d v="2025-08-12T00:00:00"/>
    <s v="UNO A UNO"/>
    <s v="UNO A UNO"/>
    <s v="EJECUTADO"/>
    <s v="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
    <s v="VISITA_TÉCNICA"/>
    <s v="VAZZZ371"/>
    <s v="TIPO IV ESPECIAL"/>
    <s v="FLUVIAL"/>
    <s v="PAZ MARTINEZ RICHARD HUMBERTO"/>
    <n v="1"/>
    <n v="0"/>
    <n v="122645.45276000001"/>
    <n v="65164.677720000007"/>
    <n v="122645.45276000001"/>
  </r>
  <r>
    <s v="PASTO"/>
    <x v="1"/>
    <x v="1"/>
    <n v="52585"/>
    <s v="TA-25-904074"/>
    <n v="80749"/>
    <s v="APERTURA"/>
    <s v="CB CRECIMIENTO - NUEVO"/>
    <s v="NARIÑO"/>
    <s v="PUPIALES"/>
    <s v="BARRIO EL CENTRO PUPIALES 1"/>
    <s v="REDEBAN"/>
    <s v="FO-25-1305027"/>
    <d v="2025-07-30T00:00:00"/>
    <d v="2025-08-01T00:00:00"/>
    <s v="UNO A UNO"/>
    <s v="UNO A UNO"/>
    <s v="EJECUTADO"/>
    <s v="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VISITA_TÉCNICA"/>
    <s v="VAZZZ372"/>
    <s v="TIPO II"/>
    <s v="TERRESTRE"/>
    <s v="REMICIO AMADO JOHN HEBER"/>
    <n v="1"/>
    <n v="0"/>
    <n v="122645.45276000001"/>
    <n v="65164.677720000007"/>
    <n v="122645.45276000001"/>
  </r>
  <r>
    <s v="PASTO"/>
    <x v="1"/>
    <x v="1"/>
    <n v="52427"/>
    <s v="TA-25-904075"/>
    <n v="80739"/>
    <s v="APERTURA"/>
    <s v="CB CRECIMIENTO - NUEVO"/>
    <s v="NARIÑO"/>
    <s v="MAGUI"/>
    <s v="BARRIO LA CALLE  CUATE MAGUI"/>
    <s v="REDEBAN"/>
    <s v="FO-25-1305033"/>
    <d v="2025-07-30T00:00:00"/>
    <d v="2025-08-13T00:00:00"/>
    <s v="UNO A UNO"/>
    <s v="UNO A UNO"/>
    <s v="EJECUTADO"/>
    <s v="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
    <s v="VISITA_TÉCNICA"/>
    <s v="VAZZZ373"/>
    <s v="TIPO IV ESPECIAL"/>
    <s v="FLUVIAL"/>
    <s v="PAZ MARTINEZ RICHARD HUMBERTO"/>
    <n v="1"/>
    <n v="0"/>
    <n v="122645.45276000001"/>
    <n v="65164.677720000007"/>
    <n v="122645.45276000001"/>
  </r>
  <r>
    <s v="MEDELLIN"/>
    <x v="2"/>
    <x v="2"/>
    <n v="5001"/>
    <s v="TA-25-904086"/>
    <n v="80763"/>
    <s v="APERTURA"/>
    <s v="CB CRECIMIENTO - NUEVO"/>
    <s v="ANTIOQUIA"/>
    <s v="MEDELLIN"/>
    <s v="BARRIO BELEN MEDELLIN 17"/>
    <s v="REDEBAN"/>
    <s v="FO-25-1305052"/>
    <d v="2025-07-30T00:00:00"/>
    <d v="2025-08-01T00:00:00"/>
    <s v="UNO A UNO"/>
    <s v="UNO A UNO"/>
    <s v="EJECUTADO"/>
    <s v="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
    <s v="VISITA_TÉCNICA"/>
    <s v="VAZZZ377"/>
    <s v="TIPO I"/>
    <s v="TERRESTRE"/>
    <s v="QUINTERO SANCHEZ JUAN SEBASTIAN"/>
    <n v="1"/>
    <n v="0"/>
    <n v="122645.45276000001"/>
    <n v="65164.677720000007"/>
    <n v="122645.45276000001"/>
  </r>
  <r>
    <s v="VILLAVICENCIO"/>
    <x v="0"/>
    <x v="0"/>
    <n v="50313"/>
    <s v="TA-25-904088"/>
    <n v="80737"/>
    <s v="APERTURA"/>
    <s v="CB CRECIMIENTO - NUEVO"/>
    <s v="META"/>
    <s v="GRANADA"/>
    <s v="BARRIO CENTRO GRANADA  1"/>
    <s v="REDEBAN"/>
    <s v="FO-25-1305055"/>
    <d v="2025-07-30T00:00:00"/>
    <d v="2025-08-01T00:00:00"/>
    <s v="UNO A UNO"/>
    <s v="UNO A UNO"/>
    <s v="EJECUTADO"/>
    <s v="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 v="VISITA_TÉCNICA"/>
    <s v="VAZZZ378"/>
    <s v="TIPO II"/>
    <s v="TERRESTRE"/>
    <s v="ROZO JIMENEZ EDGAR ARMANDO"/>
    <n v="1"/>
    <n v="0"/>
    <n v="122645.45276000001"/>
    <n v="65164.677720000007"/>
    <n v="122645.45276000001"/>
  </r>
  <r>
    <s v="BUCARAMANGA"/>
    <x v="3"/>
    <x v="3"/>
    <n v="13688"/>
    <s v="TA-25-904091"/>
    <n v="80753"/>
    <s v="APERTURA"/>
    <s v="CB CRECIMIENTO - NUEVO"/>
    <s v="BOLIVAR"/>
    <s v="SANTA ROSA DEL SUR"/>
    <s v="BARRIO LA FERIA SANTA ROSA DEL SUR"/>
    <s v="REDEBAN"/>
    <s v="FO-25-1305064"/>
    <d v="2025-07-30T00:00:00"/>
    <d v="2025-08-05T00:00:00"/>
    <s v="UNO A UNO"/>
    <s v="UNO A UNO"/>
    <s v="EJECUTADO"/>
    <s v="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
    <s v="VISITA_TÉCNICA"/>
    <s v="VAZZZ381"/>
    <s v="TIPO IV ESPECIAL"/>
    <s v="TERRESTRE/FLUVIAL"/>
    <s v="ORTEBARRERAGA MARLON STWAR"/>
    <n v="1"/>
    <n v="0"/>
    <n v="122645.45276000001"/>
    <n v="65164.677720000007"/>
    <n v="122645.45276000001"/>
  </r>
  <r>
    <s v="NEIVA"/>
    <x v="0"/>
    <x v="0"/>
    <n v="18001"/>
    <s v="TA-25-904092"/>
    <n v="80733"/>
    <s v="APERTURA"/>
    <s v="CB CRECIMIENTO - NUEVO"/>
    <s v="CAQUETA"/>
    <s v="FLORENCIA"/>
    <s v="BARRIO CENTRO FLORENCIA 39"/>
    <s v="REDEBAN"/>
    <s v="FO-25-1305067"/>
    <d v="2025-07-30T00:00:00"/>
    <d v="2025-08-04T00:00:00"/>
    <s v="UNO A UNO"/>
    <s v="UNO A UNO"/>
    <s v="EJECUTADO"/>
    <s v="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
    <s v="VISITA_TÉCNICA"/>
    <s v="VAZZZ382"/>
    <s v="TIPO IV"/>
    <s v="TERRESTRE"/>
    <s v="BERMUDEZ SANCHEZ JOSE NEYBER"/>
    <n v="1"/>
    <n v="0"/>
    <n v="122645.45276000001"/>
    <n v="65164.677720000007"/>
    <n v="122645.45276000001"/>
  </r>
  <r>
    <s v="CUCUTA"/>
    <x v="3"/>
    <x v="3"/>
    <n v="54498"/>
    <s v="TA-25-904094"/>
    <n v="80745"/>
    <s v="APERTURA"/>
    <s v="CB CRECIMIENTO - NUEVO"/>
    <s v="NORTE DE SANTANDER"/>
    <s v="OCAÑA"/>
    <s v="BARRIO JUAN 23  OCAÑA"/>
    <s v="REDEBAN"/>
    <s v="FO-25-1305075"/>
    <d v="2025-07-30T00:00:00"/>
    <d v="2025-08-01T00:00:00"/>
    <s v="UNO A UNO"/>
    <s v="UNO A UNO"/>
    <s v="EJECUTADO"/>
    <s v="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
    <s v="VISITA_TÉCNICA"/>
    <s v="VAZZZ384"/>
    <s v="TIPO IV"/>
    <s v="TERRESTRE"/>
    <s v="GELVEZ MOGOLLON JOSE ELISEO"/>
    <n v="1"/>
    <n v="0"/>
    <n v="122645.45276000001"/>
    <n v="65164.677720000007"/>
    <n v="122645.45276000001"/>
  </r>
  <r>
    <s v="CALI"/>
    <x v="1"/>
    <x v="1"/>
    <n v="19137"/>
    <s v="TA-25-904098"/>
    <n v="80723"/>
    <s v="APERTURA"/>
    <s v="CB CRECIMIENTO - NUEVO"/>
    <s v="CAUCA"/>
    <s v="CALDONO"/>
    <s v="BARRIO PESCADOR CALDONO"/>
    <s v="REDEBAN"/>
    <s v="FO-25-1305084"/>
    <d v="2025-07-30T00:00:00"/>
    <d v="2025-08-01T00:00:00"/>
    <s v="UNO A UNO"/>
    <s v="UNO A UNO"/>
    <s v="EJECUTADO"/>
    <s v="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
    <s v="VISITA_TÉCNICA"/>
    <s v="VAZZZ386"/>
    <s v="TIPO III"/>
    <s v="TERRESTRE"/>
    <s v="GIMBUEL LASSO LUIS GERMAN"/>
    <n v="1"/>
    <n v="0"/>
    <n v="122645.45276000001"/>
    <n v="65164.677720000007"/>
    <n v="122645.45276000001"/>
  </r>
  <r>
    <s v="CARTAGENA"/>
    <x v="4"/>
    <x v="4"/>
    <n v="13442"/>
    <s v="TA-25-904100"/>
    <n v="80740"/>
    <s v="APERTURA"/>
    <s v="CB CRECIMIENTO - NUEVO"/>
    <s v="BOLIVAR"/>
    <s v="MARIA LA BAJA"/>
    <s v="BARRIO VRD NUEVA ESPERANZA MARIA LA BAJA"/>
    <s v="REDEBAN"/>
    <s v="FO-25-1305093"/>
    <d v="2025-07-30T00:00:00"/>
    <d v="2025-08-06T00:00:00"/>
    <s v="UNO A UNO"/>
    <s v="UNO A UNO"/>
    <s v="EJECUTADO"/>
    <s v="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
    <s v="VISITA_TÉCNICA"/>
    <s v="VAZZZ388"/>
    <s v="TIPO II"/>
    <s v="TERRESTRE"/>
    <s v="MARTINEZ SALGUEDO ANDRES AUGUSTO"/>
    <n v="1"/>
    <n v="0"/>
    <n v="122645.45276000001"/>
    <n v="65164.677720000007"/>
    <n v="122645.45276000001"/>
  </r>
  <r>
    <s v="NEIVA"/>
    <x v="0"/>
    <x v="0"/>
    <n v="41396"/>
    <s v="TA-25-904101"/>
    <n v="80738"/>
    <s v="APERTURA"/>
    <s v="CB CRECIMIENTO - NUEVO"/>
    <s v="HUILA"/>
    <s v="LA PLATA"/>
    <s v="BARRIO LA POLA LA PLATA 5"/>
    <s v="REDEBAN"/>
    <s v="FO-25-1305096"/>
    <d v="2025-07-30T00:00:00"/>
    <d v="2025-08-01T00:00:00"/>
    <s v="UNO A UNO"/>
    <s v="UNO A UNO"/>
    <s v="EJECUTADO"/>
    <s v="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
    <s v="VISITA_TÉCNICA"/>
    <s v="VAZZZ389"/>
    <s v="TIPO III"/>
    <s v="TERRESTRE"/>
    <s v="ANDRADE HERNANDEZ JUAN CARLOS"/>
    <n v="1"/>
    <n v="0"/>
    <n v="122645.45276000001"/>
    <n v="65164.677720000007"/>
    <n v="122645.45276000001"/>
  </r>
  <r>
    <s v="MEDELLIN"/>
    <x v="2"/>
    <x v="2"/>
    <n v="5001"/>
    <s v="TA-25-904105"/>
    <n v="80761"/>
    <s v="APERTURA"/>
    <s v="CB CRECIMIENTO - NUEVO"/>
    <s v="ANTIOQUIA"/>
    <s v="MEDELLIN"/>
    <s v="BARRIO CAICEDO MEDELLIN 17"/>
    <s v="REDEBAN"/>
    <s v="FO-25-1305113"/>
    <d v="2025-07-30T00:00:00"/>
    <d v="2025-08-01T00:00:00"/>
    <s v="UNO A UNO"/>
    <s v="UNO A UNO"/>
    <s v="EJECUTADO"/>
    <s v="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
    <s v="VISITA_TÉCNICA"/>
    <s v="VAZZZ393"/>
    <s v="TIPO I"/>
    <s v="TERRESTRE"/>
    <s v="PAREJA ECHAVARRIA JHON DAVID"/>
    <n v="1"/>
    <n v="0"/>
    <n v="122645.45276000001"/>
    <n v="65164.677720000007"/>
    <n v="122645.45276000001"/>
  </r>
  <r>
    <s v="TUNJA"/>
    <x v="3"/>
    <x v="3"/>
    <n v="15759"/>
    <s v="TA-25-904106"/>
    <n v="80755"/>
    <s v="APERTURA"/>
    <s v="CB CRECIMIENTO - NUEVO"/>
    <s v="BOYACA"/>
    <s v="SOGAMOSO"/>
    <s v="BARRIO GUSTAVO JIMENEZ SOGAMOSO 4"/>
    <s v="REDEBAN"/>
    <s v="FO-25-1305118"/>
    <d v="2025-07-30T00:00:00"/>
    <d v="2025-08-01T00:00:00"/>
    <s v="UNO A UNO"/>
    <s v="UNO A UNO"/>
    <s v="EJECUTADO"/>
    <s v="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VISITA_TÉCNICA"/>
    <s v="VAZZZ395"/>
    <s v="TIPO II"/>
    <s v="TERRESTRE"/>
    <s v="SOLER HOYOS CRISTIAN LEONARDO"/>
    <n v="1"/>
    <n v="0"/>
    <n v="122645.45276000001"/>
    <n v="65164.677720000007"/>
    <n v="122645.45276000001"/>
  </r>
  <r>
    <s v="VILLAVICENCIO"/>
    <x v="0"/>
    <x v="0"/>
    <n v="50110"/>
    <s v="TA-25-904110"/>
    <n v="80719"/>
    <s v="APERTURA"/>
    <s v="CB CRECIMIENTO - NUEVO"/>
    <s v="META"/>
    <s v="BARRANCA DE UPIA"/>
    <s v="BARRIO LIBERTAD I BARRANCA DE UPIA"/>
    <s v="REDEBAN"/>
    <s v="FO-25-1305133"/>
    <d v="2025-07-30T00:00:00"/>
    <d v="2025-08-01T00:00:00"/>
    <s v="UNO A UNO"/>
    <s v="UNO A UNO"/>
    <s v="EJECUTADO"/>
    <s v="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VISITA_TÉCNICA"/>
    <s v="VAZZZ398"/>
    <s v="TIPO II"/>
    <s v="TERRESTRE"/>
    <s v="PEDREROS CONTRERAS MICHAEL STEVENS"/>
    <n v="1"/>
    <n v="0"/>
    <n v="122645.45276000001"/>
    <n v="65164.677720000007"/>
    <n v="122645.45276000001"/>
  </r>
  <r>
    <s v="MEDELLIN"/>
    <x v="2"/>
    <x v="2"/>
    <n v="5483"/>
    <s v="TA-25-904116"/>
    <n v="80744"/>
    <s v="APERTURA"/>
    <s v="CB CRECIMIENTO - NUEVO"/>
    <s v="ANTIOQUIA"/>
    <s v="NARIÑO"/>
    <s v="BARRIO CORR PUERTO VENUS NARIÑO"/>
    <s v="REDEBAN"/>
    <s v="FO-25-1305143"/>
    <d v="2025-07-30T00:00:00"/>
    <d v="2025-08-01T00:00:00"/>
    <s v="UNO A UNO"/>
    <s v="UNO A UNO"/>
    <s v="EJECUTADO"/>
    <s v="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
    <s v="VISITA_TÉCNICA"/>
    <s v="VAZZZ401"/>
    <s v="TIPO IV"/>
    <s v="TERRESTRE"/>
    <s v="MARTINEZ TOVAR OSCAR DAVID"/>
    <n v="1"/>
    <n v="0"/>
    <n v="122645.45276000001"/>
    <n v="65164.677720000007"/>
    <n v="122645.45276000001"/>
  </r>
  <r>
    <s v="NEIVA"/>
    <x v="0"/>
    <x v="0"/>
    <n v="18001"/>
    <s v="TA-25-915445"/>
    <n v="80786"/>
    <s v="APERTURA"/>
    <s v="CB CRECIMIENTO - NUEVO"/>
    <s v="CAQUETA"/>
    <s v="FLORENCIA"/>
    <s v="BARRIO LA LIBERTAD FLORENCIA 2"/>
    <s v="REDEBAN"/>
    <s v="FO-25-1316240"/>
    <d v="2025-08-01T00:00:00"/>
    <d v="2025-08-04T00:00:00"/>
    <s v="UNO A UNO"/>
    <s v="UNO A UNO"/>
    <s v="EJECUTADO"/>
    <s v="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ÉCNICA"/>
    <s v="F7ZZZ994"/>
    <s v="TIPO IV"/>
    <s v="TERRESTRE"/>
    <s v="BERMUDEZ SANCHEZ JOSE NEYBER"/>
    <n v="1"/>
    <n v="0"/>
    <n v="122645.45276000001"/>
    <n v="65164.677720000007"/>
    <n v="122645.45276000001"/>
  </r>
  <r>
    <s v="BARRANQUILLA"/>
    <x v="4"/>
    <x v="4"/>
    <n v="8433"/>
    <s v="TA-25-915446"/>
    <n v="80788"/>
    <s v="APERTURA"/>
    <s v="CB CRECIMIENTO - NUEVO"/>
    <s v="ATLANTICO"/>
    <s v="MALAMBO"/>
    <s v="BARRIO CONCOR MALAMBO 4"/>
    <s v="REDEBAN"/>
    <s v="FO-25-1316244"/>
    <d v="2025-08-01T00:00:00"/>
    <d v="2025-08-04T00:00:00"/>
    <s v="UNO A UNO"/>
    <s v="UNO A UNO"/>
    <s v="EJECUTADO"/>
    <s v="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ÉCNICA"/>
    <s v="F7ZZZ995"/>
    <s v="TIPO II"/>
    <s v="TERRESTRE"/>
    <s v="PORRAS CASTRO DARLON NASCK"/>
    <n v="1"/>
    <n v="0"/>
    <n v="122645.45276000001"/>
    <n v="65164.677720000007"/>
    <n v="122645.45276000001"/>
  </r>
  <r>
    <s v="CUCUTA"/>
    <x v="3"/>
    <x v="3"/>
    <n v="54001"/>
    <s v="TA-25-915451"/>
    <n v="80783"/>
    <s v="APERTURA"/>
    <s v="CB CRECIMIENTO - NUEVO"/>
    <s v="NORTE DE SANTANDER"/>
    <s v="CUCUTA"/>
    <s v="BARRIO NIÑA CECI CUCUTA 9"/>
    <s v="REDEBAN"/>
    <s v="FO-25-1316254"/>
    <d v="2025-08-01T00:00:00"/>
    <d v="2025-08-04T00:00:00"/>
    <s v="UNO A UNO"/>
    <s v="UNO A UNO"/>
    <s v="EJECUTADO"/>
    <s v="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ÉCNICA"/>
    <s v="F7ZZZ996"/>
    <s v="TIPO I"/>
    <s v="TERRESTRE"/>
    <s v="DURAN ACOSTA FRANK YONNY"/>
    <n v="1"/>
    <n v="0"/>
    <n v="122645.45276000001"/>
    <n v="65164.677720000007"/>
    <n v="122645.45276000001"/>
  </r>
  <r>
    <s v="CUCUTA"/>
    <x v="3"/>
    <x v="3"/>
    <n v="54498"/>
    <s v="TA-25-915453"/>
    <n v="80794"/>
    <s v="APERTURA"/>
    <s v="CB CRECIMIENTO - NUEVO"/>
    <s v="NORTE DE SANTANDER"/>
    <s v="OCAÑA"/>
    <s v="BARRIO BAMBO OCAÑA"/>
    <s v="REDEBAN"/>
    <s v="FO-25-1316260"/>
    <d v="2025-08-01T00:00:00"/>
    <d v="2025-08-06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
    <s v="VISITA_TÉCNICA"/>
    <s v="F7ZZZ997"/>
    <s v="TIPO IV"/>
    <s v="TERRESTRE"/>
    <s v="PACHECO BUITRAGO JAVIER ALONSO"/>
    <n v="1"/>
    <n v="0"/>
    <n v="122645.45276000001"/>
    <n v="65164.677720000007"/>
    <n v="122645.45276000001"/>
  </r>
  <r>
    <s v="CUCUTA"/>
    <x v="3"/>
    <x v="3"/>
    <n v="54498"/>
    <s v="TA-25-915455"/>
    <n v="80795"/>
    <s v="APERTURA"/>
    <s v="CB CRECIMIENTO - NUEVO"/>
    <s v="NORTE DE SANTANDER"/>
    <s v="OCAÑA"/>
    <s v="BARRIO EL LIBANO OCAÑA 1"/>
    <s v="REDEBAN"/>
    <s v="FO-25-1316266"/>
    <d v="2025-08-01T00:00:00"/>
    <d v="2025-08-06T00:00:00"/>
    <s v="UNO A UNO"/>
    <s v="UNO A UNO"/>
    <s v="EJECUTADO"/>
    <s v="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
    <s v="VISITA_TÉCNICA"/>
    <s v="F7ZZZ998"/>
    <s v="TIPO IV"/>
    <s v="TERRESTRE"/>
    <s v="PACHECO BUITRAGO JAVIER ALONSO"/>
    <n v="1"/>
    <n v="0"/>
    <n v="122645.45276000001"/>
    <n v="65164.677720000007"/>
    <n v="122645.45276000001"/>
  </r>
  <r>
    <s v="SINCELEJO"/>
    <x v="4"/>
    <x v="4"/>
    <n v="70001"/>
    <s v="TA-25-915456"/>
    <n v="80810"/>
    <s v="APERTURA"/>
    <s v="CB CRECIMIENTO - NUEVO"/>
    <s v="SUCRE"/>
    <s v="SINCELEJO"/>
    <s v="BARRIO EL CABRERO SINCELEJO"/>
    <s v="REDEBAN"/>
    <s v="FO-25-1316271"/>
    <d v="2025-08-01T00:00:00"/>
    <d v="2025-08-04T00:00:00"/>
    <s v="UNO A UNO"/>
    <s v="UNO A UNO"/>
    <s v="EJECUTADO"/>
    <s v="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ÉCNICA"/>
    <s v="F7ZZZ999"/>
    <s v="TIPO I"/>
    <s v="TERRESTRE"/>
    <s v="SANTOS GUZMAN CHRISTIAN FELIPE"/>
    <n v="1"/>
    <n v="0"/>
    <n v="122645.45276000001"/>
    <n v="65164.677720000007"/>
    <n v="122645.45276000001"/>
  </r>
  <r>
    <s v="MONTERIA"/>
    <x v="4"/>
    <x v="4"/>
    <n v="23001"/>
    <s v="TA-25-915457"/>
    <n v="80792"/>
    <s v="APERTURA"/>
    <s v="CB CRECIMIENTO - NUEVO"/>
    <s v="CORDOBA"/>
    <s v="MONTERIA"/>
    <s v="BARRIO URBINA MONTERIA"/>
    <s v="REDEBAN"/>
    <s v="FO-25-1316273"/>
    <d v="2025-08-01T00:00:00"/>
    <d v="2025-08-04T00:00:00"/>
    <s v="UNO A UNO"/>
    <s v="UNO A UNO"/>
    <s v="EJECUTADO"/>
    <s v="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
    <s v="VISITA_TÉCNICA"/>
    <s v="F8ZZZ000"/>
    <s v="TIPO I"/>
    <s v="TERRESTRE"/>
    <s v="GONZALEZ FERRER JESUS ALEXANDER"/>
    <n v="1"/>
    <n v="0"/>
    <n v="122645.45276000001"/>
    <n v="65164.677720000007"/>
    <n v="122645.45276000001"/>
  </r>
  <r>
    <s v="CUCUTA"/>
    <x v="3"/>
    <x v="3"/>
    <n v="54001"/>
    <s v="TA-25-915458"/>
    <n v="80784"/>
    <s v="APERTURA"/>
    <s v="CB CRECIMIENTO - NUEVO"/>
    <s v="NORTE DE SANTANDER"/>
    <s v="CUCUTA"/>
    <s v="BARRIO CALLEJON CUCUTA 22"/>
    <s v="REDEBAN"/>
    <s v="FO-25-1316279"/>
    <d v="2025-08-01T00:00:00"/>
    <d v="2025-08-04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ÉCNICA"/>
    <s v="F8ZZZ001"/>
    <s v="TIPO I"/>
    <s v="TERRESTRE"/>
    <s v="NARANJO AFANADOR RUBEN JESUS"/>
    <n v="1"/>
    <n v="0"/>
    <n v="122645.45276000001"/>
    <n v="65164.677720000007"/>
    <n v="122645.45276000001"/>
  </r>
  <r>
    <s v="CUCUTA"/>
    <x v="3"/>
    <x v="3"/>
    <n v="54498"/>
    <s v="TA-25-915459"/>
    <n v="80796"/>
    <s v="APERTURA"/>
    <s v="CB CRECIMIENTO - NUEVO"/>
    <s v="NORTE DE SANTANDER"/>
    <s v="OCAÑA"/>
    <s v="BARRIO EL CARMEN OCAÑA 1"/>
    <s v="REDEBAN"/>
    <s v="FO-25-1316282"/>
    <d v="2025-08-01T00:00:00"/>
    <d v="2025-08-05T00:00:00"/>
    <s v="UNO A UNO"/>
    <s v="UNO A UNO"/>
    <s v="EJECUTADO"/>
    <s v="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
    <s v="VISITA_TÉCNICA"/>
    <s v="F8ZZZ002"/>
    <s v="TIPO IV"/>
    <s v="TERRESTRE"/>
    <s v="GONZALEZ ESTUPIÑAN YEISON WALTER ANTONIO"/>
    <n v="1"/>
    <n v="0"/>
    <n v="122645.45276000001"/>
    <n v="65164.677720000007"/>
    <n v="122645.45276000001"/>
  </r>
  <r>
    <s v="VALLEDUPAR"/>
    <x v="4"/>
    <x v="4"/>
    <n v="20011"/>
    <s v="TA-25-915460"/>
    <n v="80766"/>
    <s v="APERTURA"/>
    <s v="CB CRECIMIENTO - NUEVO"/>
    <s v="CESAR"/>
    <s v="AGUACHICA"/>
    <s v="BARRIO LA SABANITA AGUACHICA 1"/>
    <s v="REDEBAN"/>
    <s v="FO-25-1316290"/>
    <d v="2025-08-01T00:00:00"/>
    <d v="2025-08-04T00:00:00"/>
    <s v="UNO A UNO"/>
    <s v="UNO A UNO"/>
    <s v="EJECUTADO"/>
    <s v="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03"/>
    <s v="TIPO IV"/>
    <s v="TERRESTRE"/>
    <s v="MONTES DIAZ JOHN FRED"/>
    <n v="1"/>
    <n v="0"/>
    <n v="122645.45276000001"/>
    <n v="65164.677720000007"/>
    <n v="122645.45276000001"/>
  </r>
  <r>
    <s v="CARTAGENA"/>
    <x v="4"/>
    <x v="4"/>
    <n v="13001"/>
    <s v="TA-25-915461"/>
    <n v="80780"/>
    <s v="APERTURA"/>
    <s v="CB CRECIMIENTO - NUEVO"/>
    <s v="BOLIVAR"/>
    <s v="CARTAGENA"/>
    <s v="BARRIO AMBERES CARTAGENA DE INDIAS 3"/>
    <s v="REDEBAN"/>
    <s v="FO-25-1316299"/>
    <d v="2025-08-01T00:00:00"/>
    <d v="2025-08-04T00:00:00"/>
    <s v="UNO A UNO"/>
    <s v="UNO A UNO"/>
    <s v="EJECUTADO"/>
    <s v="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04"/>
    <s v="TIPO I"/>
    <s v="TERRESTRE"/>
    <s v="CANEDO HERRERA ALEXANDER"/>
    <n v="1"/>
    <n v="0"/>
    <n v="122645.45276000001"/>
    <n v="65164.677720000007"/>
    <n v="122645.45276000001"/>
  </r>
  <r>
    <s v="BUCARAMANGA"/>
    <x v="3"/>
    <x v="3"/>
    <n v="13688"/>
    <s v="TA-25-915463"/>
    <n v="80807"/>
    <s v="APERTURA"/>
    <s v="CB CRECIMIENTO - NUEVO"/>
    <s v="BOLIVAR"/>
    <s v="SANTA ROSA DEL SUR"/>
    <s v="BARRIO SAN MARTIN SANTA ROSA DEL SUR 3"/>
    <s v="REDEBAN"/>
    <s v="FO-25-1316304"/>
    <d v="2025-08-01T00:00:00"/>
    <d v="2025-08-06T00:00:00"/>
    <s v="UNO A UNO"/>
    <s v="UNO A UNO"/>
    <s v="EJECUTADO"/>
    <s v="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
    <s v="VISITA_TÉCNICA"/>
    <s v="F8ZZZ005"/>
    <s v="TIPO IV ESPECIAL"/>
    <s v="TERRESTRE/FLUVIAL"/>
    <s v="ORTEBARRERAGA MARLON STWAR"/>
    <n v="1"/>
    <n v="0"/>
    <n v="122645.45276000001"/>
    <n v="65164.677720000007"/>
    <n v="122645.45276000001"/>
  </r>
  <r>
    <s v="CALI"/>
    <x v="1"/>
    <x v="1"/>
    <n v="76001"/>
    <s v="TA-25-915464"/>
    <n v="80777"/>
    <s v="APERTURA"/>
    <s v="CB CRECIMIENTO - NUEVO"/>
    <s v="VALLE DEL CAUCA"/>
    <s v="CALI"/>
    <s v="BARRIO SAN PASCUAL CALI 2"/>
    <s v="REDEBAN"/>
    <s v="FO-25-1316308"/>
    <d v="2025-08-01T00:00:00"/>
    <d v="2025-08-04T00:00:00"/>
    <s v="UNO A UNO"/>
    <s v="UNO A UNO"/>
    <s v="EJECUTADO"/>
    <s v="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06"/>
    <s v="TIPO I"/>
    <s v="TERRESTRE"/>
    <s v="PAREDES CASTILLO DIEGO"/>
    <n v="1"/>
    <n v="0"/>
    <n v="122645.45276000001"/>
    <n v="65164.677720000007"/>
    <n v="122645.45276000001"/>
  </r>
  <r>
    <s v="PASTO"/>
    <x v="1"/>
    <x v="1"/>
    <n v="52786"/>
    <s v="TA-25-915467"/>
    <n v="80812"/>
    <s v="APERTURA"/>
    <s v="CB CRECIMIENTO - NUEVO"/>
    <s v="NARIÑO"/>
    <s v="TAMINANGO"/>
    <s v="BARRIO EL PRADO TAMINANGO 3"/>
    <s v="REDEBAN"/>
    <s v="FO-25-1316317"/>
    <d v="2025-08-01T00:00:00"/>
    <d v="2025-08-04T00:00:00"/>
    <s v="UNO A UNO"/>
    <s v="UNO A UNO"/>
    <s v="EJECUTADO"/>
    <s v="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07"/>
    <s v="TIPO II"/>
    <s v="TERRESTRE"/>
    <s v="REMICIO AMADO JOHN HEBER"/>
    <n v="1"/>
    <n v="0"/>
    <n v="122645.45276000001"/>
    <n v="65164.677720000007"/>
    <n v="122645.45276000001"/>
  </r>
  <r>
    <s v="BOGOTA"/>
    <x v="5"/>
    <x v="5"/>
    <n v="11001"/>
    <s v="TA-25-915468"/>
    <n v="80772"/>
    <s v="APERTURA"/>
    <s v="CB CRECIMIENTO - NUEVO"/>
    <s v="CUNDINAMARCA"/>
    <s v="BOGOTA"/>
    <s v="BARRIO LA ISABELLA BOGOTA"/>
    <s v="REDEBAN"/>
    <s v="FO-25-1328346"/>
    <d v="2025-08-01T00:00:00"/>
    <d v="2025-08-05T00:00:00"/>
    <s v="UNO A UNO"/>
    <s v="UNO A UNO"/>
    <s v="EJECUTADO"/>
    <s v="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
    <s v="VISITA_TÉCNICA"/>
    <s v="F8ZZZ008"/>
    <s v="TIPO I"/>
    <s v="TERRESTRE"/>
    <s v="GALINDO ROJAS LUIS FELIPE"/>
    <n v="1"/>
    <n v="0"/>
    <n v="122645.45276000001"/>
    <n v="65164.677720000007"/>
    <n v="122645.45276000001"/>
  </r>
  <r>
    <s v="MANIZALES"/>
    <x v="1"/>
    <x v="6"/>
    <n v="17001"/>
    <s v="TA-25-915469"/>
    <n v="80789"/>
    <s v="APERTURA"/>
    <s v="CB CRECIMIENTO - NUEVO"/>
    <s v="CALDAS"/>
    <s v="MANIZALES"/>
    <s v="BARRIO GUAYACANES MANIZALES 1"/>
    <s v="REDEBAN"/>
    <s v="FO-25-1316329"/>
    <d v="2025-08-01T00:00:00"/>
    <d v="2025-08-04T00:00:00"/>
    <s v="UNO A UNO"/>
    <s v="UNO A UNO"/>
    <s v="EJECUTADO"/>
    <s v="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09"/>
    <s v="TIPO I"/>
    <s v="TERRESTRE"/>
    <s v="AGUIRRE HENAO RAUL EDUARDO"/>
    <n v="1"/>
    <n v="0"/>
    <n v="122645.45276000001"/>
    <n v="65164.677720000007"/>
    <n v="122645.45276000001"/>
  </r>
  <r>
    <s v="MEDELLIN"/>
    <x v="2"/>
    <x v="2"/>
    <n v="5001"/>
    <s v="TA-25-915470"/>
    <n v="80818"/>
    <s v="APERTURA"/>
    <s v="CB CRECIMIENTO - NUEVO"/>
    <s v="ANTIOQUIA"/>
    <s v="MEDELLIN"/>
    <s v="BARRIO SAN JAVIER LA LOMA MEDELLIN 1"/>
    <s v="REDEBAN"/>
    <s v="FO-25-1316336"/>
    <d v="2025-08-01T00:00:00"/>
    <d v="2025-08-04T00:00:00"/>
    <s v="UNO A UNO"/>
    <s v="UNO A UNO"/>
    <s v="EJECUTADO"/>
    <s v="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
    <s v="VISITA_TÉCNICA"/>
    <s v="F8ZZZ010"/>
    <s v="TIPO I"/>
    <s v="TERRESTRE"/>
    <s v="BADEL ACUÑA LUIS ALBERTO"/>
    <n v="1"/>
    <n v="0"/>
    <n v="122645.45276000001"/>
    <n v="65164.677720000007"/>
    <n v="122645.45276000001"/>
  </r>
  <r>
    <s v="PEREIRA"/>
    <x v="1"/>
    <x v="6"/>
    <n v="76823"/>
    <s v="TA-25-915471"/>
    <n v="80814"/>
    <s v="APERTURA"/>
    <s v="CB CRECIMIENTO - NUEVO"/>
    <s v="VALLE DEL CAUCA"/>
    <s v="TORO"/>
    <s v="BARRIO BULEVAR AVENIDA TORO"/>
    <s v="REDEBAN"/>
    <s v="FO-25-1316342"/>
    <d v="2025-08-01T00:00:00"/>
    <d v="2025-08-05T00:00:00"/>
    <s v="UNO A UNO"/>
    <s v="UNO A UNO"/>
    <s v="EJECUTADO"/>
    <s v="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
    <s v="VISITA_TÉCNICA"/>
    <s v="F8ZZZ011"/>
    <s v="TIPO II"/>
    <s v="TERRESTRE"/>
    <s v="FRANCO CAÑAVERAL YAMID RAUL"/>
    <n v="1"/>
    <n v="0"/>
    <n v="122645.45276000001"/>
    <n v="65164.677720000007"/>
    <n v="122645.45276000001"/>
  </r>
  <r>
    <s v="MEDELLIN"/>
    <x v="2"/>
    <x v="2"/>
    <n v="5001"/>
    <s v="TA-25-915472"/>
    <n v="80819"/>
    <s v="APERTURA"/>
    <s v="CB CRECIMIENTO - NUEVO"/>
    <s v="ANTIOQUIA"/>
    <s v="MEDELLIN"/>
    <s v="BARRIO CHAGUALO MEDELLIN 4"/>
    <s v="REDEBAN"/>
    <s v="FO-25-1316348"/>
    <d v="2025-08-01T00:00:00"/>
    <d v="2025-08-04T00:00:00"/>
    <s v="UNO A UNO"/>
    <s v="UNO A UNO"/>
    <s v="EJECUTADO"/>
    <s v="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
    <s v="VISITA_TÉCNICA"/>
    <s v="F8ZZZ013"/>
    <s v="TIPO I"/>
    <s v="TERRESTRE"/>
    <s v="BADEL ACUÑA LUIS ALBERTO"/>
    <n v="1"/>
    <n v="0"/>
    <n v="122645.45276000001"/>
    <n v="65164.677720000007"/>
    <n v="122645.45276000001"/>
  </r>
  <r>
    <s v="BOGOTA"/>
    <x v="5"/>
    <x v="5"/>
    <n v="11001"/>
    <s v="TA-25-915473"/>
    <n v="80775"/>
    <s v="APERTURA"/>
    <s v="CB CRECIMIENTO - NUEVO"/>
    <s v="CUNDINAMARCA"/>
    <s v="BOGOTA"/>
    <s v="BARRIO VILLAS DEL DORADO BOGOTA 8"/>
    <s v="REDEBAN"/>
    <s v="FO-25-1316351"/>
    <d v="2025-08-01T00:00:00"/>
    <d v="2025-08-04T00:00:00"/>
    <s v="UNO A UNO"/>
    <s v="UNO A UNO"/>
    <s v="EJECUTADO"/>
    <s v="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ÉCNICA"/>
    <s v="F8ZZZ014"/>
    <s v="TIPO I"/>
    <s v="TERRESTRE"/>
    <s v="MURCIA HERNANDEZ HARVEY IGNACIO"/>
    <n v="1"/>
    <n v="0"/>
    <n v="122645.45276000001"/>
    <n v="65164.677720000007"/>
    <n v="122645.45276000001"/>
  </r>
  <r>
    <s v="CALI"/>
    <x v="1"/>
    <x v="1"/>
    <n v="19845"/>
    <s v="TA-25-915474"/>
    <n v="80817"/>
    <s v="APERTURA"/>
    <s v="CB CRECIMIENTO - NUEVO"/>
    <s v="CAUCA"/>
    <s v="VILLA RICA"/>
    <s v="BARRIO CENTRO VILLA RICA  4"/>
    <s v="REDEBAN"/>
    <s v="FO-25-1316356"/>
    <d v="2025-08-01T00:00:00"/>
    <d v="2025-08-04T00:00:00"/>
    <s v="UNO A UNO"/>
    <s v="UNO A UNO"/>
    <s v="EJECUTADO"/>
    <s v="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ÉCNICA"/>
    <s v="F8ZZZ015"/>
    <s v="TIPO IV"/>
    <s v="TERRESTRE"/>
    <s v="HERRERA MONAR GEOVANNY"/>
    <n v="1"/>
    <n v="0"/>
    <n v="122645.45276000001"/>
    <n v="65164.677720000007"/>
    <n v="122645.45276000001"/>
  </r>
  <r>
    <s v="PASTO"/>
    <x v="1"/>
    <x v="1"/>
    <n v="52835"/>
    <s v="TA-25-915475"/>
    <n v="80803"/>
    <s v="APERTURA"/>
    <s v="CB CRECIMIENTO - NUEVO"/>
    <s v="NARIÑO"/>
    <s v="SAN ANDRES DE TUMACO"/>
    <s v="BARRIO SABALETA SAN ANDRES DE TUMACO"/>
    <s v="REDEBAN"/>
    <s v="FO-25-1316359"/>
    <d v="2025-08-01T00:00:00"/>
    <d v="2025-08-05T00:00:00"/>
    <s v="UNO A UNO"/>
    <s v="UNO A UNO"/>
    <s v="EJECUTADO"/>
    <s v="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
    <s v="VISITA_TÉCNICA"/>
    <s v="F8ZZZ016"/>
    <s v="TIPO IV"/>
    <s v="TERRESTRE"/>
    <s v="PAZ MARTINEZ RICHARD HUMBERTO"/>
    <n v="1"/>
    <n v="0"/>
    <n v="122645.45276000001"/>
    <n v="65164.677720000007"/>
    <n v="122645.45276000001"/>
  </r>
  <r>
    <s v="CALI"/>
    <x v="1"/>
    <x v="1"/>
    <n v="76001"/>
    <s v="TA-25-915476"/>
    <n v="80778"/>
    <s v="APERTURA"/>
    <s v="CB CRECIMIENTO - NUEVO"/>
    <s v="VALLE DEL CAUCA"/>
    <s v="CALI"/>
    <s v="BARRIO FELIDIA CALI"/>
    <s v="REDEBAN"/>
    <s v="FO-25-1316363"/>
    <d v="2025-08-01T00:00:00"/>
    <d v="2025-08-04T00:00:00"/>
    <s v="UNO A UNO"/>
    <s v="UNO A UNO"/>
    <s v="EJECUTADO"/>
    <s v="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
    <s v="VISITA_TÉCNICA"/>
    <s v="F8ZZZ017"/>
    <s v="TIPO I"/>
    <s v="TERRESTRE"/>
    <s v="BOLAÑOS TABORDA JORGE ENRIQUE"/>
    <n v="1"/>
    <n v="0"/>
    <n v="122645.45276000001"/>
    <n v="65164.677720000007"/>
    <n v="122645.45276000001"/>
  </r>
  <r>
    <s v="CALI"/>
    <x v="1"/>
    <x v="1"/>
    <n v="76001"/>
    <s v="TA-25-915477"/>
    <n v="80779"/>
    <s v="APERTURA"/>
    <s v="CB CRECIMIENTO - NUEVO"/>
    <s v="VALLE DEL CAUCA"/>
    <s v="CALI"/>
    <s v="BARRIO TRONCAL CALI 1"/>
    <s v="REDEBAN"/>
    <s v="FO-25-1316366"/>
    <d v="2025-08-01T00:00:00"/>
    <d v="2025-08-04T00:00:00"/>
    <s v="UNO A UNO"/>
    <s v="UNO A UNO"/>
    <s v="EJECUTADO"/>
    <s v="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ÉCNICA"/>
    <s v="F8ZZZ018"/>
    <s v="TIPO I"/>
    <s v="TERRESTRE"/>
    <s v="TORRES GARCIA JENDRY JOSE"/>
    <n v="1"/>
    <n v="0"/>
    <n v="122645.45276000001"/>
    <n v="65164.677720000007"/>
    <n v="122645.45276000001"/>
  </r>
  <r>
    <s v="BOGOTA"/>
    <x v="5"/>
    <x v="5"/>
    <n v="25035"/>
    <s v="TA-25-915478"/>
    <n v="80768"/>
    <s v="APERTURA"/>
    <s v="CB CRECIMIENTO - NUEVO"/>
    <s v="CUNDINAMARCA"/>
    <s v="ANAPOIMA"/>
    <s v="BARRIO CENTRO ANAPOIMA ANAPOIMA 1"/>
    <s v="REDEBAN"/>
    <s v="FO-25-1316370"/>
    <d v="2025-08-01T00:00:00"/>
    <d v="2025-08-05T00:00:00"/>
    <s v="UNO A UNO"/>
    <s v="UNO A UNO"/>
    <s v="EJECUTADO"/>
    <s v="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ÉCNICA"/>
    <s v="F8ZZZ019"/>
    <s v="TIPO II"/>
    <s v="TERRESTRE"/>
    <s v="GOMEZ VEGA DAVID SNEYDER"/>
    <n v="1"/>
    <n v="0"/>
    <n v="122645.45276000001"/>
    <n v="65164.677720000007"/>
    <n v="122645.45276000001"/>
  </r>
  <r>
    <s v="MANIZALES"/>
    <x v="1"/>
    <x v="6"/>
    <n v="17001"/>
    <s v="TA-25-915479"/>
    <n v="80791"/>
    <s v="APERTURA"/>
    <s v="CB CRECIMIENTO - NUEVO"/>
    <s v="CALDAS"/>
    <s v="MANIZALES"/>
    <s v="BARRIO CERVANTES MANIZALES 3"/>
    <s v="REDEBAN"/>
    <s v="FO-25-1316376"/>
    <d v="2025-08-01T00:00:00"/>
    <d v="2025-08-05T00:00:00"/>
    <s v="UNO A UNO"/>
    <s v="UNO A UNO"/>
    <s v="EJECUTADO"/>
    <s v="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ÉCNICA"/>
    <s v="F8ZZZ020"/>
    <s v="TIPO I"/>
    <s v="TERRESTRE"/>
    <s v="ARROYAVE CANO MANUEL GUILLERMO"/>
    <n v="1"/>
    <n v="0"/>
    <n v="122645.45276000001"/>
    <n v="65164.677720000007"/>
    <n v="122645.45276000001"/>
  </r>
  <r>
    <s v="CUCUTA"/>
    <x v="3"/>
    <x v="3"/>
    <n v="54405"/>
    <s v="TA-25-915483"/>
    <n v="80787"/>
    <s v="APERTURA"/>
    <s v="CB CRECIMIENTO - NUEVO"/>
    <s v="NORTE DE SANTANDER"/>
    <s v="LOS PATIOS"/>
    <s v="BARRIO RECTA COROZAL LOS PATIOS"/>
    <s v="REDEBAN"/>
    <s v="FO-25-1316381"/>
    <d v="2025-08-01T00:00:00"/>
    <d v="2025-08-04T00:00:00"/>
    <s v="UNO A UNO"/>
    <s v="UNO A UNO"/>
    <s v="EJECUTADO"/>
    <s v="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
    <s v="VISITA_TÉCNICA"/>
    <s v="F8ZZZ021"/>
    <s v="TIPO I"/>
    <s v="TERRESTRE"/>
    <s v="PACHECO BUITRAGO JAVIER ALONSO"/>
    <n v="1"/>
    <n v="0"/>
    <n v="122645.45276000001"/>
    <n v="65164.677720000007"/>
    <n v="122645.45276000001"/>
  </r>
  <r>
    <s v="TUNJA"/>
    <x v="3"/>
    <x v="3"/>
    <n v="15001"/>
    <s v="TA-25-915486"/>
    <n v="80815"/>
    <s v="APERTURA"/>
    <s v="CAMBIO DE RAZON SOCIAL"/>
    <s v="BOYACA"/>
    <s v="TUNJA"/>
    <s v="BARRIO MARIA FERNANDA TUNJA 1"/>
    <s v="REDEBAN"/>
    <s v="FO-25-1316385"/>
    <d v="2025-08-01T00:00:00"/>
    <d v="2025-08-04T00:00:00"/>
    <s v="UNO A UNO"/>
    <s v="UNO A UNO"/>
    <s v="EJECUTADO"/>
    <s v="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
    <s v="VISITA_TÉCNICA"/>
    <s v="F8ZZZ022"/>
    <s v="TIPO I"/>
    <s v="TERRESTRE"/>
    <s v="HERRERA GARZON JEYSON STEVENT"/>
    <n v="1"/>
    <n v="0"/>
    <n v="122645.45276000001"/>
    <n v="65164.677720000007"/>
    <n v="122645.45276000001"/>
  </r>
  <r>
    <s v="NEIVA"/>
    <x v="0"/>
    <x v="0"/>
    <n v="41791"/>
    <s v="TA-25-915489"/>
    <n v="80813"/>
    <s v="APERTURA"/>
    <s v="CB CRECIMIENTO - NUEVO"/>
    <s v="HUILA"/>
    <s v="TARQUI"/>
    <s v="BARRIO LA LOMA - BODEGA TARQUI"/>
    <s v="REDEBAN"/>
    <s v="FO-25-1316391"/>
    <d v="2025-08-01T00:00:00"/>
    <d v="2025-08-04T00:00:00"/>
    <s v="UNO A UNO"/>
    <s v="UNO A UNO"/>
    <s v="EJECUTADO"/>
    <s v="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
    <s v="VISITA_TÉCNICA"/>
    <s v="F8ZZZ023"/>
    <s v="TIPO III"/>
    <s v="TERRESTRE"/>
    <s v="ANDRADE HERNANDEZ JUAN CARLOS"/>
    <n v="1"/>
    <n v="0"/>
    <n v="122645.45276000001"/>
    <n v="65164.677720000007"/>
    <n v="122645.45276000001"/>
  </r>
  <r>
    <s v="BUCARAMANGA"/>
    <x v="3"/>
    <x v="3"/>
    <n v="13688"/>
    <s v="TA-25-915493"/>
    <n v="80806"/>
    <s v="APERTURA"/>
    <s v="CB CRECIMIENTO - NUEVO"/>
    <s v="BOLIVAR"/>
    <s v="SANTA ROSA DEL SUR"/>
    <s v="BARRIO SAN MARTIN SANTA ROSA DEL SUR 4"/>
    <s v="REDEBAN"/>
    <s v="FO-25-1316401"/>
    <d v="2025-08-01T00:00:00"/>
    <d v="2025-08-05T00:00:00"/>
    <s v="UNO A UNO"/>
    <s v="UNO A UNO"/>
    <s v="EJECUTADO"/>
    <s v="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
    <s v="VISITA_TÉCNICA"/>
    <s v="F8ZZZ024"/>
    <s v="TIPO IV ESPECIAL"/>
    <s v="TERRESTRE/FLUVIAL"/>
    <s v="ORTEBARRERAGA MARLON STWAR"/>
    <n v="1"/>
    <n v="0"/>
    <n v="122645.45276000001"/>
    <n v="65164.677720000007"/>
    <n v="122645.45276000001"/>
  </r>
  <r>
    <s v="BOGOTA"/>
    <x v="5"/>
    <x v="5"/>
    <n v="11001"/>
    <s v="TA-25-915494"/>
    <n v="80771"/>
    <s v="APERTURA"/>
    <s v="CB CRECIMIENTO - NUEVO"/>
    <s v="CUNDINAMARCA"/>
    <s v="BOGOTA"/>
    <s v="BARRIO LA IGUALDAD BOGOTA 3"/>
    <s v="REDEBAN"/>
    <s v="FO-25-1316407"/>
    <d v="2025-08-01T00:00:00"/>
    <d v="2025-08-04T00:00:00"/>
    <s v="UNO A UNO"/>
    <s v="UNO A UNO"/>
    <s v="EJECUTADO"/>
    <s v="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
    <s v="VISITA_TÉCNICA"/>
    <s v="F8ZZZ025"/>
    <s v="TIPO I"/>
    <s v="TERRESTRE"/>
    <s v="GARCIA PASTRANA KEVIN FERNANDO"/>
    <n v="1"/>
    <n v="0"/>
    <n v="122645.45276000001"/>
    <n v="65164.677720000007"/>
    <n v="122645.45276000001"/>
  </r>
  <r>
    <s v="CALI"/>
    <x v="1"/>
    <x v="1"/>
    <n v="19532"/>
    <s v="TA-25-915495"/>
    <n v="80797"/>
    <s v="APERTURA"/>
    <s v="CB CRECIMIENTO - NUEVO"/>
    <s v="CAUCA"/>
    <s v="PATIA"/>
    <s v="BARRIO LA CENTRAL PATIA 6"/>
    <s v="REDEBAN"/>
    <s v="FO-25-1316417"/>
    <d v="2025-08-01T00:00:00"/>
    <d v="2025-08-05T00:00:00"/>
    <s v="UNO A UNO"/>
    <s v="UNO A UNO"/>
    <s v="EJECUTADO"/>
    <s v="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ÉCNICA"/>
    <s v="F8ZZZ026"/>
    <s v="TIPO IV"/>
    <s v="TERRESTRE"/>
    <s v="GIMBUEL LASSO LUIS GERMAN"/>
    <n v="1"/>
    <n v="0"/>
    <n v="122645.45276000001"/>
    <n v="65164.677720000007"/>
    <n v="122645.45276000001"/>
  </r>
  <r>
    <s v="PEREIRA"/>
    <x v="1"/>
    <x v="6"/>
    <n v="63001"/>
    <s v="TA-25-915497"/>
    <n v="80770"/>
    <s v="APERTURA"/>
    <s v="CB CRECIMIENTO - NUEVO"/>
    <s v="QUINDIO"/>
    <s v="ARMENIA"/>
    <s v="BARRIO SAN JOSE ARMENIA 1"/>
    <s v="REDEBAN"/>
    <s v="FO-25-1316427"/>
    <d v="2025-08-01T00:00:00"/>
    <d v="2025-08-04T00:00:00"/>
    <s v="UNO A UNO"/>
    <s v="UNO A UNO"/>
    <s v="EJECUTADO"/>
    <s v="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
    <s v="VISITA_TÉCNICA"/>
    <s v="F8ZZZ028"/>
    <s v="TIPO II"/>
    <s v="TERRESTRE"/>
    <s v="SANCHEZ SOLORZANO JUAN SEBASTIAN"/>
    <n v="1"/>
    <n v="0"/>
    <n v="122645.45276000001"/>
    <n v="65164.677720000007"/>
    <n v="122645.45276000001"/>
  </r>
  <r>
    <s v="VILLAVICENCIO"/>
    <x v="0"/>
    <x v="0"/>
    <n v="50606"/>
    <s v="TA-25-915498"/>
    <n v="80800"/>
    <s v="APERTURA"/>
    <s v="CAMBIO DE RAZON SOCIAL"/>
    <s v="META"/>
    <s v="RESTREPO"/>
    <s v="BARRIO CENTRO RESTREPO 7"/>
    <s v="REDEBAN"/>
    <s v="FO-25-1316432"/>
    <d v="2025-08-01T00:00:00"/>
    <d v="2025-08-05T00:00:00"/>
    <s v="UNO A UNO"/>
    <s v="UNO A UNO"/>
    <s v="EJECUTADO"/>
    <s v="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
    <s v="VISITA_TÉCNICA"/>
    <s v="F8ZZZ029"/>
    <s v="TIPO II"/>
    <s v="TERRESTRE"/>
    <s v="ROZO JIMENEZ EDGAR ARMANDO"/>
    <n v="1"/>
    <n v="0"/>
    <n v="122645.45276000001"/>
    <n v="65164.677720000007"/>
    <n v="122645.45276000001"/>
  </r>
  <r>
    <s v="BOGOTA"/>
    <x v="5"/>
    <x v="5"/>
    <n v="11001"/>
    <s v="TA-25-915499"/>
    <n v="80773"/>
    <s v="APERTURA"/>
    <s v="CB CRECIMIENTO - NUEVO"/>
    <s v="CUNDINAMARCA"/>
    <s v="BOGOTA"/>
    <s v="BARRIO EL TESORO BOGOTA 5"/>
    <s v="REDEBAN"/>
    <s v="FO-25-1316436"/>
    <d v="2025-08-01T00:00:00"/>
    <d v="2025-08-05T00:00:00"/>
    <s v="UNO A UNO"/>
    <s v="UNO A UNO"/>
    <s v="EJECUTADO"/>
    <s v="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ÉCNICA"/>
    <s v="F8ZZZ030"/>
    <s v="TIPO I"/>
    <s v="TERRESTRE"/>
    <s v="BUSTOS MORA DIEGO MANUEL"/>
    <n v="1"/>
    <n v="0"/>
    <n v="122645.45276000001"/>
    <n v="65164.677720000007"/>
    <n v="122645.45276000001"/>
  </r>
  <r>
    <s v="BOGOTA"/>
    <x v="5"/>
    <x v="5"/>
    <n v="11001"/>
    <s v="TA-25-915500"/>
    <n v="80776"/>
    <s v="APERTURA"/>
    <s v="CB CRECIMIENTO - NUEVO"/>
    <s v="CUNDINAMARCA"/>
    <s v="BOGOTA"/>
    <s v="BARRIO TRINIDAD BOGOTA 2"/>
    <s v="REDEBAN"/>
    <s v="FO-25-1316439"/>
    <d v="2025-08-01T00:00:00"/>
    <d v="2025-08-04T00:00:00"/>
    <s v="UNO A UNO"/>
    <s v="UNO A UNO"/>
    <s v="EJECUTADO"/>
    <s v="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ÉCNICA"/>
    <s v="F8ZZZ031"/>
    <s v="TIPO I"/>
    <s v="TERRESTRE"/>
    <s v="GALINDO ROJAS LUIS FELIPE"/>
    <n v="1"/>
    <n v="0"/>
    <n v="122645.45276000001"/>
    <n v="65164.677720000007"/>
    <n v="122645.45276000001"/>
  </r>
  <r>
    <s v="PEREIRA"/>
    <x v="1"/>
    <x v="6"/>
    <n v="66001"/>
    <s v="TA-25-915501"/>
    <n v="80798"/>
    <s v="APERTURA"/>
    <s v="CB CRECIMIENTO - NUEVO"/>
    <s v="RISARALDA"/>
    <s v="PEREIRA"/>
    <s v="BARRIO EL JARDIN ETAPA 3 PEREIRA"/>
    <s v="REDEBAN"/>
    <s v="FO-25-1316441"/>
    <d v="2025-08-01T00:00:00"/>
    <d v="2025-08-04T00:00:00"/>
    <s v="UNO A UNO"/>
    <s v="UNO A UNO"/>
    <s v="EJECUTADO"/>
    <s v="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
    <s v="VISITA_TÉCNICA"/>
    <s v="F8ZZZ033"/>
    <s v="TIPO I"/>
    <s v="TERRESTRE"/>
    <s v="FRANCO CAÑAVERAL YAMID RAUL"/>
    <n v="1"/>
    <n v="0"/>
    <n v="122645.45276000001"/>
    <n v="65164.677720000007"/>
    <n v="122645.45276000001"/>
  </r>
  <r>
    <s v="SINCELEJO"/>
    <x v="4"/>
    <x v="4"/>
    <n v="70820"/>
    <s v="TA-25-915502"/>
    <n v="80808"/>
    <s v="APERTURA"/>
    <s v="CB CRECIMIENTO - NUEVO"/>
    <s v="SUCRE"/>
    <s v="SANTIAGO DE TOLU"/>
    <s v="BARRIO EL ARROYITO SANTIAGO DE TOLU"/>
    <s v="REDEBAN"/>
    <s v="FO-25-1316445"/>
    <d v="2025-08-01T00:00:00"/>
    <d v="2025-08-05T00:00:00"/>
    <s v="UNO A UNO"/>
    <s v="UNO A UNO"/>
    <s v="EJECUTADO"/>
    <s v="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ÉCNICA"/>
    <s v="F8ZZZ034"/>
    <s v="TIPO II"/>
    <s v="TERRESTRE"/>
    <s v="SANTOS GUZMAN CHRISTIAN FELIPE"/>
    <n v="1"/>
    <n v="0"/>
    <n v="122645.45276000001"/>
    <n v="65164.677720000007"/>
    <n v="122645.45276000001"/>
  </r>
  <r>
    <s v="TUNJA"/>
    <x v="3"/>
    <x v="3"/>
    <n v="15238"/>
    <s v="TA-25-915504"/>
    <n v="80785"/>
    <s v="APERTURA"/>
    <s v="CB CRECIMIENTO - NUEVO"/>
    <s v="BOYACA"/>
    <s v="DUITAMA"/>
    <s v="BARRIO VEREDA LA TRINIDAD DUITAMA 2"/>
    <s v="REDEBAN"/>
    <s v="FO-25-1316450"/>
    <d v="2025-08-01T00:00:00"/>
    <d v="2025-08-08T00:00:00"/>
    <s v="UNO A UNO"/>
    <s v="UNO A UNO"/>
    <s v="EJECUTADO"/>
    <s v="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
    <s v="VISITA_TÉCNICA"/>
    <s v="F8ZZZ035"/>
    <s v="TIPO II"/>
    <s v="TERRESTRE"/>
    <s v="RODRIGUEZ MURCIA YERSON IVAN"/>
    <n v="1"/>
    <n v="0"/>
    <n v="122645.45276000001"/>
    <n v="65164.677720000007"/>
    <n v="122645.45276000001"/>
  </r>
  <r>
    <s v="NEIVA"/>
    <x v="0"/>
    <x v="0"/>
    <n v="41551"/>
    <s v="TA-25-915513"/>
    <n v="80799"/>
    <s v="APERTURA"/>
    <s v="CB CRECIMIENTO - NUEVO"/>
    <s v="HUILA"/>
    <s v="PITALITO"/>
    <s v="BARRIO PARAISO  PITALITO "/>
    <s v="REDEBAN"/>
    <s v="FO-25-1316460"/>
    <d v="2025-08-01T00:00:00"/>
    <d v="2025-08-05T00:00:00"/>
    <s v="UNO A UNO"/>
    <s v="UNO A UNO"/>
    <s v="EJECUTADO"/>
    <s v="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
    <s v="VISITA_TÉCNICA"/>
    <s v="F8ZZZ037"/>
    <s v="TIPO III"/>
    <s v="TERRESTRE"/>
    <s v="ANDRADE HERNANDEZ JUAN CARLOS"/>
    <n v="1"/>
    <n v="0"/>
    <n v="122645.45276000001"/>
    <n v="65164.677720000007"/>
    <n v="122645.45276000001"/>
  </r>
  <r>
    <s v="APARTADO"/>
    <x v="2"/>
    <x v="2"/>
    <n v="5490"/>
    <s v="TA-25-915515"/>
    <n v="80782"/>
    <s v="APERTURA"/>
    <s v="CB CRECIMIENTO - NUEVO"/>
    <s v="ANTIOQUIA"/>
    <s v="NECOCLI"/>
    <s v="BARRIO CL PRINCIPAL CORREGIMIENTO EL TOTUMO NECOCLI ANTI  NECOCLI"/>
    <s v="REDEBAN"/>
    <s v="FO-25-1316465"/>
    <d v="2025-08-01T00:00:00"/>
    <d v="2025-08-05T00:00:00"/>
    <s v="UNO A UNO"/>
    <s v="UNO A UNO"/>
    <s v="EJECUTADO"/>
    <s v="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
    <s v="VISITA_TÉCNICA"/>
    <s v="F8ZZZ038"/>
    <s v="TIPO II"/>
    <s v="TERRESTRE"/>
    <s v="SALDARRIAGA MIRANDA SANTIAGO"/>
    <n v="1"/>
    <n v="0"/>
    <n v="122645.45276000001"/>
    <n v="65164.677720000007"/>
    <n v="122645.45276000001"/>
  </r>
  <r>
    <s v="BOGOTA"/>
    <x v="5"/>
    <x v="5"/>
    <n v="25797"/>
    <s v="TA-25-915519"/>
    <n v="80804"/>
    <s v="APERTURA"/>
    <s v="CB CRECIMIENTO - NUEVO"/>
    <s v="CUNDINAMARCA"/>
    <s v="TENA"/>
    <s v="BARRIO GUASIMAL TENA TENA"/>
    <s v="REDEBAN"/>
    <s v="FO-25-1316472"/>
    <d v="2025-08-01T00:00:00"/>
    <d v="2025-08-05T00:00:00"/>
    <s v="UNO A UNO"/>
    <s v="UNO A UNO"/>
    <s v="EJECUTADO"/>
    <s v="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VISITA_TÉCNICA"/>
    <s v="F8ZZZ039"/>
    <s v="TIPO II"/>
    <s v="TERRESTRE"/>
    <s v="GOMEZ VEGA DAVID SNEYDER"/>
    <n v="1"/>
    <n v="0"/>
    <n v="122645.45276000001"/>
    <n v="65164.677720000007"/>
    <n v="122645.45276000001"/>
  </r>
  <r>
    <s v="MANIZALES"/>
    <x v="1"/>
    <x v="6"/>
    <n v="17013"/>
    <s v="TA-25-915520"/>
    <n v="80767"/>
    <s v="APERTURA"/>
    <s v="CB CRECIMIENTO - NUEVO"/>
    <s v="CALDAS"/>
    <s v="AGUADAS"/>
    <s v="BARRIO OLIVARES SECTOR LA Y  AGUADAS"/>
    <s v="REDEBAN"/>
    <s v="FO-25-1316477"/>
    <d v="2025-08-01T00:00:00"/>
    <d v="2025-08-05T00:00:00"/>
    <s v="UNO A UNO"/>
    <s v="UNO A UNO"/>
    <s v="EJECUTADO"/>
    <s v="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VISITA_TÉCNICA"/>
    <s v="F8ZZZ040"/>
    <s v="TIPO III"/>
    <s v="TERRESTRE"/>
    <s v="AGUIRRE HENAO RAUL EDUARDO"/>
    <n v="1"/>
    <n v="0"/>
    <n v="122645.45276000001"/>
    <n v="65164.677720000007"/>
    <n v="122645.45276000001"/>
  </r>
  <r>
    <s v="MANIZALES"/>
    <x v="1"/>
    <x v="6"/>
    <n v="17001"/>
    <s v="TA-25-915522"/>
    <n v="80790"/>
    <s v="APERTURA"/>
    <s v="CB CRECIMIENTO - NUEVO"/>
    <s v="CALDAS"/>
    <s v="MANIZALES"/>
    <s v="BARRIO VINA DEL RIO MANIZALES"/>
    <s v="REDEBAN"/>
    <s v="FO-25-1316479"/>
    <d v="2025-08-01T00:00:00"/>
    <d v="2025-08-05T00:00:00"/>
    <s v="UNO A UNO"/>
    <s v="UNO A UNO"/>
    <s v="EJECUTADO"/>
    <s v="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ÉCNICA"/>
    <s v="F8ZZZ041"/>
    <s v="TIPO I"/>
    <s v="TERRESTRE"/>
    <s v="ARROYAVE CANO MANUEL GUILLERMO"/>
    <n v="1"/>
    <n v="0"/>
    <n v="122645.45276000001"/>
    <n v="65164.677720000007"/>
    <n v="122645.45276000001"/>
  </r>
  <r>
    <s v="BOGOTA"/>
    <x v="5"/>
    <x v="5"/>
    <n v="25781"/>
    <s v="TA-25-915523"/>
    <n v="80801"/>
    <s v="APERTURA"/>
    <s v="CB CRECIMIENTO - NUEVO"/>
    <s v="CUNDINAMARCA"/>
    <s v="SUTATAUSA"/>
    <s v="BARRIO CENTRO SUTATAUSA CENTRO"/>
    <s v="REDEBAN"/>
    <s v="FO-25-1316485"/>
    <d v="2025-08-01T00:00:00"/>
    <d v="2025-08-05T00:00:00"/>
    <s v="UNO A UNO"/>
    <s v="UNO A UNO"/>
    <s v="EJECUTADO"/>
    <s v="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ÉCNICA"/>
    <s v="F8ZZZ042"/>
    <s v="TIPO II"/>
    <s v="TERRESTRE"/>
    <s v="MURCIA HERNANDEZ HARVEY IGNACIO"/>
    <n v="1"/>
    <n v="0"/>
    <n v="122645.45276000001"/>
    <n v="65164.677720000007"/>
    <n v="122645.45276000001"/>
  </r>
  <r>
    <s v="MONTERIA"/>
    <x v="4"/>
    <x v="4"/>
    <n v="23417"/>
    <s v="TA-25-915526"/>
    <n v="80822"/>
    <s v="APERTURA"/>
    <s v="CB CRECIMIENTO - NUEVO"/>
    <s v="CORDOBA"/>
    <s v="LORICA"/>
    <s v="BARRIO SAN MIGUEL LORICA"/>
    <s v="REDEBAN"/>
    <s v="FO-25-1316489"/>
    <d v="2025-08-01T00:00:00"/>
    <d v="2025-08-05T00:00:00"/>
    <s v="UNO A UNO"/>
    <s v="UNO A UNO"/>
    <s v="EJECUTADO"/>
    <s v="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
    <s v="VISITA_TÉCNICA"/>
    <s v="F8ZZZ044"/>
    <s v="TIPO II"/>
    <s v="TERRESTRE"/>
    <s v="GONZALEZ FERRER JESUS ALEXANDER"/>
    <n v="1"/>
    <n v="0"/>
    <n v="122645.45276000001"/>
    <n v="65164.677720000007"/>
    <n v="122645.45276000001"/>
  </r>
  <r>
    <s v="PASTO"/>
    <x v="1"/>
    <x v="1"/>
    <n v="52835"/>
    <s v="TA-25-915529"/>
    <n v="80802"/>
    <s v="APERTURA"/>
    <s v="CB CRECIMIENTO - NUEVO"/>
    <s v="NARIÑO"/>
    <s v="SAN ANDRES DE TUMACO"/>
    <s v="BARRIO VEREDA LA ZABALETA SAN ANDRES DE TUMACO"/>
    <s v="REDEBAN"/>
    <s v="FO-25-1316499"/>
    <d v="2025-08-01T00:00:00"/>
    <d v="2025-08-05T00:00:00"/>
    <s v="UNO A UNO"/>
    <s v="UNO A UNO"/>
    <s v="EJECUTADO"/>
    <s v="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
    <s v="VISITA_TÉCNICA"/>
    <s v="F8ZZZ047"/>
    <s v="TIPO IV"/>
    <s v="TERRESTRE"/>
    <s v="PAZ MARTINEZ RICHARD HUMBERTO"/>
    <n v="1"/>
    <n v="0"/>
    <n v="122645.45276000001"/>
    <n v="65164.677720000007"/>
    <n v="122645.45276000001"/>
  </r>
  <r>
    <s v="BOGOTA"/>
    <x v="5"/>
    <x v="5"/>
    <n v="11001"/>
    <s v="TA-25-915535"/>
    <n v="80774"/>
    <s v="APERTURA"/>
    <s v="CB CRECIMIENTO - NUEVO"/>
    <s v="CUNDINAMARCA"/>
    <s v="BOGOTA"/>
    <s v="BARRIO SAN BLAS BOGOTA 6"/>
    <s v="REDEBAN"/>
    <s v="FO-25-1316505"/>
    <d v="2025-08-01T00:00:00"/>
    <d v="2025-08-04T00:00:00"/>
    <s v="UNO A UNO"/>
    <s v="UNO A UNO"/>
    <s v="EJECUTADO"/>
    <s v="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
    <s v="VISITA_TÉCNICA"/>
    <s v="F8ZZZ048"/>
    <s v="TIPO I"/>
    <s v="TERRESTRE"/>
    <s v="ROMERO ROJAS BREIDY JHOHAN"/>
    <n v="1"/>
    <n v="0"/>
    <n v="122645.45276000001"/>
    <n v="65164.677720000007"/>
    <n v="122645.45276000001"/>
  </r>
  <r>
    <s v="MEDELLIN"/>
    <x v="2"/>
    <x v="2"/>
    <n v="5361"/>
    <s v="TA-25-915536"/>
    <n v="80769"/>
    <s v="APERTURA"/>
    <s v="CB CRECIMIENTO - NUEVO"/>
    <s v="ANTIOQUIA"/>
    <s v="ITUANGO"/>
    <s v="BARRIO CARRERA RUIZ ITUANGO"/>
    <s v="REDEBAN"/>
    <s v="FO-25-1316508"/>
    <d v="2025-08-01T00:00:00"/>
    <d v="2025-08-06T00:00:00"/>
    <s v="UNO A UNO"/>
    <s v="UNO A UNO"/>
    <s v="EJECUTADO"/>
    <s v="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
    <s v="VISITA_TÉCNICA"/>
    <s v="F8ZZZ049"/>
    <s v="TIPO IV"/>
    <s v="TERRESTRE"/>
    <s v="DIAZ ZABALA FRANCIS DUBAN"/>
    <n v="1"/>
    <n v="0"/>
    <n v="122645.45276000001"/>
    <n v="65164.677720000007"/>
    <n v="122645.45276000001"/>
  </r>
  <r>
    <s v="SINCELEJO"/>
    <x v="4"/>
    <x v="4"/>
    <n v="70708"/>
    <s v="TA-25-915537"/>
    <n v="80805"/>
    <s v="APERTURA"/>
    <s v="CB CRECIMIENTO - NUEVO"/>
    <s v="SUCRE"/>
    <s v="SAN MARCOS"/>
    <s v="BARRIO SUCRE SAN MARCOS 1"/>
    <s v="REDEBAN"/>
    <s v="FO-25-1316511"/>
    <d v="2025-08-01T00:00:00"/>
    <d v="2025-08-04T00:00:00"/>
    <s v="UNO A UNO"/>
    <s v="UNO A UNO"/>
    <s v="EJECUTADO"/>
    <s v="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
    <s v="VISITA_TÉCNICA"/>
    <s v="F8ZZZ050"/>
    <s v="TIPO III"/>
    <s v="TERRESTRE"/>
    <s v="CASSIANI PEREZ RAUL RAMIRO"/>
    <n v="1"/>
    <n v="0"/>
    <n v="122645.45276000001"/>
    <n v="65164.677720000007"/>
    <n v="122645.45276000001"/>
  </r>
  <r>
    <s v="NEIVA"/>
    <x v="0"/>
    <x v="0"/>
    <n v="41001"/>
    <s v="TA-25-915539"/>
    <n v="80793"/>
    <s v="APERTURA"/>
    <s v="CB CRECIMIENTO - NUEVO"/>
    <s v="HUILA"/>
    <s v="NEIVA"/>
    <s v="BARRIO CARACOLI NEIVA"/>
    <s v="REDEBAN"/>
    <s v="FO-25-1316514"/>
    <d v="2025-08-01T00:00:00"/>
    <d v="2025-08-04T00:00:00"/>
    <s v="UNO A UNO"/>
    <s v="UNO A UNO"/>
    <s v="EJECUTADO"/>
    <s v="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VISITA_TÉCNICA"/>
    <s v="F8ZZZ051"/>
    <s v="TIPO I"/>
    <s v="TERRESTRE"/>
    <s v="DIAZ VARGAS JONATHAN MIGUEL"/>
    <n v="1"/>
    <n v="0"/>
    <n v="122645.45276000001"/>
    <n v="65164.677720000007"/>
    <n v="122645.45276000001"/>
  </r>
  <r>
    <s v="IBAGUE"/>
    <x v="0"/>
    <x v="0"/>
    <n v="73001"/>
    <s v="TA-25-915540"/>
    <n v="80821"/>
    <s v="APERTURA"/>
    <s v="CB CRECIMIENTO - NUEVO"/>
    <s v="TOLIMA"/>
    <s v="IBAGUE"/>
    <s v="BARRIO SAN SIMON PARTE BAJA IBAGUE 4"/>
    <s v="REDEBAN"/>
    <s v="FO-25-1316516"/>
    <d v="2025-08-01T00:00:00"/>
    <d v="2025-08-04T00:00:00"/>
    <s v="UNO A UNO"/>
    <s v="UNO A UNO"/>
    <s v="EJECUTADO"/>
    <s v="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VISITA_TÉCNICA"/>
    <s v="F8ZZZ052"/>
    <s v="TIPO I"/>
    <s v="TERRESTRE"/>
    <s v="BARRAGAN TAFUR EDWIN ESTEBAN"/>
    <n v="1"/>
    <n v="0"/>
    <n v="122645.45276000001"/>
    <n v="65164.677720000007"/>
    <n v="122645.45276000001"/>
  </r>
  <r>
    <s v="MEDELLIN"/>
    <x v="2"/>
    <x v="2"/>
    <n v="5001"/>
    <s v="TA-25-930967"/>
    <n v="80856"/>
    <s v="APERTURA"/>
    <s v="CB CRECIMIENTO ALIANZA - NUEVO"/>
    <s v="ANTIOQUIA"/>
    <s v="MEDELLIN"/>
    <s v="PTM MEDELLIN AMALINA MULTISERV"/>
    <s v="REDEBAN"/>
    <s v="FO-25-1338727"/>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GZZZ992"/>
    <s v="TIPO I"/>
    <s v="TERRESTRE"/>
    <s v="PAREJA ECHAVARRIA JHON DAVID"/>
    <n v="1"/>
    <n v="0"/>
    <n v="122645.45276000001"/>
    <n v="65164.677720000007"/>
    <n v="122645.45276000001"/>
  </r>
  <r>
    <s v="MEDELLIN"/>
    <x v="2"/>
    <x v="2"/>
    <n v="5001"/>
    <s v="TA-25-930968"/>
    <n v="80857"/>
    <s v="APERTURA"/>
    <s v="CB CRECIMIENTO ALIANZA - NUEVO"/>
    <s v="ANTIOQUIA"/>
    <s v="MEDELLIN"/>
    <s v="PTM MEDELLIN VARIEDADES LA CHI"/>
    <s v="REDEBAN"/>
    <s v="FO-25-133873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GZZZ993"/>
    <s v="TIPO I"/>
    <s v="TERRESTRE"/>
    <s v="MARTINEZ TOVAR OSCAR DAVID"/>
    <n v="1"/>
    <n v="0"/>
    <n v="122645.45276000001"/>
    <n v="65164.677720000007"/>
    <n v="122645.45276000001"/>
  </r>
  <r>
    <s v="MEDELLIN"/>
    <x v="2"/>
    <x v="2"/>
    <n v="5001"/>
    <s v="TA-25-930969"/>
    <n v="80858"/>
    <s v="APERTURA"/>
    <s v="CB CRECIMIENTO ALIANZA - NUEVO"/>
    <s v="ANTIOQUIA"/>
    <s v="MEDELLIN"/>
    <s v="PTM MEDELLIN DEPOSITO ELFERRET"/>
    <s v="REDEBAN"/>
    <s v="FO-25-133874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GZZZ994"/>
    <s v="TIPO I"/>
    <s v="TERRESTRE"/>
    <s v="MARTINEZ TOVAR OSCAR DAVID"/>
    <n v="1"/>
    <n v="0"/>
    <n v="122645.45276000001"/>
    <n v="65164.677720000007"/>
    <n v="122645.45276000001"/>
  </r>
  <r>
    <s v="MEDELLIN"/>
    <x v="2"/>
    <x v="2"/>
    <n v="5001"/>
    <s v="TA-25-930972"/>
    <n v="80859"/>
    <s v="APERTURA"/>
    <s v="CB CRECIMIENTO ALIANZA - NUEVO"/>
    <s v="ANTIOQUIA"/>
    <s v="MEDELLIN"/>
    <s v="PTM MEDELLIN DROGUERIA FARMA 2"/>
    <s v="REDEBAN"/>
    <s v="FO-25-133875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GZZZ995"/>
    <s v="TIPO I"/>
    <s v="TERRESTRE"/>
    <s v="PAREJA ECHAVARRIA JHON DAVID"/>
    <n v="1"/>
    <n v="0"/>
    <n v="122645.45276000001"/>
    <n v="65164.677720000007"/>
    <n v="122645.45276000001"/>
  </r>
  <r>
    <s v="MEDELLIN"/>
    <x v="2"/>
    <x v="2"/>
    <n v="5088"/>
    <s v="TA-25-930974"/>
    <n v="80853"/>
    <s v="APERTURA"/>
    <s v="CB CRECIMIENTO ALIANZA - NUEVO"/>
    <s v="ANTIOQUIA"/>
    <s v="BELLO"/>
    <s v="PTM BELLO CRIPTOFUA"/>
    <s v="REDEBAN"/>
    <s v="FO-25-133875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GZZZ996"/>
    <s v="TIPO I"/>
    <s v="TERRESTRE"/>
    <s v="BADEL ACUÑA LUIS ALBERTO"/>
    <n v="1"/>
    <n v="0"/>
    <n v="122645.45276000001"/>
    <n v="65164.677720000007"/>
    <n v="122645.45276000001"/>
  </r>
  <r>
    <s v="MEDELLIN"/>
    <x v="2"/>
    <x v="2"/>
    <n v="5088"/>
    <s v="TA-25-930975"/>
    <n v="80854"/>
    <s v="APERTURA"/>
    <s v="CB CRECIMIENTO ALIANZA - NUEVO"/>
    <s v="ANTIOQUIA"/>
    <s v="BELLO"/>
    <s v="PTM BELLO UNIVERSO CONSTRUCTOR"/>
    <s v="REDEBAN"/>
    <s v="FO-25-133876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GZZZ997"/>
    <s v="TIPO I"/>
    <s v="TERRESTRE"/>
    <s v="BADEL ACUÑA LUIS ALBERTO"/>
    <n v="1"/>
    <n v="0"/>
    <n v="122645.45276000001"/>
    <n v="65164.677720000007"/>
    <n v="122645.45276000001"/>
  </r>
  <r>
    <s v="MEDELLIN"/>
    <x v="2"/>
    <x v="2"/>
    <n v="5113"/>
    <s v="TA-25-930976"/>
    <n v="80848"/>
    <s v="APERTURA"/>
    <s v="CB CRECIMIENTO ALIANZA - NUEVO"/>
    <s v="ANTIOQUIA"/>
    <s v="BURITICA"/>
    <s v="PTM BURITICA VARIEDADES EL CAR"/>
    <s v="REDEBAN"/>
    <s v="FO-25-1338770"/>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GZZZ998"/>
    <s v="TIPO IV"/>
    <s v="TERRESTRE"/>
    <s v="MARTINEZ TOVAR OSCAR DAVID"/>
    <n v="1"/>
    <n v="0"/>
    <n v="122645.45276000001"/>
    <n v="65164.677720000007"/>
    <n v="122645.45276000001"/>
  </r>
  <r>
    <s v="MEDELLIN"/>
    <x v="2"/>
    <x v="2"/>
    <n v="5120"/>
    <s v="TA-25-930977"/>
    <n v="80849"/>
    <s v="APERTURA"/>
    <s v="CB CRECIMIENTO ALIANZA - NUEVO"/>
    <s v="ANTIOQUIA"/>
    <s v="CACERES"/>
    <s v="PTM CACERES DROGUERIA GALENO Y"/>
    <s v="REDEBAN"/>
    <s v="FO-25-1338778"/>
    <d v="2025-08-06T00:00:00"/>
    <d v="2025-08-12T00:00:00"/>
    <s v="AGREGADOR"/>
    <s v="COMCARD - PTM"/>
    <s v="EJECUTADO"/>
    <s v="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
    <s v="VISITA_TÉCNICA"/>
    <s v="FGZZZ999"/>
    <s v="TIPO IV"/>
    <s v="TERRESTRE"/>
    <s v="BADEL ACUÑA LUIS ALBERTO"/>
    <n v="1"/>
    <n v="0"/>
    <n v="122645.45276000001"/>
    <n v="65164.677720000007"/>
    <n v="122645.45276000001"/>
  </r>
  <r>
    <s v="MONTERIA"/>
    <x v="4"/>
    <x v="4"/>
    <n v="5154"/>
    <s v="TA-25-930978"/>
    <n v="80840"/>
    <s v="APERTURA"/>
    <s v="CB CRECIMIENTO ALIANZA - NUEVO"/>
    <s v="ANTIOQUIA"/>
    <s v="CAUCASIA"/>
    <s v="PTM CAUCASIA VARIEDADES LERS"/>
    <s v="REDEBAN"/>
    <s v="FO-25-133878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00"/>
    <s v="TIPO II"/>
    <s v="TERRESTRE"/>
    <s v="CASSIANI PEREZ RAUL RAMIRO"/>
    <n v="1"/>
    <n v="0"/>
    <n v="122645.45276000001"/>
    <n v="65164.677720000007"/>
    <n v="122645.45276000001"/>
  </r>
  <r>
    <s v="MEDELLIN"/>
    <x v="2"/>
    <x v="2"/>
    <n v="5440"/>
    <s v="TA-25-930980"/>
    <n v="80855"/>
    <s v="APERTURA"/>
    <s v="CB CRECIMIENTO ALIANZA - NUEVO"/>
    <s v="ANTIOQUIA"/>
    <s v="MARINILLA"/>
    <s v="PTM MARINILLA PAPELERIA Y VARI"/>
    <s v="REDEBAN"/>
    <s v="FO-25-133879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01"/>
    <s v="TIPO II"/>
    <s v="TERRESTRE"/>
    <s v="DIAZ ZABALA FRANCIS DUBAN"/>
    <n v="1"/>
    <n v="0"/>
    <n v="122645.45276000001"/>
    <n v="65164.677720000007"/>
    <n v="122645.45276000001"/>
  </r>
  <r>
    <s v="APARTADO"/>
    <x v="2"/>
    <x v="2"/>
    <n v="5837"/>
    <s v="TA-25-930983"/>
    <n v="80844"/>
    <s v="APERTURA"/>
    <s v="CB CRECIMIENTO ALIANZA - NUEVO"/>
    <s v="ANTIOQUIA"/>
    <s v="TURBO"/>
    <s v="PTM TURBO MICELANIA Y PAPELERI"/>
    <s v="REDEBAN"/>
    <s v="FO-25-1338808"/>
    <d v="2025-08-06T00:00:00"/>
    <d v="2025-08-12T00:00:00"/>
    <s v="AGREGADOR"/>
    <s v="COMCARD - PTM"/>
    <s v="EJECUTADO"/>
    <s v="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
    <s v="VISITA_TÉCNICA"/>
    <s v="FHZZZ003"/>
    <s v="TIPO II"/>
    <s v="TERRESTRE"/>
    <s v="SALDARRIAGA MIRANDA SANTIAGO"/>
    <n v="1"/>
    <n v="0"/>
    <n v="122645.45276000001"/>
    <n v="65164.677720000007"/>
    <n v="122645.45276000001"/>
  </r>
  <r>
    <s v="APARTADO"/>
    <x v="2"/>
    <x v="2"/>
    <n v="5837"/>
    <s v="TA-25-930985"/>
    <n v="80845"/>
    <s v="APERTURA"/>
    <s v="CB CRECIMIENTO ALIANZA - NUEVO"/>
    <s v="ANTIOQUIA"/>
    <s v="TURBO"/>
    <s v="PTM TURBO SERVIDOGAS FLOREZ"/>
    <s v="REDEBAN"/>
    <s v="FO-25-133881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04"/>
    <s v="TIPO II"/>
    <s v="TERRESTRE"/>
    <s v="SALDARRIAGA MIRANDA SANTIAGO"/>
    <n v="1"/>
    <n v="0"/>
    <n v="122645.45276000001"/>
    <n v="65164.677720000007"/>
    <n v="122645.45276000001"/>
  </r>
  <r>
    <s v="BARRANQUILLA"/>
    <x v="4"/>
    <x v="4"/>
    <n v="8001"/>
    <s v="TA-25-930986"/>
    <n v="80826"/>
    <s v="APERTURA"/>
    <s v="CB CRECIMIENTO ALIANZA - NUEVO"/>
    <s v="ATLANTICO"/>
    <s v="BARRANQUILLA"/>
    <s v="PTM BARRANQUILLA VARIEDADES Y"/>
    <s v="REDEBAN"/>
    <s v="FO-25-1338823"/>
    <d v="2025-08-06T00:00:00"/>
    <d v="2025-08-11T00:00:00"/>
    <s v="AGREGADOR"/>
    <s v="COMCARD - PTM"/>
    <s v="EJECUTADO"/>
    <s v="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
    <s v="VISITA_TÉCNICA"/>
    <s v="FHZZZ005"/>
    <s v="TIPO I"/>
    <s v="TERRESTRE"/>
    <s v="DE AVILA SIADES ALBERTO ENRIQUE"/>
    <n v="1"/>
    <n v="0"/>
    <n v="122645.45276000001"/>
    <n v="65164.677720000007"/>
    <n v="122645.45276000001"/>
  </r>
  <r>
    <s v="CARTAGENA"/>
    <x v="4"/>
    <x v="4"/>
    <n v="13001"/>
    <s v="TA-25-930991"/>
    <n v="80839"/>
    <s v="APERTURA"/>
    <s v="CB CRECIMIENTO ALIANZA - NUEVO"/>
    <s v="BOLIVAR"/>
    <s v="CARTAGENA"/>
    <s v="PTM CARTAGENA DROGUERIA Y FARM"/>
    <s v="REDEBAN"/>
    <s v="FO-25-133882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06"/>
    <s v="TIPO I"/>
    <s v="TERRESTRE"/>
    <s v="CANEDO HERRERA ALEXANDER"/>
    <n v="1"/>
    <n v="0"/>
    <n v="122645.45276000001"/>
    <n v="65164.677720000007"/>
    <n v="122645.45276000001"/>
  </r>
  <r>
    <s v="PEREIRA"/>
    <x v="1"/>
    <x v="6"/>
    <n v="63190"/>
    <s v="TA-25-931004"/>
    <n v="80841"/>
    <s v="APERTURA"/>
    <s v="CB CRECIMIENTO ALIANZA - NUEVO"/>
    <s v="QUINDIO"/>
    <s v="CIRCASIA"/>
    <s v="PTM CIRCASIA CREDIPLAN VENTA D"/>
    <s v="REDEBAN"/>
    <s v="FO-25-133884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07"/>
    <s v="TIPO II"/>
    <s v="TERRESTRE"/>
    <s v="SANCHEZ SOLORZANO JUAN SEBASTIAN"/>
    <n v="1"/>
    <n v="0"/>
    <n v="122645.45276000001"/>
    <n v="65164.677720000007"/>
    <n v="122645.45276000001"/>
  </r>
  <r>
    <s v="PEREIRA"/>
    <x v="1"/>
    <x v="6"/>
    <n v="66001"/>
    <s v="TA-25-931026"/>
    <n v="80851"/>
    <s v="APERTURA"/>
    <s v="CB CRECIMIENTO ALIANZA - NUEVO"/>
    <s v="RISARALDA"/>
    <s v="PEREIRA"/>
    <s v="PTM PEREIRA YOUR NEW LOOK"/>
    <s v="REDEBAN"/>
    <s v="FO-25-133885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VISITA_TÉCNICA"/>
    <s v="FHZZZ008"/>
    <s v="TIPO I"/>
    <s v="TERRESTRE"/>
    <s v="FRANCO CAÑAVERAL YAMID RAUL"/>
    <n v="1"/>
    <n v="0"/>
    <n v="122645.45276000001"/>
    <n v="65164.677720000007"/>
    <n v="122645.45276000001"/>
  </r>
  <r>
    <s v="PEREIRA"/>
    <x v="1"/>
    <x v="6"/>
    <n v="66170"/>
    <s v="TA-25-931034"/>
    <n v="80843"/>
    <s v="APERTURA"/>
    <s v="CB CRECIMIENTO ALIANZA - NUEVO"/>
    <s v="RISARALDA"/>
    <s v="DOSQUEBRADAS"/>
    <s v="PTM DOSQUEBRADAS APOTEOSICA PE"/>
    <s v="REDEBAN"/>
    <s v="FO-25-1338859"/>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09"/>
    <s v="TIPO I"/>
    <s v="TERRESTRE"/>
    <s v="FRANCO CAÑAVERAL YAMID RAUL"/>
    <n v="1"/>
    <n v="0"/>
    <n v="122645.45276000001"/>
    <n v="65164.677720000007"/>
    <n v="122645.45276000001"/>
  </r>
  <r>
    <s v="BUCARAMANGA"/>
    <x v="3"/>
    <x v="3"/>
    <n v="68001"/>
    <s v="TA-25-931044"/>
    <n v="80833"/>
    <s v="APERTURA"/>
    <s v="CB CRECIMIENTO ALIANZA - NUEVO"/>
    <s v="SANTANDER"/>
    <s v="BUCARAMANGA"/>
    <s v="PTM BUCARAMANGA TIENDA NINO MA"/>
    <s v="REDEBAN"/>
    <s v="FO-25-133887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0"/>
    <s v="TIPO I"/>
    <s v="TERRESTRE"/>
    <s v="GELVEZ MOGOLLON JOSE ELISEO"/>
    <n v="1"/>
    <n v="0"/>
    <n v="122645.45276000001"/>
    <n v="65164.677720000007"/>
    <n v="122645.45276000001"/>
  </r>
  <r>
    <s v="BUCARAMANGA"/>
    <x v="3"/>
    <x v="3"/>
    <n v="68001"/>
    <s v="TA-25-931065"/>
    <n v="80834"/>
    <s v="APERTURA"/>
    <s v="CB CRECIMIENTO ALIANZA - NUEVO"/>
    <s v="SANTANDER"/>
    <s v="BUCARAMANGA"/>
    <s v="PTM BUCARAMANGA TERRAZEO FRESH"/>
    <s v="REDEBAN"/>
    <s v="FO-25-133888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1"/>
    <s v="TIPO I"/>
    <s v="TERRESTRE"/>
    <s v="GELVEZ MOGOLLON JOSE ELISEO"/>
    <n v="1"/>
    <n v="0"/>
    <n v="122645.45276000001"/>
    <n v="65164.677720000007"/>
    <n v="122645.45276000001"/>
  </r>
  <r>
    <s v="BUCARAMANGA"/>
    <x v="3"/>
    <x v="3"/>
    <n v="68081"/>
    <s v="TA-25-931066"/>
    <n v="80825"/>
    <s v="APERTURA"/>
    <s v="CB CRECIMIENTO ALIANZA - NUEVO"/>
    <s v="SANTANDER"/>
    <s v="BARRANCABERMEJA"/>
    <s v="PTM BARRANCABERMEJA PAPELERIA"/>
    <s v="REDEBAN"/>
    <s v="FO-25-133889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VISITA_TÉCNICA"/>
    <s v="FHZZZ012"/>
    <s v="TIPO III"/>
    <s v="TERRESTRE"/>
    <s v="GELVEZ MOGOLLON JOSE ELISEO"/>
    <n v="1"/>
    <n v="0"/>
    <n v="122645.45276000001"/>
    <n v="65164.677720000007"/>
    <n v="122645.45276000001"/>
  </r>
  <r>
    <s v="BUCARAMANGA"/>
    <x v="3"/>
    <x v="3"/>
    <n v="68307"/>
    <s v="TA-25-931067"/>
    <n v="80846"/>
    <s v="APERTURA"/>
    <s v="CB CRECIMIENTO ALIANZA - NUEVO"/>
    <s v="SANTANDER"/>
    <s v="GIRON"/>
    <s v="PTM GIRON VARIEDADES ANDINAS"/>
    <s v="REDEBAN"/>
    <s v="FO-25-133889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3"/>
    <s v="TIPO I"/>
    <s v="TERRESTRE"/>
    <s v="SANTOS GONZALEZ JOHAN FABIAN"/>
    <n v="1"/>
    <n v="0"/>
    <n v="122645.45276000001"/>
    <n v="65164.677720000007"/>
    <n v="122645.45276000001"/>
  </r>
  <r>
    <s v="BUCARAMANGA"/>
    <x v="3"/>
    <x v="3"/>
    <n v="68307"/>
    <s v="TA-25-931068"/>
    <n v="80847"/>
    <s v="APERTURA"/>
    <s v="CB CRECIMIENTO ALIANZA - NUEVO"/>
    <s v="SANTANDER"/>
    <s v="GIRON"/>
    <s v="PTM GIRON KYOMU DISTRIBUCIONES"/>
    <s v="REDEBAN"/>
    <s v="FO-25-133890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4"/>
    <s v="TIPO I"/>
    <s v="TERRESTRE"/>
    <s v="SANTOS GONZALEZ JOHAN FABIAN"/>
    <n v="1"/>
    <n v="0"/>
    <n v="122645.45276000001"/>
    <n v="65164.677720000007"/>
    <n v="122645.45276000001"/>
  </r>
  <r>
    <s v="BUCARAMANGA"/>
    <x v="3"/>
    <x v="3"/>
    <n v="68547"/>
    <s v="TA-25-931069"/>
    <n v="80852"/>
    <s v="APERTURA"/>
    <s v="CB CRECIMIENTO ALIANZA - NUEVO"/>
    <s v="SANTANDER"/>
    <s v="PIEDECUESTA"/>
    <s v="PTM PIEDECUESTA PLANET SCHOOLL"/>
    <s v="REDEBAN"/>
    <s v="FO-25-133891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5"/>
    <s v="TIPO II"/>
    <s v="TERRESTRE"/>
    <s v="PEÑA DIAZ IVAN YESID"/>
    <n v="1"/>
    <n v="0"/>
    <n v="122645.45276000001"/>
    <n v="65164.677720000007"/>
    <n v="122645.45276000001"/>
  </r>
  <r>
    <s v="IBAGUE"/>
    <x v="0"/>
    <x v="0"/>
    <n v="73001"/>
    <s v="TA-25-931070"/>
    <n v="80850"/>
    <s v="APERTURA"/>
    <s v="CB CRECIMIENTO ALIANZA - NUEVO"/>
    <s v="TOLIMA"/>
    <s v="IBAGUE"/>
    <s v="PTM IBAGUE TIENDA DONDE PITA"/>
    <s v="REDEBAN"/>
    <s v="FO-25-133892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16"/>
    <s v="TIPO I"/>
    <s v="TERRESTRE"/>
    <s v="BARRAGAN TAFUR EDWIN ESTEBAN"/>
    <n v="1"/>
    <n v="0"/>
    <n v="122645.45276000001"/>
    <n v="65164.677720000007"/>
    <n v="122645.45276000001"/>
  </r>
  <r>
    <s v="CALI"/>
    <x v="1"/>
    <x v="1"/>
    <n v="76001"/>
    <s v="TA-25-931072"/>
    <n v="80835"/>
    <s v="APERTURA"/>
    <s v="CB CRECIMIENTO ALIANZA - NUEVO"/>
    <s v="VALLE DEL CAUCA"/>
    <s v="CALI"/>
    <s v="PTM CALI CELURAIGOZA S.A.S."/>
    <s v="REDEBAN"/>
    <s v="FO-25-133893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17"/>
    <s v="TIPO I"/>
    <s v="TERRESTRE"/>
    <s v="PAREDES CASTILLO DIEGO"/>
    <n v="1"/>
    <n v="0"/>
    <n v="122645.45276000001"/>
    <n v="65164.677720000007"/>
    <n v="122645.45276000001"/>
  </r>
  <r>
    <s v="CALI"/>
    <x v="1"/>
    <x v="1"/>
    <n v="76001"/>
    <s v="TA-25-931084"/>
    <n v="80836"/>
    <s v="APERTURA"/>
    <s v="CB CRECIMIENTO ALIANZA - NUEVO"/>
    <s v="VALLE DEL CAUCA"/>
    <s v="CALI"/>
    <s v="PTM CALI POLLOS COLORADO"/>
    <s v="REDEBAN"/>
    <s v="FO-25-133894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18"/>
    <s v="TIPO I"/>
    <s v="TERRESTRE"/>
    <s v="TORRES GARCIA JENDRY JOSE"/>
    <n v="1"/>
    <n v="0"/>
    <n v="122645.45276000001"/>
    <n v="65164.677720000007"/>
    <n v="122645.45276000001"/>
  </r>
  <r>
    <s v="CALI"/>
    <x v="1"/>
    <x v="1"/>
    <n v="76001"/>
    <s v="TA-25-931102"/>
    <n v="80837"/>
    <s v="APERTURA"/>
    <s v="CB CRECIMIENTO ALIANZA - NUEVO"/>
    <s v="VALLE DEL CAUCA"/>
    <s v="CALI"/>
    <s v="PTM CALI MULTISERVICIOS DAOR"/>
    <s v="REDEBAN"/>
    <s v="FO-25-133895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19"/>
    <s v="TIPO I"/>
    <s v="TERRESTRE"/>
    <s v="BOLAÑOS TABORDA JORGE ENRIQUE"/>
    <n v="1"/>
    <n v="0"/>
    <n v="122645.45276000001"/>
    <n v="65164.677720000007"/>
    <n v="122645.45276000001"/>
  </r>
  <r>
    <s v="CALI"/>
    <x v="1"/>
    <x v="1"/>
    <n v="76001"/>
    <s v="TA-25-931115"/>
    <n v="80838"/>
    <s v="APERTURA"/>
    <s v="CB CRECIMIENTO ALIANZA - NUEVO"/>
    <s v="VALLE DEL CAUCA"/>
    <s v="CALI"/>
    <s v="PTM CALI MINIMARKET FULL HOGAR"/>
    <s v="REDEBAN"/>
    <s v="FO-25-133896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20"/>
    <s v="TIPO I"/>
    <s v="TERRESTRE"/>
    <s v="HERRERA MONAR GEOVANNY"/>
    <n v="1"/>
    <n v="0"/>
    <n v="122645.45276000001"/>
    <n v="65164.677720000007"/>
    <n v="122645.45276000001"/>
  </r>
  <r>
    <s v="YOPAL"/>
    <x v="0"/>
    <x v="0"/>
    <n v="85001"/>
    <s v="TA-25-931124"/>
    <n v="80860"/>
    <s v="APERTURA"/>
    <s v="CB CRECIMIENTO ALIANZA - NUEVO"/>
    <s v="CASANARE"/>
    <s v="YOPAL"/>
    <s v="PTM YOPAL FULL MOBILE STORE"/>
    <s v="REDEBAN"/>
    <s v="FO-25-133897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21"/>
    <s v="TIPO I"/>
    <s v="TERRESTRE"/>
    <s v="BERNAL ELAICA EDGAR ALEXIS"/>
    <n v="1"/>
    <n v="0"/>
    <n v="122645.45276000001"/>
    <n v="65164.677720000007"/>
    <n v="122645.45276000001"/>
  </r>
  <r>
    <s v="BOGOTA"/>
    <x v="5"/>
    <x v="5"/>
    <n v="11001"/>
    <s v="TA-25-931137"/>
    <n v="80827"/>
    <s v="APERTURA"/>
    <s v="CB CRECIMIENTO ALIANZA - NUEVO"/>
    <s v="CUNDINAMARCA"/>
    <s v="BOGOTA"/>
    <s v="PTM BOGOTA NISSI PERSONALIZADO"/>
    <s v="REDEBAN"/>
    <s v="FO-25-133898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22"/>
    <s v="TIPO I"/>
    <s v="TERRESTRE"/>
    <s v="ORTIZ MARTINEZ STIVEN"/>
    <n v="1"/>
    <n v="0"/>
    <n v="122645.45276000001"/>
    <n v="65164.677720000007"/>
    <n v="122645.45276000001"/>
  </r>
  <r>
    <s v="BOGOTA"/>
    <x v="5"/>
    <x v="5"/>
    <n v="11001"/>
    <s v="TA-25-931152"/>
    <n v="80828"/>
    <s v="APERTURA"/>
    <s v="CB CRECIMIENTO ALIANZA - NUEVO"/>
    <s v="CUNDINAMARCA"/>
    <s v="BOGOTA"/>
    <s v="PTM BOGOTA ZAHARA JEWELRY"/>
    <s v="REDEBAN"/>
    <s v="FO-25-133899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23"/>
    <s v="TIPO I"/>
    <s v="TERRESTRE"/>
    <s v="HERNANDEZ NARANJO OSCAR EDUARDO"/>
    <n v="1"/>
    <n v="0"/>
    <n v="122645.45276000001"/>
    <n v="65164.677720000007"/>
    <n v="122645.45276000001"/>
  </r>
  <r>
    <s v="BOGOTA"/>
    <x v="5"/>
    <x v="5"/>
    <n v="11001"/>
    <s v="TA-25-931212"/>
    <n v="80829"/>
    <s v="APERTURA"/>
    <s v="CB CRECIMIENTO ALIANZA - NUEVO"/>
    <s v="CUNDINAMARCA"/>
    <s v="BOGOTA"/>
    <s v="PTM BOGOTA ANGEL Y DUCK"/>
    <s v="REDEBAN"/>
    <s v="FO-25-133928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24"/>
    <s v="TIPO I"/>
    <s v="TERRESTRE"/>
    <s v="GALEANO SORIANO JUAN DAVID"/>
    <n v="1"/>
    <n v="0"/>
    <n v="122645.45276000001"/>
    <n v="65164.677720000007"/>
    <n v="122645.45276000001"/>
  </r>
  <r>
    <s v="BOGOTA"/>
    <x v="5"/>
    <x v="5"/>
    <n v="11001"/>
    <s v="TA-25-931153"/>
    <n v="80830"/>
    <s v="APERTURA"/>
    <s v="CB CRECIMIENTO ALIANZA - NUEVO"/>
    <s v="CUNDINAMARCA"/>
    <s v="BOGOTA"/>
    <s v="PTM BOGOTA MISCELANEA Y PAPELE"/>
    <s v="REDEBAN"/>
    <s v="FO-25-133900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25"/>
    <s v="TIPO I"/>
    <s v="TERRESTRE"/>
    <s v="ROMERO ROJAS BREIDY JHOHAN"/>
    <n v="1"/>
    <n v="0"/>
    <n v="122645.45276000001"/>
    <n v="65164.677720000007"/>
    <n v="122645.45276000001"/>
  </r>
  <r>
    <s v="BOGOTA"/>
    <x v="5"/>
    <x v="5"/>
    <n v="11001"/>
    <s v="TA-25-931154"/>
    <n v="80831"/>
    <s v="APERTURA"/>
    <s v="CB CRECIMIENTO ALIANZA - NUEVO"/>
    <s v="CUNDINAMARCA"/>
    <s v="BOGOTA"/>
    <s v="PTM BOGOTA CIGARRERIA Y MINIMA"/>
    <s v="REDEBAN"/>
    <s v="FO-25-133901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ÉCNICA"/>
    <s v="FHZZZ026"/>
    <s v="TIPO I"/>
    <s v="TERRESTRE"/>
    <s v="ORTIZ MARTINEZ STIVEN"/>
    <n v="1"/>
    <n v="0"/>
    <n v="122645.45276000001"/>
    <n v="65164.677720000007"/>
    <n v="122645.45276000001"/>
  </r>
  <r>
    <s v="BOGOTA"/>
    <x v="5"/>
    <x v="5"/>
    <n v="11001"/>
    <s v="TA-25-931155"/>
    <n v="80832"/>
    <s v="APERTURA"/>
    <s v="CB CRECIMIENTO ALIANZA - NUEVO"/>
    <s v="CUNDINAMARCA"/>
    <s v="BOGOTA"/>
    <s v="PTM BOGOTA CASA DE EVENTOS MAR"/>
    <s v="REDEBAN"/>
    <s v="FO-25-133902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ÉCNICA"/>
    <s v="FHZZZ027"/>
    <s v="TIPO I"/>
    <s v="TERRESTRE"/>
    <s v="ORTIZ MARTINEZ STIVEN"/>
    <n v="1"/>
    <n v="0"/>
    <n v="122645.45276000001"/>
    <n v="65164.677720000007"/>
    <n v="122645.45276000001"/>
  </r>
  <r>
    <s v="YOPAL"/>
    <x v="0"/>
    <x v="0"/>
    <n v="85230"/>
    <s v="TA-25-929379"/>
    <n v="80903"/>
    <s v="APERTURA"/>
    <s v="CB CRECIMIENTO - NUEVO"/>
    <s v="CASANARE"/>
    <s v="OROCUE"/>
    <s v="BARRIO SAN GREGORIO OROCUE 2"/>
    <s v="REDEBAN"/>
    <s v="FO-25-1337532"/>
    <d v="2025-08-06T00:00:00"/>
    <d v="2025-08-19T00:00:00"/>
    <s v="UNO A UNO"/>
    <s v="UNO A UNO"/>
    <s v="EJECUTADO"/>
    <s v="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
    <s v="VISITA_TÉCNICA"/>
    <s v="FGZZZ881"/>
    <s v="TIPO IV ESPECIAL"/>
    <s v="TERRESTRE/FLUVIAL"/>
    <s v="BERNAL ELAICA EDGAR ALEXIS"/>
    <n v="1"/>
    <n v="0"/>
    <n v="122645.45276000001"/>
    <n v="65164.677720000007"/>
    <n v="122645.45276000001"/>
  </r>
  <r>
    <s v="BARRANQUILLA"/>
    <x v="4"/>
    <x v="4"/>
    <n v="8560"/>
    <s v="TA-25-929386"/>
    <n v="80910"/>
    <s v="APERTURA"/>
    <s v="CB CRECIMIENTO - NUEVO"/>
    <s v="ATLANTICO"/>
    <s v="PONEDERA"/>
    <s v="BARRIO CENTRO PONEDERA  4"/>
    <s v="REDEBAN"/>
    <s v="FO-25-1337541"/>
    <d v="2025-08-06T00:00:00"/>
    <d v="2025-08-08T00:00:00"/>
    <s v="UNO A UNO"/>
    <s v="UNO A UNO"/>
    <s v="EJECUTADO"/>
    <s v="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
    <s v="VISITA_TÉCNICA"/>
    <s v="FGZZZ882"/>
    <s v="TIPO II"/>
    <s v="TERRESTRE"/>
    <s v="PEÑALOZA GUTIERREZ RAFAEL GUSTAVO"/>
    <n v="1"/>
    <n v="0"/>
    <n v="122645.45276000001"/>
    <n v="65164.677720000007"/>
    <n v="122645.45276000001"/>
  </r>
  <r>
    <s v="CUCUTA"/>
    <x v="3"/>
    <x v="3"/>
    <n v="54874"/>
    <s v="TA-25-929387"/>
    <n v="80921"/>
    <s v="APERTURA"/>
    <s v="CB CRECIMIENTO - NUEVO"/>
    <s v="NORTE DE SANTANDER"/>
    <s v="VILLA DEL ROSARIO"/>
    <s v="BARRIO GRANCOLOMBIA VILLA DEL ROSARIO 3"/>
    <s v="REDEBAN"/>
    <s v="FO-25-1337545"/>
    <d v="2025-08-06T00:00:00"/>
    <d v="2025-08-11T00:00:00"/>
    <s v="UNO A UNO"/>
    <s v="UNO A UNO"/>
    <s v="EJECUTADO"/>
    <s v="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
    <s v="VISITA_TÉCNICA"/>
    <s v="FGZZZ883"/>
    <s v="TIPO I"/>
    <s v="TERRESTRE"/>
    <s v="PACHECO BUITRAGO JAVIER ALONSO"/>
    <n v="1"/>
    <n v="0"/>
    <n v="122645.45276000001"/>
    <n v="65164.677720000007"/>
    <n v="122645.45276000001"/>
  </r>
  <r>
    <s v="NEIVA"/>
    <x v="0"/>
    <x v="0"/>
    <n v="18247"/>
    <s v="TA-25-929389"/>
    <n v="80884"/>
    <s v="APERTURA"/>
    <s v="CB CRECIMIENTO - NUEVO"/>
    <s v="CAQUETA"/>
    <s v="EL DONCELLO"/>
    <s v="BRR EL RECREO EL DONCELLO"/>
    <s v="REDEBAN"/>
    <s v="FO-25-1337553"/>
    <d v="2025-08-06T00:00:00"/>
    <d v="2025-08-11T00:00:00"/>
    <s v="UNO A UNO"/>
    <s v="UNO A UNO"/>
    <s v="EJECUTADO"/>
    <s v="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ÉCNICA"/>
    <s v="FGZZZ884"/>
    <s v="TIPO IV"/>
    <s v="TERRESTRE"/>
    <s v="BERMUDEZ SANCHEZ JOSE NEYBER"/>
    <n v="1"/>
    <n v="0"/>
    <n v="122645.45276000001"/>
    <n v="65164.677720000007"/>
    <n v="122645.45276000001"/>
  </r>
  <r>
    <s v="TUNJA"/>
    <x v="3"/>
    <x v="3"/>
    <n v="15299"/>
    <s v="TA-25-929390"/>
    <n v="80886"/>
    <s v="APERTURA"/>
    <s v="CB CRECIMIENTO - NUEVO"/>
    <s v="BOYACA"/>
    <s v="GARAGOA"/>
    <s v="BARRIO CIUDAD JARDIN GARAGOA 2"/>
    <s v="REDEBAN"/>
    <s v="FO-25-1337562"/>
    <d v="2025-08-06T00:00:00"/>
    <d v="2025-08-12T00:00:00"/>
    <s v="UNO A UNO"/>
    <s v="UNO A UNO"/>
    <s v="EJECUTADO"/>
    <s v="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
    <s v="VISITA_TÉCNICA"/>
    <s v="FGZZZ885"/>
    <s v="TIPO III"/>
    <s v="TERRESTRE"/>
    <s v="SOLER HOYOS CRISTIAN LEONARDO"/>
    <n v="1"/>
    <n v="0"/>
    <n v="122645.45276000001"/>
    <n v="65164.677720000007"/>
    <n v="122645.45276000001"/>
  </r>
  <r>
    <s v="VILLAVICENCIO"/>
    <x v="0"/>
    <x v="0"/>
    <n v="50006"/>
    <s v="TA-25-929391"/>
    <n v="80861"/>
    <s v="APERTURA"/>
    <s v="CB CRECIMIENTO - NUEVO"/>
    <s v="META"/>
    <s v="ACACIAS"/>
    <s v="BARRIO INDEPENDENCIA ACACIAS 1"/>
    <s v="REDEBAN"/>
    <s v="FO-25-1367708"/>
    <d v="2025-08-06T00:00:00"/>
    <d v="2025-08-15T00:00:00"/>
    <s v="UNO A UNO"/>
    <s v="UNO A UNO"/>
    <s v="EJECUTADO"/>
    <s v="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
    <s v="VISITA_TÉCNICA"/>
    <s v="FGZZZ886"/>
    <s v="TIPO II"/>
    <s v="TERRESTRE"/>
    <s v="CASTRILLON URREA LONDIER LEANDRO"/>
    <n v="1"/>
    <n v="0"/>
    <n v="122645.45276000001"/>
    <n v="65164.677720000007"/>
    <n v="122645.45276000001"/>
  </r>
  <r>
    <s v="BUCARAMANGA"/>
    <x v="3"/>
    <x v="3"/>
    <n v="68755"/>
    <s v="TA-25-929393"/>
    <n v="80916"/>
    <s v="APERTURA"/>
    <s v="CB CRECIMIENTO - NUEVO"/>
    <s v="SANTANDER"/>
    <s v="SOCORRO"/>
    <s v="BARRIO SOCORRO SOCORRO 2"/>
    <s v="REDEBAN"/>
    <s v="FO-25-1337580"/>
    <d v="2025-08-06T00:00:00"/>
    <d v="2025-08-11T00:00:00"/>
    <s v="UNO A UNO"/>
    <s v="UNO A UNO"/>
    <s v="EJECUTADO"/>
    <s v="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
    <s v="VISITA_TÉCNICA"/>
    <s v="FGZZZ888"/>
    <s v="TIPO III"/>
    <s v="TERRESTRE"/>
    <s v="MARTINEZ FLOREZ DONIS ALBERTO"/>
    <n v="1"/>
    <n v="0"/>
    <n v="122645.45276000001"/>
    <n v="65164.677720000007"/>
    <n v="122645.45276000001"/>
  </r>
  <r>
    <s v="BUCARAMANGA"/>
    <x v="3"/>
    <x v="3"/>
    <n v="68276"/>
    <s v="TA-25-929394"/>
    <n v="80885"/>
    <s v="APERTURA"/>
    <s v="CB CRECIMIENTO - NUEVO"/>
    <s v="SANTANDER"/>
    <s v="FLORIDABLANCA"/>
    <s v="BARRIO LA ESMERALDA FLORIDABLANCA FLORIDABLANCA"/>
    <s v="REDEBAN"/>
    <s v="FO-25-1337588"/>
    <d v="2025-08-06T00:00:00"/>
    <d v="2025-08-08T00:00:00"/>
    <s v="UNO A UNO"/>
    <s v="UNO A UNO"/>
    <s v="EJECUTADO"/>
    <s v="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ÉCNICA"/>
    <s v="FGZZZ889"/>
    <s v="TIPO I"/>
    <s v="TERRESTRE"/>
    <s v="REYES RAMIREZ DIEGO ALEXANDER"/>
    <n v="1"/>
    <n v="0"/>
    <n v="122645.45276000001"/>
    <n v="65164.677720000007"/>
    <n v="122645.45276000001"/>
  </r>
  <r>
    <s v="CUCUTA"/>
    <x v="3"/>
    <x v="3"/>
    <n v="54001"/>
    <s v="TA-25-929395"/>
    <n v="80879"/>
    <s v="APERTURA"/>
    <s v="CB CRECIMIENTO - NUEVO"/>
    <s v="NORTE DE SANTANDER"/>
    <s v="CUCUTA"/>
    <s v="BARRIO SAN LUIS CUCUTA 31"/>
    <s v="REDEBAN"/>
    <s v="FO-25-1337593"/>
    <d v="2025-08-06T00:00:00"/>
    <d v="2025-08-08T00:00:00"/>
    <s v="UNO A UNO"/>
    <s v="UNO A UNO"/>
    <s v="EJECUTADO"/>
    <s v="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ÉCNICA"/>
    <s v="FGZZZ890"/>
    <s v="TIPO I"/>
    <s v="TERRESTRE"/>
    <s v="PACHECO BUITRAGO JAVIER ALONSO"/>
    <n v="1"/>
    <n v="0"/>
    <n v="122645.45276000001"/>
    <n v="65164.677720000007"/>
    <n v="122645.45276000001"/>
  </r>
  <r>
    <s v="IBAGUE"/>
    <x v="0"/>
    <x v="0"/>
    <n v="73001"/>
    <s v="TA-25-929396"/>
    <n v="80887"/>
    <s v="APERTURA"/>
    <s v="CB CRECIMIENTO - NUEVO"/>
    <s v="TOLIMA"/>
    <s v="IBAGUE"/>
    <s v="BARRIO LA GAVIOTA IBAGUE 9"/>
    <s v="REDEBAN"/>
    <s v="FO-25-1337597"/>
    <d v="2025-08-06T00:00:00"/>
    <d v="2025-08-08T00:00:00"/>
    <s v="UNO A UNO"/>
    <s v="UNO A UNO"/>
    <s v="EJECUTADO"/>
    <s v="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
    <s v="VISITA_TÉCNICA"/>
    <s v="FGZZZ891"/>
    <s v="TIPO I"/>
    <s v="TERRESTRE"/>
    <s v="GUTIERREZ  CAMILO ANDRES"/>
    <n v="1"/>
    <n v="0"/>
    <n v="122645.45276000001"/>
    <n v="65164.677720000007"/>
    <n v="122645.45276000001"/>
  </r>
  <r>
    <s v="IBAGUE"/>
    <x v="0"/>
    <x v="0"/>
    <n v="73001"/>
    <s v="TA-25-929397"/>
    <n v="80890"/>
    <s v="APERTURA"/>
    <s v="CB CRECIMIENTO - NUEVO"/>
    <s v="TOLIMA"/>
    <s v="IBAGUE"/>
    <s v="BARRIO VERGEL IBAGUE"/>
    <s v="REDEBAN"/>
    <s v="FO-25-1337605"/>
    <d v="2025-08-06T00:00:00"/>
    <d v="2025-08-11T00:00:00"/>
    <s v="UNO A UNO"/>
    <s v="UNO A UNO"/>
    <s v="EJECUTADO"/>
    <s v="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ÉCNICA"/>
    <s v="FGZZZ892"/>
    <s v="TIPO I"/>
    <s v="TERRESTRE"/>
    <s v="GUTIERREZ  CAMILO ANDRES"/>
    <n v="1"/>
    <n v="0"/>
    <n v="122645.45276000001"/>
    <n v="65164.677720000007"/>
    <n v="122645.45276000001"/>
  </r>
  <r>
    <s v="YOPAL"/>
    <x v="0"/>
    <x v="0"/>
    <n v="85250"/>
    <s v="TA-25-929399"/>
    <n v="80905"/>
    <s v="APERTURA"/>
    <s v="CB CRECIMIENTO - NUEVO"/>
    <s v="CASANARE"/>
    <s v="PAZ DE ARIPORO"/>
    <s v="BARRIO CENTRO PAZ DE ARIPORO 10"/>
    <s v="REDEBAN"/>
    <s v="FO-25-1337610"/>
    <d v="2025-08-06T00:00:00"/>
    <d v="2025-08-11T00:00:00"/>
    <s v="UNO A UNO"/>
    <s v="UNO A UNO"/>
    <s v="EJECUTADO"/>
    <s v="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ÉCNICA"/>
    <s v="FGZZZ893"/>
    <s v="TIPO II"/>
    <s v="TERRESTRE"/>
    <s v="BERNAL ELAICA EDGAR ALEXIS"/>
    <n v="1"/>
    <n v="0"/>
    <n v="122645.45276000001"/>
    <n v="65164.677720000007"/>
    <n v="122645.45276000001"/>
  </r>
  <r>
    <s v="VALLEDUPAR"/>
    <x v="4"/>
    <x v="4"/>
    <n v="20011"/>
    <s v="TA-25-929402"/>
    <n v="80925"/>
    <s v="APERTURA"/>
    <s v="CB CRECIMIENTO - NUEVO"/>
    <s v="CESAR"/>
    <s v="AGUACHICA"/>
    <s v="BARRIO VRD EL JUNCAL AGUACHICA"/>
    <s v="REDEBAN"/>
    <s v="FO-25-1337616"/>
    <d v="2025-08-06T00:00:00"/>
    <d v="2025-08-08T00:00:00"/>
    <s v="UNO A UNO"/>
    <s v="UNO A UNO"/>
    <s v="EJECUTADO"/>
    <s v="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
    <s v="VISITA_TÉCNICA"/>
    <s v="FGZZZ894"/>
    <s v="TIPO IV"/>
    <s v="TERRESTRE"/>
    <s v="MAESTRE MENGUAL EDGAR ENRIQUE"/>
    <n v="1"/>
    <n v="0"/>
    <n v="122645.45276000001"/>
    <n v="65164.677720000007"/>
    <n v="122645.45276000001"/>
  </r>
  <r>
    <s v="BUCARAMANGA"/>
    <x v="3"/>
    <x v="3"/>
    <n v="68547"/>
    <s v="TA-25-929404"/>
    <n v="80908"/>
    <s v="APERTURA"/>
    <s v="CB CRECIMIENTO - NUEVO"/>
    <s v="SANTANDER"/>
    <s v="PIEDECUESTA"/>
    <s v="BARRIO CABECERA 2 PIEDECUESTA PIEDECUESTA"/>
    <s v="REDEBAN"/>
    <s v="FO-25-1337624"/>
    <d v="2025-08-06T00:00:00"/>
    <d v="2025-08-08T00:00:00"/>
    <s v="UNO A UNO"/>
    <s v="UNO A UNO"/>
    <s v="EJECUTADO"/>
    <s v="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
    <s v="VISITA_TÉCNICA"/>
    <s v="FGZZZ895"/>
    <s v="TIPO II"/>
    <s v="TERRESTRE"/>
    <s v="PEÑA DIAZ IVAN YESID"/>
    <n v="1"/>
    <n v="0"/>
    <n v="122645.45276000001"/>
    <n v="65164.677720000007"/>
    <n v="122645.45276000001"/>
  </r>
  <r>
    <s v="MONTERIA"/>
    <x v="4"/>
    <x v="4"/>
    <n v="23001"/>
    <s v="TA-25-929405"/>
    <n v="80897"/>
    <s v="APERTURA"/>
    <s v="CB CRECIMIENTO - NUEVO"/>
    <s v="CORDOBA"/>
    <s v="MONTERIA"/>
    <s v="BARRIO CANTA CLARO MONTERIA 4"/>
    <s v="REDEBAN"/>
    <s v="FO-25-1337629"/>
    <d v="2025-08-06T00:00:00"/>
    <d v="2025-08-08T00:00:00"/>
    <s v="UNO A UNO"/>
    <s v="UNO A UNO"/>
    <s v="EJECUTADO"/>
    <s v="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ÉCNICA"/>
    <s v="FGZZZ896"/>
    <s v="TIPO I"/>
    <s v="TERRESTRE"/>
    <s v="GONZALEZ FERRER JESUS ALEXANDER"/>
    <n v="1"/>
    <n v="0"/>
    <n v="122645.45276000001"/>
    <n v="65164.677720000007"/>
    <n v="122645.45276000001"/>
  </r>
  <r>
    <s v="MONTERIA"/>
    <x v="4"/>
    <x v="4"/>
    <n v="23001"/>
    <s v="TA-25-929407"/>
    <n v="80898"/>
    <s v="APERTURA"/>
    <s v="CB CRECIMIENTO - NUEVO"/>
    <s v="CORDOBA"/>
    <s v="MONTERIA"/>
    <s v="BARRIO CHUCHURUBI MONTERIA 9"/>
    <s v="REDEBAN"/>
    <s v="FO-25-1337634"/>
    <d v="2025-08-06T00:00:00"/>
    <d v="2025-08-08T00:00:00"/>
    <s v="UNO A UNO"/>
    <s v="UNO A UNO"/>
    <s v="EJECUTADO"/>
    <s v="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
    <s v="VISITA_TÉCNICA"/>
    <s v="FGZZZ897"/>
    <s v="TIPO I"/>
    <s v="TERRESTRE"/>
    <s v="GONZALEZ FERRER JESUS ALEXANDER"/>
    <n v="1"/>
    <n v="0"/>
    <n v="122645.45276000001"/>
    <n v="65164.677720000007"/>
    <n v="122645.45276000001"/>
  </r>
  <r>
    <s v="MONTERIA"/>
    <x v="4"/>
    <x v="4"/>
    <n v="23001"/>
    <s v="TA-25-929408"/>
    <n v="80899"/>
    <s v="APERTURA"/>
    <s v="CB CRECIMIENTO - NUEVO"/>
    <s v="CORDOBA"/>
    <s v="MONTERIA"/>
    <s v="BARRIO URB LOS ARAUJOS MONTERIA 1"/>
    <s v="REDEBAN"/>
    <s v="FO-25-1337642"/>
    <d v="2025-08-06T00:00:00"/>
    <d v="2025-08-08T00:00:00"/>
    <s v="UNO A UNO"/>
    <s v="UNO A UNO"/>
    <s v="EJECUTADO"/>
    <s v="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VISITA_TÉCNICA"/>
    <s v="FGZZZ898"/>
    <s v="TIPO I"/>
    <s v="TERRESTRE"/>
    <s v="GONZALEZ FERRER JESUS ALEXANDER"/>
    <n v="1"/>
    <n v="0"/>
    <n v="122645.45276000001"/>
    <n v="65164.677720000007"/>
    <n v="122645.45276000001"/>
  </r>
  <r>
    <s v="CUCUTA"/>
    <x v="3"/>
    <x v="3"/>
    <n v="54001"/>
    <s v="TA-25-929409"/>
    <n v="80880"/>
    <s v="APERTURA"/>
    <s v="CB CRECIMIENTO - NUEVO"/>
    <s v="NORTE DE SANTANDER"/>
    <s v="CUCUTA"/>
    <s v="BARRIO URB PRADOS DEL ESTE CUCUTA 8"/>
    <s v="REDEBAN"/>
    <s v="FO-25-1337647"/>
    <d v="2025-08-06T00:00:00"/>
    <d v="2025-08-08T00:00:00"/>
    <s v="UNO A UNO"/>
    <s v="UNO A UNO"/>
    <s v="EJECUTADO"/>
    <s v="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
    <s v="VISITA_TÉCNICA"/>
    <s v="FGZZZ899"/>
    <s v="TIPO I"/>
    <s v="TERRESTRE"/>
    <s v="DURAN ACOSTA FRANK YONNY"/>
    <n v="1"/>
    <n v="0"/>
    <n v="122645.45276000001"/>
    <n v="65164.677720000007"/>
    <n v="122645.45276000001"/>
  </r>
  <r>
    <s v="BUCARAMANGA"/>
    <x v="3"/>
    <x v="3"/>
    <n v="68001"/>
    <s v="TA-25-929410"/>
    <n v="80867"/>
    <s v="APERTURA"/>
    <s v="CB CRECIMIENTO - NUEVO"/>
    <s v="SANTANDER"/>
    <s v="BUCARAMANGA"/>
    <s v="BARRIO KENNEDY BUCARAMANGA 2"/>
    <s v="REDEBAN"/>
    <s v="FO-25-1337654"/>
    <d v="2025-08-06T00:00:00"/>
    <d v="2025-08-08T00:00:00"/>
    <s v="UNO A UNO"/>
    <s v="UNO A UNO"/>
    <s v="EJECUTADO"/>
    <s v="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
    <s v="VISITA_TÉCNICA"/>
    <s v="FGZZZ900"/>
    <s v="TIPO I"/>
    <s v="TERRESTRE"/>
    <s v="HERRERA LUQUE SAUL JAVIER"/>
    <n v="1"/>
    <n v="0"/>
    <n v="122645.45276000001"/>
    <n v="65164.677720000007"/>
    <n v="122645.45276000001"/>
  </r>
  <r>
    <s v="VILLAVICENCIO"/>
    <x v="0"/>
    <x v="0"/>
    <n v="50223"/>
    <s v="TA-25-929418"/>
    <n v="80878"/>
    <s v="APERTURA"/>
    <s v="CB CRECIMIENTO - NUEVO"/>
    <s v="META"/>
    <s v="CUBARRAL"/>
    <s v="BARRIO ZONA RURAL CUBARRAL"/>
    <s v="REDEBAN"/>
    <s v="FO-25-1337663"/>
    <d v="2025-08-06T00:00:00"/>
    <d v="2025-08-08T00:00:00"/>
    <s v="UNO A UNO"/>
    <s v="UNO A UNO"/>
    <s v="EJECUTADO"/>
    <s v="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VISITA_TÉCNICA"/>
    <s v="FGZZZ901"/>
    <s v="TIPO II"/>
    <s v="TERRESTRE"/>
    <s v="ROZO JIMENEZ EDGAR ARMANDO"/>
    <n v="1"/>
    <n v="0"/>
    <n v="122645.45276000001"/>
    <n v="65164.677720000007"/>
    <n v="122645.45276000001"/>
  </r>
  <r>
    <s v="BOGOTA"/>
    <x v="5"/>
    <x v="5"/>
    <n v="25899"/>
    <s v="TA-25-929430"/>
    <n v="80924"/>
    <s v="APERTURA"/>
    <s v="CB CRECIMIENTO - NUEVO"/>
    <s v="CUNDINAMARCA"/>
    <s v="ZIPAQUIRA"/>
    <s v="BARRIO LA CONCEPCION ZIPAQUIRA"/>
    <s v="REDEBAN"/>
    <s v="FO-25-1337678"/>
    <d v="2025-08-06T00:00:00"/>
    <d v="2025-08-11T00:00:00"/>
    <s v="UNO A UNO"/>
    <s v="UNO A UNO"/>
    <s v="EJECUTADO"/>
    <s v="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
    <s v="VISITA_TÉCNICA"/>
    <s v="FGZZZ902"/>
    <s v="TIPO II"/>
    <s v="TERRESTRE"/>
    <s v="LOZADA ROJAS CHRISTIAN ANDRES"/>
    <n v="1"/>
    <n v="0"/>
    <n v="122645.45276000001"/>
    <n v="65164.677720000007"/>
    <n v="122645.45276000001"/>
  </r>
  <r>
    <s v="BOGOTA"/>
    <x v="5"/>
    <x v="5"/>
    <n v="25436"/>
    <s v="TA-25-929449"/>
    <n v="80900"/>
    <s v="APERTURA"/>
    <s v="CB CRECIMIENTO - NUEVO"/>
    <s v="CUNDINAMARCA"/>
    <s v="MANTA"/>
    <s v="BARRIO CENTRO MANTA 2"/>
    <s v="REDEBAN"/>
    <s v="FO-25-1337685"/>
    <d v="2025-08-06T00:00:00"/>
    <d v="2025-08-11T00:00:00"/>
    <s v="UNO A UNO"/>
    <s v="UNO A UNO"/>
    <s v="EJECUTADO"/>
    <s v="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
    <s v="VISITA_TÉCNICA"/>
    <s v="FGZZZ903"/>
    <s v="TIPO III"/>
    <s v="TERRESTRE"/>
    <s v="MURCIA HERNANDEZ HARVEY IGNACIO"/>
    <n v="1"/>
    <n v="0"/>
    <n v="122645.45276000001"/>
    <n v="65164.677720000007"/>
    <n v="122645.45276000001"/>
  </r>
  <r>
    <s v="BOGOTA"/>
    <x v="5"/>
    <x v="5"/>
    <n v="25843"/>
    <s v="TA-25-929451"/>
    <n v="80920"/>
    <s v="APERTURA"/>
    <s v="CB CRECIMIENTO - NUEVO"/>
    <s v="CUNDINAMARCA"/>
    <s v="VILLA DE SAN DIEGO DE UBATE"/>
    <s v="BARRIO VEREDA LA ESPERANZA VILLA DE SAN DIEGO DE UBATE"/>
    <s v="REDEBAN"/>
    <s v="FO-25-1337691"/>
    <d v="2025-08-06T00:00:00"/>
    <d v="2025-08-11T00:00:00"/>
    <s v="UNO A UNO"/>
    <s v="UNO A UNO"/>
    <s v="EJECUTADO"/>
    <s v="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ÉCNICA"/>
    <s v="FGZZZ904"/>
    <s v="TIPO II"/>
    <s v="TERRESTRE"/>
    <s v="LOZADA ROJAS CHRISTIAN ANDRES"/>
    <n v="1"/>
    <n v="0"/>
    <n v="122645.45276000001"/>
    <n v="65164.677720000007"/>
    <n v="122645.45276000001"/>
  </r>
  <r>
    <s v="BUCARAMANGA"/>
    <x v="3"/>
    <x v="3"/>
    <n v="68500"/>
    <s v="TA-25-929453"/>
    <n v="80902"/>
    <s v="APERTURA"/>
    <s v="CB CRECIMIENTO - NUEVO"/>
    <s v="SANTANDER"/>
    <s v="OIBA"/>
    <s v="BARRIO LA VARIABLE OIBA OIBA"/>
    <s v="REDEBAN"/>
    <s v="FO-25-1337696"/>
    <d v="2025-08-06T00:00:00"/>
    <d v="2025-08-12T00:00:00"/>
    <s v="UNO A UNO"/>
    <s v="UNO A UNO"/>
    <s v="EJECUTADO"/>
    <s v="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
    <s v="VISITA_TÉCNICA"/>
    <s v="FGZZZ905"/>
    <s v="TIPO III"/>
    <s v="TERRESTRE"/>
    <s v="MARTINEZ FLOREZ DONIS ALBERTO"/>
    <n v="1"/>
    <n v="0"/>
    <n v="122645.45276000001"/>
    <n v="65164.677720000007"/>
    <n v="122645.45276000001"/>
  </r>
  <r>
    <s v="CALI"/>
    <x v="1"/>
    <x v="1"/>
    <n v="76001"/>
    <s v="TA-25-929470"/>
    <n v="80871"/>
    <s v="APERTURA"/>
    <s v="CB CRECIMIENTO - NUEVO"/>
    <s v="VALLE DEL CAUCA"/>
    <s v="CALI"/>
    <s v="BARRIO TERRON COLORADO CALI 2"/>
    <s v="REDEBAN"/>
    <s v="FO-25-1337707"/>
    <d v="2025-08-06T00:00:00"/>
    <d v="2025-08-08T00:00:00"/>
    <s v="UNO A UNO"/>
    <s v="UNO A UNO"/>
    <s v="EJECUTADO"/>
    <s v="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
    <s v="VISITA_TÉCNICA"/>
    <s v="FGZZZ906"/>
    <s v="TIPO I"/>
    <s v="TERRESTRE"/>
    <s v="BOLAÑOS TABORDA JORGE ENRIQUE"/>
    <n v="1"/>
    <n v="0"/>
    <n v="122645.45276000001"/>
    <n v="65164.677720000007"/>
    <n v="122645.45276000001"/>
  </r>
  <r>
    <s v="MEDELLIN"/>
    <x v="2"/>
    <x v="2"/>
    <n v="5686"/>
    <s v="TA-25-929484"/>
    <n v="80883"/>
    <s v="APERTURA"/>
    <s v="CB CRECIMIENTO - NUEVO"/>
    <s v="ANTIOQUIA"/>
    <s v="SANTA ROSA DE OSOS"/>
    <s v="BARRIO VEREDA EL CANEY SANTA ROSA DE OSOS 1"/>
    <s v="REDEBAN"/>
    <s v="FO-25-1337717"/>
    <d v="2025-08-06T00:00:00"/>
    <d v="2025-08-11T00:00:00"/>
    <s v="UNO A UNO"/>
    <s v="UNO A UNO"/>
    <s v="EJECUTADO"/>
    <s v="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VISITA_TÉCNICA"/>
    <s v="FGZZZ907"/>
    <s v="TIPO II"/>
    <s v="TERRESTRE"/>
    <s v="DIAZ ZABALA FRANCIS DUBAN"/>
    <n v="1"/>
    <n v="0"/>
    <n v="122645.45276000001"/>
    <n v="65164.677720000007"/>
    <n v="122645.45276000001"/>
  </r>
  <r>
    <s v="CALI"/>
    <x v="1"/>
    <x v="1"/>
    <n v="76001"/>
    <s v="TA-25-929495"/>
    <n v="80872"/>
    <s v="APERTURA"/>
    <s v="CB CRECIMIENTO - NUEVO"/>
    <s v="VALLE DEL CAUCA"/>
    <s v="CALI"/>
    <s v="BARRIO  EL INGENIO CALI"/>
    <s v="REDEBAN"/>
    <s v="FO-25-1337724"/>
    <d v="2025-08-06T00:00:00"/>
    <d v="2025-08-08T00:00:00"/>
    <s v="UNO A UNO"/>
    <s v="UNO A UNO"/>
    <s v="EJECUTADO"/>
    <s v="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VISITA_TÉCNICA"/>
    <s v="FGZZZ908"/>
    <s v="TIPO I"/>
    <s v="TERRESTRE"/>
    <s v="HERRERA MONAR GEOVANNY"/>
    <n v="1"/>
    <n v="0"/>
    <n v="122645.45276000001"/>
    <n v="65164.677720000007"/>
    <n v="122645.45276000001"/>
  </r>
  <r>
    <s v="TUNJA"/>
    <x v="3"/>
    <x v="3"/>
    <n v="15776"/>
    <s v="TA-25-929577"/>
    <n v="80912"/>
    <s v="APERTURA"/>
    <s v="CB CRECIMIENTO - NUEVO"/>
    <s v="BOYACA"/>
    <s v="SUTAMARCHAN"/>
    <s v="BARRIO CENTRO SUTAMARCHAN 4"/>
    <s v="REDEBAN"/>
    <s v="FO-25-1337775"/>
    <d v="2025-08-06T00:00:00"/>
    <d v="2025-08-12T00:00:00"/>
    <s v="UNO A UNO"/>
    <s v="UNO A UNO"/>
    <s v="EJECUTADO"/>
    <s v="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
    <s v="VISITA_TÉCNICA"/>
    <s v="FGZZZ909"/>
    <s v="TIPO II"/>
    <s v="TERRESTRE"/>
    <s v="RODRIGUEZ MURCIA YERSON IVAN"/>
    <n v="1"/>
    <n v="0"/>
    <n v="122645.45276000001"/>
    <n v="65164.677720000007"/>
    <n v="122645.45276000001"/>
  </r>
  <r>
    <s v="MONTERIA"/>
    <x v="4"/>
    <x v="4"/>
    <n v="5154"/>
    <s v="TA-25-931157"/>
    <n v="80876"/>
    <s v="APERTURA"/>
    <s v="CB CRECIMIENTO - NUEVO"/>
    <s v="ANTIOQUIA"/>
    <s v="CAUCASIA"/>
    <s v="BARRIO ASOVIVIENDA CAUCASIA 2"/>
    <s v="REDEBAN"/>
    <s v="FO-25-1339032"/>
    <d v="2025-08-06T00:00:00"/>
    <d v="2025-08-08T00:00:00"/>
    <s v="UNO A UNO"/>
    <s v="UNO A UNO"/>
    <s v="EJECUTADO"/>
    <s v="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ÉCNICA"/>
    <s v="FGZZZ910"/>
    <s v="TIPO II"/>
    <s v="TERRESTRE"/>
    <s v="CASSIANI PEREZ RAUL RAMIRO"/>
    <n v="1"/>
    <n v="0"/>
    <n v="122645.45276000001"/>
    <n v="65164.677720000007"/>
    <n v="122645.45276000001"/>
  </r>
  <r>
    <s v="NEIVA"/>
    <x v="0"/>
    <x v="0"/>
    <n v="41020"/>
    <s v="TA-25-931158"/>
    <n v="80864"/>
    <s v="APERTURA"/>
    <s v="CB CRECIMIENTO - NUEVO"/>
    <s v="HUILA"/>
    <s v="ALGECIRAS"/>
    <s v="BARRIO CENTRO ALGECIRAS 18"/>
    <s v="REDEBAN"/>
    <s v="FO-25-1339039"/>
    <d v="2025-08-06T00:00:00"/>
    <d v="2025-08-08T00:00:00"/>
    <s v="UNO A UNO"/>
    <s v="UNO A UNO"/>
    <s v="EJECUTADO"/>
    <s v="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VISITA_TÉCNICA"/>
    <s v="FGZZZ911"/>
    <s v="TIPO II"/>
    <s v="TERRESTRE"/>
    <s v="DEVIA REINOSO JUAN CARLOS"/>
    <n v="1"/>
    <n v="0"/>
    <n v="122645.45276000001"/>
    <n v="65164.677720000007"/>
    <n v="122645.45276000001"/>
  </r>
  <r>
    <s v="TUNJA"/>
    <x v="3"/>
    <x v="3"/>
    <n v="15367"/>
    <s v="TA-25-931159"/>
    <n v="80894"/>
    <s v="APERTURA"/>
    <s v="CB CRECIMIENTO - NUEVO"/>
    <s v="BOYACA"/>
    <s v="JENESANO"/>
    <s v="BARRIO CENTRO JENESANO 7"/>
    <s v="REDEBAN"/>
    <s v="FO-25-1339047"/>
    <d v="2025-08-06T00:00:00"/>
    <d v="2025-08-11T00:00:00"/>
    <s v="UNO A UNO"/>
    <s v="UNO A UNO"/>
    <s v="EJECUTADO"/>
    <s v="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
    <s v="VISITA_TÉCNICA"/>
    <s v="FGZZZ912"/>
    <s v="TIPO II"/>
    <s v="TERRESTRE"/>
    <s v="SOLER HOYOS CRISTIAN LEONARDO"/>
    <n v="1"/>
    <n v="0"/>
    <n v="122645.45276000001"/>
    <n v="65164.677720000007"/>
    <n v="122645.45276000001"/>
  </r>
  <r>
    <s v="BARRANQUILLA"/>
    <x v="4"/>
    <x v="4"/>
    <n v="8758"/>
    <s v="TA-25-931160"/>
    <n v="80917"/>
    <s v="APERTURA"/>
    <s v="CB CRECIMIENTO - NUEVO"/>
    <s v="ATLANTICO"/>
    <s v="SOLEDAD"/>
    <s v="BARRIO MANANTIALES SOLEDAD"/>
    <s v="REDEBAN"/>
    <s v="FO-25-1339054"/>
    <d v="2025-08-06T00:00:00"/>
    <d v="2025-08-11T00:00:00"/>
    <s v="UNO A UNO"/>
    <s v="UNO A UNO"/>
    <s v="EJECUTADO"/>
    <s v="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
    <s v="VISITA_TÉCNICA"/>
    <s v="FGZZZ913"/>
    <s v="TIPO I"/>
    <s v="TERRESTRE"/>
    <s v="DE AGUAS MUÑOZ DAVID JOSE"/>
    <n v="1"/>
    <n v="0"/>
    <n v="122645.45276000001"/>
    <n v="65164.677720000007"/>
    <n v="122645.45276000001"/>
  </r>
  <r>
    <s v="IBAGUE"/>
    <x v="0"/>
    <x v="0"/>
    <n v="73001"/>
    <s v="TA-25-931161"/>
    <n v="80888"/>
    <s v="APERTURA"/>
    <s v="CB CRECIMIENTO - NUEVO"/>
    <s v="TOLIMA"/>
    <s v="IBAGUE"/>
    <s v="BARRIO GAITAN IBAGUE"/>
    <s v="REDEBAN"/>
    <s v="FO-25-1339064"/>
    <d v="2025-08-06T00:00:00"/>
    <d v="2025-08-11T00:00:00"/>
    <s v="UNO A UNO"/>
    <s v="UNO A UNO"/>
    <s v="EJECUTADO"/>
    <s v="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
    <s v="VISITA_TÉCNICA"/>
    <s v="FGZZZ914"/>
    <s v="TIPO I"/>
    <s v="TERRESTRE"/>
    <s v="GUTIERREZ  CAMILO ANDRES"/>
    <n v="1"/>
    <n v="0"/>
    <n v="122645.45276000001"/>
    <n v="65164.677720000007"/>
    <n v="122645.45276000001"/>
  </r>
  <r>
    <s v="CARTAGENA"/>
    <x v="4"/>
    <x v="4"/>
    <n v="13001"/>
    <s v="TA-25-931162"/>
    <n v="80875"/>
    <s v="APERTURA"/>
    <s v="CB CRECIMIENTO - NUEVO"/>
    <s v="BOLIVAR"/>
    <s v="CARTAGENA"/>
    <s v="BRR CIUDAD BICENTENARIO SEC SAN SEBASTIAN CARTAGENA DE INDIAS"/>
    <s v="REDEBAN"/>
    <s v="FO-25-1339072"/>
    <d v="2025-08-06T00:00:00"/>
    <d v="2025-08-13T00:00:00"/>
    <s v="UNO A UNO"/>
    <s v="UNO A UNO"/>
    <s v="EJECUTADO"/>
    <s v="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
    <s v="VISITA_TÉCNICA"/>
    <s v="FGZZZ915"/>
    <s v="TIPO I"/>
    <s v="TERRESTRE"/>
    <s v="CANEDO HERRERA ALEXANDER"/>
    <n v="1"/>
    <n v="0"/>
    <n v="122645.45276000001"/>
    <n v="65164.677720000007"/>
    <n v="122645.45276000001"/>
  </r>
  <r>
    <s v="IBAGUE"/>
    <x v="0"/>
    <x v="0"/>
    <n v="73001"/>
    <s v="TA-25-931163"/>
    <n v="80889"/>
    <s v="APERTURA"/>
    <s v="CB CRECIMIENTO - NUEVO"/>
    <s v="TOLIMA"/>
    <s v="IBAGUE"/>
    <s v="BARRIO SAN REMO IBAGUE"/>
    <s v="REDEBAN"/>
    <s v="FO-25-1339083"/>
    <d v="2025-08-06T00:00:00"/>
    <d v="2025-08-11T00:00:00"/>
    <s v="UNO A UNO"/>
    <s v="UNO A UNO"/>
    <s v="EJECUTADO"/>
    <s v="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
    <s v="VISITA_TÉCNICA"/>
    <s v="FGZZZ916"/>
    <s v="TIPO I"/>
    <s v="TERRESTRE"/>
    <s v="BARRAGAN TAFUR EDWIN ESTEBAN"/>
    <n v="1"/>
    <n v="0"/>
    <n v="122645.45276000001"/>
    <n v="65164.677720000007"/>
    <n v="122645.45276000001"/>
  </r>
  <r>
    <s v="BUCARAMANGA"/>
    <x v="3"/>
    <x v="3"/>
    <n v="68547"/>
    <s v="TA-25-931164"/>
    <n v="80909"/>
    <s v="APERTURA"/>
    <s v="CB CRECIMIENTO - NUEVO"/>
    <s v="SANTANDER"/>
    <s v="PIEDECUESTA"/>
    <s v="BARRIO SAN CARLOS PIEDECUESTA 1"/>
    <s v="REDEBAN"/>
    <s v="FO-25-1339090"/>
    <d v="2025-08-06T00:00:00"/>
    <d v="2025-08-11T00:00:00"/>
    <s v="UNO A UNO"/>
    <s v="UNO A UNO"/>
    <s v="EJECUTADO"/>
    <s v="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
    <s v="VISITA_TÉCNICA"/>
    <s v="FGZZZ917"/>
    <s v="TIPO II"/>
    <s v="TERRESTRE"/>
    <s v="PEÑA DIAZ IVAN YESID"/>
    <n v="1"/>
    <n v="0"/>
    <n v="122645.45276000001"/>
    <n v="65164.677720000007"/>
    <n v="122645.45276000001"/>
  </r>
  <r>
    <s v="BOGOTA"/>
    <x v="5"/>
    <x v="5"/>
    <n v="11001"/>
    <s v="TA-25-931165"/>
    <n v="80866"/>
    <s v="APERTURA"/>
    <s v="CB CRECIMIENTO - NUEVO"/>
    <s v="CUNDINAMARCA"/>
    <s v="BOGOTA"/>
    <s v="BARRIO BOITA BOGOTA 8"/>
    <s v="REDEBAN"/>
    <s v="FO-25-1339105"/>
    <d v="2025-08-06T00:00:00"/>
    <d v="2025-08-11T00:00:00"/>
    <s v="UNO A UNO"/>
    <s v="UNO A UNO"/>
    <s v="EJECUTADO"/>
    <s v="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ÉCNICA"/>
    <s v="FGZZZ918"/>
    <s v="TIPO I"/>
    <s v="TERRESTRE"/>
    <s v="ORTIZ MARTINEZ STIVEN"/>
    <n v="1"/>
    <n v="0"/>
    <n v="122645.45276000001"/>
    <n v="65164.677720000007"/>
    <n v="122645.45276000001"/>
  </r>
  <r>
    <s v="CALI"/>
    <x v="1"/>
    <x v="1"/>
    <n v="19455"/>
    <s v="TA-25-931166"/>
    <n v="80895"/>
    <s v="APERTURA"/>
    <s v="CB CRECIMIENTO - NUEVO"/>
    <s v="CAUCA"/>
    <s v="MIRANDA"/>
    <s v="BARRIO CENTRO MIRANDA 3"/>
    <s v="REDEBAN"/>
    <s v="FO-25-1339113"/>
    <d v="2025-08-06T00:00:00"/>
    <d v="2025-08-08T00:00:00"/>
    <s v="UNO A UNO"/>
    <s v="UNO A UNO"/>
    <s v="EJECUTADO"/>
    <s v="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19"/>
    <s v="TIPO III"/>
    <s v="TERRESTRE"/>
    <s v="PAREDES CASTILLO DIEGO"/>
    <n v="1"/>
    <n v="0"/>
    <n v="122645.45276000001"/>
    <n v="65164.677720000007"/>
    <n v="122645.45276000001"/>
  </r>
  <r>
    <s v="PEREIRA"/>
    <x v="1"/>
    <x v="6"/>
    <n v="76020"/>
    <s v="TA-25-931167"/>
    <n v="80863"/>
    <s v="APERTURA"/>
    <s v="CB CRECIMIENTO - NUEVO"/>
    <s v="VALLE DEL CAUCA"/>
    <s v="ALCALA"/>
    <s v="BARRIO LA PLAZUELA ALCALA"/>
    <s v="REDEBAN"/>
    <s v="FO-25-1339125"/>
    <d v="2025-08-06T00:00:00"/>
    <d v="2025-08-11T00:00:00"/>
    <s v="UNO A UNO"/>
    <s v="UNO A UNO"/>
    <s v="EJECUTADO"/>
    <s v="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
    <s v="VISITA_TÉCNICA"/>
    <s v="FGZZZ920"/>
    <s v="TIPO II"/>
    <s v="TERRESTRE"/>
    <s v="ARROYAVE CANO MANUEL GUILLERMO"/>
    <n v="1"/>
    <n v="0"/>
    <n v="122645.45276000001"/>
    <n v="65164.677720000007"/>
    <n v="122645.45276000001"/>
  </r>
  <r>
    <s v="PASTO"/>
    <x v="1"/>
    <x v="1"/>
    <n v="52110"/>
    <s v="TA-25-931170"/>
    <n v="80869"/>
    <s v="APERTURA"/>
    <s v="CB CRECIMIENTO - NUEVO"/>
    <s v="NARIÑO"/>
    <s v="BUESACO"/>
    <s v="BARRIO LA LOMA BUESACO"/>
    <s v="REDEBAN"/>
    <s v="FO-25-1339133"/>
    <d v="2025-08-06T00:00:00"/>
    <d v="2025-08-08T00:00:00"/>
    <s v="UNO A UNO"/>
    <s v="UNO A UNO"/>
    <s v="EJECUTADO"/>
    <s v="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21"/>
    <s v="TIPO II"/>
    <s v="TERRESTRE"/>
    <s v="PAZ MARTINEZ RICHARD HUMBERTO"/>
    <n v="1"/>
    <n v="0"/>
    <n v="122645.45276000001"/>
    <n v="65164.677720000007"/>
    <n v="122645.45276000001"/>
  </r>
  <r>
    <s v="BOGOTA"/>
    <x v="5"/>
    <x v="5"/>
    <n v="25754"/>
    <s v="TA-25-931172"/>
    <n v="80915"/>
    <s v="APERTURA"/>
    <s v="CB CRECIMIENTO - NUEVO"/>
    <s v="CUNDINAMARCA"/>
    <s v="SOACHA"/>
    <s v="BARRIO TREBOL SOACHA SOACHA"/>
    <s v="REDEBAN"/>
    <s v="FO-25-1339140"/>
    <d v="2025-08-06T00:00:00"/>
    <d v="2025-08-08T00:00:00"/>
    <s v="UNO A UNO"/>
    <s v="UNO A UNO"/>
    <s v="EJECUTADO"/>
    <s v="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ÉCNICA"/>
    <s v="FGZZZ923"/>
    <s v="TIPO I"/>
    <s v="TERRESTRE"/>
    <s v="GALEANO SORIANO JUAN DAVID"/>
    <n v="1"/>
    <n v="0"/>
    <n v="122645.45276000001"/>
    <n v="65164.677720000007"/>
    <n v="122645.45276000001"/>
  </r>
  <r>
    <s v="TUNJA"/>
    <x v="3"/>
    <x v="3"/>
    <n v="15001"/>
    <s v="TA-25-931229"/>
    <n v="80918"/>
    <s v="APERTURA"/>
    <s v="CB CRECIMIENTO - NUEVO"/>
    <s v="BOYACA"/>
    <s v="TUNJA"/>
    <s v="BARRIO JORDAN TUNJA 3"/>
    <s v="REDEBAN"/>
    <s v="FO-25-1339297"/>
    <d v="2025-08-06T00:00:00"/>
    <d v="2025-08-11T00:00:00"/>
    <s v="UNO A UNO"/>
    <s v="UNO A UNO"/>
    <s v="EJECUTADO"/>
    <s v="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VISITA_TÉCNICA"/>
    <s v="FGZZZ924"/>
    <s v="TIPO I"/>
    <s v="TERRESTRE"/>
    <s v="GONZALEZ GONZALEZ MARIO ALBERTO"/>
    <n v="1"/>
    <n v="0"/>
    <n v="122645.45276000001"/>
    <n v="65164.677720000007"/>
    <n v="122645.45276000001"/>
  </r>
  <r>
    <s v="BUCARAMANGA"/>
    <x v="3"/>
    <x v="3"/>
    <n v="68001"/>
    <s v="TA-25-931173"/>
    <n v="80868"/>
    <s v="APERTURA"/>
    <s v="CB CRECIMIENTO - NUEVO"/>
    <s v="SANTANDER"/>
    <s v="BUCARAMANGA"/>
    <s v="BARRIO TERMINAL DE BUCARAMANGA BUCARAMANGA"/>
    <s v="REDEBAN"/>
    <s v="FO-25-1339148"/>
    <d v="2025-08-06T00:00:00"/>
    <d v="2025-08-08T00:00:00"/>
    <s v="UNO A UNO"/>
    <s v="UNO A UNO"/>
    <s v="EJECUTADO"/>
    <s v="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ÉCNICA"/>
    <s v="FGZZZ925"/>
    <s v="TIPO I"/>
    <s v="TERRESTRE"/>
    <s v="GONZALEZ ESTUPIÑAN YEISON WALTER ANTONIO"/>
    <n v="1"/>
    <n v="0"/>
    <n v="122645.45276000001"/>
    <n v="65164.677720000007"/>
    <n v="122645.45276000001"/>
  </r>
  <r>
    <s v="MONTERIA"/>
    <x v="4"/>
    <x v="4"/>
    <n v="23464"/>
    <s v="TA-25-931174"/>
    <n v="80896"/>
    <s v="APERTURA"/>
    <s v="CB CRECIMIENTO - NUEVO"/>
    <s v="CORDOBA"/>
    <s v="MOMIL"/>
    <s v="BARRIO SANTA LUCIA MOMIL 1"/>
    <s v="REDEBAN"/>
    <s v="FO-25-1339157"/>
    <d v="2025-08-06T00:00:00"/>
    <d v="2025-08-11T00:00:00"/>
    <s v="UNO A UNO"/>
    <s v="UNO A UNO"/>
    <s v="EJECUTADO"/>
    <s v="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
    <s v="VISITA_TÉCNICA"/>
    <s v="FGZZZ926"/>
    <s v="TIPO II"/>
    <s v="TERRESTRE"/>
    <s v="CASSIANI PEREZ RAUL RAMIRO"/>
    <n v="1"/>
    <n v="0"/>
    <n v="122645.45276000001"/>
    <n v="65164.677720000007"/>
    <n v="122645.45276000001"/>
  </r>
  <r>
    <s v="NEIVA"/>
    <x v="0"/>
    <x v="0"/>
    <n v="41001"/>
    <s v="TA-25-931176"/>
    <n v="80901"/>
    <s v="APERTURA"/>
    <s v="CB CRECIMIENTO - NUEVO"/>
    <s v="HUILA"/>
    <s v="NEIVA"/>
    <s v="BARRIO SAN VALENTIN NEIVA 2"/>
    <s v="REDEBAN"/>
    <s v="FO-25-1339169"/>
    <d v="2025-08-06T00:00:00"/>
    <d v="2025-08-08T00:00:00"/>
    <s v="UNO A UNO"/>
    <s v="UNO A UNO"/>
    <s v="EJECUTADO"/>
    <s v="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
    <s v="VISITA_TÉCNICA"/>
    <s v="FGZZZ927"/>
    <s v="TIPO I"/>
    <s v="TERRESTRE"/>
    <s v="DIAZ VARGAS JONATHAN MIGUEL"/>
    <n v="1"/>
    <n v="0"/>
    <n v="122645.45276000001"/>
    <n v="65164.677720000007"/>
    <n v="122645.45276000001"/>
  </r>
  <r>
    <s v="CALI"/>
    <x v="1"/>
    <x v="1"/>
    <n v="19845"/>
    <s v="TA-25-931178"/>
    <n v="80922"/>
    <s v="APERTURA"/>
    <s v="CB CRECIMIENTO - NUEVO"/>
    <s v="CAUCA"/>
    <s v="VILLA RICA"/>
    <s v="BARRIO CENTRO VILLA RICA 5"/>
    <s v="REDEBAN"/>
    <s v="FO-25-1350933"/>
    <d v="2025-08-06T00:00:00"/>
    <d v="2025-08-13T00:00:00"/>
    <s v="UNO A UNO"/>
    <s v="UNO A UNO"/>
    <s v="EJECUTADO"/>
    <s v="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
    <s v="VISITA_TÉCNICA"/>
    <s v="FGZZZ929"/>
    <s v="TIPO IV"/>
    <s v="TERRESTRE"/>
    <s v="TORRES GARCIA JENDRY JOSE"/>
    <n v="1"/>
    <n v="0"/>
    <n v="122645.45276000001"/>
    <n v="65164.677720000007"/>
    <n v="122645.45276000001"/>
  </r>
  <r>
    <s v="PEREIRA"/>
    <x v="1"/>
    <x v="6"/>
    <n v="66001"/>
    <s v="TA-25-931179"/>
    <n v="80907"/>
    <s v="APERTURA"/>
    <s v="CB CRECIMIENTO - NUEVO"/>
    <s v="RISARALDA"/>
    <s v="PEREIRA"/>
    <s v="BARRIO CENTRO PEREIRA 52"/>
    <s v="REDEBAN"/>
    <s v="FO-25-1339182"/>
    <d v="2025-08-06T00:00:00"/>
    <d v="2025-08-08T00:00:00"/>
    <s v="UNO A UNO"/>
    <s v="UNO A UNO"/>
    <s v="EJECUTADO"/>
    <s v="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31"/>
    <s v="TIPO I"/>
    <s v="TERRESTRE"/>
    <s v="FRANCO CAÑAVERAL YAMID RAUL"/>
    <n v="1"/>
    <n v="0"/>
    <n v="122645.45276000001"/>
    <n v="65164.677720000007"/>
    <n v="122645.45276000001"/>
  </r>
  <r>
    <s v="CARTAGENA"/>
    <x v="4"/>
    <x v="4"/>
    <n v="13657"/>
    <s v="TA-25-931180"/>
    <n v="80914"/>
    <s v="APERTURA"/>
    <s v="CB CRECIMIENTO - NUEVO"/>
    <s v="BOLIVAR"/>
    <s v="SAN JUAN NEPOMUCENO"/>
    <s v="BARRIO LA FRONTERA SAN JUAN NEPOMUCENO"/>
    <s v="REDEBAN"/>
    <s v="FO-25-1339187"/>
    <d v="2025-08-06T00:00:00"/>
    <d v="2025-08-11T00:00:00"/>
    <s v="UNO A UNO"/>
    <s v="UNO A UNO"/>
    <s v="EJECUTADO"/>
    <s v="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ÉCNICA"/>
    <s v="FGZZZ932"/>
    <s v="TIPO II"/>
    <s v="TERRESTRE"/>
    <s v="CANEDO HERRERA ALEXANDER"/>
    <n v="1"/>
    <n v="0"/>
    <n v="122645.45276000001"/>
    <n v="65164.677720000007"/>
    <n v="122645.45276000001"/>
  </r>
  <r>
    <s v="BUCARAMANGA"/>
    <x v="3"/>
    <x v="3"/>
    <n v="68132"/>
    <s v="TA-25-931182"/>
    <n v="80873"/>
    <s v="APERTURA"/>
    <s v="CB CRECIMIENTO - NUEVO"/>
    <s v="SANTANDER"/>
    <s v="CALIFORNIA"/>
    <s v="BARRIO CALIFORNIA CALIFORNIA"/>
    <s v="REDEBAN"/>
    <s v="FO-25-1339197"/>
    <d v="2025-08-06T00:00:00"/>
    <d v="2025-08-12T00:00:00"/>
    <s v="UNO A UNO"/>
    <s v="UNO A UNO"/>
    <s v="EJECUTADO"/>
    <s v="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
    <s v="VISITA_TÉCNICA"/>
    <s v="FGZZZ934"/>
    <s v="TIPO III"/>
    <s v="TERRESTRE"/>
    <s v="SANTOS GONZALEZ JOHAN FABIAN"/>
    <n v="1"/>
    <n v="0"/>
    <n v="122645.45276000001"/>
    <n v="65164.677720000007"/>
    <n v="122645.45276000001"/>
  </r>
  <r>
    <s v="TUNJA"/>
    <x v="3"/>
    <x v="3"/>
    <n v="15238"/>
    <s v="TA-25-931183"/>
    <n v="80881"/>
    <s v="APERTURA"/>
    <s v="CB CRECIMIENTO - NUEVO"/>
    <s v="BOYACA"/>
    <s v="DUITAMA"/>
    <s v="BARRIO LIBERTADOR DUITAMA 1"/>
    <s v="REDEBAN"/>
    <s v="FO-25-1339202"/>
    <d v="2025-08-06T00:00:00"/>
    <d v="2025-08-08T00:00:00"/>
    <s v="UNO A UNO"/>
    <s v="UNO A UNO"/>
    <s v="EJECUTADO"/>
    <s v="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
    <s v="VISITA_TÉCNICA"/>
    <s v="FGZZZ935"/>
    <s v="TIPO II"/>
    <s v="TERRESTRE"/>
    <s v="SOLER HOYOS CRISTIAN LEONARDO"/>
    <n v="1"/>
    <n v="0"/>
    <n v="122645.45276000001"/>
    <n v="65164.677720000007"/>
    <n v="122645.45276000001"/>
  </r>
  <r>
    <s v="BUCARAMANGA"/>
    <x v="3"/>
    <x v="3"/>
    <n v="68169"/>
    <s v="TA-25-931184"/>
    <n v="80877"/>
    <s v="APERTURA"/>
    <s v="CB CRECIMIENTO - NUEVO"/>
    <s v="SANTANDER"/>
    <s v="CHARTA"/>
    <s v="BARRIO EL CARMEN CHARTA"/>
    <s v="REDEBAN"/>
    <s v="FO-25-1339209"/>
    <d v="2025-08-06T00:00:00"/>
    <d v="2025-08-11T00:00:00"/>
    <s v="UNO A UNO"/>
    <s v="UNO A UNO"/>
    <s v="EJECUTADO"/>
    <s v="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
    <s v="VISITA_TÉCNICA"/>
    <s v="FGZZZ936"/>
    <s v="TIPO II"/>
    <s v="TERRESTRE"/>
    <s v="SANTOS GONZALEZ JOHAN FABIAN"/>
    <n v="1"/>
    <n v="0"/>
    <n v="122645.45276000001"/>
    <n v="65164.677720000007"/>
    <n v="122645.45276000001"/>
  </r>
  <r>
    <s v="PEREIRA"/>
    <x v="1"/>
    <x v="6"/>
    <n v="66383"/>
    <s v="TA-25-931185"/>
    <n v="80892"/>
    <s v="APERTURA"/>
    <s v="CB CRECIMIENTO - NUEVO"/>
    <s v="RISARALDA"/>
    <s v="LA CELIA"/>
    <s v="BARRIO CENTRO LA CELIA 6"/>
    <s v="REDEBAN"/>
    <s v="FO-25-1339215"/>
    <d v="2025-08-06T00:00:00"/>
    <d v="2025-08-08T00:00:00"/>
    <s v="UNO A UNO"/>
    <s v="UNO A UNO"/>
    <s v="EJECUTADO"/>
    <s v="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37"/>
    <s v="TIPO II"/>
    <s v="TERRESTRE"/>
    <s v="ARROYAVE CANO MANUEL GUILLERMO"/>
    <n v="1"/>
    <n v="0"/>
    <n v="122645.45276000001"/>
    <n v="65164.677720000007"/>
    <n v="122645.45276000001"/>
  </r>
  <r>
    <s v="YOPAL"/>
    <x v="0"/>
    <x v="0"/>
    <n v="85010"/>
    <s v="TA-25-931186"/>
    <n v="80862"/>
    <s v="APERTURA"/>
    <s v="CB CRECIMIENTO - NUEVO"/>
    <s v="CASANARE"/>
    <s v="AGUAZUL"/>
    <s v="BARRIO LA ESPIGA AGUAZUL"/>
    <s v="REDEBAN"/>
    <s v="FO-25-1339221"/>
    <d v="2025-08-06T00:00:00"/>
    <d v="2025-08-12T00:00:00"/>
    <s v="UNO A UNO"/>
    <s v="UNO A UNO"/>
    <s v="EJECUTADO"/>
    <s v="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
    <s v="VISITA_TÉCNICA"/>
    <s v="FGZZZ940"/>
    <s v="TIPO II"/>
    <s v="TERRESTRE"/>
    <s v="BERNAL ELAICA EDGAR ALEXIS"/>
    <n v="1"/>
    <n v="0"/>
    <n v="122645.45276000001"/>
    <n v="65164.677720000007"/>
    <n v="122645.45276000001"/>
  </r>
  <r>
    <s v="TUNJA"/>
    <x v="3"/>
    <x v="3"/>
    <n v="15238"/>
    <s v="TA-25-931187"/>
    <n v="80882"/>
    <s v="APERTURA"/>
    <s v="CB CRECIMIENTO - NUEVO"/>
    <s v="BOYACA"/>
    <s v="DUITAMA"/>
    <s v="BARRIO ALAMOS DUITAMA"/>
    <s v="REDEBAN"/>
    <s v="FO-25-1339227"/>
    <d v="2025-08-06T00:00:00"/>
    <d v="2025-08-14T00:00:00"/>
    <s v="UNO A UNO"/>
    <s v="UNO A UNO"/>
    <s v="EJECUTADO"/>
    <s v="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
    <s v="VISITA_TÉCNICA"/>
    <s v="FGZZZ941"/>
    <s v="TIPO II"/>
    <s v="TERRESTRE"/>
    <s v="MARTINEZ FLOREZ DONIS ALBERTO"/>
    <n v="1"/>
    <n v="0"/>
    <n v="122645.45276000001"/>
    <n v="65164.677720000007"/>
    <n v="122645.45276000001"/>
  </r>
  <r>
    <s v="TUNJA"/>
    <x v="3"/>
    <x v="3"/>
    <n v="15696"/>
    <s v="TA-25-931191"/>
    <n v="80874"/>
    <s v="APERTURA"/>
    <s v="CB CRECIMIENTO - NUEVO"/>
    <s v="BOYACA"/>
    <s v="SANTA SOFIA"/>
    <s v="BARRIO CENTRO SANTA SOFIA 6"/>
    <s v="REDEBAN"/>
    <s v="FO-25-1339232"/>
    <d v="2025-08-06T00:00:00"/>
    <d v="2025-08-15T00:00:00"/>
    <s v="UNO A UNO"/>
    <s v="UNO A UNO"/>
    <s v="EJECUTADO"/>
    <s v="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
    <s v="VISITA_TÉCNICA"/>
    <s v="FGZZZ942"/>
    <s v="TIPO II"/>
    <s v="TERRESTRE"/>
    <s v="GONZALEZ GONZALEZ MARIO ALBERTO"/>
    <n v="1"/>
    <n v="0"/>
    <n v="122645.45276000001"/>
    <n v="65164.677720000007"/>
    <n v="122645.45276000001"/>
  </r>
  <r>
    <s v="MONTERIA"/>
    <x v="4"/>
    <x v="4"/>
    <n v="23580"/>
    <s v="TA-25-931198"/>
    <n v="80911"/>
    <s v="APERTURA"/>
    <s v="CB CRECIMIENTO - NUEVO"/>
    <s v="CORDOBA"/>
    <s v="PUERTO LIBERTADOR"/>
    <s v="BARRIO VIA TRONCAL PUERTO LIBERTADOR"/>
    <s v="REDEBAN"/>
    <s v="FO-25-1339237"/>
    <d v="2025-08-06T00:00:00"/>
    <d v="2025-08-14T00:00:00"/>
    <s v="UNO A UNO"/>
    <s v="UNO A UNO"/>
    <s v="EJECUTADO"/>
    <s v="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
    <s v="VISITA_TÉCNICA"/>
    <s v="FGZZZ943"/>
    <s v="TIPO IV"/>
    <s v="TERRESTRE"/>
    <s v="COGOLLO VERTEL EDER LUIS"/>
    <n v="1"/>
    <n v="0"/>
    <n v="122645.45276000001"/>
    <n v="65164.677720000007"/>
    <n v="122645.45276000001"/>
  </r>
  <r>
    <s v="BARRANQUILLA"/>
    <x v="4"/>
    <x v="4"/>
    <n v="8001"/>
    <s v="TA-25-931199"/>
    <n v="80865"/>
    <s v="APERTURA"/>
    <s v="CB CRECIMIENTO - NUEVO"/>
    <s v="ATLANTICO"/>
    <s v="BARRANQUILLA"/>
    <s v="BARRIO CIUDAD JARDIN BARRANQUILLA 17"/>
    <s v="REDEBAN"/>
    <s v="FO-25-1339240"/>
    <d v="2025-08-06T00:00:00"/>
    <d v="2025-08-08T00:00:00"/>
    <s v="UNO A UNO"/>
    <s v="UNO A UNO"/>
    <s v="EJECUTADO"/>
    <s v="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44"/>
    <s v="TIPO I"/>
    <s v="TERRESTRE"/>
    <s v="DE AVILA SIADES ALBERTO ENRIQUE"/>
    <n v="1"/>
    <n v="0"/>
    <n v="122645.45276000001"/>
    <n v="65164.677720000007"/>
    <n v="122645.45276000001"/>
  </r>
  <r>
    <s v="BUCARAMANGA"/>
    <x v="3"/>
    <x v="3"/>
    <n v="68895"/>
    <s v="TA-25-931204"/>
    <n v="80820"/>
    <s v="APERTURA"/>
    <s v="CB CRECIMIENTO - OTRAS LISTAS"/>
    <s v="SANTANDER"/>
    <s v="ZAPATOCA"/>
    <s v="BARRIO SANTA BARBARA ZAPATOCA 2"/>
    <s v="REDEBAN"/>
    <s v="FO-25-1339254"/>
    <d v="2025-08-06T00:00:00"/>
    <d v="2025-08-08T00:00:00"/>
    <s v="UNO A UNO"/>
    <s v="UNO A UNO"/>
    <s v="EJECUTADO"/>
    <s v="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ÉCNICA"/>
    <s v="FGZZZ947"/>
    <s v="TIPO III"/>
    <s v="TERRESTRE"/>
    <s v="MARIÑO PABON JORGE ENRIQUE"/>
    <n v="1"/>
    <n v="0"/>
    <n v="122645.45276000001"/>
    <n v="65164.677720000007"/>
    <n v="122645.45276000001"/>
  </r>
  <r>
    <s v="TUNJA"/>
    <x v="3"/>
    <x v="3"/>
    <n v="15176"/>
    <s v="TA-25-931206"/>
    <n v="80726"/>
    <s v="APERTURA"/>
    <s v="CB CRECIMIENTO - OTRAS LISTAS"/>
    <s v="BOYACA"/>
    <s v="CHIQUINQUIRA"/>
    <s v="BARRIO EL BOSQUE CHIQUINQUIRA 2"/>
    <s v="REDEBAN"/>
    <s v="FO-25-1339258"/>
    <d v="2025-08-06T00:00:00"/>
    <d v="2025-08-12T00:00:00"/>
    <s v="UNO A UNO"/>
    <s v="UNO A UNO"/>
    <s v="EJECUTADO"/>
    <s v="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
    <s v="VISITA_TÉCNICA"/>
    <s v="FGZZZ948"/>
    <s v="TIPO III"/>
    <s v="TERRESTRE"/>
    <s v="RODRIGUEZ MURCIA YERSON IVAN"/>
    <n v="1"/>
    <n v="0"/>
    <n v="122645.45276000001"/>
    <n v="65164.677720000007"/>
    <n v="122645.45276000001"/>
  </r>
  <r>
    <s v="MANIZALES"/>
    <x v="1"/>
    <x v="6"/>
    <n v="17873"/>
    <s v="TA-25-931207"/>
    <n v="80811"/>
    <s v="APERTURA"/>
    <s v="CB CRECIMIENTO - OTRAS LISTAS"/>
    <s v="CALDAS"/>
    <s v="VILLAMARIA"/>
    <s v="BARRIO LA FLORIDA VILLAMARIA"/>
    <s v="REDEBAN"/>
    <s v="FO-25-1339265"/>
    <d v="2025-08-06T00:00:00"/>
    <d v="2025-08-08T00:00:00"/>
    <s v="UNO A UNO"/>
    <s v="UNO A UNO"/>
    <s v="EJECUTADO"/>
    <s v="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
    <s v="VISITA_TÉCNICA"/>
    <s v="FGZZZ949"/>
    <s v="TIPO I"/>
    <s v="TERRESTRE"/>
    <s v="AGUIRRE HENAO RAUL EDUARDO"/>
    <n v="1"/>
    <n v="0"/>
    <n v="122645.45276000001"/>
    <n v="65164.677720000007"/>
    <n v="122645.45276000001"/>
  </r>
  <r>
    <s v="CUCUTA"/>
    <x v="3"/>
    <x v="3"/>
    <n v="54001"/>
    <s v="TA-25-951678"/>
    <n v="80943"/>
    <s v="APERTURA"/>
    <s v="CB CRECIMIENTO - NUEVO"/>
    <s v="NORTE DE SANTANDER"/>
    <s v="CUCUTA"/>
    <s v="BARRIO NUEVO HORIZONTE CUCUTA 6"/>
    <s v="REDEBAN"/>
    <s v="FO-25-1359797"/>
    <d v="2025-08-11T00:00:00"/>
    <d v="2025-08-12T00:00:00"/>
    <s v="UNO A UNO"/>
    <s v="UNO A UNO"/>
    <s v="EJECUTADO"/>
    <s v="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ÉCNICA"/>
    <s v="FIZZZ271"/>
    <s v="TIPO I"/>
    <s v="TERRESTRE"/>
    <s v="NARANJO AFANADOR RUBEN JESUS"/>
    <n v="1"/>
    <n v="0"/>
    <n v="122645.45276000001"/>
    <n v="65164.677720000007"/>
    <n v="122645.45276000001"/>
  </r>
  <r>
    <s v="VALLEDUPAR"/>
    <x v="4"/>
    <x v="4"/>
    <n v="20001"/>
    <s v="TA-25-951708"/>
    <n v="80974"/>
    <s v="APERTURA"/>
    <s v="CB CRECIMIENTO - NUEVO"/>
    <s v="CESAR"/>
    <s v="VALLEDUPAR"/>
    <s v="BARRIO CENTRO VALLEDUPAR 32"/>
    <s v="REDEBAN"/>
    <s v="FO-25-1359815"/>
    <d v="2025-08-11T00:00:00"/>
    <d v="2025-08-13T00:00:00"/>
    <s v="UNO A UNO"/>
    <s v="UNO A UNO"/>
    <s v="EJECUTADO"/>
    <s v="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
    <s v="VISITA_TÉCNICA"/>
    <s v="FIZZZ272"/>
    <s v="TIPO I"/>
    <s v="TERRESTRE"/>
    <s v="MAESTRE MENGUAL EDGAR ENRIQUE"/>
    <n v="1"/>
    <n v="0"/>
    <n v="122645.45276000001"/>
    <n v="65164.677720000007"/>
    <n v="122645.45276000001"/>
  </r>
  <r>
    <s v="TUNJA"/>
    <x v="3"/>
    <x v="3"/>
    <n v="15723"/>
    <s v="TA-25-951739"/>
    <n v="80975"/>
    <s v="APERTURA"/>
    <s v="CB CRECIMIENTO - NUEVO"/>
    <s v="BOYACA"/>
    <s v="SATIVASUR"/>
    <s v="BARRIO CENTRO SATIVASUR"/>
    <s v="REDEBAN"/>
    <s v="FO-25-1359836"/>
    <d v="2025-08-11T00:00:00"/>
    <d v="2025-08-14T00:00:00"/>
    <s v="UNO A UNO"/>
    <s v="UNO A UNO"/>
    <s v="EJECUTADO"/>
    <s v="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
    <s v="VISITA_TÉCNICA"/>
    <s v="FIZZZ273"/>
    <s v="TIPO III"/>
    <s v="TERRESTRE"/>
    <s v="SOLER HOYOS CRISTIAN LEONARDO"/>
    <n v="1"/>
    <n v="0"/>
    <n v="122645.45276000001"/>
    <n v="65164.677720000007"/>
    <n v="122645.45276000001"/>
  </r>
  <r>
    <s v="TUNJA"/>
    <x v="3"/>
    <x v="3"/>
    <n v="15759"/>
    <s v="TA-25-951767"/>
    <n v="80969"/>
    <s v="APERTURA"/>
    <s v="CB CRECIMIENTO - NUEVO"/>
    <s v="BOYACA"/>
    <s v="SOGAMOSO"/>
    <s v="BARRIO CHAPINERO SOGAMOSO 3"/>
    <s v="REDEBAN"/>
    <s v="FO-25-1359854"/>
    <d v="2025-08-11T00:00:00"/>
    <d v="2025-08-13T00:00:00"/>
    <s v="UNO A UNO"/>
    <s v="UNO A UNO"/>
    <s v="EJECUTADO"/>
    <s v="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VISITA_TÉCNICA"/>
    <s v="FIZZZ274"/>
    <s v="TIPO II"/>
    <s v="TERRESTRE"/>
    <s v="MARTINEZ FLOREZ DONIS ALBERTO"/>
    <n v="1"/>
    <n v="0"/>
    <n v="122645.45276000001"/>
    <n v="65164.677720000007"/>
    <n v="122645.45276000001"/>
  </r>
  <r>
    <s v="SINCELEJO"/>
    <x v="4"/>
    <x v="4"/>
    <n v="70001"/>
    <s v="TA-25-951795"/>
    <n v="80966"/>
    <s v="APERTURA"/>
    <s v="CB CRECIMIENTO - NUEVO"/>
    <s v="SUCRE"/>
    <s v="SINCELEJO"/>
    <s v="BARRIO NUEVOS PIONEROS SINCELEJO"/>
    <s v="REDEBAN"/>
    <s v="FO-25-1359873"/>
    <d v="2025-08-11T00:00:00"/>
    <d v="2025-08-13T00:00:00"/>
    <s v="UNO A UNO"/>
    <s v="UNO A UNO"/>
    <s v="EJECUTADO"/>
    <s v="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
    <s v="VISITA_TÉCNICA"/>
    <s v="FIZZZ275"/>
    <s v="TIPO I"/>
    <s v="TERRESTRE"/>
    <s v="SANTOS GUZMAN CHRISTIAN FELIPE"/>
    <n v="1"/>
    <n v="0"/>
    <n v="122645.45276000001"/>
    <n v="65164.677720000007"/>
    <n v="122645.45276000001"/>
  </r>
  <r>
    <s v="CUCUTA"/>
    <x v="3"/>
    <x v="3"/>
    <n v="54874"/>
    <s v="TA-25-951828"/>
    <n v="80980"/>
    <s v="APERTURA"/>
    <s v="CB CRECIMIENTO - NUEVO"/>
    <s v="NORTE DE SANTANDER"/>
    <s v="VILLA DEL ROSARIO"/>
    <s v="BARRIO SAN MARTIN VILLA DEL ROSARIO  2"/>
    <s v="REDEBAN"/>
    <s v="FO-25-1359892"/>
    <d v="2025-08-11T00:00:00"/>
    <d v="2025-08-12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
    <s v="VISITA_TÉCNICA"/>
    <s v="FIZZZ276"/>
    <s v="TIPO I"/>
    <s v="TERRESTRE"/>
    <s v="PACHECO BUITRAGO JAVIER ALONSO"/>
    <n v="1"/>
    <n v="0"/>
    <n v="122645.45276000001"/>
    <n v="65164.677720000007"/>
    <n v="122645.45276000001"/>
  </r>
  <r>
    <s v="BARRANQUILLA"/>
    <x v="4"/>
    <x v="4"/>
    <n v="8141"/>
    <s v="TA-25-951857"/>
    <n v="80938"/>
    <s v="APERTURA"/>
    <s v="CB CRECIMIENTO - NUEVO"/>
    <s v="ATLANTICO"/>
    <s v="CANDELARIA"/>
    <s v="BARRIO CANDELARIA CANDELARIA"/>
    <s v="REDEBAN"/>
    <s v="FO-25-1359911"/>
    <d v="2025-08-11T00:00:00"/>
    <d v="2025-08-12T00:00:00"/>
    <s v="UNO A UNO"/>
    <s v="UNO A UNO"/>
    <s v="EJECUTADO"/>
    <s v="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
    <s v="VISITA_TÉCNICA"/>
    <s v="FIZZZ278"/>
    <s v="TIPO II"/>
    <s v="TERRESTRE"/>
    <s v="DE AVILA SIADES ALBERTO ENRIQUE"/>
    <n v="1"/>
    <n v="0"/>
    <n v="122645.45276000001"/>
    <n v="65164.677720000007"/>
    <n v="122645.45276000001"/>
  </r>
  <r>
    <s v="VILLAVICENCIO"/>
    <x v="0"/>
    <x v="0"/>
    <n v="50001"/>
    <s v="TA-25-951899"/>
    <n v="80983"/>
    <s v="APERTURA"/>
    <s v="CB CRECIMIENTO - NUEVO"/>
    <s v="META"/>
    <s v="VILLAVICENCIO"/>
    <s v="BARRIO PORVENIR VILLAVICENCIO 11"/>
    <s v="REDEBAN"/>
    <s v="FO-25-1359933"/>
    <d v="2025-08-11T00:00:00"/>
    <d v="2025-08-13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VISITA_TÉCNICA"/>
    <s v="FIZZZ279"/>
    <s v="TIPO I"/>
    <s v="TERRESTRE"/>
    <s v="CASTRILLON URREA LONDIER LEANDRO"/>
    <n v="1"/>
    <n v="0"/>
    <n v="122645.45276000001"/>
    <n v="65164.677720000007"/>
    <n v="122645.45276000001"/>
  </r>
  <r>
    <s v="CUCUTA"/>
    <x v="3"/>
    <x v="3"/>
    <n v="54405"/>
    <s v="TA-25-951927"/>
    <n v="80947"/>
    <s v="APERTURA"/>
    <s v="CB CRECIMIENTO - NUEVO"/>
    <s v="NORTE DE SANTANDER"/>
    <s v="LOS PATIOS"/>
    <s v="BARRIO URB LA CAMPIÑA LOS PATIOS  1"/>
    <s v="REDEBAN"/>
    <s v="FO-25-1359954"/>
    <d v="2025-08-11T00:00:00"/>
    <d v="2025-08-12T00:00:00"/>
    <s v="UNO A UNO"/>
    <s v="UNO A UNO"/>
    <s v="EJECUTADO"/>
    <s v="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
    <s v="VISITA_TÉCNICA"/>
    <s v="FIZZZ280"/>
    <s v="TIPO I"/>
    <s v="TERRESTRE"/>
    <s v="PACHECO BUITRAGO JAVIER ALONSO"/>
    <n v="1"/>
    <n v="0"/>
    <n v="122645.45276000001"/>
    <n v="65164.677720000007"/>
    <n v="122645.45276000001"/>
  </r>
  <r>
    <s v="SINCELEJO"/>
    <x v="4"/>
    <x v="4"/>
    <n v="70001"/>
    <s v="TA-25-951957"/>
    <n v="80967"/>
    <s v="APERTURA"/>
    <s v="CB CRECIMIENTO - NUEVO"/>
    <s v="SUCRE"/>
    <s v="SINCELEJO"/>
    <s v="BARRIO CENTRO SINCELEJO 26"/>
    <s v="REDEBAN"/>
    <s v="FO-25-1359973"/>
    <d v="2025-08-11T00:00:00"/>
    <d v="2025-08-12T00:00:00"/>
    <s v="UNO A UNO"/>
    <s v="UNO A UNO"/>
    <s v="EJECUTADO"/>
    <s v="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
    <s v="VISITA_TÉCNICA"/>
    <s v="FIZZZ281"/>
    <s v="TIPO I"/>
    <s v="TERRESTRE"/>
    <s v="SANTOS GUZMAN CHRISTIAN FELIPE"/>
    <n v="1"/>
    <n v="0"/>
    <n v="122645.45276000001"/>
    <n v="65164.677720000007"/>
    <n v="122645.45276000001"/>
  </r>
  <r>
    <s v="VILLAVICENCIO"/>
    <x v="0"/>
    <x v="0"/>
    <n v="50001"/>
    <s v="TA-25-951985"/>
    <n v="80982"/>
    <s v="APERTURA"/>
    <s v="CB CRECIMIENTO - NUEVO"/>
    <s v="META"/>
    <s v="VILLAVICENCIO"/>
    <s v="BARRIO EL BRILLANTE VILLAVICENCIO 2"/>
    <s v="REDEBAN"/>
    <s v="FO-25-1359996"/>
    <d v="2025-08-11T00:00:00"/>
    <d v="2025-08-13T00:00:00"/>
    <s v="UNO A UNO"/>
    <s v="UNO A UNO"/>
    <s v="EJECUTADO"/>
    <s v="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VISITA_TÉCNICA"/>
    <s v="FIZZZ282"/>
    <s v="TIPO I"/>
    <s v="TERRESTRE"/>
    <s v="CASTRILLON URREA LONDIER LEANDRO"/>
    <n v="1"/>
    <n v="0"/>
    <n v="122645.45276000001"/>
    <n v="65164.677720000007"/>
    <n v="122645.45276000001"/>
  </r>
  <r>
    <s v="BOGOTA"/>
    <x v="5"/>
    <x v="5"/>
    <n v="25843"/>
    <s v="TA-25-952015"/>
    <n v="80979"/>
    <s v="APERTURA"/>
    <s v="CB CRECIMIENTO - NUEVO"/>
    <s v="CUNDINAMARCA"/>
    <s v="VILLA DE SAN DIEGO DE UBATE"/>
    <s v="BARRIO NORTE VILLA DE SAN DIEGO DE UBATE 3"/>
    <s v="REDEBAN"/>
    <s v="FO-25-1360015"/>
    <d v="2025-08-11T00:00:00"/>
    <d v="2025-08-12T00:00:00"/>
    <s v="UNO A UNO"/>
    <s v="UNO A UNO"/>
    <s v="EJECUTADO"/>
    <s v="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
    <s v="VISITA_TÉCNICA"/>
    <s v="FIZZZ283"/>
    <s v="TIPO II"/>
    <s v="TERRESTRE"/>
    <s v="GOMEZ VEGA DAVID SNEYDER"/>
    <n v="1"/>
    <n v="0"/>
    <n v="122645.45276000001"/>
    <n v="65164.677720000007"/>
    <n v="122645.45276000001"/>
  </r>
  <r>
    <s v="MEDELLIN"/>
    <x v="2"/>
    <x v="2"/>
    <n v="5001"/>
    <s v="TA-25-952041"/>
    <n v="80984"/>
    <s v="APERTURA"/>
    <s v="CB CRECIMIENTO - NUEVO"/>
    <s v="ANTIOQUIA"/>
    <s v="MEDELLIN"/>
    <s v="BARRIO ENCISO LLANADITAS MEDELLIN"/>
    <s v="REDEBAN"/>
    <s v="FO-25-1360033"/>
    <d v="2025-08-11T00:00:00"/>
    <d v="2025-08-13T00:00:00"/>
    <s v="UNO A UNO"/>
    <s v="UNO A UNO"/>
    <s v="EJECUTADO"/>
    <s v="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VISITA_TÉCNICA"/>
    <s v="FIZZZ284"/>
    <s v="TIPO I"/>
    <s v="TERRESTRE"/>
    <s v="ALVAREZ ARENAS VICTOR HUGO"/>
    <n v="1"/>
    <n v="0"/>
    <n v="122645.45276000001"/>
    <n v="65164.677720000007"/>
    <n v="122645.45276000001"/>
  </r>
  <r>
    <s v="PASTO"/>
    <x v="1"/>
    <x v="1"/>
    <n v="52079"/>
    <s v="TA-25-952072"/>
    <n v="80928"/>
    <s v="APERTURA"/>
    <s v="CB CRECIMIENTO - NUEVO"/>
    <s v="NARIÑO"/>
    <s v="BARBACOAS"/>
    <s v="BARRIO CL SAN ANTONIO BARBACOAS"/>
    <s v="REDEBAN"/>
    <s v="FO-25-1360054"/>
    <d v="2025-08-11T00:00:00"/>
    <d v="2025-08-14T00:00:00"/>
    <s v="UNO A UNO"/>
    <s v="UNO A UNO"/>
    <s v="EJECUTADO"/>
    <s v="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
    <s v="VISITA_TÉCNICA"/>
    <s v="FIZZZ285"/>
    <s v="TIPO IV"/>
    <s v="TERRESTRE"/>
    <s v="PAZ MARTINEZ RICHARD HUMBERTO"/>
    <n v="1"/>
    <n v="0"/>
    <n v="122645.45276000001"/>
    <n v="65164.677720000007"/>
    <n v="122645.45276000001"/>
  </r>
  <r>
    <s v="CALI"/>
    <x v="1"/>
    <x v="1"/>
    <n v="76275"/>
    <s v="TA-25-952096"/>
    <n v="80944"/>
    <s v="APERTURA"/>
    <s v="CB CRECIMIENTO - NUEVO"/>
    <s v="VALLE DEL CAUCA"/>
    <s v="FLORIDA"/>
    <s v="BARRIO LA ESPERANZA FLORIDA 1"/>
    <s v="REDEBAN"/>
    <s v="FO-25-1360070"/>
    <d v="2025-08-11T00:00:00"/>
    <d v="2025-08-14T00:00:00"/>
    <s v="UNO A UNO"/>
    <s v="UNO A UNO"/>
    <s v="EJECUTADO"/>
    <s v="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
    <s v="VISITA_TÉCNICA"/>
    <s v="FIZZZ286"/>
    <s v="TIPO II"/>
    <s v="TERRESTRE"/>
    <s v="MONTERO MUESES GIAN CARLO"/>
    <n v="1"/>
    <n v="0"/>
    <n v="122645.45276000001"/>
    <n v="65164.677720000007"/>
    <n v="122645.45276000001"/>
  </r>
  <r>
    <s v="BOGOTA"/>
    <x v="5"/>
    <x v="5"/>
    <n v="25899"/>
    <s v="TA-25-952124"/>
    <n v="80989"/>
    <s v="APERTURA"/>
    <s v="CB CRECIMIENTO - NUEVO"/>
    <s v="CUNDINAMARCA"/>
    <s v="ZIPAQUIRA"/>
    <s v="BARRIO PASO ANCHO ZIPAQUIRÁ"/>
    <s v="REDEBAN"/>
    <s v="FO-25-1360091"/>
    <d v="2025-08-11T00:00:00"/>
    <d v="2025-08-14T00:00:00"/>
    <s v="UNO A UNO"/>
    <s v="UNO A UNO"/>
    <s v="EJECUTADO"/>
    <s v="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
    <s v="VISITA_TÉCNICA"/>
    <s v="FIZZZ287"/>
    <s v="TIPO II"/>
    <s v="TERRESTRE"/>
    <s v="MURCIA HERNANDEZ HARVEY IGNACIO"/>
    <n v="1"/>
    <n v="0"/>
    <n v="122645.45276000001"/>
    <n v="65164.677720000007"/>
    <n v="122645.45276000001"/>
  </r>
  <r>
    <s v="BOGOTA"/>
    <x v="5"/>
    <x v="5"/>
    <n v="11001"/>
    <s v="TA-25-952153"/>
    <n v="80933"/>
    <s v="APERTURA"/>
    <s v="CAMBIO DE RAZON SOCIAL"/>
    <s v="CUNDINAMARCA"/>
    <s v="BOGOTA"/>
    <s v="BARRIO BOCHICA BOGOTA 3"/>
    <s v="REDEBAN"/>
    <s v="FO-25-1360107"/>
    <d v="2025-08-11T00:00:00"/>
    <d v="2025-08-12T00:00:00"/>
    <s v="UNO A UNO"/>
    <s v="UNO A UNO"/>
    <s v="EJECUTADO"/>
    <s v="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
    <s v="VISITA_TÉCNICA"/>
    <s v="FIZZZ288"/>
    <s v="TIPO I"/>
    <s v="TERRESTRE"/>
    <s v="MURCIA HERNANDEZ HARVEY IGNACIO"/>
    <n v="1"/>
    <n v="0"/>
    <n v="122645.45276000001"/>
    <n v="65164.677720000007"/>
    <n v="122645.45276000001"/>
  </r>
  <r>
    <s v="PASTO"/>
    <x v="1"/>
    <x v="1"/>
    <n v="52621"/>
    <s v="TA-25-952173"/>
    <n v="80963"/>
    <s v="APERTURA"/>
    <s v="CB CRECIMIENTO - NUEVO"/>
    <s v="NARIÑO"/>
    <s v="ROBERTO PAYAN"/>
    <s v="BARRIO LA PRIMAVERA ROBERTO PAYAN 1"/>
    <s v="REDEBAN"/>
    <s v="FO-25-1360123"/>
    <d v="2025-08-11T00:00:00"/>
    <d v="2025-08-12T00:00:00"/>
    <s v="UNO A UNO"/>
    <s v="UNO A UNO"/>
    <s v="EJECUTADO"/>
    <s v="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
    <s v="VISITA_TÉCNICA"/>
    <s v="FIZZZ289"/>
    <s v="TIPO IV ESPECIAL"/>
    <s v="FLUVIAL"/>
    <s v="PAZ MARTINEZ RICHARD HUMBERTO"/>
    <n v="1"/>
    <n v="0"/>
    <n v="122645.45276000001"/>
    <n v="65164.677720000007"/>
    <n v="122645.45276000001"/>
  </r>
  <r>
    <s v="APARTADO"/>
    <x v="2"/>
    <x v="2"/>
    <n v="5665"/>
    <s v="TA-25-952201"/>
    <n v="80961"/>
    <s v="APERTURA"/>
    <s v="CB CRECIMIENTO - NUEVO"/>
    <s v="ANTIOQUIA"/>
    <s v="SAN PEDRO DE URABA"/>
    <s v="BARRO ALFONSO LOPEZ SAN PEDRO DE URABA ANTIOQUIA SAN PEDRO DE URABA"/>
    <s v="REDEBAN"/>
    <s v="FO-25-1360142"/>
    <d v="2025-08-11T00:00:00"/>
    <d v="2025-08-20T00:00:00"/>
    <s v="UNO A UNO"/>
    <s v="UNO A UNO"/>
    <s v="EJECUTADO"/>
    <s v="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
    <s v="VISITA_TÉCNICA"/>
    <s v="FIZZZ290"/>
    <s v="TIPO III"/>
    <s v="TERRESTRE"/>
    <s v="SALDARRIAGA MIRANDA SANTIAGO"/>
    <n v="1"/>
    <n v="0"/>
    <n v="122645.45276000001"/>
    <n v="65164.677720000007"/>
    <n v="122645.45276000001"/>
  </r>
  <r>
    <s v="MEDELLIN"/>
    <x v="2"/>
    <x v="2"/>
    <n v="5001"/>
    <s v="TA-25-952233"/>
    <n v="80987"/>
    <s v="APERTURA"/>
    <s v="CB CRECIMIENTO - NUEVO"/>
    <s v="ANTIOQUIA"/>
    <s v="MEDELLIN"/>
    <s v="BARRIO PRADITO MEDELLIN 6"/>
    <s v="REDEBAN"/>
    <s v="FO-25-1360163"/>
    <d v="2025-08-11T00:00:00"/>
    <d v="2025-08-13T00:00:00"/>
    <s v="UNO A UNO"/>
    <s v="UNO A UNO"/>
    <s v="EJECUTADO"/>
    <s v="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291"/>
    <s v="TIPO I"/>
    <s v="TERRESTRE"/>
    <s v="ALVAREZ ARENAS VICTOR HUGO"/>
    <n v="1"/>
    <n v="0"/>
    <n v="122645.45276000001"/>
    <n v="65164.677720000007"/>
    <n v="122645.45276000001"/>
  </r>
  <r>
    <s v="CALI"/>
    <x v="1"/>
    <x v="1"/>
    <n v="19001"/>
    <s v="TA-25-952261"/>
    <n v="80960"/>
    <s v="APERTURA"/>
    <s v="CB CRECIMIENTO - NUEVO"/>
    <s v="CAUCA"/>
    <s v="POPAYAN"/>
    <s v="BARRIO LA MARIA OCCIDENTE POPAYAN 1"/>
    <s v="REDEBAN"/>
    <s v="FO-25-1360187"/>
    <d v="2025-08-11T00:00:00"/>
    <d v="2025-08-13T00:00:00"/>
    <s v="UNO A UNO"/>
    <s v="UNO A UNO"/>
    <s v="EJECUTADO"/>
    <s v="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292"/>
    <s v="TIPO III"/>
    <s v="TERRESTRE"/>
    <s v="GIMBUEL LASSO LUIS GERMAN"/>
    <n v="1"/>
    <n v="0"/>
    <n v="122645.45276000001"/>
    <n v="65164.677720000007"/>
    <n v="122645.45276000001"/>
  </r>
  <r>
    <s v="BOGOTA"/>
    <x v="5"/>
    <x v="5"/>
    <n v="25488"/>
    <s v="TA-25-952286"/>
    <n v="80929"/>
    <s v="APERTURA"/>
    <s v="CB CRECIMIENTO - NUEVO"/>
    <s v="CUNDINAMARCA"/>
    <s v="NILO"/>
    <s v="BARRIO TOLEMAIDA NILO 1"/>
    <s v="REDEBAN"/>
    <s v="FO-25-1360203"/>
    <d v="2025-08-11T00:00:00"/>
    <d v="2025-08-12T00:00:00"/>
    <s v="UNO A UNO"/>
    <s v="UNO A UNO"/>
    <s v="EJECUTADO"/>
    <s v="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
    <s v="VISITA_TÉCNICA"/>
    <s v="FIZZZ293"/>
    <s v="TIPO III"/>
    <s v="TERRESTRE"/>
    <s v="GALEANO SORIANO JUAN DAVID"/>
    <n v="1"/>
    <n v="0"/>
    <n v="122645.45276000001"/>
    <n v="65164.677720000007"/>
    <n v="122645.45276000001"/>
  </r>
  <r>
    <s v="MEDELLIN"/>
    <x v="2"/>
    <x v="2"/>
    <n v="5148"/>
    <s v="TA-25-952313"/>
    <n v="80981"/>
    <s v="APERTURA"/>
    <s v="CB CRECIMIENTO - NUEVO"/>
    <s v="ANTIOQUIA"/>
    <s v="EL CARMEN DE VIBORAL"/>
    <s v="BARRIO OSPINA EL CARMEN DE VIBORAL"/>
    <s v="REDEBAN"/>
    <s v="FO-25-1360221"/>
    <d v="2025-08-11T00:00:00"/>
    <d v="2025-08-13T00:00:00"/>
    <s v="UNO A UNO"/>
    <s v="UNO A UNO"/>
    <s v="EJECUTADO"/>
    <s v="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
    <s v="VISITA_TÉCNICA"/>
    <s v="FIZZZ294"/>
    <s v="TIPO II"/>
    <s v="TERRESTRE"/>
    <s v="MARTINEZ TOVAR OSCAR DAVID"/>
    <n v="1"/>
    <n v="0"/>
    <n v="122645.45276000001"/>
    <n v="65164.677720000007"/>
    <n v="122645.45276000001"/>
  </r>
  <r>
    <s v="APARTADO"/>
    <x v="2"/>
    <x v="2"/>
    <n v="27077"/>
    <s v="TA-25-952341"/>
    <n v="80971"/>
    <s v="APERTURA"/>
    <s v="CB CRECIMIENTO - NUEVO"/>
    <s v="CHOCO"/>
    <s v="BAJO BAUDO"/>
    <s v="BARRIO PUEBLO NUEVO BAJO BAUDO 1"/>
    <s v="REDEBAN"/>
    <s v="FO-25-1360238"/>
    <d v="2025-08-11T00:00:00"/>
    <d v="2025-08-21T00:00:00"/>
    <s v="UNO A UNO"/>
    <s v="UNO A UNO"/>
    <s v="EJECUTADO"/>
    <s v="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
    <s v="VISITA_TÉCNICA"/>
    <s v="FIZZZ295"/>
    <s v="TIPO IV ESPECIAL"/>
    <s v="AEREO"/>
    <s v="ROBLEDO DIAZ ANDRES FELIPE"/>
    <n v="1"/>
    <n v="0"/>
    <n v="122645.45276000001"/>
    <n v="65164.677720000007"/>
    <n v="122645.45276000001"/>
  </r>
  <r>
    <s v="MEDELLIN"/>
    <x v="2"/>
    <x v="2"/>
    <n v="5667"/>
    <s v="TA-25-952369"/>
    <n v="80962"/>
    <s v="APERTURA"/>
    <s v="CB CRECIMIENTO - NUEVO"/>
    <s v="ANTIOQUIA"/>
    <s v="SAN RAFAEL"/>
    <s v="BARRIOS SAN RAFAEL SAN RAFAEL"/>
    <s v="REDEBAN"/>
    <s v="FO-25-1360257"/>
    <d v="2025-08-11T00:00:00"/>
    <d v="2025-08-13T00:00:00"/>
    <s v="UNO A UNO"/>
    <s v="UNO A UNO"/>
    <s v="EJECUTADO"/>
    <s v="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
    <s v="VISITA_TÉCNICA"/>
    <s v="FIZZZ296"/>
    <s v="TIPO III"/>
    <s v="TERRESTRE"/>
    <s v="DIAZ ZABALA FRANCIS DUBAN"/>
    <n v="1"/>
    <n v="0"/>
    <n v="122645.45276000001"/>
    <n v="65164.677720000007"/>
    <n v="122645.45276000001"/>
  </r>
  <r>
    <s v="CALI"/>
    <x v="1"/>
    <x v="1"/>
    <n v="76520"/>
    <s v="TA-25-952397"/>
    <n v="80952"/>
    <s v="APERTURA"/>
    <s v="CB CRECIMIENTO - NUEVO"/>
    <s v="VALLE DEL CAUCA"/>
    <s v="PALMIRA"/>
    <s v="BARRIO ALTAMIRA PALMIRA 3"/>
    <s v="REDEBAN"/>
    <s v="FO-25-1360278"/>
    <d v="2025-08-11T00:00:00"/>
    <d v="2025-08-12T00:00:00"/>
    <s v="UNO A UNO"/>
    <s v="UNO A UNO"/>
    <s v="EJECUTADO"/>
    <s v="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
    <s v="VISITA_TÉCNICA"/>
    <s v="FIZZZ297"/>
    <s v="TIPO I"/>
    <s v="TERRESTRE"/>
    <s v="SANCHEZ URREGO ROBINSON DAVID"/>
    <n v="1"/>
    <n v="0"/>
    <n v="122645.45276000001"/>
    <n v="65164.677720000007"/>
    <n v="122645.45276000001"/>
  </r>
  <r>
    <s v="PASTO"/>
    <x v="1"/>
    <x v="1"/>
    <n v="52001"/>
    <s v="TA-25-952422"/>
    <n v="80957"/>
    <s v="APERTURA"/>
    <s v="CAMBIO DE RAZON SOCIAL"/>
    <s v="NARIÑO"/>
    <s v="PASTO"/>
    <s v="BARRIO EL BERNAL PASTO 1"/>
    <s v="REDEBAN"/>
    <s v="FO-25-1360295"/>
    <d v="2025-08-11T00:00:00"/>
    <d v="2025-08-13T00:00:00"/>
    <s v="UNO A UNO"/>
    <s v="UNO A UNO"/>
    <s v="EJECUTADO"/>
    <s v="11-08 SE REALIZA LLAMADA AL CLIENTE, SE HABLA CON LA SRA ANGIE CATHERINE ROSALES OJEDA SE VALIDA DIRECCIÓN OK, CANAL OK, DISPONIBILIDAD TOTAL, LLAMAR EL DÍA LA INSTALACIÓN PARA CONFIRMAR VISITA, AVISO EXTERIOR ALTURA APROX 2 METROS; TOMACORRIENTE CERCANO: SI; TIENE CABINA DE SEGURIDAD: NO 13/08/2025 SE REALIZA INSTALACIÓN DE CORRESPONSAL, SE INSTALAN EQUIPOS CON PRUEBAS EXITOSAS, SE CAPACITA Y SE EVALÚA AL CLIENTE, NO SE INSTALA PUBLICIDAD, USUARIO YA LA TENIA INSTALADA, CB QUEDA OPERATIVO. USUARIO SOMOS BANCOLOMBIA ACTIVO"/>
    <s v="VISITA_TÉCNICA"/>
    <s v="FIZZZ298"/>
    <s v="TIPO I"/>
    <s v="TERRESTRE"/>
    <s v="GUERRERO RAMIREZ OSCAR DARIO"/>
    <n v="1"/>
    <n v="0"/>
    <n v="122645.45276000001"/>
    <n v="65164.677720000007"/>
    <n v="122645.45276000001"/>
  </r>
  <r>
    <s v="MEDELLIN"/>
    <x v="2"/>
    <x v="2"/>
    <n v="5591"/>
    <s v="TA-25-952447"/>
    <n v="80970"/>
    <s v="APERTURA"/>
    <s v="CAMBIO DE RAZON SOCIAL"/>
    <s v="ANTIOQUIA"/>
    <s v="PUERTO TRIUNFO"/>
    <s v="BARRIO DORADAL PUERTO TRIUNFO 4"/>
    <s v="REDEBAN"/>
    <s v="FO-25-1360314"/>
    <d v="2025-08-11T00:00:00"/>
    <d v="2025-08-12T00:00:00"/>
    <s v="UNO A UNO"/>
    <s v="UNO A UNO"/>
    <s v="EJECUTADO"/>
    <s v="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
    <s v="VISITA_TÉCNICA"/>
    <s v="FIZZZ299"/>
    <s v="TIPO IV"/>
    <s v="TERRESTRE"/>
    <s v="PAREJA ECHAVARRIA JHON DAVID"/>
    <n v="1"/>
    <n v="0"/>
    <n v="122645.45276000001"/>
    <n v="65164.677720000007"/>
    <n v="122645.45276000001"/>
  </r>
  <r>
    <s v="CUCUTA"/>
    <x v="3"/>
    <x v="3"/>
    <n v="54001"/>
    <s v="TA-25-952466"/>
    <n v="80942"/>
    <s v="APERTURA"/>
    <s v="CB CRECIMIENTO - NUEVO"/>
    <s v="NORTE DE SANTANDER"/>
    <s v="CUCUTA"/>
    <s v="BARRIO CALLEJON CUCUTA 23"/>
    <s v="REDEBAN"/>
    <s v="FO-25-1360334"/>
    <d v="2025-08-11T00:00:00"/>
    <d v="2025-08-14T00:00:00"/>
    <s v="UNO A UNO"/>
    <s v="UNO A UNO"/>
    <s v="EJECUTADO"/>
    <s v="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
    <s v="VISITA_TÉCNICA"/>
    <s v="FIZZZ301"/>
    <s v="TIPO I"/>
    <s v="TERRESTRE"/>
    <s v="PACHECO BUITRAGO JAVIER ALONSO"/>
    <n v="1"/>
    <n v="0"/>
    <n v="122645.45276000001"/>
    <n v="65164.677720000007"/>
    <n v="122645.45276000001"/>
  </r>
  <r>
    <s v="TUNJA"/>
    <x v="3"/>
    <x v="3"/>
    <n v="15774"/>
    <s v="TA-25-952467"/>
    <n v="80976"/>
    <s v="APERTURA"/>
    <s v="CB CRECIMIENTO - NUEVO"/>
    <s v="BOYACA"/>
    <s v="SUSACON"/>
    <s v="BARRIO VEREDA EL HATO ARBOL SOLO SUSACON"/>
    <s v="REDEBAN"/>
    <s v="FO-25-1360339"/>
    <d v="2025-08-11T00:00:00"/>
    <d v="2025-08-13T00:00:00"/>
    <s v="UNO A UNO"/>
    <s v="UNO A UNO"/>
    <s v="EJECUTADO"/>
    <s v="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
    <s v="VISITA_TÉCNICA"/>
    <s v="FIZZZ302"/>
    <s v="TIPO III"/>
    <s v="TERRESTRE"/>
    <s v="ALVARADO MORENO CRISTHIAN"/>
    <n v="1"/>
    <n v="0"/>
    <n v="122645.45276000001"/>
    <n v="65164.677720000007"/>
    <n v="122645.45276000001"/>
  </r>
  <r>
    <s v="BOGOTA"/>
    <x v="5"/>
    <x v="5"/>
    <n v="11001"/>
    <s v="TA-25-952468"/>
    <n v="80932"/>
    <s v="APERTURA"/>
    <s v="CB CRECIMIENTO - NUEVO"/>
    <s v="CUNDINAMARCA"/>
    <s v="BOGOTA"/>
    <s v="BARRIO SAN FRANCISCO BOGOTA 16"/>
    <s v="REDEBAN"/>
    <s v="FO-25-1360343"/>
    <d v="2025-08-11T00:00:00"/>
    <d v="2025-08-12T00:00:00"/>
    <s v="UNO A UNO"/>
    <s v="UNO A UNO"/>
    <s v="EJECUTADO"/>
    <s v="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
    <s v="VISITA_TÉCNICA"/>
    <s v="FIZZZ304"/>
    <s v="TIPO I"/>
    <s v="TERRESTRE"/>
    <s v="ROMERO ROJAS BREIDY JHOHAN"/>
    <n v="1"/>
    <n v="0"/>
    <n v="122645.45276000001"/>
    <n v="65164.677720000007"/>
    <n v="122645.45276000001"/>
  </r>
  <r>
    <s v="CALI"/>
    <x v="1"/>
    <x v="1"/>
    <n v="76001"/>
    <s v="TA-25-952469"/>
    <n v="80937"/>
    <s v="APERTURA"/>
    <s v="CB CRECIMIENTO - NUEVO"/>
    <s v="VALLE DEL CAUCA"/>
    <s v="CALI"/>
    <s v="BARRIO UNION DE VIVIENDA POPULAR CALI"/>
    <s v="REDEBAN"/>
    <s v="FO-25-1360347"/>
    <d v="2025-08-11T00:00:00"/>
    <d v="2025-08-13T00:00:00"/>
    <s v="UNO A UNO"/>
    <s v="UNO A UNO"/>
    <s v="EJECUTADO"/>
    <s v="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305"/>
    <s v="TIPO I"/>
    <s v="TERRESTRE"/>
    <s v="CUERO RUIZ JHONNY"/>
    <n v="1"/>
    <n v="0"/>
    <n v="122645.45276000001"/>
    <n v="65164.677720000007"/>
    <n v="122645.45276000001"/>
  </r>
  <r>
    <s v="TUNJA"/>
    <x v="3"/>
    <x v="3"/>
    <n v="15407"/>
    <s v="TA-25-952470"/>
    <n v="80978"/>
    <s v="APERTURA"/>
    <s v="CB CRECIMIENTO - NUEVO"/>
    <s v="BOYACA"/>
    <s v="VILLA DE LEYVA"/>
    <s v="BARRIO SANTA ANA VILLA DE LEYVA"/>
    <s v="REDEBAN"/>
    <s v="FO-25-1360349"/>
    <d v="2025-08-11T00:00:00"/>
    <d v="2025-08-13T00:00:00"/>
    <s v="UNO A UNO"/>
    <s v="UNO A UNO"/>
    <s v="EJECUTADO"/>
    <s v="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
    <s v="VISITA_TÉCNICA"/>
    <s v="FIZZZ306"/>
    <s v="TIPO II"/>
    <s v="TERRESTRE"/>
    <s v="GONZALEZ GONZALEZ MARIO ALBERTO"/>
    <n v="1"/>
    <n v="0"/>
    <n v="122645.45276000001"/>
    <n v="65164.677720000007"/>
    <n v="122645.45276000001"/>
  </r>
  <r>
    <s v="CALI"/>
    <x v="1"/>
    <x v="1"/>
    <n v="76001"/>
    <s v="TA-25-952471"/>
    <n v="80936"/>
    <s v="APERTURA"/>
    <s v="CB CRECIMIENTO - NUEVO"/>
    <s v="VALLE DEL CAUCA"/>
    <s v="CALI"/>
    <s v="BARRIO MELENDEZ CALI 5"/>
    <s v="REDEBAN"/>
    <s v="FO-25-1360351"/>
    <d v="2025-08-11T00:00:00"/>
    <d v="2025-08-12T00:00:00"/>
    <s v="UNO A UNO"/>
    <s v="UNO A UNO"/>
    <s v="EJECUTADO"/>
    <s v="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
    <s v="VISITA_TÉCNICA"/>
    <s v="FIZZZ307"/>
    <s v="TIPO I"/>
    <s v="TERRESTRE"/>
    <s v="MONTERO MUESES GIAN CARLO"/>
    <n v="1"/>
    <n v="0"/>
    <n v="122645.45276000001"/>
    <n v="65164.677720000007"/>
    <n v="122645.45276000001"/>
  </r>
  <r>
    <s v="TUNJA"/>
    <x v="3"/>
    <x v="3"/>
    <n v="15774"/>
    <s v="TA-25-952472"/>
    <n v="80977"/>
    <s v="APERTURA"/>
    <s v="CAMBIO DE RAZON SOCIAL"/>
    <s v="BOYACA"/>
    <s v="SUSACON"/>
    <s v="BARRIO CENTRO SUSACON 2"/>
    <s v="REDEBAN"/>
    <s v="FO-25-1360353"/>
    <d v="2025-08-11T00:00:00"/>
    <d v="2025-08-13T00:00:00"/>
    <s v="UNO A UNO"/>
    <s v="UNO A UNO"/>
    <s v="EJECUTADO"/>
    <s v="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
    <s v="VISITA_TÉCNICA"/>
    <s v="FIZZZ308"/>
    <s v="TIPO III"/>
    <s v="TERRESTRE"/>
    <s v="ALVARADO MORENO CRISTHIAN"/>
    <n v="1"/>
    <n v="0"/>
    <n v="122645.45276000001"/>
    <n v="65164.677720000007"/>
    <n v="122645.45276000001"/>
  </r>
  <r>
    <s v="BOGOTA"/>
    <x v="5"/>
    <x v="5"/>
    <n v="11001"/>
    <s v="TA-25-952475"/>
    <n v="80930"/>
    <s v="APERTURA"/>
    <s v="CB CRECIMIENTO - NUEVO"/>
    <s v="CUNDINAMARCA"/>
    <s v="BOGOTA"/>
    <s v="BARRIO VILLA CLAUDIA BOGOTA 1"/>
    <s v="REDEBAN"/>
    <s v="FO-25-1360358"/>
    <d v="2025-08-11T00:00:00"/>
    <d v="2025-08-12T00:00:00"/>
    <s v="UNO A UNO"/>
    <s v="UNO A UNO"/>
    <s v="EJECUTADO"/>
    <s v="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VISITA_TÉCNICA"/>
    <s v="FIZZZ309"/>
    <s v="TIPO I"/>
    <s v="TERRESTRE"/>
    <s v="LOZADA ROJAS CHRISTIAN ANDRES"/>
    <n v="1"/>
    <n v="0"/>
    <n v="122645.45276000001"/>
    <n v="65164.677720000007"/>
    <n v="122645.45276000001"/>
  </r>
  <r>
    <s v="MEDELLIN"/>
    <x v="2"/>
    <x v="2"/>
    <n v="5887"/>
    <s v="TA-25-952476"/>
    <n v="80988"/>
    <s v="APERTURA"/>
    <s v="CB CRECIMIENTO - NUEVO"/>
    <s v="ANTIOQUIA"/>
    <s v="YARUMAL"/>
    <s v="BARRIO VARIANTE YARUMAL"/>
    <s v="REDEBAN"/>
    <s v="FO-25-1360360"/>
    <d v="2025-08-11T00:00:00"/>
    <d v="2025-08-13T00:00:00"/>
    <s v="UNO A UNO"/>
    <s v="UNO A UNO"/>
    <s v="EJECUTADO"/>
    <s v="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310"/>
    <s v="TIPO III"/>
    <s v="TERRESTRE"/>
    <s v="BADEL ACUÑA LUIS ALBERTO"/>
    <n v="1"/>
    <n v="0"/>
    <n v="122645.45276000001"/>
    <n v="65164.677720000007"/>
    <n v="122645.45276000001"/>
  </r>
  <r>
    <s v="APARTADO"/>
    <x v="2"/>
    <x v="2"/>
    <n v="5490"/>
    <s v="TA-25-952478"/>
    <n v="80940"/>
    <s v="APERTURA"/>
    <s v="CB CRECIMIENTO - NUEVO"/>
    <s v="ANTIOQUIA"/>
    <s v="NECOCLI"/>
    <s v="BARRIO NECOCLI ANTIOQUIA NECOCLI"/>
    <s v="REDEBAN"/>
    <s v="FO-25-1360365"/>
    <d v="2025-08-11T00:00:00"/>
    <d v="2025-08-12T00:00:00"/>
    <s v="UNO A UNO"/>
    <s v="UNO A UNO"/>
    <s v="EJECUTADO"/>
    <s v="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VISITA_TÉCNICA"/>
    <s v="FIZZZ311"/>
    <s v="TIPO II"/>
    <s v="TERRESTRE"/>
    <s v="SALDARRIAGA MIRANDA SANTIAGO"/>
    <n v="1"/>
    <n v="0"/>
    <n v="122645.45276000001"/>
    <n v="65164.677720000007"/>
    <n v="122645.45276000001"/>
  </r>
  <r>
    <s v="PEREIRA"/>
    <x v="1"/>
    <x v="6"/>
    <n v="66001"/>
    <s v="TA-25-952479"/>
    <n v="80959"/>
    <s v="APERTURA"/>
    <s v="CB CRECIMIENTO - NUEVO"/>
    <s v="RISARALDA"/>
    <s v="PEREIRA"/>
    <s v="BARRIO CENTRO PEREIRA 54"/>
    <s v="REDEBAN"/>
    <s v="FO-25-1360368"/>
    <d v="2025-08-11T00:00:00"/>
    <d v="2025-08-12T00:00:00"/>
    <s v="UNO A UNO"/>
    <s v="UNO A UNO"/>
    <s v="EJECUTADO"/>
    <s v="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ÉCNICA"/>
    <s v="FIZZZ312"/>
    <s v="TIPO I"/>
    <s v="TERRESTRE"/>
    <s v="ARROYAVE CANO MANUEL GUILLERMO"/>
    <n v="1"/>
    <n v="0"/>
    <n v="122645.45276000001"/>
    <n v="65164.677720000007"/>
    <n v="122645.45276000001"/>
  </r>
  <r>
    <s v="PASTO"/>
    <x v="1"/>
    <x v="1"/>
    <n v="52001"/>
    <s v="TA-25-952483"/>
    <n v="80956"/>
    <s v="APERTURA"/>
    <s v="CB CRECIMIENTO - NUEVO"/>
    <s v="NARIÑO"/>
    <s v="PASTO"/>
    <s v="BARRIO CORR DE SANTA BARBARA PASTO"/>
    <s v="REDEBAN"/>
    <s v="FO-25-1360373"/>
    <d v="2025-08-11T00:00:00"/>
    <d v="2025-08-12T00:00:00"/>
    <s v="UNO A UNO"/>
    <s v="UNO A UNO"/>
    <s v="EJECUTADO"/>
    <s v="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
    <s v="VISITA_TÉCNICA"/>
    <s v="FIZZZ313"/>
    <s v="TIPO I"/>
    <s v="TERRESTRE"/>
    <s v="GUERRERO RAMIREZ OSCAR DARIO"/>
    <n v="1"/>
    <n v="0"/>
    <n v="122645.45276000001"/>
    <n v="65164.677720000007"/>
    <n v="122645.45276000001"/>
  </r>
  <r>
    <s v="TUNJA"/>
    <x v="3"/>
    <x v="3"/>
    <n v="15001"/>
    <s v="TA-25-952485"/>
    <n v="80972"/>
    <s v="APERTURA"/>
    <s v="CB CRECIMIENTO - NUEVO"/>
    <s v="BOYACA"/>
    <s v="TUNJA"/>
    <s v="BARRIO LOS MUISCAS TUNJA 9"/>
    <s v="REDEBAN"/>
    <s v="FO-25-1360377"/>
    <d v="2025-08-11T00:00:00"/>
    <d v="2025-08-12T00:00:00"/>
    <s v="UNO A UNO"/>
    <s v="UNO A UNO"/>
    <s v="EJECUTADO"/>
    <s v="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VISITA_TÉCNICA"/>
    <s v="FIZZZ314"/>
    <s v="TIPO I"/>
    <s v="TERRESTRE"/>
    <s v="GONZALEZ GONZALEZ MARIO ALBERTO"/>
    <n v="1"/>
    <n v="0"/>
    <n v="122645.45276000001"/>
    <n v="65164.677720000007"/>
    <n v="122645.45276000001"/>
  </r>
  <r>
    <s v="CUCUTA"/>
    <x v="3"/>
    <x v="3"/>
    <n v="54518"/>
    <s v="TA-25-952486"/>
    <n v="80953"/>
    <s v="APERTURA"/>
    <s v="CB CRECIMIENTO - NUEVO"/>
    <s v="NORTE DE SANTANDER"/>
    <s v="PAMPLONA"/>
    <s v="BARRIO LOS CEREZOS PAMPLONA"/>
    <s v="REDEBAN"/>
    <s v="FO-25-1360379"/>
    <d v="2025-08-11T00:00:00"/>
    <d v="2025-08-13T00:00:00"/>
    <s v="UNO A UNO"/>
    <s v="UNO A UNO"/>
    <s v="EJECUTADO"/>
    <s v="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315"/>
    <s v="TIPO III"/>
    <s v="TERRESTRE"/>
    <s v="MORA VEGA JEAMPIER"/>
    <n v="1"/>
    <n v="0"/>
    <n v="122645.45276000001"/>
    <n v="65164.677720000007"/>
    <n v="122645.45276000001"/>
  </r>
  <r>
    <s v="CUCUTA"/>
    <x v="3"/>
    <x v="3"/>
    <n v="54518"/>
    <s v="TA-25-952488"/>
    <n v="80954"/>
    <s v="APERTURA"/>
    <s v="CB CRECIMIENTO - NUEVO"/>
    <s v="NORTE DE SANTANDER"/>
    <s v="PAMPLONA"/>
    <s v="BARRIO SANTO DOMINGO PAMPLONA 2"/>
    <s v="REDEBAN"/>
    <s v="FO-25-1360385"/>
    <d v="2025-08-11T00:00:00"/>
    <d v="2025-08-13T00:00:00"/>
    <s v="UNO A UNO"/>
    <s v="UNO A UNO"/>
    <s v="EJECUTADO"/>
    <s v="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316"/>
    <s v="TIPO III"/>
    <s v="TERRESTRE"/>
    <s v="MORA VEGA JEAMPIER"/>
    <n v="1"/>
    <n v="0"/>
    <n v="122645.45276000001"/>
    <n v="65164.677720000007"/>
    <n v="122645.45276000001"/>
  </r>
  <r>
    <s v="BOGOTA"/>
    <x v="5"/>
    <x v="5"/>
    <n v="11001"/>
    <s v="TA-25-952490"/>
    <n v="80931"/>
    <s v="APERTURA"/>
    <s v="CB CRECIMIENTO - NUEVO"/>
    <s v="CUNDINAMARCA"/>
    <s v="BOGOTA"/>
    <s v="BARRIO LA ESPERANZA BOGOTA 4"/>
    <s v="REDEBAN"/>
    <s v="FO-25-1360389"/>
    <d v="2025-08-11T00:00:00"/>
    <d v="2025-08-12T00:00:00"/>
    <s v="UNO A UNO"/>
    <s v="UNO A UNO"/>
    <s v="EJECUTADO"/>
    <s v="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VISITA_TÉCNICA"/>
    <s v="FIZZZ317"/>
    <s v="TIPO I"/>
    <s v="TERRESTRE"/>
    <s v="MURCIA HERNANDEZ HARVEY IGNACIO"/>
    <n v="1"/>
    <n v="0"/>
    <n v="122645.45276000001"/>
    <n v="65164.677720000007"/>
    <n v="122645.45276000001"/>
  </r>
  <r>
    <s v="CALI"/>
    <x v="1"/>
    <x v="1"/>
    <n v="76130"/>
    <s v="TA-25-952491"/>
    <n v="80939"/>
    <s v="APERTURA"/>
    <s v="CB CRECIMIENTO - NUEVO"/>
    <s v="VALLE DEL CAUCA"/>
    <s v="CANDELARIA"/>
    <s v="BARRIO ARMANDO VASQUEZ CANDELARIA"/>
    <s v="REDEBAN"/>
    <s v="FO-25-1360392"/>
    <d v="2025-08-11T00:00:00"/>
    <d v="2025-08-12T00:00:00"/>
    <s v="UNO A UNO"/>
    <s v="UNO A UNO"/>
    <s v="EJECUTADO"/>
    <s v="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
    <s v="VISITA_TÉCNICA"/>
    <s v="FIZZZ318"/>
    <s v="TIPO II"/>
    <s v="TERRESTRE"/>
    <s v="TORRES GARCIA JENDRY JOSE"/>
    <n v="1"/>
    <n v="0"/>
    <n v="122645.45276000001"/>
    <n v="65164.677720000007"/>
    <n v="122645.45276000001"/>
  </r>
  <r>
    <s v="MANIZALES"/>
    <x v="1"/>
    <x v="6"/>
    <n v="17001"/>
    <s v="TA-25-952494"/>
    <n v="80949"/>
    <s v="APERTURA"/>
    <s v="CB CRECIMIENTO - NUEVO"/>
    <s v="CALDAS"/>
    <s v="MANIZALES"/>
    <s v="BARRIO NEVADO MANIZALES 2"/>
    <s v="REDEBAN"/>
    <s v="FO-25-1360397"/>
    <d v="2025-08-11T00:00:00"/>
    <d v="2025-08-12T00:00:00"/>
    <s v="UNO A UNO"/>
    <s v="UNO A UNO"/>
    <s v="EJECUTADO"/>
    <s v="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
    <s v="VISITA_TÉCNICA"/>
    <s v="FIZZZ319"/>
    <s v="TIPO I"/>
    <s v="TERRESTRE"/>
    <s v="AGUIRRE HENAO RAUL EDUARDO"/>
    <n v="1"/>
    <n v="0"/>
    <n v="122645.45276000001"/>
    <n v="65164.677720000007"/>
    <n v="122645.45276000001"/>
  </r>
  <r>
    <s v="BOGOTA"/>
    <x v="5"/>
    <x v="5"/>
    <n v="11001"/>
    <s v="TA-25-952495"/>
    <n v="80934"/>
    <s v="APERTURA"/>
    <s v="CB CRECIMIENTO - NUEVO"/>
    <s v="CUNDINAMARCA"/>
    <s v="BOGOTA"/>
    <s v="BARRIO BOSA CARBONEL BOGOTA 1"/>
    <s v="REDEBAN"/>
    <s v="FO-25-1374679"/>
    <d v="2025-08-11T00:00:00"/>
    <d v="2025-08-14T00:00:00"/>
    <s v="UNO A UNO"/>
    <s v="UNO A UNO"/>
    <s v="EJECUTADO"/>
    <s v="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
    <s v="VISITA_TÉCNICA"/>
    <s v="FIZZZ320"/>
    <s v="TIPO I"/>
    <s v="TERRESTRE"/>
    <s v="LOZADA ROJAS CHRISTIAN ANDRES"/>
    <n v="1"/>
    <n v="0"/>
    <n v="122645.45276000001"/>
    <n v="65164.677720000007"/>
    <n v="122645.45276000001"/>
  </r>
  <r>
    <s v="CUCUTA"/>
    <x v="3"/>
    <x v="3"/>
    <n v="54001"/>
    <s v="TA-25-952497"/>
    <n v="80941"/>
    <s v="APERTURA"/>
    <s v="CB CRECIMIENTO - NUEVO"/>
    <s v="NORTE DE SANTANDER"/>
    <s v="CUCUTA"/>
    <s v="BARRIO URB NIZA CUCUTA 2"/>
    <s v="REDEBAN"/>
    <s v="FO-25-1360408"/>
    <d v="2025-08-11T00:00:00"/>
    <d v="2025-08-12T00:00:00"/>
    <s v="UNO A UNO"/>
    <s v="UNO A UNO"/>
    <s v="EJECUTADO"/>
    <s v="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ÉCNICA"/>
    <s v="FIZZZ322"/>
    <s v="TIPO I"/>
    <s v="TERRESTRE"/>
    <s v="DURAN ACOSTA FRANK YONNY"/>
    <n v="1"/>
    <n v="0"/>
    <n v="122645.45276000001"/>
    <n v="65164.677720000007"/>
    <n v="122645.45276000001"/>
  </r>
  <r>
    <s v="SINCELEJO"/>
    <x v="4"/>
    <x v="4"/>
    <n v="70001"/>
    <s v="TA-25-952498"/>
    <n v="80968"/>
    <s v="APERTURA"/>
    <s v="CB CRECIMIENTO - NUEVO"/>
    <s v="SUCRE"/>
    <s v="SINCELEJO"/>
    <s v="BARRIO VEINTE DE JULIO SINCELEJO"/>
    <s v="REDEBAN"/>
    <s v="FO-25-1360411"/>
    <d v="2025-08-11T00:00:00"/>
    <d v="2025-08-12T00:00:00"/>
    <s v="UNO A UNO"/>
    <s v="UNO A UNO"/>
    <s v="EJECUTADO"/>
    <s v="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
    <s v="VISITA_TÉCNICA"/>
    <s v="FIZZZ323"/>
    <s v="TIPO I"/>
    <s v="TERRESTRE"/>
    <s v="SANTOS GUZMAN CHRISTIAN FELIPE"/>
    <n v="1"/>
    <n v="0"/>
    <n v="122645.45276000001"/>
    <n v="65164.677720000007"/>
    <n v="122645.45276000001"/>
  </r>
  <r>
    <s v="PEREIRA"/>
    <x v="1"/>
    <x v="6"/>
    <n v="66001"/>
    <s v="TA-25-952501"/>
    <n v="80958"/>
    <s v="APERTURA"/>
    <s v="CAMBIO DE RAZON SOCIAL"/>
    <s v="RISARALDA"/>
    <s v="PEREIRA"/>
    <s v="BARRIO CENTRO PEREIRA 53"/>
    <s v="REDEBAN"/>
    <s v="FO-25-1360416"/>
    <d v="2025-08-11T00:00:00"/>
    <d v="2025-08-12T00:00:00"/>
    <s v="UNO A UNO"/>
    <s v="UNO A UNO"/>
    <s v="EJECUTADO"/>
    <s v="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
    <s v="VISITA_TÉCNICA"/>
    <s v="FIZZZ324"/>
    <s v="TIPO I"/>
    <s v="TERRESTRE"/>
    <s v="ARROYAVE CANO MANUEL GUILLERMO"/>
    <n v="1"/>
    <n v="0"/>
    <n v="122645.45276000001"/>
    <n v="65164.677720000007"/>
    <n v="122645.45276000001"/>
  </r>
  <r>
    <s v="MEDELLIN"/>
    <x v="2"/>
    <x v="2"/>
    <n v="5001"/>
    <s v="TA-25-952502"/>
    <n v="80985"/>
    <s v="APERTURA"/>
    <s v="CB CRECIMIENTO - NUEVO"/>
    <s v="ANTIOQUIA"/>
    <s v="MEDELLIN"/>
    <s v="BARRIO CENTRO ORIENTAL CON HUEVO MEDELLIN"/>
    <s v="REDEBAN"/>
    <s v="FO-25-1360419"/>
    <d v="2025-08-11T00:00:00"/>
    <d v="2025-08-12T00:00:00"/>
    <s v="UNO A UNO"/>
    <s v="UNO A UNO"/>
    <s v="EJECUTADO"/>
    <s v="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
    <s v="VISITA_TÉCNICA"/>
    <s v="FIZZZ325"/>
    <s v="TIPO I"/>
    <s v="TERRESTRE"/>
    <s v="MARTINEZ TOVAR OSCAR DAVID"/>
    <n v="1"/>
    <n v="0"/>
    <n v="122645.45276000001"/>
    <n v="65164.677720000007"/>
    <n v="122645.45276000001"/>
  </r>
  <r>
    <s v="MEDELLIN"/>
    <x v="2"/>
    <x v="2"/>
    <n v="5001"/>
    <s v="TA-25-952503"/>
    <n v="80986"/>
    <s v="APERTURA"/>
    <s v="CAMBIO DE RAZON SOCIAL"/>
    <s v="ANTIOQUIA"/>
    <s v="MEDELLIN"/>
    <s v="BARRIO BELEN MEDELLIN 18"/>
    <s v="REDEBAN"/>
    <s v="FO-25-1360424"/>
    <d v="2025-08-11T00:00:00"/>
    <d v="2025-08-12T00:00:00"/>
    <s v="UNO A UNO"/>
    <s v="UNO A UNO"/>
    <s v="EJECUTADO"/>
    <s v="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
    <s v="VISITA_TÉCNICA"/>
    <s v="FIZZZ326"/>
    <s v="TIPO I"/>
    <s v="TERRESTRE"/>
    <s v="MARTINEZ TOVAR OSCAR DAVID"/>
    <n v="1"/>
    <n v="0"/>
    <n v="122645.45276000001"/>
    <n v="65164.677720000007"/>
    <n v="122645.45276000001"/>
  </r>
  <r>
    <s v="PEREIRA"/>
    <x v="1"/>
    <x v="6"/>
    <n v="66440"/>
    <s v="TA-25-952504"/>
    <n v="80950"/>
    <s v="APERTURA"/>
    <s v="CB CRECIMIENTO - NUEVO"/>
    <s v="RISARALDA"/>
    <s v="MARSELLA"/>
    <s v="BARRIO CENTRO MARSELLA 7"/>
    <s v="REDEBAN"/>
    <s v="FO-25-1360428"/>
    <d v="2025-08-11T00:00:00"/>
    <d v="2025-08-12T00:00:00"/>
    <s v="UNO A UNO"/>
    <s v="UNO A UNO"/>
    <s v="EJECUTADO"/>
    <s v="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ÉCNICA"/>
    <s v="FIZZZ327"/>
    <s v="TIPO II"/>
    <s v="TERRESTRE"/>
    <s v="FRANCO CAÑAVERAL YAMID RAUL"/>
    <n v="1"/>
    <n v="0"/>
    <n v="122645.45276000001"/>
    <n v="65164.677720000007"/>
    <n v="122645.45276000001"/>
  </r>
  <r>
    <s v="PEREIRA"/>
    <x v="1"/>
    <x v="6"/>
    <n v="66383"/>
    <s v="TA-25-952505"/>
    <n v="80946"/>
    <s v="APERTURA"/>
    <s v="CB CRECIMIENTO - NUEVO"/>
    <s v="RISARALDA"/>
    <s v="LA CELIA"/>
    <s v="BARRIO CENTRO LA CELIA 7"/>
    <s v="REDEBAN"/>
    <s v="FO-25-1360430"/>
    <d v="2025-08-11T00:00:00"/>
    <d v="2025-08-13T00:00:00"/>
    <s v="UNO A UNO"/>
    <s v="UNO A UNO"/>
    <s v="EJECUTADO"/>
    <s v="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ÉCNICA"/>
    <s v="FIZZZ328"/>
    <s v="TIPO II"/>
    <s v="TERRESTRE"/>
    <s v="ARROYAVE CANO MANUEL GUILLERMO"/>
    <n v="1"/>
    <n v="0"/>
    <n v="122645.45276000001"/>
    <n v="65164.677720000007"/>
    <n v="122645.45276000001"/>
  </r>
  <r>
    <s v="BOGOTA"/>
    <x v="5"/>
    <x v="5"/>
    <n v="11001"/>
    <s v="TA-25-952506"/>
    <n v="80935"/>
    <s v="APERTURA"/>
    <s v="CB CRECIMIENTO - NUEVO"/>
    <s v="CUNDINAMARCA"/>
    <s v="BOGOTA"/>
    <s v="BARRIO MARCO FIDEL SUAREZ BOGOTA 8"/>
    <s v="REDEBAN"/>
    <s v="FO-25-1360435"/>
    <d v="2025-08-11T00:00:00"/>
    <d v="2025-08-12T00:00:00"/>
    <s v="UNO A UNO"/>
    <s v="UNO A UNO"/>
    <s v="EJECUTADO"/>
    <s v="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
    <s v="VISITA_TÉCNICA"/>
    <s v="FIZZZ329"/>
    <s v="TIPO I"/>
    <s v="TERRESTRE"/>
    <s v="ROMERO ROJAS BREIDY JHOHAN"/>
    <n v="1"/>
    <n v="0"/>
    <n v="122645.45276000001"/>
    <n v="65164.677720000007"/>
    <n v="122645.45276000001"/>
  </r>
  <r>
    <s v="BUCARAMANGA"/>
    <x v="3"/>
    <x v="3"/>
    <n v="68418"/>
    <s v="TA-25-952507"/>
    <n v="80948"/>
    <s v="APERTURA"/>
    <s v="CB CRECIMIENTO - NUEVO"/>
    <s v="SANTANDER"/>
    <s v="LOS SANTOS"/>
    <s v="BARRIO LOS SANTOS LOS SANTOS 1"/>
    <s v="REDEBAN"/>
    <s v="FO-25-1360440"/>
    <d v="2025-08-11T00:00:00"/>
    <d v="2025-08-12T00:00:00"/>
    <s v="UNO A UNO"/>
    <s v="UNO A UNO"/>
    <s v="EJECUTADO"/>
    <s v="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
    <s v="VISITA_TÉCNICA"/>
    <s v="FIZZZ330"/>
    <s v="TIPO II"/>
    <s v="TERRESTRE"/>
    <s v="GONZALEZ ESTUPIÑAN YEISON WALTER ANTONIO"/>
    <n v="1"/>
    <n v="0"/>
    <n v="122645.45276000001"/>
    <n v="65164.677720000007"/>
    <n v="122645.45276000001"/>
  </r>
  <r>
    <s v="IBAGUE"/>
    <x v="0"/>
    <x v="0"/>
    <n v="73001"/>
    <s v="TA-25-952508"/>
    <n v="80945"/>
    <s v="APERTURA"/>
    <s v="CB CRECIMIENTO - NUEVO"/>
    <s v="TOLIMA"/>
    <s v="IBAGUE"/>
    <s v="BARRIO LA POLA IBAGUE 7"/>
    <s v="REDEBAN"/>
    <s v="FO-25-1360444"/>
    <d v="2025-08-11T00:00:00"/>
    <d v="2025-08-12T00:00:00"/>
    <s v="UNO A UNO"/>
    <s v="UNO A UNO"/>
    <s v="EJECUTADO"/>
    <s v="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ÉCNICA"/>
    <s v="FIZZZ331"/>
    <s v="TIPO I"/>
    <s v="TERRESTRE"/>
    <s v="BARRAGAN TAFUR EDWIN ESTEBAN"/>
    <n v="1"/>
    <n v="0"/>
    <n v="122645.45276000001"/>
    <n v="65164.677720000007"/>
    <n v="122645.45276000001"/>
  </r>
  <r>
    <s v="VILLAVICENCIO"/>
    <x v="0"/>
    <x v="0"/>
    <n v="50001"/>
    <s v="TA-25-952514"/>
    <n v="80923"/>
    <s v="APERTURA"/>
    <s v="CB CRECIMIENTO - OTRAS LISTAS"/>
    <s v="META"/>
    <s v="VILLAVICENCIO"/>
    <s v="BARRIO ACAPULCO VILLAVICENCIO 2"/>
    <s v="REDEBAN"/>
    <s v="FO-25-1360451"/>
    <d v="2025-08-11T00:00:00"/>
    <d v="2025-08-12T00:00:00"/>
    <s v="UNO A UNO"/>
    <s v="UNO A UNO"/>
    <s v="EJECUTADO"/>
    <s v="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ÉCNICA"/>
    <s v="FIZZZ333"/>
    <s v="TIPO I"/>
    <s v="TERRESTRE"/>
    <s v="PEDREROS CONTRERAS MICHAEL STEVENS"/>
    <n v="1"/>
    <n v="0"/>
    <n v="122645.45276000001"/>
    <n v="65164.677720000007"/>
    <n v="122645.45276000001"/>
  </r>
  <r>
    <s v="MEDELLIN"/>
    <x v="2"/>
    <x v="2"/>
    <n v="5001"/>
    <s v="TA-25-969495"/>
    <n v="81036"/>
    <s v="APERTURA"/>
    <s v="CB CRECIMIENTO ALIANZA - NUEVO"/>
    <s v="ANTIOQUIA"/>
    <s v="MEDELLIN"/>
    <s v="DISTRICOL PET SHOP MI TAPITO"/>
    <s v="REDEBAN"/>
    <s v="FO-25-137152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87"/>
    <s v="TIPO I"/>
    <s v="TERRESTRE"/>
    <s v="PAREJA ECHAVARRIA JHON DAVID"/>
    <n v="1"/>
    <n v="0"/>
    <n v="122645.45276000001"/>
    <n v="65164.677720000007"/>
    <n v="122645.45276000001"/>
  </r>
  <r>
    <s v="MEDELLIN"/>
    <x v="2"/>
    <x v="2"/>
    <n v="5001"/>
    <s v="TA-25-969518"/>
    <n v="81037"/>
    <s v="APERTURA"/>
    <s v="CB CRECIMIENTO ALIANZA - NUEVO"/>
    <s v="ANTIOQUIA"/>
    <s v="MEDELLIN"/>
    <s v="DISTRICOL LA VIÑA JCI"/>
    <s v="REDEBAN"/>
    <s v="FO-25-13715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88"/>
    <s v="TIPO I"/>
    <s v="TERRESTRE"/>
    <s v="PAREJA ECHAVARRIA JHON DAVID"/>
    <n v="1"/>
    <n v="0"/>
    <n v="122645.45276000001"/>
    <n v="65164.677720000007"/>
    <n v="122645.45276000001"/>
  </r>
  <r>
    <s v="MEDELLIN"/>
    <x v="2"/>
    <x v="2"/>
    <n v="5001"/>
    <s v="TA-25-969535"/>
    <n v="81038"/>
    <s v="APERTURA"/>
    <s v="CB CRECIMIENTO ALIANZA - NUEVO"/>
    <s v="ANTIOQUIA"/>
    <s v="MEDELLIN"/>
    <s v="DISTRICOL EDEMAT GROUP S.A.S."/>
    <s v="REDEBAN"/>
    <s v="FO-25-1371534"/>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889"/>
    <s v="TIPO I"/>
    <s v="TERRESTRE"/>
    <s v="BADEL ACUÑA LUIS ALBERTO"/>
    <n v="1"/>
    <n v="0"/>
    <n v="122645.45276000001"/>
    <n v="65164.677720000007"/>
    <n v="122645.45276000001"/>
  </r>
  <r>
    <s v="MEDELLIN"/>
    <x v="2"/>
    <x v="2"/>
    <n v="5001"/>
    <s v="TA-25-969537"/>
    <n v="81039"/>
    <s v="APERTURA"/>
    <s v="CB CRECIMIENTO ALIANZA - NUEVO"/>
    <s v="ANTIOQUIA"/>
    <s v="MEDELLIN"/>
    <s v="DISTRICOL CARNES LAS MERCEDES"/>
    <s v="REDEBAN"/>
    <s v="FO-25-13715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890"/>
    <s v="TIPO I"/>
    <s v="TERRESTRE"/>
    <s v="BADEL ACUÑA LUIS ALBERTO"/>
    <n v="1"/>
    <n v="0"/>
    <n v="122645.45276000001"/>
    <n v="65164.677720000007"/>
    <n v="122645.45276000001"/>
  </r>
  <r>
    <s v="MEDELLIN"/>
    <x v="2"/>
    <x v="2"/>
    <n v="5001"/>
    <s v="TA-25-969539"/>
    <n v="81040"/>
    <s v="APERTURA"/>
    <s v="CB CRECIMIENTO ALIANZA - NUEVO"/>
    <s v="ANTIOQUIA"/>
    <s v="MEDELLIN"/>
    <s v="DISTRICOL PC BELEN 76"/>
    <s v="REDEBAN"/>
    <s v="FO-25-137153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91"/>
    <s v="TIPO I"/>
    <s v="TERRESTRE"/>
    <s v="BADEL ACUÑA LUIS ALBERTO"/>
    <n v="1"/>
    <n v="0"/>
    <n v="122645.45276000001"/>
    <n v="65164.677720000007"/>
    <n v="122645.45276000001"/>
  </r>
  <r>
    <s v="MEDELLIN"/>
    <x v="2"/>
    <x v="2"/>
    <n v="5001"/>
    <s v="TA-25-969540"/>
    <n v="81041"/>
    <s v="APERTURA"/>
    <s v="CB CRECIMIENTO ALIANZA - NUEVO"/>
    <s v="ANTIOQUIA"/>
    <s v="MEDELLIN"/>
    <s v="PTM MEDELLIN AUTOSERVICIO LA P"/>
    <s v="REDEBAN"/>
    <s v="FO-25-137154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892"/>
    <s v="TIPO I"/>
    <s v="TERRESTRE"/>
    <s v="CASTAÑEDA PALACIO CARLOS FELIPE"/>
    <n v="1"/>
    <n v="0"/>
    <n v="122645.45276000001"/>
    <n v="65164.677720000007"/>
    <n v="122645.45276000001"/>
  </r>
  <r>
    <s v="MEDELLIN"/>
    <x v="2"/>
    <x v="2"/>
    <n v="5001"/>
    <s v="TA-25-969541"/>
    <n v="81042"/>
    <s v="APERTURA"/>
    <s v="CB CRECIMIENTO ALIANZA - NUEVO"/>
    <s v="ANTIOQUIA"/>
    <s v="MEDELLIN"/>
    <s v="PTM MEDELLIN AJN TRAVEL"/>
    <s v="REDEBAN"/>
    <s v="FO-25-1371543"/>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93"/>
    <s v="TIPO I"/>
    <s v="TERRESTRE"/>
    <s v="BADEL ACUÑA LUIS ALBERTO"/>
    <n v="1"/>
    <n v="0"/>
    <n v="122645.45276000001"/>
    <n v="65164.677720000007"/>
    <n v="122645.45276000001"/>
  </r>
  <r>
    <s v="MEDELLIN"/>
    <x v="2"/>
    <x v="2"/>
    <n v="5001"/>
    <s v="TA-25-969543"/>
    <n v="81043"/>
    <s v="APERTURA"/>
    <s v="CB CRECIMIENTO ALIANZA - NUEVO"/>
    <s v="ANTIOQUIA"/>
    <s v="MEDELLIN"/>
    <s v="PTM MEDELLIN MISCELANEA LA TAT"/>
    <s v="REDEBAN"/>
    <s v="FO-25-1371545"/>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894"/>
    <s v="TIPO I"/>
    <s v="TERRESTRE"/>
    <s v="MARTINEZ TOVAR OSCAR DAVID"/>
    <n v="1"/>
    <n v="0"/>
    <n v="122645.45276000001"/>
    <n v="65164.677720000007"/>
    <n v="122645.45276000001"/>
  </r>
  <r>
    <s v="MEDELLIN"/>
    <x v="2"/>
    <x v="2"/>
    <n v="5088"/>
    <s v="TA-25-969547"/>
    <n v="81032"/>
    <s v="APERTURA"/>
    <s v="CB CRECIMIENTO ALIANZA - NUEVO"/>
    <s v="ANTIOQUIA"/>
    <s v="BELLO"/>
    <s v="PTM BELLO MISCELANEA SOLUCION"/>
    <s v="REDEBAN"/>
    <s v="FO-25-1371547"/>
    <d v="2025-08-13T00:00:00"/>
    <d v="2025-08-15T00:00:00"/>
    <s v="AGREGADOR"/>
    <s v="COMCARD - PTM"/>
    <s v="EJECUTADO"/>
    <s v="13-08 PROGRAMACIÓN REALIZADA POR LA ALIANZA 15-08 SE REALIZA INSTALACIÓN DE CORRESPONSAL, SE INSTALAN EQUIPOS CON PRUEBAS EXITOSAS, SE CAPACITA Y SE EVALÚA AL CLIENTE, SE INSTALA PUBLICIDAD COMPLETA, CB QUEDA OPERATIVO. USUARIO SOMOS BANCOLOMBIA ACTIVO"/>
    <s v="VISITA_TÉCNICA"/>
    <s v="FJZZZ895"/>
    <s v="TIPO I"/>
    <s v="TERRESTRE"/>
    <s v="MARTINEZ TOVAR OSCAR DAVID"/>
    <n v="1"/>
    <n v="0"/>
    <n v="122645.45276000001"/>
    <n v="65164.677720000007"/>
    <n v="122645.45276000001"/>
  </r>
  <r>
    <s v="MEDELLIN"/>
    <x v="2"/>
    <x v="2"/>
    <n v="5129"/>
    <s v="TA-25-969548"/>
    <n v="81006"/>
    <s v="APERTURA"/>
    <s v="CB CRECIMIENTO ALIANZA - NUEVO"/>
    <s v="ANTIOQUIA"/>
    <s v="CALDAS"/>
    <s v="PTM CALDAS BOTANICASALOMON"/>
    <s v="REDEBAN"/>
    <s v="FO-25-1371550"/>
    <d v="2025-08-13T00:00:00"/>
    <d v="2025-08-15T00:00:00"/>
    <s v="AGREGADOR"/>
    <s v="COMCARD - PTM"/>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VISITA_TÉCNICA"/>
    <s v="FJZZZ896"/>
    <s v="TIPO I"/>
    <s v="TERRESTRE"/>
    <s v="CASTAÑEDA PALACIO CARLOS FELIPE"/>
    <n v="1"/>
    <n v="0"/>
    <n v="122645.45276000001"/>
    <n v="65164.677720000007"/>
    <n v="122645.45276000001"/>
  </r>
  <r>
    <s v="MEDELLIN"/>
    <x v="2"/>
    <x v="2"/>
    <n v="5148"/>
    <s v="TA-25-969549"/>
    <n v="81033"/>
    <s v="APERTURA"/>
    <s v="CB CRECIMIENTO ALIANZA - NUEVO"/>
    <s v="ANTIOQUIA"/>
    <s v="EL CARMEN DE VIBORAL"/>
    <s v="DISTRICOL TIENDA ISABELLA´S"/>
    <s v="REDEBAN"/>
    <s v="FO-25-1371553"/>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VISITA_TÉCNICA"/>
    <s v="FJZZZ897"/>
    <s v="TIPO II"/>
    <s v="TERRESTRE"/>
    <s v="MARTINEZ TOVAR OSCAR DAVID"/>
    <n v="1"/>
    <n v="0"/>
    <n v="122645.45276000001"/>
    <n v="65164.677720000007"/>
    <n v="122645.45276000001"/>
  </r>
  <r>
    <s v="MEDELLIN"/>
    <x v="2"/>
    <x v="2"/>
    <n v="5376"/>
    <s v="TA-25-969553"/>
    <n v="81035"/>
    <s v="APERTURA"/>
    <s v="CB CRECIMIENTO ALIANZA - NUEVO"/>
    <s v="ANTIOQUIA"/>
    <s v="LA CEJA"/>
    <s v="DISTRICOL CREDIPLUS M Y M"/>
    <s v="REDEBAN"/>
    <s v="FO-25-1371556"/>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98"/>
    <s v="TIPO II"/>
    <s v="TERRESTRE"/>
    <s v="DIAZ ZABALA FRANCIS DUBAN"/>
    <n v="1"/>
    <n v="0"/>
    <n v="122645.45276000001"/>
    <n v="65164.677720000007"/>
    <n v="122645.45276000001"/>
  </r>
  <r>
    <s v="BARRANQUILLA"/>
    <x v="4"/>
    <x v="4"/>
    <n v="8001"/>
    <s v="TA-25-969556"/>
    <n v="80994"/>
    <s v="APERTURA"/>
    <s v="CB CRECIMIENTO ALIANZA - NUEVO"/>
    <s v="ATLANTICO"/>
    <s v="BARRANQUILLA"/>
    <s v="DISTRICOL Q´CHICHA S.A.S."/>
    <s v="REDEBAN"/>
    <s v="FO-25-137155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899"/>
    <s v="TIPO I"/>
    <s v="TERRESTRE"/>
    <s v="DE AVILA SIADES ALBERTO ENRIQUE"/>
    <n v="1"/>
    <n v="0"/>
    <n v="122645.45276000001"/>
    <n v="65164.677720000007"/>
    <n v="122645.45276000001"/>
  </r>
  <r>
    <s v="TUNJA"/>
    <x v="3"/>
    <x v="3"/>
    <n v="15238"/>
    <s v="TA-25-969557"/>
    <n v="81011"/>
    <s v="APERTURA"/>
    <s v="CB CRECIMIENTO ALIANZA - NUEVO"/>
    <s v="BOYACA"/>
    <s v="DUITAMA"/>
    <s v="DISTRICOL FREA HOM"/>
    <s v="REDEBAN"/>
    <s v="FO-25-1371561"/>
    <d v="2025-08-13T00:00:00"/>
    <d v="2025-08-15T00:00:00"/>
    <s v="AGREGADOR"/>
    <s v="DISTRICOL"/>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VISITA_TÉCNICA"/>
    <s v="FJZZZ900"/>
    <s v="TIPO II"/>
    <s v="TERRESTRE"/>
    <s v="RODRIGUEZ MURCIA YERSON IVAN"/>
    <n v="1"/>
    <n v="0"/>
    <n v="122645.45276000001"/>
    <n v="65164.677720000007"/>
    <n v="122645.45276000001"/>
  </r>
  <r>
    <s v="TUNJA"/>
    <x v="3"/>
    <x v="3"/>
    <n v="15686"/>
    <s v="TA-25-969559"/>
    <n v="81025"/>
    <s v="APERTURA"/>
    <s v="CB CRECIMIENTO ALIANZA - NUEVO"/>
    <s v="BOYACA"/>
    <s v="SANTANA"/>
    <s v="DISTRICOL KAROLAY PLATINUM"/>
    <s v="REDEBAN"/>
    <s v="FO-25-137156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02"/>
    <s v="TIPO III"/>
    <s v="TERRESTRE"/>
    <s v="HERRERA GARZON JEYSON STEVENT"/>
    <n v="1"/>
    <n v="0"/>
    <n v="122645.45276000001"/>
    <n v="65164.677720000007"/>
    <n v="122645.45276000001"/>
  </r>
  <r>
    <s v="NEIVA"/>
    <x v="0"/>
    <x v="0"/>
    <n v="18150"/>
    <s v="TA-25-969567"/>
    <n v="81005"/>
    <s v="APERTURA"/>
    <s v="CB CRECIMIENTO ALIANZA - NUEVO"/>
    <s v="CAQUETA"/>
    <s v="CARTAGENA DEL CHAIRA"/>
    <s v="DISTRICOL CROCHET ROSA MONTANA"/>
    <s v="REDEBAN"/>
    <s v="FO-25-1371573"/>
    <d v="2025-08-13T00:00:00"/>
    <d v="2025-08-20T00:00:00"/>
    <s v="AGREGADOR"/>
    <s v="DISTRICOL"/>
    <s v="EJECUTADO"/>
    <s v="13-08 PROGRAMACIÓN REALIZADA POR LA ALIANZA 20/08/2025 SE REALIZA INSTALACIÓN DE CORRESPONSAL, SE INSTALAN EQUIPOS CON PRUEBAS EXITOSAS, SE CAPACITA Y SE EVALÚA AL CLIENTE, SE INSTALA PUBLICIDAD COMPLETA, CB QUEDA OPERATIVO. USUARIO SOMOS BANCOLOMBIA ACTIVO"/>
    <s v="VISITA_TÉCNICA"/>
    <s v="FJZZZ904"/>
    <s v="TIPO IV ESPECIAL"/>
    <s v="TERRESTRE"/>
    <s v="BERMUDEZ SANCHEZ JOSE NEYBER"/>
    <n v="1"/>
    <n v="0"/>
    <n v="122645.45276000001"/>
    <n v="65164.677720000007"/>
    <n v="122645.45276000001"/>
  </r>
  <r>
    <s v="NEIVA"/>
    <x v="0"/>
    <x v="0"/>
    <n v="18460"/>
    <s v="TA-25-969568"/>
    <n v="81016"/>
    <s v="APERTURA"/>
    <s v="CB CRECIMIENTO ALIANZA - NUEVO"/>
    <s v="CAQUETA"/>
    <s v="MILAN"/>
    <s v="DISTRICOL MISELANEA FAMILIAR"/>
    <s v="REDEBAN"/>
    <s v="FO-25-137157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05"/>
    <s v="TIPO IV"/>
    <s v="TERRESTRE"/>
    <s v="BERMUDEZ SANCHEZ JOSE NEYBER"/>
    <n v="1"/>
    <n v="0"/>
    <n v="122645.45276000001"/>
    <n v="65164.677720000007"/>
    <n v="122645.45276000001"/>
  </r>
  <r>
    <s v="CALI"/>
    <x v="1"/>
    <x v="1"/>
    <n v="19001"/>
    <s v="TA-25-969569"/>
    <n v="81023"/>
    <s v="APERTURA"/>
    <s v="CB CRECIMIENTO ALIANZA - NUEVO"/>
    <s v="CAUCA"/>
    <s v="POPAYAN"/>
    <s v="PTM POPAYAN COPILIGT"/>
    <s v="REDEBAN"/>
    <s v="FO-25-137157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06"/>
    <s v="TIPO III"/>
    <s v="TERRESTRE"/>
    <s v="GIMBUEL LASSO LUIS GERMAN"/>
    <n v="1"/>
    <n v="0"/>
    <n v="122645.45276000001"/>
    <n v="65164.677720000007"/>
    <n v="122645.45276000001"/>
  </r>
  <r>
    <s v="MONTERIA"/>
    <x v="4"/>
    <x v="4"/>
    <n v="23555"/>
    <s v="TA-25-969570"/>
    <n v="81021"/>
    <s v="APERTURA"/>
    <s v="CB CRECIMIENTO ALIANZA - NUEVO"/>
    <s v="CORDOBA"/>
    <s v="PLANETA RICA"/>
    <s v="DISTRICOL ABASTOS PROGRESO G"/>
    <s v="REDEBAN"/>
    <s v="FO-25-1371579"/>
    <d v="2025-08-13T00:00:00"/>
    <d v="2025-08-16T00:00:00"/>
    <s v="AGREGADOR"/>
    <s v="DISTRICOL"/>
    <s v="EJECUTADO"/>
    <s v="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
    <s v="VISITA_TÉCNICA"/>
    <s v="FJZZZ907"/>
    <s v="TIPO II"/>
    <s v="TERRESTRE"/>
    <s v="GONZALEZ FERRER JESUS ALEXANDER"/>
    <n v="1"/>
    <n v="0"/>
    <n v="122645.45276000001"/>
    <n v="65164.677720000007"/>
    <n v="122645.45276000001"/>
  </r>
  <r>
    <s v="MONTERIA"/>
    <x v="4"/>
    <x v="4"/>
    <n v="23555"/>
    <s v="TA-25-969571"/>
    <n v="81022"/>
    <s v="APERTURA"/>
    <s v="CB CRECIMIENTO ALIANZA - NUEVO"/>
    <s v="CORDOBA"/>
    <s v="PLANETA RICA"/>
    <s v="DISTRICOL LA PATRONA CATERING"/>
    <s v="REDEBAN"/>
    <s v="FO-25-137158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08"/>
    <s v="TIPO II"/>
    <s v="TERRESTRE"/>
    <s v="GONZALEZ FERRER JESUS ALEXANDER"/>
    <n v="1"/>
    <n v="0"/>
    <n v="122645.45276000001"/>
    <n v="65164.677720000007"/>
    <n v="122645.45276000001"/>
  </r>
  <r>
    <s v="APARTADO"/>
    <x v="2"/>
    <x v="2"/>
    <n v="27006"/>
    <s v="TA-25-969572"/>
    <n v="80990"/>
    <s v="APERTURA"/>
    <s v="CB CRECIMIENTO ALIANZA - NUEVO"/>
    <s v="CHOCO"/>
    <s v="ACANDI"/>
    <s v="DISTRICOL DROGUEINTEGRAL"/>
    <s v="REDEBAN"/>
    <s v="FO-25-1371584"/>
    <d v="2025-08-13T00:00:00"/>
    <d v="2025-08-21T00:00:00"/>
    <s v="AGREGADOR"/>
    <s v="DISTRICOL"/>
    <s v="EJECUTADO"/>
    <s v="13-08 PROGRAMACIÓN REALIZADA POR LA ALIANZA 21-08 SE REALIZA INSTALACIÓN DE CORRESPONSAL, SE INSTALAN EQUIPOS CON PRUEBAS EXITOSAS, SE CAPACITA Y SE EVALÚA AL CLIENTE, SE INSTALA PUBLICIDAD COMPLETA, CB QUEDA OPERATIVO. USUARIO SOMOS BANCOLOMBIA ACTIVO"/>
    <s v="VISITA_TÉCNICA"/>
    <s v="FJZZZ909"/>
    <s v="TIPO IV ESPECIAL"/>
    <s v="AEREO"/>
    <s v="SALDARRIAGA MIRANDA SANTIAGO"/>
    <n v="1"/>
    <n v="0"/>
    <n v="122645.45276000001"/>
    <n v="65164.677720000007"/>
    <n v="122645.45276000001"/>
  </r>
  <r>
    <s v="APARTADO"/>
    <x v="2"/>
    <x v="2"/>
    <n v="27615"/>
    <s v="TA-25-969573"/>
    <n v="80997"/>
    <s v="APERTURA"/>
    <s v="CB CRECIMIENTO ALIANZA - NUEVO"/>
    <s v="CHOCO"/>
    <s v="RIOSUCIO"/>
    <s v="DISTRICOL QUÍMICOS LOS 3 REYES"/>
    <s v="REDEBAN"/>
    <s v="FO-25-1371586"/>
    <d v="2025-08-13T00:00:00"/>
    <d v="2025-08-25T00:00:00"/>
    <s v="AGREGADOR"/>
    <s v="DISTRICOL"/>
    <s v="EJECUTADO"/>
    <s v="13-08 PROGRAMACIÓN REALIZADA POR LA ALIANZA 25-08 SE REALIZA INSTALACIÓN DE CORRESPONSAL, SE INSTALAN EQUIPOS CON PRUEBAS EXITOSAS, SE CAPACITA Y SE EVALÚA AL CLIENTE, SE INSTALA PUBLICIDAD COMPLETA, CB QUEDA OPERATIVO. USUARIO SOMOS BANCOLOMBIA ACTIVO"/>
    <s v="VISITA_TÉCNICA"/>
    <s v="FJZZZ910"/>
    <s v="TIPO IV ESPECIAL"/>
    <s v="TERRESTRE/FLUVIAL"/>
    <s v="SALDARRIAGA MIRANDA SANTIAGO"/>
    <n v="1"/>
    <n v="0"/>
    <n v="122645.45276000001"/>
    <n v="65164.677720000007"/>
    <n v="122645.45276000001"/>
  </r>
  <r>
    <s v="NEIVA"/>
    <x v="0"/>
    <x v="0"/>
    <n v="41016"/>
    <s v="TA-25-969574"/>
    <n v="80991"/>
    <s v="APERTURA"/>
    <s v="CB CRECIMIENTO ALIANZA - NUEVO"/>
    <s v="HUILA"/>
    <s v="AIPE"/>
    <s v="DISTRICOL MULTIPRODUCTOS MISCE"/>
    <s v="REDEBAN"/>
    <s v="FO-25-137158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11"/>
    <s v="TIPO II"/>
    <s v="TERRESTRE"/>
    <s v="ANDRADE HERNANDEZ JUAN CARLOS"/>
    <n v="1"/>
    <n v="0"/>
    <n v="122645.45276000001"/>
    <n v="65164.677720000007"/>
    <n v="122645.45276000001"/>
  </r>
  <r>
    <s v="NEIVA"/>
    <x v="0"/>
    <x v="0"/>
    <n v="41298"/>
    <s v="TA-25-969575"/>
    <n v="81014"/>
    <s v="APERTURA"/>
    <s v="CB CRECIMIENTO ALIANZA - NUEVO"/>
    <s v="HUILA"/>
    <s v="GARZON"/>
    <s v="DISTRICOL FAMILIAR MAX SUPER"/>
    <s v="REDEBAN"/>
    <s v="FO-25-137159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12"/>
    <s v="TIPO III"/>
    <s v="TERRESTRE"/>
    <s v="ANDRADE HERNANDEZ JUAN CARLOS"/>
    <n v="1"/>
    <n v="0"/>
    <n v="122645.45276000001"/>
    <n v="65164.677720000007"/>
    <n v="122645.45276000001"/>
  </r>
  <r>
    <s v="SANTA MARTA"/>
    <x v="4"/>
    <x v="4"/>
    <n v="44001"/>
    <s v="TA-25-969576"/>
    <n v="81026"/>
    <s v="APERTURA"/>
    <s v="CB CRECIMIENTO ALIANZA - NUEVO"/>
    <s v="LA GUAJIRA"/>
    <s v="RIOHACHA"/>
    <s v="DISTRICOL EKIRAASEDECALLEANCHA"/>
    <s v="REDEBAN"/>
    <s v="FO-25-1371595"/>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13"/>
    <s v="TIPO III"/>
    <s v="TERRESTRE"/>
    <s v="PEÑALOZA GUTIERREZ RAFAEL GUSTAVO"/>
    <n v="1"/>
    <n v="0"/>
    <n v="122645.45276000001"/>
    <n v="65164.677720000007"/>
    <n v="122645.45276000001"/>
  </r>
  <r>
    <s v="SANTA MARTA"/>
    <x v="4"/>
    <x v="4"/>
    <n v="44001"/>
    <s v="TA-25-969577"/>
    <n v="81027"/>
    <s v="APERTURA"/>
    <s v="CB CRECIMIENTO ALIANZA - NUEVO"/>
    <s v="LA GUAJIRA"/>
    <s v="RIOHACHA"/>
    <s v="DISTRICOL VARIEDAPAPELERIGLEY"/>
    <s v="REDEBAN"/>
    <s v="FO-25-137159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14"/>
    <s v="TIPO III"/>
    <s v="TERRESTRE"/>
    <s v="PEÑALOZA GUTIERREZ RAFAEL GUSTAVO"/>
    <n v="1"/>
    <n v="0"/>
    <n v="122645.45276000001"/>
    <n v="65164.677720000007"/>
    <n v="122645.45276000001"/>
  </r>
  <r>
    <s v="SANTA MARTA"/>
    <x v="4"/>
    <x v="4"/>
    <n v="44001"/>
    <s v="TA-25-969581"/>
    <n v="81028"/>
    <s v="APERTURA"/>
    <s v="CB CRECIMIENTO ALIANZA - NUEVO"/>
    <s v="LA GUAJIRA"/>
    <s v="RIOHACHA"/>
    <s v="PTM RIOACHA TIENDA DEPORTIVA F"/>
    <s v="REDEBAN"/>
    <s v="FO-25-137160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15"/>
    <s v="TIPO III"/>
    <s v="TERRESTRE"/>
    <s v="PEÑALOZA GUTIERREZ RAFAEL GUSTAVO"/>
    <n v="1"/>
    <n v="0"/>
    <n v="122645.45276000001"/>
    <n v="65164.677720000007"/>
    <n v="122645.45276000001"/>
  </r>
  <r>
    <s v="SANTA MARTA"/>
    <x v="4"/>
    <x v="4"/>
    <n v="44090"/>
    <s v="TA-25-969582"/>
    <n v="81010"/>
    <s v="APERTURA"/>
    <s v="CB CRECIMIENTO ALIANZA - NUEVO"/>
    <s v="LA GUAJIRA"/>
    <s v="DIBULLA"/>
    <s v="DISTRICOL DROGUERIA ALFARERO 2"/>
    <s v="REDEBAN"/>
    <s v="FO-25-1371604"/>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16"/>
    <s v="TIPO III"/>
    <s v="TERRESTRE"/>
    <s v="THOMAS  CAMPO SIGIFREDO SEGUNDO"/>
    <n v="1"/>
    <n v="0"/>
    <n v="122645.45276000001"/>
    <n v="65164.677720000007"/>
    <n v="122645.45276000001"/>
  </r>
  <r>
    <s v="SANTA MARTA"/>
    <x v="4"/>
    <x v="4"/>
    <n v="44430"/>
    <s v="TA-25-969586"/>
    <n v="81015"/>
    <s v="APERTURA"/>
    <s v="CB CRECIMIENTO ALIANZA - NUEVO"/>
    <s v="LA GUAJIRA"/>
    <s v="MAICAO"/>
    <s v="DISTRICOL HELADERIADULTENTACIO"/>
    <s v="REDEBAN"/>
    <s v="FO-25-1371609"/>
    <d v="2025-08-13T00:00:00"/>
    <d v="2025-08-15T00:00:00"/>
    <s v="AGREGADOR"/>
    <s v="DISTRICOL"/>
    <s v="EJECUTADO"/>
    <s v="13-08 PROGRAMACIÓN REALIZADA POR LA ALIANZA 15-08 SE REALIZA INSTALACIÓN DE CORRESPONSAL, SE INSTALAN EQUIPOS CON PRUEBAS EXITOSAS, SE CAPACITA Y SE EVALÚA AL CLIENTE, SE INSTALA PUBLICIDAD COMPLETA, CB QUEDA OPERATIVO. USUARIO SOMOS BANCOLOMBIA ACTIVO"/>
    <s v="VISITA_TÉCNICA"/>
    <s v="FJZZZ917"/>
    <s v="TIPO IV"/>
    <s v="TERRESTRE"/>
    <s v="BENITEZ CARVAJAL ALVARO JAVIER"/>
    <n v="1"/>
    <n v="0"/>
    <n v="122645.45276000001"/>
    <n v="65164.677720000007"/>
    <n v="122645.45276000001"/>
  </r>
  <r>
    <s v="VILLAVICENCIO"/>
    <x v="0"/>
    <x v="0"/>
    <n v="50001"/>
    <s v="TA-25-969588"/>
    <n v="81034"/>
    <s v="APERTURA"/>
    <s v="CB CRECIMIENTO ALIANZA - NUEVO"/>
    <s v="META"/>
    <s v="VILLAVICENCIO"/>
    <s v="DISTRICOL DROGUERI GRAN TREBOL"/>
    <s v="REDEBAN"/>
    <s v="FO-25-137161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18"/>
    <s v="TIPO I"/>
    <s v="TERRESTRE"/>
    <s v="CASTRILLON URREA LONDIER LEANDRO"/>
    <n v="1"/>
    <n v="0"/>
    <n v="122645.45276000001"/>
    <n v="65164.677720000007"/>
    <n v="122645.45276000001"/>
  </r>
  <r>
    <s v="PASTO"/>
    <x v="1"/>
    <x v="1"/>
    <n v="52001"/>
    <s v="TA-25-969595"/>
    <n v="81018"/>
    <s v="APERTURA"/>
    <s v="CB CRECIMIENTO ALIANZA - NUEVO"/>
    <s v="NARIÑO"/>
    <s v="PASTO"/>
    <s v="DISTRICOL DROG FARMAMEDIC"/>
    <s v="REDEBAN"/>
    <s v="FO-25-1371620"/>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20"/>
    <s v="TIPO I"/>
    <s v="TERRESTRE"/>
    <s v="GUERRERO RAMIREZ OSCAR DARIO"/>
    <n v="1"/>
    <n v="0"/>
    <n v="122645.45276000001"/>
    <n v="65164.677720000007"/>
    <n v="122645.45276000001"/>
  </r>
  <r>
    <s v="CUCUTA"/>
    <x v="3"/>
    <x v="3"/>
    <n v="54001"/>
    <s v="TA-25-969626"/>
    <n v="81007"/>
    <s v="APERTURA"/>
    <s v="CB CRECIMIENTO ALIANZA - NUEVO"/>
    <s v="NORTE DE SANTANDER"/>
    <s v="CUCUTA"/>
    <s v="DISTRICOL MAX PLAX"/>
    <s v="REDEBAN"/>
    <s v="FO-25-1371624"/>
    <d v="2025-08-13T00:00:00"/>
    <d v="2025-08-15T00:00:00"/>
    <s v="AGREGADOR"/>
    <s v="DISTRICOL"/>
    <s v="EJECUTADO"/>
    <s v="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
    <s v="VISITA_TÉCNICA"/>
    <s v="FJZZZ922"/>
    <s v="TIPO I"/>
    <s v="TERRESTRE"/>
    <s v="PACHECO BUITRAGO JAVIER ALONSO"/>
    <n v="1"/>
    <n v="0"/>
    <n v="122645.45276000001"/>
    <n v="65164.677720000007"/>
    <n v="122645.45276000001"/>
  </r>
  <r>
    <s v="CUCUTA"/>
    <x v="3"/>
    <x v="3"/>
    <n v="54001"/>
    <s v="TA-25-969639"/>
    <n v="81008"/>
    <s v="APERTURA"/>
    <s v="CB CRECIMIENTO ALIANZA - NUEVO"/>
    <s v="NORTE DE SANTANDER"/>
    <s v="CUCUTA"/>
    <s v="DISTRICOL ZULYRINCODENTALCLINI"/>
    <s v="REDEBAN"/>
    <s v="FO-25-13716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23"/>
    <s v="TIPO I"/>
    <s v="TERRESTRE"/>
    <s v="DURAN ACOSTA FRANK YONNY"/>
    <n v="1"/>
    <n v="0"/>
    <n v="122645.45276000001"/>
    <n v="65164.677720000007"/>
    <n v="122645.45276000001"/>
  </r>
  <r>
    <s v="CUCUTA"/>
    <x v="3"/>
    <x v="3"/>
    <n v="54001"/>
    <s v="TA-25-969648"/>
    <n v="81009"/>
    <s v="APERTURA"/>
    <s v="CB CRECIMIENTO ALIANZA - NUEVO"/>
    <s v="NORTE DE SANTANDER"/>
    <s v="CUCUTA"/>
    <s v="DISTRICOL MULTISERVICIOS ARKAD"/>
    <s v="REDEBAN"/>
    <s v="FO-25-1371631"/>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VISITA_TÉCNICA"/>
    <s v="FJZZZ924"/>
    <s v="TIPO I"/>
    <s v="TERRESTRE"/>
    <s v="DURAN ACOSTA FRANK YONNY"/>
    <n v="1"/>
    <n v="0"/>
    <n v="122645.45276000001"/>
    <n v="65164.677720000007"/>
    <n v="122645.45276000001"/>
  </r>
  <r>
    <s v="PEREIRA"/>
    <x v="1"/>
    <x v="6"/>
    <n v="63594"/>
    <s v="TA-25-969652"/>
    <n v="81024"/>
    <s v="APERTURA"/>
    <s v="CB CRECIMIENTO ALIANZA - NUEVO"/>
    <s v="QUINDIO"/>
    <s v="QUIMBAYA"/>
    <s v="DISTRICOL TONNY RYP SERVICIOS"/>
    <s v="REDEBAN"/>
    <s v="FO-25-13716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25"/>
    <s v="TIPO II"/>
    <s v="TERRESTRE"/>
    <s v="SANCHEZ SOLORZANO JUAN SEBASTIAN"/>
    <n v="1"/>
    <n v="0"/>
    <n v="122645.45276000001"/>
    <n v="65164.677720000007"/>
    <n v="122645.45276000001"/>
  </r>
  <r>
    <s v="PEREIRA"/>
    <x v="1"/>
    <x v="6"/>
    <n v="66001"/>
    <s v="TA-25-969654"/>
    <n v="81019"/>
    <s v="APERTURA"/>
    <s v="CB CRECIMIENTO ALIANZA - NUEVO"/>
    <s v="RISARALDA"/>
    <s v="PEREIRA"/>
    <s v="DISTRICOL TECNOMANIA EL GOCHO"/>
    <s v="REDEBAN"/>
    <s v="FO-25-137164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26"/>
    <s v="TIPO I"/>
    <s v="TERRESTRE"/>
    <s v="FRANCO CAÑAVERAL YAMID RAUL"/>
    <n v="1"/>
    <n v="0"/>
    <n v="122645.45276000001"/>
    <n v="65164.677720000007"/>
    <n v="122645.45276000001"/>
  </r>
  <r>
    <s v="PEREIRA"/>
    <x v="1"/>
    <x v="6"/>
    <n v="66045"/>
    <s v="TA-25-969655"/>
    <n v="80992"/>
    <s v="APERTURA"/>
    <s v="CB CRECIMIENTO ALIANZA - NUEVO"/>
    <s v="RISARALDA"/>
    <s v="APIA"/>
    <s v="DISTRICOL SWEET GIRL BY EMILY"/>
    <s v="REDEBAN"/>
    <s v="FO-25-137164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27"/>
    <s v="TIPO II"/>
    <s v="TERRESTRE"/>
    <s v="ARROYAVE CANO MANUEL GUILLERMO"/>
    <n v="1"/>
    <n v="0"/>
    <n v="122645.45276000001"/>
    <n v="65164.677720000007"/>
    <n v="122645.45276000001"/>
  </r>
  <r>
    <s v="BUCARAMANGA"/>
    <x v="3"/>
    <x v="3"/>
    <n v="68001"/>
    <s v="TA-25-969656"/>
    <n v="80998"/>
    <s v="APERTURA"/>
    <s v="CB CRECIMIENTO ALIANZA - NUEVO"/>
    <s v="SANTANDER"/>
    <s v="BUCARAMANGA"/>
    <s v="PTM BUCARAMANGA DESTELLOS CYC"/>
    <s v="REDEBAN"/>
    <s v="FO-25-137164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28"/>
    <s v="TIPO I"/>
    <s v="TERRESTRE"/>
    <s v="ORTEGA BARRERAGA MARLON STWAR"/>
    <n v="1"/>
    <n v="0"/>
    <n v="122645.45276000001"/>
    <n v="65164.677720000007"/>
    <n v="122645.45276000001"/>
  </r>
  <r>
    <s v="BUCARAMANGA"/>
    <x v="3"/>
    <x v="3"/>
    <n v="68001"/>
    <s v="TA-25-969658"/>
    <n v="80999"/>
    <s v="APERTURA"/>
    <s v="CB CRECIMIENTO ALIANZA - NUEVO"/>
    <s v="SANTANDER"/>
    <s v="BUCARAMANGA"/>
    <s v="PTM BUCARAMANGA MINIMARKET EL"/>
    <s v="REDEBAN"/>
    <s v="FO-25-137164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29"/>
    <s v="TIPO I"/>
    <s v="TERRESTRE"/>
    <s v="PEÑA DIAZ IVAN YESID"/>
    <n v="1"/>
    <n v="0"/>
    <n v="122645.45276000001"/>
    <n v="65164.677720000007"/>
    <n v="122645.45276000001"/>
  </r>
  <r>
    <s v="BUCARAMANGA"/>
    <x v="3"/>
    <x v="3"/>
    <n v="68547"/>
    <s v="TA-25-969660"/>
    <n v="81020"/>
    <s v="APERTURA"/>
    <s v="CB CRECIMIENTO ALIANZA - NUEVO"/>
    <s v="SANTANDER"/>
    <s v="PIEDECUESTA"/>
    <s v="PTM PIEDECUESTA EL RINCÓN DE A"/>
    <s v="REDEBAN"/>
    <s v="FO-25-1371651"/>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30"/>
    <s v="TIPO II"/>
    <s v="TERRESTRE"/>
    <s v="MARIÑO PABON JORGE ENRIQUE"/>
    <n v="1"/>
    <n v="0"/>
    <n v="122645.45276000001"/>
    <n v="65164.677720000007"/>
    <n v="122645.45276000001"/>
  </r>
  <r>
    <s v="CALI"/>
    <x v="1"/>
    <x v="1"/>
    <n v="76001"/>
    <s v="TA-25-969661"/>
    <n v="81001"/>
    <s v="APERTURA"/>
    <s v="CB CRECIMIENTO ALIANZA - NUEVO"/>
    <s v="VALLE DEL CAUCA"/>
    <s v="CALI"/>
    <s v="DISTRICOL MULTISERVICIOS MATI"/>
    <s v="REDEBAN"/>
    <s v="FO-25-137165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31"/>
    <s v="TIPO I"/>
    <s v="TERRESTRE"/>
    <s v="HERRERA MONAR GEOVANNY"/>
    <n v="1"/>
    <n v="0"/>
    <n v="122645.45276000001"/>
    <n v="65164.677720000007"/>
    <n v="122645.45276000001"/>
  </r>
  <r>
    <s v="CALI"/>
    <x v="1"/>
    <x v="1"/>
    <n v="76001"/>
    <s v="TA-25-969663"/>
    <n v="81003"/>
    <s v="APERTURA"/>
    <s v="CB CRECIMIENTO ALIANZA - NUEVO"/>
    <s v="VALLE DEL CAUCA"/>
    <s v="CALI"/>
    <s v="PTM CALI VARIEDADES MARIANNE"/>
    <s v="REDEBAN"/>
    <s v="FO-25-137166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33"/>
    <s v="TIPO I"/>
    <s v="TERRESTRE"/>
    <s v="MONTERO MUESES GIAN CARLO"/>
    <n v="1"/>
    <n v="0"/>
    <n v="122645.45276000001"/>
    <n v="65164.677720000007"/>
    <n v="122645.45276000001"/>
  </r>
  <r>
    <s v="CALI"/>
    <x v="1"/>
    <x v="1"/>
    <n v="76130"/>
    <s v="TA-25-969664"/>
    <n v="81004"/>
    <s v="APERTURA"/>
    <s v="CB CRECIMIENTO ALIANZA - NUEVO"/>
    <s v="VALLE DEL CAUCA"/>
    <s v="CANDELARIA"/>
    <s v="PTM CANDELARIA VARIEDADES M&amp;G"/>
    <s v="REDEBAN"/>
    <s v="FO-25-1371663"/>
    <d v="2025-08-13T00:00:00"/>
    <d v="2025-08-14T00:00:00"/>
    <s v="AGREGADOR"/>
    <s v="COMCARD - PTM"/>
    <s v="EJECUTADO"/>
    <s v="13-08 PROGRAMACIÓN REALIZADA POR LA ALIANZA"/>
    <s v="VISITA_TÉCNICA"/>
    <s v="FJZZZ934"/>
    <s v="TIPO II"/>
    <s v="TERRESTRE"/>
    <s v="BOLAÑOS TABORDA JORGE ENRIQUE"/>
    <n v="1"/>
    <n v="0"/>
    <n v="122645.45276000001"/>
    <n v="65164.677720000007"/>
    <n v="122645.45276000001"/>
  </r>
  <r>
    <s v="CALI"/>
    <x v="1"/>
    <x v="1"/>
    <n v="76834"/>
    <s v="TA-25-969665"/>
    <n v="81030"/>
    <s v="APERTURA"/>
    <s v="CB CRECIMIENTO ALIANZA - NUEVO"/>
    <s v="VALLE DEL CAUCA"/>
    <s v="TULUA"/>
    <s v="PTM TULIA CHALOZ"/>
    <s v="REDEBAN"/>
    <s v="FO-25-1371666"/>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35"/>
    <s v="TIPO II"/>
    <s v="TERRESTRE"/>
    <s v="TORRES GARCIA JENDRY JOSE"/>
    <n v="1"/>
    <n v="0"/>
    <n v="122645.45276000001"/>
    <n v="65164.677720000007"/>
    <n v="122645.45276000001"/>
  </r>
  <r>
    <s v="BUCARAMANGA"/>
    <x v="3"/>
    <x v="3"/>
    <n v="81001"/>
    <s v="TA-25-969669"/>
    <n v="80993"/>
    <s v="APERTURA"/>
    <s v="CB CRECIMIENTO ALIANZA - NUEVO"/>
    <s v="ARAUCA"/>
    <s v="ARAUCA"/>
    <s v="DISTRICOL MEKACAMBIOS"/>
    <s v="REDEBAN"/>
    <s v="FO-25-137167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36"/>
    <s v="TIPO IV ESPECIAL"/>
    <s v="AEREO"/>
    <s v="REYES RAMIREZ DIEGO ALEXANDER"/>
    <n v="1"/>
    <n v="0"/>
    <n v="122645.45276000001"/>
    <n v="65164.677720000007"/>
    <n v="122645.45276000001"/>
  </r>
  <r>
    <s v="YOPAL"/>
    <x v="0"/>
    <x v="0"/>
    <n v="85001"/>
    <s v="TA-25-969670"/>
    <n v="81044"/>
    <s v="APERTURA"/>
    <s v="CB CRECIMIENTO ALIANZA - NUEVO"/>
    <s v="CASANARE"/>
    <s v="YOPAL"/>
    <s v="DISTRICOL COPIDESCUENTOS LA 30"/>
    <s v="REDEBAN"/>
    <s v="FO-25-137167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37"/>
    <s v="TIPO I"/>
    <s v="TERRESTRE"/>
    <s v="BERNAL ELAICA EDGAR ALEXIS"/>
    <n v="1"/>
    <n v="0"/>
    <n v="122645.45276000001"/>
    <n v="65164.677720000007"/>
    <n v="122645.45276000001"/>
  </r>
  <r>
    <s v="PASTO"/>
    <x v="1"/>
    <x v="1"/>
    <n v="86749"/>
    <s v="TA-25-969671"/>
    <n v="81029"/>
    <s v="APERTURA"/>
    <s v="CB CRECIMIENTO ALIANZA - NUEVO"/>
    <s v="PUTUMAYO"/>
    <s v="SIBUNDOY"/>
    <s v="DISTRICOL DROG FARSALUD Y VIDA"/>
    <s v="REDEBAN"/>
    <s v="FO-25-137167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ÉCNICA"/>
    <s v="FJZZZ938"/>
    <s v="TIPO III"/>
    <s v="TERRESTRE"/>
    <s v="CASTILLO HERRERA ALEX RICARDO"/>
    <n v="1"/>
    <n v="0"/>
    <n v="122645.45276000001"/>
    <n v="65164.677720000007"/>
    <n v="122645.45276000001"/>
  </r>
  <r>
    <s v="PASTO"/>
    <x v="1"/>
    <x v="1"/>
    <n v="86865"/>
    <s v="TA-25-969673"/>
    <n v="81031"/>
    <s v="APERTURA"/>
    <s v="CB CRECIMIENTO ALIANZA - NUEVO"/>
    <s v="PUTUMAYO"/>
    <s v="VALLE DEL GUAMUEZ"/>
    <s v="DISTRICOL ESTILOS"/>
    <s v="REDEBAN"/>
    <s v="FO-25-1371685"/>
    <d v="2025-08-13T00:00:00"/>
    <d v="2025-08-20T00:00:00"/>
    <s v="AGREGADOR"/>
    <s v="DISTRICOL"/>
    <s v="EJECUTADO"/>
    <s v="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
    <s v="VISITA_TÉCNICA"/>
    <s v="FJZZZ939"/>
    <s v="TIPO IV"/>
    <s v="TERRESTRE"/>
    <s v="GUERRERO RAMIREZ OSCAR DARIO"/>
    <n v="1"/>
    <n v="0"/>
    <n v="122645.45276000001"/>
    <n v="65164.677720000007"/>
    <n v="122645.45276000001"/>
  </r>
  <r>
    <s v="BOGOTA"/>
    <x v="5"/>
    <x v="5"/>
    <n v="11001"/>
    <s v="TA-25-969680"/>
    <n v="80995"/>
    <s v="APERTURA"/>
    <s v="CB CRECIMIENTO ALIANZA - NUEVO"/>
    <s v="CUNDINAMARCA"/>
    <s v="BOGOTA"/>
    <s v="DISTRICOL CENTRO DE SERVICIOS"/>
    <s v="REDEBAN"/>
    <s v="FO-25-1371687"/>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40"/>
    <s v="TIPO I"/>
    <s v="TERRESTRE"/>
    <s v="GALEANO SORIANO JUAN DAVID"/>
    <n v="1"/>
    <n v="0"/>
    <n v="122645.45276000001"/>
    <n v="65164.677720000007"/>
    <n v="122645.45276000001"/>
  </r>
  <r>
    <s v="BOGOTA"/>
    <x v="5"/>
    <x v="5"/>
    <n v="11001"/>
    <s v="TA-25-969684"/>
    <n v="80996"/>
    <s v="APERTURA"/>
    <s v="CB CRECIMIENTO ALIANZA - NUEVO"/>
    <s v="CUNDINAMARCA"/>
    <s v="BOGOTA"/>
    <s v="PTM BOGOTA TIENDA EL PATRON BO"/>
    <s v="REDEBAN"/>
    <s v="FO-25-137168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ÉCNICA"/>
    <s v="FJZZZ941"/>
    <s v="TIPO I"/>
    <s v="TERRESTRE"/>
    <s v="HERNANDEZ NARANJO OSCAR EDUARDO"/>
    <n v="1"/>
    <n v="0"/>
    <n v="122645.45276000001"/>
    <n v="65164.677720000007"/>
    <n v="122645.45276000001"/>
  </r>
  <r>
    <s v="MEDELLIN"/>
    <x v="2"/>
    <x v="2"/>
    <n v="5001"/>
    <s v="TA-25-983250"/>
    <n v="81048"/>
    <s v="APERTURA"/>
    <s v="CB CRECIMIENTO ALIANZA - NUEVO"/>
    <s v="ANTIOQUIA"/>
    <s v="MEDELLIN"/>
    <s v="PTM MEDELLIN TODOENUNO"/>
    <s v="REDEBAN"/>
    <s v="FO-25-1392146"/>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ÉCNICA"/>
    <s v="SGZZZ959"/>
    <s v="TIPO I"/>
    <s v="TERRESTRE"/>
    <s v="ALVAREZ ARENAS VICTOR HUGO"/>
    <n v="1"/>
    <n v="0"/>
    <n v="122645.45276000001"/>
    <n v="65164.677720000007"/>
    <n v="122645.45276000001"/>
  </r>
  <r>
    <s v="BOGOTA"/>
    <x v="5"/>
    <x v="5"/>
    <n v="25754"/>
    <s v="TA-25-983251"/>
    <n v="81047"/>
    <s v="APERTURA"/>
    <s v="CB CRECIMIENTO ALIANZA - NUEVO"/>
    <s v="CUNDINAMARCA"/>
    <s v="SOACHA"/>
    <s v="PTM SOACHA TIENDA DISEAS"/>
    <s v="REDEBAN"/>
    <s v="FO-25-1392149"/>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ÉCNICA"/>
    <s v="SGZZZ960"/>
    <s v="TIPO I"/>
    <s v="TERRESTRE"/>
    <s v="GOMEZ VEGA DAVID SNEYDER"/>
    <n v="1"/>
    <n v="0"/>
    <n v="122645.45276000001"/>
    <n v="65164.677720000007"/>
    <n v="122645.45276000001"/>
  </r>
  <r>
    <s v="BUCARAMANGA"/>
    <x v="3"/>
    <x v="3"/>
    <n v="68001"/>
    <s v="TA-25-983254"/>
    <n v="81046"/>
    <s v="APERTURA"/>
    <s v="CB CRECIMIENTO ALIANZA - NUEVO"/>
    <s v="SANTANDER"/>
    <s v="BUCARAMANGA"/>
    <s v="PTM BUCARAMANGA FERREMUEBLES S"/>
    <s v="REDEBAN"/>
    <s v="FO-25-1392155"/>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ÉCNICA"/>
    <s v="SGZZZ961"/>
    <s v="TIPO I"/>
    <s v="TERRESTRE"/>
    <s v="HERRERA LUQUE SAUL JAVIER"/>
    <n v="1"/>
    <n v="0"/>
    <n v="122645.45276000001"/>
    <n v="65164.677720000007"/>
    <n v="122645.45276000001"/>
  </r>
  <r>
    <s v="MONTERIA"/>
    <x v="4"/>
    <x v="4"/>
    <n v="5154"/>
    <s v="TA-25-982504"/>
    <n v="81066"/>
    <s v="APERTURA"/>
    <s v="CB CRECIMIENTO - NUEVO"/>
    <s v="ANTIOQUIA"/>
    <s v="CAUCASIA"/>
    <s v="BARRIO PUEBLO NUEVO CAUCASIA 4"/>
    <s v="REDEBAN"/>
    <s v="FO-25-1390782"/>
    <d v="2025-08-19T00:00:00"/>
    <d v="2025-08-20T00:00:00"/>
    <s v="UNO A UNO"/>
    <s v="UNO A UNO"/>
    <s v="EJECUTADO"/>
    <s v="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GZZZ967"/>
    <s v="TIPO II"/>
    <s v="TERRESTRE"/>
    <s v="COGOLLO VERTEL EDER LUIS"/>
    <n v="1"/>
    <n v="0"/>
    <n v="122645.45276000001"/>
    <n v="65164.677720000007"/>
    <n v="122645.45276000001"/>
  </r>
  <r>
    <s v="SANTA MARTA"/>
    <x v="4"/>
    <x v="4"/>
    <n v="47245"/>
    <s v="TA-25-982507"/>
    <n v="81073"/>
    <s v="APERTURA"/>
    <s v="CB CRECIMIENTO - NUEVO"/>
    <s v="MAGDALENA"/>
    <s v="EL BANCO"/>
    <s v="BARRIO MANZANARES EL BANCO"/>
    <s v="REDEBAN"/>
    <s v="FO-25-1390784"/>
    <d v="2025-08-19T00:00:00"/>
    <d v="2025-08-21T00:00:00"/>
    <s v="UNO A UNO"/>
    <s v="UNO A UNO"/>
    <s v="EJECUTADO"/>
    <s v="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VISITA_TÉCNICA"/>
    <s v="SGZZZ968"/>
    <s v="TIPO IV"/>
    <s v="TERRESTRE"/>
    <s v="PEÑALOZA GUTIERREZ RAFAEL GUSTAVO"/>
    <n v="1"/>
    <n v="0"/>
    <n v="122645.45276000001"/>
    <n v="65164.677720000007"/>
    <n v="122645.45276000001"/>
  </r>
  <r>
    <s v="CUCUTA"/>
    <x v="3"/>
    <x v="3"/>
    <n v="54001"/>
    <s v="TA-25-982509"/>
    <n v="81070"/>
    <s v="APERTURA"/>
    <s v="CB CRECIMIENTO - NUEVO"/>
    <s v="NORTE DE SANTANDER"/>
    <s v="CUCUTA"/>
    <s v="BARRIO SANTANDER CUCUTA 3"/>
    <s v="REDEBAN"/>
    <s v="FO-25-1390790"/>
    <d v="2025-08-19T00:00:00"/>
    <d v="2025-08-20T00:00:00"/>
    <s v="UNO A UNO"/>
    <s v="UNO A UNO"/>
    <s v="EJECUTADO"/>
    <s v="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
    <s v="VISITA_TÉCNICA"/>
    <s v="SGZZZ969"/>
    <s v="TIPO I"/>
    <s v="TERRESTRE"/>
    <s v="NARANJO AFANADOR RUBEN JESUS"/>
    <n v="1"/>
    <n v="0"/>
    <n v="122645.45276000001"/>
    <n v="65164.677720000007"/>
    <n v="122645.45276000001"/>
  </r>
  <r>
    <s v="NEIVA"/>
    <x v="0"/>
    <x v="0"/>
    <n v="41001"/>
    <s v="TA-25-982510"/>
    <n v="81086"/>
    <s v="APERTURA"/>
    <s v="CB CRECIMIENTO - NUEVO"/>
    <s v="HUILA"/>
    <s v="NEIVA"/>
    <s v="BARRIO CHICALA NEIVA 1"/>
    <s v="REDEBAN"/>
    <s v="FO-25-1390793"/>
    <d v="2025-08-19T00:00:00"/>
    <d v="2025-08-20T00:00:00"/>
    <s v="UNO A UNO"/>
    <s v="UNO A UNO"/>
    <s v="EJECUTADO"/>
    <s v="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VISITA_TÉCNICA"/>
    <s v="SGZZZ970"/>
    <s v="TIPO I"/>
    <s v="TERRESTRE"/>
    <s v="DIAZ VARGAS JONATHAN MIGUEL"/>
    <n v="1"/>
    <n v="0"/>
    <n v="122645.45276000001"/>
    <n v="65164.677720000007"/>
    <n v="122645.45276000001"/>
  </r>
  <r>
    <s v="SINCELEJO"/>
    <x v="4"/>
    <x v="4"/>
    <n v="70001"/>
    <s v="TA-25-982512"/>
    <n v="81100"/>
    <s v="APERTURA"/>
    <s v="CB CRECIMIENTO - NUEVO"/>
    <s v="SUCRE"/>
    <s v="SINCELEJO"/>
    <s v="BARRIO CIUDADELA UNIVERSITARIA SINCELEJO"/>
    <s v="REDEBAN"/>
    <s v="FO-25-1390797"/>
    <d v="2025-08-19T00:00:00"/>
    <d v="2025-08-20T00:00:00"/>
    <s v="UNO A UNO"/>
    <s v="UNO A UNO"/>
    <s v="EJECUTADO"/>
    <s v="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
    <s v="VISITA_TÉCNICA"/>
    <s v="SGZZZ971"/>
    <s v="TIPO I"/>
    <s v="TERRESTRE"/>
    <s v="CACERES HERNANDEZ ANDRES"/>
    <n v="1"/>
    <n v="0"/>
    <n v="122645.45276000001"/>
    <n v="65164.677720000007"/>
    <n v="122645.45276000001"/>
  </r>
  <r>
    <s v="MONTERIA"/>
    <x v="4"/>
    <x v="4"/>
    <n v="23001"/>
    <s v="TA-25-982513"/>
    <n v="81084"/>
    <s v="APERTURA"/>
    <s v="CB CRECIMIENTO - NUEVO"/>
    <s v="CORDOBA"/>
    <s v="MONTERIA"/>
    <s v="BARRIO 6 DE MARZO MONTERIA 6"/>
    <s v="REDEBAN"/>
    <s v="FO-25-1390800"/>
    <d v="2025-08-19T00:00:00"/>
    <d v="2025-08-20T00:00:00"/>
    <s v="UNO A UNO"/>
    <s v="UNO A UNO"/>
    <s v="EJECUTADO"/>
    <s v="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GZZZ972"/>
    <s v="TIPO I"/>
    <s v="TERRESTRE"/>
    <s v="CASSIANI PEREZ RAUL RAMIRO"/>
    <n v="1"/>
    <n v="0"/>
    <n v="122645.45276000001"/>
    <n v="65164.677720000007"/>
    <n v="122645.45276000001"/>
  </r>
  <r>
    <s v="BUCARAMANGA"/>
    <x v="3"/>
    <x v="3"/>
    <n v="68397"/>
    <s v="TA-25-982514"/>
    <n v="81080"/>
    <s v="APERTURA"/>
    <s v="CB CRECIMIENTO - NUEVO"/>
    <s v="SANTANDER"/>
    <s v="LA PAZ"/>
    <s v="BARRIO CENTRO LA PAZ"/>
    <s v="REDEBAN"/>
    <s v="FO-25-1390812"/>
    <d v="2025-08-19T00:00:00"/>
    <d v="2025-08-21T00:00:00"/>
    <s v="UNO A UNO"/>
    <s v="UNO A UNO"/>
    <s v="EJECUTADO"/>
    <s v="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
    <s v="VISITA_TÉCNICA"/>
    <s v="SGZZZ973"/>
    <s v="TIPO IV"/>
    <s v="TERRESTRE"/>
    <s v="ALVARADO MORENO CRISTHIAN"/>
    <n v="1"/>
    <n v="0"/>
    <n v="122645.45276000001"/>
    <n v="65164.677720000007"/>
    <n v="122645.45276000001"/>
  </r>
  <r>
    <s v="MANIZALES"/>
    <x v="1"/>
    <x v="6"/>
    <n v="17001"/>
    <s v="TA-25-982515"/>
    <n v="81083"/>
    <s v="APERTURA"/>
    <s v="CB CRECIMIENTO - NUEVO"/>
    <s v="CALDAS"/>
    <s v="MANIZALES"/>
    <s v="BARRIO EL TRIANGULO MANIZALES"/>
    <s v="REDEBAN"/>
    <s v="FO-25-1390818"/>
    <d v="2025-08-19T00:00:00"/>
    <d v="2025-08-20T00:00:00"/>
    <s v="UNO A UNO"/>
    <s v="UNO A UNO"/>
    <s v="EJECUTADO"/>
    <s v="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
    <s v="VISITA_TÉCNICA"/>
    <s v="SGZZZ974"/>
    <s v="TIPO I"/>
    <s v="TERRESTRE"/>
    <s v="AGUIRRE HENAO RAUL EDUARDO"/>
    <n v="1"/>
    <n v="0"/>
    <n v="122645.45276000001"/>
    <n v="65164.677720000007"/>
    <n v="122645.45276000001"/>
  </r>
  <r>
    <s v="BOGOTA"/>
    <x v="5"/>
    <x v="5"/>
    <n v="25290"/>
    <s v="TA-25-982516"/>
    <n v="81077"/>
    <s v="APERTURA"/>
    <s v="CB CRECIMIENTO - NUEVO"/>
    <s v="CUNDINAMARCA"/>
    <s v="FUSAGASUGA"/>
    <s v="BARRIO RECREO FUSAGASUGA"/>
    <s v="REDEBAN"/>
    <s v="FO-25-1390823"/>
    <d v="2025-08-19T00:00:00"/>
    <d v="2025-08-20T00:00:00"/>
    <s v="UNO A UNO"/>
    <s v="UNO A UNO"/>
    <s v="EJECUTADO"/>
    <s v="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
    <s v="VISITA_TÉCNICA"/>
    <s v="SGZZZ975"/>
    <s v="TIPO II"/>
    <s v="TERRESTRE"/>
    <s v="BUSTOS MORA DIEGO MANUEL"/>
    <n v="1"/>
    <n v="0"/>
    <n v="122645.45276000001"/>
    <n v="65164.677720000007"/>
    <n v="122645.45276000001"/>
  </r>
  <r>
    <s v="MEDELLIN"/>
    <x v="2"/>
    <x v="2"/>
    <n v="5088"/>
    <s v="TA-25-982517"/>
    <n v="81108"/>
    <s v="APERTURA"/>
    <s v="CB CRECIMIENTO - NUEVO"/>
    <s v="ANTIOQUIA"/>
    <s v="BELLO"/>
    <s v="BARRIO CENTRO BELLO 1"/>
    <s v="REDEBAN"/>
    <s v="FO-25-1390829"/>
    <d v="2025-08-19T00:00:00"/>
    <d v="2025-08-20T00:00:00"/>
    <s v="UNO A UNO"/>
    <s v="UNO A UNO"/>
    <s v="EJECUTADO"/>
    <s v="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
    <s v="VISITA_TÉCNICA"/>
    <s v="SGZZZ976"/>
    <s v="TIPO I"/>
    <s v="TERRESTRE"/>
    <s v="MARTINEZ TOVAR OSCAR DAVID"/>
    <n v="1"/>
    <n v="0"/>
    <n v="122645.45276000001"/>
    <n v="65164.677720000007"/>
    <n v="122645.45276000001"/>
  </r>
  <r>
    <s v="BOGOTA"/>
    <x v="5"/>
    <x v="5"/>
    <n v="25290"/>
    <s v="TA-25-982518"/>
    <n v="81078"/>
    <s v="APERTURA"/>
    <s v="CB CRECIMIENTO - NUEVO"/>
    <s v="CUNDINAMARCA"/>
    <s v="FUSAGASUGA"/>
    <s v="BARRIO CEDRITOS FUSAGASUGA 4"/>
    <s v="REDEBAN"/>
    <s v="FO-25-1390834"/>
    <d v="2025-08-19T00:00:00"/>
    <d v="2025-08-20T00:00:00"/>
    <s v="UNO A UNO"/>
    <s v="UNO A UNO"/>
    <s v="EJECUTADO"/>
    <s v="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GZZZ977"/>
    <s v="TIPO II"/>
    <s v="TERRESTRE"/>
    <s v="LOZADA ROJAS CHRISTIAN ANDRES"/>
    <n v="1"/>
    <n v="0"/>
    <n v="122645.45276000001"/>
    <n v="65164.677720000007"/>
    <n v="122645.45276000001"/>
  </r>
  <r>
    <s v="MEDELLIN"/>
    <x v="2"/>
    <x v="2"/>
    <n v="5038"/>
    <s v="TA-25-982519"/>
    <n v="81074"/>
    <s v="APERTURA"/>
    <s v="CB CRECIMIENTO - NUEVO"/>
    <s v="ANTIOQUIA"/>
    <s v="ANGOSTURA"/>
    <s v="BARRIO CENTRO ANGOSTURA "/>
    <s v="REDEBAN"/>
    <s v="FO-25-1390839"/>
    <d v="2025-08-19T00:00:00"/>
    <d v="2025-08-21T00:00:00"/>
    <s v="UNO A UNO"/>
    <s v="UNO A UNO"/>
    <s v="EJECUTADO"/>
    <s v="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VISITA_TÉCNICA"/>
    <s v="SGZZZ978"/>
    <s v="TIPO III"/>
    <s v="TERRESTRE"/>
    <s v="DIAZ ZABALA FRANCIS DUBAN"/>
    <n v="1"/>
    <n v="0"/>
    <n v="122645.45276000001"/>
    <n v="65164.677720000007"/>
    <n v="122645.45276000001"/>
  </r>
  <r>
    <s v="CALI"/>
    <x v="1"/>
    <x v="1"/>
    <n v="76520"/>
    <s v="TA-25-982520"/>
    <n v="81089"/>
    <s v="APERTURA"/>
    <s v="CB CRECIMIENTO - NUEVO"/>
    <s v="VALLE DEL CAUCA"/>
    <s v="PALMIRA"/>
    <s v="BARRIO MARIA CANO PALMIRA 1"/>
    <s v="REDEBAN"/>
    <s v="FO-25-1390846"/>
    <d v="2025-08-19T00:00:00"/>
    <d v="2025-08-20T00:00:00"/>
    <s v="UNO A UNO"/>
    <s v="UNO A UNO"/>
    <s v="EJECUTADO"/>
    <s v="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VISITA_TÉCNICA"/>
    <s v="SGZZZ979"/>
    <s v="TIPO I"/>
    <s v="TERRESTRE"/>
    <s v="BOLAÑOS TABORDA JORGE ENRIQUE"/>
    <n v="1"/>
    <n v="0"/>
    <n v="122645.45276000001"/>
    <n v="65164.677720000007"/>
    <n v="122645.45276000001"/>
  </r>
  <r>
    <s v="CALI"/>
    <x v="1"/>
    <x v="1"/>
    <n v="19001"/>
    <s v="TA-25-982522"/>
    <n v="81092"/>
    <s v="APERTURA"/>
    <s v="CB CRECIMIENTO - NUEVO"/>
    <s v="CAUCA"/>
    <s v="POPAYAN"/>
    <s v="BARRIO LA ESMERALDA POPAYAN  8"/>
    <s v="REDEBAN"/>
    <s v="FO-25-1390852"/>
    <d v="2025-08-19T00:00:00"/>
    <d v="2025-08-20T00:00:00"/>
    <s v="UNO A UNO"/>
    <s v="UNO A UNO"/>
    <s v="EJECUTADO"/>
    <s v="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VISITA_TÉCNICA"/>
    <s v="SGZZZ980"/>
    <s v="TIPO III"/>
    <s v="TERRESTRE"/>
    <s v="GIMBUEL LASSO LUIS GERMAN"/>
    <n v="1"/>
    <n v="0"/>
    <n v="122645.45276000001"/>
    <n v="65164.677720000007"/>
    <n v="122645.45276000001"/>
  </r>
  <r>
    <s v="CALI"/>
    <x v="1"/>
    <x v="1"/>
    <n v="76892"/>
    <s v="TA-25-982523"/>
    <n v="81110"/>
    <s v="APERTURA"/>
    <s v="CB CRECIMIENTO - NUEVO"/>
    <s v="VALLE DEL CAUCA"/>
    <s v="YUMBO"/>
    <s v="BARRIO GUABINAS YUMBO YUMBO"/>
    <s v="REDEBAN"/>
    <s v="FO-25-1390857"/>
    <d v="2025-08-19T00:00:00"/>
    <d v="2025-08-21T00:00:00"/>
    <s v="UNO A UNO"/>
    <s v="UNO A UNO"/>
    <s v="EJECUTADO"/>
    <s v="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ÉCNICA"/>
    <s v="SGZZZ981"/>
    <s v="TIPO I"/>
    <s v="TERRESTRE"/>
    <s v="TORRES GARCIA JENDRY JOSE"/>
    <n v="1"/>
    <n v="0"/>
    <n v="122645.45276000001"/>
    <n v="65164.677720000007"/>
    <n v="122645.45276000001"/>
  </r>
  <r>
    <s v="MANIZALES"/>
    <x v="1"/>
    <x v="6"/>
    <n v="17777"/>
    <s v="TA-25-982524"/>
    <n v="81104"/>
    <s v="APERTURA"/>
    <s v="CB CRECIMIENTO - NUEVO"/>
    <s v="CALDAS"/>
    <s v="SUPIA"/>
    <s v="BARRIO AVENIDA CARVAJAL SUPIA"/>
    <s v="REDEBAN"/>
    <s v="FO-25-1390862"/>
    <d v="2025-08-19T00:00:00"/>
    <d v="2025-08-21T00:00:00"/>
    <s v="UNO A UNO"/>
    <s v="UNO A UNO"/>
    <s v="EJECUTADO"/>
    <s v="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ÉCNICA"/>
    <s v="SGZZZ982"/>
    <s v="TIPO II"/>
    <s v="TERRESTRE"/>
    <s v="FRANCO CAÑAVERAL YAMID RAUL"/>
    <n v="1"/>
    <n v="0"/>
    <n v="122645.45276000001"/>
    <n v="65164.677720000007"/>
    <n v="122645.45276000001"/>
  </r>
  <r>
    <s v="BOGOTA"/>
    <x v="5"/>
    <x v="5"/>
    <n v="25743"/>
    <s v="TA-25-982525"/>
    <n v="81096"/>
    <s v="APERTURA"/>
    <s v="CB CRECIMIENTO - NUEVO"/>
    <s v="CUNDINAMARCA"/>
    <s v="SILVANIA"/>
    <s v="BARRIO MOLINO ROJO SILVANIA"/>
    <s v="REDEBAN"/>
    <s v="FO-25-1390865"/>
    <d v="2025-08-19T00:00:00"/>
    <d v="2025-08-21T00:00:00"/>
    <s v="UNO A UNO"/>
    <s v="UNO A UNO"/>
    <s v="EJECUTADO"/>
    <s v="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VISITA_TÉCNICA"/>
    <s v="SGZZZ983"/>
    <s v="TIPO II"/>
    <s v="TERRESTRE"/>
    <s v="GALEANO SORIANO JUAN DAVID"/>
    <n v="1"/>
    <n v="0"/>
    <n v="122645.45276000001"/>
    <n v="65164.677720000007"/>
    <n v="122645.45276000001"/>
  </r>
  <r>
    <s v="BOGOTA"/>
    <x v="5"/>
    <x v="5"/>
    <n v="25175"/>
    <s v="TA-25-982527"/>
    <n v="81067"/>
    <s v="APERTURA"/>
    <s v="CB CRECIMIENTO - NUEVO"/>
    <s v="CUNDINAMARCA"/>
    <s v="CHIA"/>
    <s v="BARRIO NUEVO MILENIO CHIA 1"/>
    <s v="REDEBAN"/>
    <s v="FO-25-1390872"/>
    <d v="2025-08-19T00:00:00"/>
    <d v="2025-08-20T00:00:00"/>
    <s v="UNO A UNO"/>
    <s v="UNO A UNO"/>
    <s v="EJECUTADO"/>
    <s v="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VISITA_TÉCNICA"/>
    <s v="SGZZZ984"/>
    <s v="TIPO II"/>
    <s v="TERRESTRE"/>
    <s v="GALEANO SORIANO JUAN DAVID"/>
    <n v="1"/>
    <n v="0"/>
    <n v="122645.45276000001"/>
    <n v="65164.677720000007"/>
    <n v="122645.45276000001"/>
  </r>
  <r>
    <s v="CALI"/>
    <x v="1"/>
    <x v="1"/>
    <n v="76001"/>
    <s v="TA-25-982528"/>
    <n v="81061"/>
    <s v="APERTURA"/>
    <s v="CB CRECIMIENTO - NUEVO"/>
    <s v="VALLE DEL CAUCA"/>
    <s v="CALI"/>
    <s v="BARRIO LA FLORESTA CALI 1"/>
    <s v="REDEBAN"/>
    <s v="FO-25-1390876"/>
    <d v="2025-08-19T00:00:00"/>
    <d v="2025-08-20T00:00:00"/>
    <s v="UNO A UNO"/>
    <s v="UNO A UNO"/>
    <s v="EJECUTADO"/>
    <s v="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
    <s v="VISITA_TÉCNICA"/>
    <s v="SGZZZ985"/>
    <s v="TIPO I"/>
    <s v="TERRESTRE"/>
    <s v="TORRES GARCIA JENDRY JOSE"/>
    <n v="1"/>
    <n v="0"/>
    <n v="122645.45276000001"/>
    <n v="65164.677720000007"/>
    <n v="122645.45276000001"/>
  </r>
  <r>
    <s v="MONTERIA"/>
    <x v="4"/>
    <x v="4"/>
    <n v="5495"/>
    <s v="TA-25-982529"/>
    <n v="81087"/>
    <s v="APERTURA"/>
    <s v="CB CRECIMIENTO - NUEVO"/>
    <s v="ANTIOQUIA"/>
    <s v="NECHI"/>
    <s v="BARRIO CENTRO NECHI 3"/>
    <s v="REDEBAN"/>
    <s v="FO-25-1390881"/>
    <d v="2025-08-19T00:00:00"/>
    <d v="2025-08-21T00:00:00"/>
    <s v="UNO A UNO"/>
    <s v="UNO A UNO"/>
    <s v="EJECUTADO"/>
    <s v="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VISITA_TÉCNICA"/>
    <s v="SGZZZ986"/>
    <s v="TIPO III"/>
    <s v="TERRESTRE"/>
    <s v="CALDERA SALCEDO CARLOS JULIO"/>
    <n v="1"/>
    <n v="0"/>
    <n v="122645.45276000001"/>
    <n v="65164.677720000007"/>
    <n v="122645.45276000001"/>
  </r>
  <r>
    <s v="CALI"/>
    <x v="1"/>
    <x v="1"/>
    <n v="76001"/>
    <s v="TA-25-982530"/>
    <n v="81063"/>
    <s v="APERTURA"/>
    <s v="CB CRECIMIENTO - NUEVO"/>
    <s v="VALLE DEL CAUCA"/>
    <s v="CALI"/>
    <s v="BARRIO LA INDEPENDENCIA CALI 1"/>
    <s v="REDEBAN"/>
    <s v="FO-25-1390884"/>
    <d v="2025-08-19T00:00:00"/>
    <d v="2025-08-21T00:00:00"/>
    <s v="UNO A UNO"/>
    <s v="UNO A UNO"/>
    <s v="EJECUTADO"/>
    <s v="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
    <s v="VISITA_TÉCNICA"/>
    <s v="SGZZZ987"/>
    <s v="TIPO I"/>
    <s v="TERRESTRE"/>
    <s v="HERRERA MONAR GEOVANNY"/>
    <n v="1"/>
    <n v="0"/>
    <n v="122645.45276000001"/>
    <n v="65164.677720000007"/>
    <n v="122645.45276000001"/>
  </r>
  <r>
    <s v="BOGOTA"/>
    <x v="5"/>
    <x v="5"/>
    <n v="11001"/>
    <s v="TA-25-982531"/>
    <n v="81053"/>
    <s v="APERTURA"/>
    <s v="CB CRECIMIENTO - NUEVO"/>
    <s v="CUNDINAMARCA"/>
    <s v="BOGOTA"/>
    <s v="BARRIO BOLIVIA BOGOTA 3"/>
    <s v="REDEBAN"/>
    <s v="FO-25-1390888"/>
    <d v="2025-08-19T00:00:00"/>
    <d v="2025-08-20T00:00:00"/>
    <s v="UNO A UNO"/>
    <s v="UNO A UNO"/>
    <s v="EJECUTADO"/>
    <s v="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GZZZ988"/>
    <s v="TIPO I"/>
    <s v="TERRESTRE"/>
    <s v="MURCIA HERNANDEZ HARVEY IGNACIO"/>
    <n v="1"/>
    <n v="0"/>
    <n v="122645.45276000001"/>
    <n v="65164.677720000007"/>
    <n v="122645.45276000001"/>
  </r>
  <r>
    <s v="PASTO"/>
    <x v="1"/>
    <x v="1"/>
    <n v="52683"/>
    <s v="TA-25-982533"/>
    <n v="81098"/>
    <s v="APERTURA"/>
    <s v="CB CRECIMIENTO - NUEVO"/>
    <s v="NARIÑO"/>
    <s v="SANDONA"/>
    <s v="BARRIO EL COMERCIO SANDONA"/>
    <s v="REDEBAN"/>
    <s v="FO-25-1390894"/>
    <d v="2025-08-19T00:00:00"/>
    <d v="2025-08-20T00:00:00"/>
    <s v="UNO A UNO"/>
    <s v="UNO A UNO"/>
    <s v="EJECUTADO"/>
    <s v="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VISITA_TÉCNICA"/>
    <s v="SGZZZ989"/>
    <s v="TIPO II"/>
    <s v="TERRESTRE"/>
    <s v="PAZ MARTINEZ RICHARD HUMBERTO"/>
    <n v="1"/>
    <n v="0"/>
    <n v="122645.45276000001"/>
    <n v="65164.677720000007"/>
    <n v="122645.45276000001"/>
  </r>
  <r>
    <s v="BOGOTA"/>
    <x v="5"/>
    <x v="5"/>
    <n v="11001"/>
    <s v="TA-25-982534"/>
    <n v="81054"/>
    <s v="APERTURA"/>
    <s v="CB CRECIMIENTO - NUEVO"/>
    <s v="CUNDINAMARCA"/>
    <s v="BOGOTA"/>
    <s v="BARRIO CANDELARIA LA NUEVA BOGOTA 10"/>
    <s v="REDEBAN"/>
    <s v="FO-25-1390897"/>
    <d v="2025-08-19T00:00:00"/>
    <d v="2025-08-21T00:00:00"/>
    <s v="UNO A UNO"/>
    <s v="UNO A UNO"/>
    <s v="EJECUTADO"/>
    <s v="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ÉCNICA"/>
    <s v="SGZZZ990"/>
    <s v="TIPO I"/>
    <s v="TERRESTRE"/>
    <s v="BUSTOS MORA DIEGO MANUEL"/>
    <n v="1"/>
    <n v="0"/>
    <n v="122645.45276000001"/>
    <n v="65164.677720000007"/>
    <n v="122645.45276000001"/>
  </r>
  <r>
    <s v="CALI"/>
    <x v="1"/>
    <x v="1"/>
    <n v="76834"/>
    <s v="TA-25-982535"/>
    <n v="81106"/>
    <s v="APERTURA"/>
    <s v="CB CRECIMIENTO - NUEVO"/>
    <s v="VALLE DEL CAUCA"/>
    <s v="TULUA"/>
    <s v="BARRIO EL HORIZONTE TULUA"/>
    <s v="REDEBAN"/>
    <s v="FO-25-1390901"/>
    <d v="2025-08-19T00:00:00"/>
    <d v="2025-08-21T00:00:00"/>
    <s v="UNO A UNO"/>
    <s v="UNO A UNO"/>
    <s v="EJECUTADO"/>
    <s v="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ÉCNICA"/>
    <s v="SGZZZ991"/>
    <s v="TIPO II"/>
    <s v="TERRESTRE"/>
    <s v="MONTERO MUESES GIAN CARLO"/>
    <n v="1"/>
    <n v="0"/>
    <n v="122645.45276000001"/>
    <n v="65164.677720000007"/>
    <n v="122645.45276000001"/>
  </r>
  <r>
    <s v="MONTERIA"/>
    <x v="4"/>
    <x v="4"/>
    <n v="23807"/>
    <s v="TA-25-982536"/>
    <n v="81105"/>
    <s v="APERTURA"/>
    <s v="CB CRECIMIENTO - NUEVO"/>
    <s v="CORDOBA"/>
    <s v="TIERRALTA"/>
    <s v="BARRIO 9 DE AGOSTO TIERRALTA"/>
    <s v="REDEBAN"/>
    <s v="FO-25-1390904"/>
    <d v="2025-08-19T00:00:00"/>
    <d v="2025-08-21T00:00:00"/>
    <s v="UNO A UNO"/>
    <s v="UNO A UNO"/>
    <s v="EJECUTADO"/>
    <s v="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
    <s v="VISITA_TÉCNICA"/>
    <s v="SGZZZ992"/>
    <s v="TIPO III"/>
    <s v="TERRESTRE"/>
    <s v="GONZALEZ FERRER JESUS ALEXANDER"/>
    <n v="1"/>
    <n v="0"/>
    <n v="122645.45276000001"/>
    <n v="65164.677720000007"/>
    <n v="122645.45276000001"/>
  </r>
  <r>
    <s v="TUNJA"/>
    <x v="3"/>
    <x v="3"/>
    <n v="15097"/>
    <s v="TA-25-982538"/>
    <n v="81050"/>
    <s v="APERTURA"/>
    <s v="CB CRECIMIENTO - NUEVO"/>
    <s v="BOYACA"/>
    <s v="BOAVITA"/>
    <s v="BARRIO CENTRO BOAVITA 6"/>
    <s v="REDEBAN"/>
    <s v="FO-25-1390908"/>
    <d v="2025-08-19T00:00:00"/>
    <d v="2025-08-21T00:00:00"/>
    <s v="UNO A UNO"/>
    <s v="UNO A UNO"/>
    <s v="EJECUTADO"/>
    <s v="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
    <s v="VISITA_TÉCNICA"/>
    <s v="SGZZZ993"/>
    <s v="TIPO IV"/>
    <s v="TERRESTRE"/>
    <s v="GONZALEZ GONZALEZ MARIO ALBERTO"/>
    <n v="1"/>
    <n v="0"/>
    <n v="122645.45276000001"/>
    <n v="65164.677720000007"/>
    <n v="122645.45276000001"/>
  </r>
  <r>
    <s v="BUCARAMANGA"/>
    <x v="3"/>
    <x v="3"/>
    <n v="68547"/>
    <s v="TA-25-982539"/>
    <n v="81091"/>
    <s v="APERTURA"/>
    <s v="CB CRECIMIENTO - NUEVO"/>
    <s v="SANTANDER"/>
    <s v="PIEDECUESTA"/>
    <s v="BARRIO PIEDECUESTA PIEDECUESTA 3"/>
    <s v="REDEBAN"/>
    <s v="FO-25-1390913"/>
    <d v="2025-08-19T00:00:00"/>
    <d v="2025-08-21T00:00:00"/>
    <s v="UNO A UNO"/>
    <s v="UNO A UNO"/>
    <s v="EJECUTADO"/>
    <s v="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
    <s v="VISITA_TÉCNICA"/>
    <s v="SGZZZ994"/>
    <s v="TIPO II"/>
    <s v="TERRESTRE"/>
    <s v="GELVEZ MOGOLLON JOSE ELISEO"/>
    <n v="1"/>
    <n v="0"/>
    <n v="122645.45276000001"/>
    <n v="65164.677720000007"/>
    <n v="122645.45276000001"/>
  </r>
  <r>
    <s v="VILLAVICENCIO"/>
    <x v="0"/>
    <x v="0"/>
    <n v="50568"/>
    <s v="TA-25-982541"/>
    <n v="81095"/>
    <s v="APERTURA"/>
    <s v="CB CRECIMIENTO - NUEVO"/>
    <s v="META"/>
    <s v="PUERTO GAITAN"/>
    <s v="BARRIO PERLAS DEL NANACACIAS PUERTO GAITAN"/>
    <s v="REDEBAN"/>
    <s v="FO-25-1390916"/>
    <d v="2025-08-19T00:00:00"/>
    <d v="2025-08-20T00:00:00"/>
    <s v="UNO A UNO"/>
    <s v="UNO A UNO"/>
    <s v="EJECUTADO"/>
    <s v="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
    <s v="VISITA_TÉCNICA"/>
    <s v="SGZZZ995"/>
    <s v="TIPO III"/>
    <s v="TERRESTRE"/>
    <s v="ROZO JIMENEZ EDGAR ARMANDO"/>
    <n v="1"/>
    <n v="0"/>
    <n v="122645.45276000001"/>
    <n v="65164.677720000007"/>
    <n v="122645.45276000001"/>
  </r>
  <r>
    <s v="VALLEDUPAR"/>
    <x v="4"/>
    <x v="4"/>
    <n v="20570"/>
    <s v="TA-25-982542"/>
    <n v="81094"/>
    <s v="APERTURA"/>
    <s v="CB CRECIMIENTO - NUEVO"/>
    <s v="CESAR"/>
    <s v="PUEBLO BELLO"/>
    <s v="BARRIO LA CEIBA PUEBLO BELLO"/>
    <s v="REDEBAN"/>
    <s v="FO-25-1390919"/>
    <d v="2025-08-19T00:00:00"/>
    <d v="2025-08-20T00:00:00"/>
    <s v="UNO A UNO"/>
    <s v="UNO A UNO"/>
    <s v="EJECUTADO"/>
    <s v="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ÉCNICA"/>
    <s v="SGZZZ996"/>
    <s v="TIPO III"/>
    <s v="TERRESTRE"/>
    <s v="MAESTRE MENGUAL EDGAR ENRIQUE"/>
    <n v="1"/>
    <n v="0"/>
    <n v="122645.45276000001"/>
    <n v="65164.677720000007"/>
    <n v="122645.45276000001"/>
  </r>
  <r>
    <s v="CALI"/>
    <x v="1"/>
    <x v="1"/>
    <n v="76001"/>
    <s v="TA-25-982543"/>
    <n v="81064"/>
    <s v="APERTURA"/>
    <s v="CB CRECIMIENTO - NUEVO"/>
    <s v="VALLE DEL CAUCA"/>
    <s v="CALI"/>
    <s v="BARRIO VILLA SAN MARCOS  CALI"/>
    <s v="REDEBAN"/>
    <s v="FO-25-1390924"/>
    <d v="2025-08-19T00:00:00"/>
    <d v="2025-08-20T00:00:00"/>
    <s v="UNO A UNO"/>
    <s v="UNO A UNO"/>
    <s v="EJECUTADO"/>
    <s v="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
    <s v="VISITA_TÉCNICA"/>
    <s v="SGZZZ997"/>
    <s v="TIPO I"/>
    <s v="TERRESTRE"/>
    <s v="PAREDES CASTILLO DIEGO"/>
    <n v="1"/>
    <n v="0"/>
    <n v="122645.45276000001"/>
    <n v="65164.677720000007"/>
    <n v="122645.45276000001"/>
  </r>
  <r>
    <s v="MANIZALES"/>
    <x v="1"/>
    <x v="6"/>
    <n v="17524"/>
    <s v="TA-25-982544"/>
    <n v="81103"/>
    <s v="APERTURA"/>
    <s v="CAMBIO DE RAZON SOCIAL"/>
    <s v="CALDAS"/>
    <s v="PALESTINA"/>
    <s v="BARRIO ARAUCA PALESTINA 2"/>
    <s v="REDEBAN"/>
    <s v="FO-25-1390928"/>
    <d v="2025-08-19T00:00:00"/>
    <d v="2025-08-21T00:00:00"/>
    <s v="UNO A UNO"/>
    <s v="UNO A UNO"/>
    <s v="EJECUTADO"/>
    <s v="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ÉCNICA"/>
    <s v="SGZZZ998"/>
    <s v="TIPO II"/>
    <s v="TERRESTRE"/>
    <s v="AGUIRRE HENAO RAUL EDUARDO"/>
    <n v="1"/>
    <n v="0"/>
    <n v="122645.45276000001"/>
    <n v="65164.677720000007"/>
    <n v="122645.45276000001"/>
  </r>
  <r>
    <s v="CALI"/>
    <x v="1"/>
    <x v="1"/>
    <n v="76113"/>
    <s v="TA-25-982545"/>
    <n v="81057"/>
    <s v="APERTURA"/>
    <s v="CB CRECIMIENTO - NUEVO"/>
    <s v="VALLE DEL CAUCA"/>
    <s v="BUGALAGRANDE"/>
    <s v="BARRIO LOS MARMOLES BUGALAGRANDE"/>
    <s v="REDEBAN"/>
    <s v="FO-25-1390932"/>
    <d v="2025-08-19T00:00:00"/>
    <d v="2025-08-21T00:00:00"/>
    <s v="UNO A UNO"/>
    <s v="UNO A UNO"/>
    <s v="EJECUTADO"/>
    <s v="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
    <s v="VISITA_TÉCNICA"/>
    <s v="SGZZZ999"/>
    <s v="TIPO II"/>
    <s v="TERRESTRE"/>
    <s v="PAREDES CASTILLO DIEGO"/>
    <n v="1"/>
    <n v="0"/>
    <n v="122645.45276000001"/>
    <n v="65164.677720000007"/>
    <n v="122645.45276000001"/>
  </r>
  <r>
    <s v="BUCARAMANGA"/>
    <x v="3"/>
    <x v="3"/>
    <n v="68276"/>
    <s v="TA-25-982600"/>
    <n v="81075"/>
    <s v="APERTURA"/>
    <s v="CB CRECIMIENTO - NUEVO"/>
    <s v="SANTANDER"/>
    <s v="FLORIDABLANCA"/>
    <s v="BARRIO LA CUMBRE FLORIDABLANCA  12"/>
    <s v="REDEBAN"/>
    <s v="FO-25-1391123"/>
    <d v="2025-08-19T00:00:00"/>
    <d v="2025-08-20T00:00:00"/>
    <s v="UNO A UNO"/>
    <s v="UNO A UNO"/>
    <s v="EJECUTADO"/>
    <s v="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ÉCNICA"/>
    <s v="SHZZZ001"/>
    <s v="TIPO I"/>
    <s v="TERRESTRE"/>
    <s v="GELVEZ MOGOLLON JOSE ELISEO"/>
    <n v="1"/>
    <n v="0"/>
    <n v="122645.45276000001"/>
    <n v="65164.677720000007"/>
    <n v="122645.45276000001"/>
  </r>
  <r>
    <s v="BOGOTA"/>
    <x v="5"/>
    <x v="5"/>
    <n v="25286"/>
    <s v="TA-25-982548"/>
    <n v="81076"/>
    <s v="APERTURA"/>
    <s v="CAMBIO DE RAZON SOCIAL"/>
    <s v="CUNDINAMARCA"/>
    <s v="FUNZA"/>
    <s v="BARRIO PADRE FUNZA FUNZA"/>
    <s v="REDEBAN"/>
    <s v="FO-25-1400516"/>
    <d v="2025-08-19T00:00:00"/>
    <d v="2025-08-25T00:00:00"/>
    <s v="UNO A UNO"/>
    <s v="UNO A UNO"/>
    <s v="EJECUTADO"/>
    <s v="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
    <s v="VISITA_TÉCNICA"/>
    <s v="SHZZZ002"/>
    <s v="TIPO II"/>
    <s v="TERRESTRE"/>
    <s v="ROMERO ROJAS BREIDY JHOHAN"/>
    <n v="1"/>
    <n v="0"/>
    <n v="122645.45276000001"/>
    <n v="65164.677720000007"/>
    <n v="122645.45276000001"/>
  </r>
  <r>
    <s v="BOGOTA"/>
    <x v="5"/>
    <x v="5"/>
    <n v="11001"/>
    <s v="TA-25-982550"/>
    <n v="81055"/>
    <s v="APERTURA"/>
    <s v="CB CRECIMIENTO - NUEVO"/>
    <s v="CUNDINAMARCA"/>
    <s v="BOGOTA"/>
    <s v="BARRIO KENNEDY SAN CARLOS BOGOTA"/>
    <s v="REDEBAN"/>
    <s v="FO-25-1390950"/>
    <d v="2025-08-19T00:00:00"/>
    <d v="2025-08-20T00:00:00"/>
    <s v="UNO A UNO"/>
    <s v="UNO A UNO"/>
    <s v="EJECUTADO"/>
    <s v="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HZZZ003"/>
    <s v="TIPO I"/>
    <s v="TERRESTRE"/>
    <s v="SOTO LONDOÑO FREDY ALEXANDER"/>
    <n v="1"/>
    <n v="0"/>
    <n v="122645.45276000001"/>
    <n v="65164.677720000007"/>
    <n v="122645.45276000001"/>
  </r>
  <r>
    <s v="MEDELLIN"/>
    <x v="2"/>
    <x v="2"/>
    <n v="5789"/>
    <s v="TA-25-982551"/>
    <n v="81097"/>
    <s v="APERTURA"/>
    <s v="CB CRECIMIENTO - NUEVO"/>
    <s v="ANTIOQUIA"/>
    <s v="TAMESIS"/>
    <s v="BARRIO TAMESIS TAMESIS 4"/>
    <s v="REDEBAN"/>
    <s v="FO-25-1390956"/>
    <d v="2025-08-19T00:00:00"/>
    <d v="2025-08-21T00:00:00"/>
    <s v="UNO A UNO"/>
    <s v="UNO A UNO"/>
    <s v="EJECUTADO"/>
    <s v="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VISITA_TÉCNICA"/>
    <s v="SHZZZ004"/>
    <s v="TIPO III"/>
    <s v="TERRESTRE"/>
    <s v="QUINTERO SANCHEZ JUAN SEBASTIAN"/>
    <n v="1"/>
    <n v="0"/>
    <n v="122645.45276000001"/>
    <n v="65164.677720000007"/>
    <n v="122645.45276000001"/>
  </r>
  <r>
    <s v="PEREIRA"/>
    <x v="1"/>
    <x v="6"/>
    <n v="63001"/>
    <s v="TA-25-982552"/>
    <n v="81051"/>
    <s v="APERTURA"/>
    <s v="CB CRECIMIENTO - NUEVO"/>
    <s v="QUINDIO"/>
    <s v="ARMENIA"/>
    <s v="BARRIO GIBRALTAR ARMENIA"/>
    <s v="REDEBAN"/>
    <s v="FO-25-1390963"/>
    <d v="2025-08-19T00:00:00"/>
    <d v="2025-08-20T00:00:00"/>
    <s v="UNO A UNO"/>
    <s v="UNO A UNO"/>
    <s v="EJECUTADO"/>
    <s v="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HZZZ005"/>
    <s v="TIPO II"/>
    <s v="TERRESTRE"/>
    <s v="SANCHEZ SOLORZANO JUAN SEBASTIAN"/>
    <n v="1"/>
    <n v="0"/>
    <n v="122645.45276000001"/>
    <n v="65164.677720000007"/>
    <n v="122645.45276000001"/>
  </r>
  <r>
    <s v="MEDELLIN"/>
    <x v="2"/>
    <x v="2"/>
    <n v="5088"/>
    <s v="TA-25-982553"/>
    <n v="81107"/>
    <s v="APERTURA"/>
    <s v="CB CRECIMIENTO - NUEVO"/>
    <s v="ANTIOQUIA"/>
    <s v="BELLO"/>
    <s v="BARRIO EL PINAR BELLO 3"/>
    <s v="REDEBAN"/>
    <s v="FO-25-1390968"/>
    <d v="2025-08-19T00:00:00"/>
    <d v="2025-08-20T00:00:00"/>
    <s v="UNO A UNO"/>
    <s v="UNO A UNO"/>
    <s v="EJECUTADO"/>
    <s v="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
    <s v="VISITA_TÉCNICA"/>
    <s v="SHZZZ006"/>
    <s v="TIPO I"/>
    <s v="TERRESTRE"/>
    <s v="MARTINEZ TOVAR OSCAR DAVID"/>
    <n v="1"/>
    <n v="0"/>
    <n v="122645.45276000001"/>
    <n v="65164.677720000007"/>
    <n v="122645.45276000001"/>
  </r>
  <r>
    <s v="MONTERIA"/>
    <x v="4"/>
    <x v="4"/>
    <n v="5250"/>
    <s v="TA-25-982554"/>
    <n v="81072"/>
    <s v="APERTURA"/>
    <s v="CB CRECIMIENTO - NUEVO"/>
    <s v="ANTIOQUIA"/>
    <s v="EL BAGRE"/>
    <s v="BARRIO BIJAO EL BAGRE 5"/>
    <s v="REDEBAN"/>
    <s v="FO-25-1390972"/>
    <d v="2025-08-19T00:00:00"/>
    <d v="2025-08-21T00:00:00"/>
    <s v="UNO A UNO"/>
    <s v="UNO A UNO"/>
    <s v="EJECUTADO"/>
    <s v="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
    <s v="VISITA_TÉCNICA"/>
    <s v="SHZZZ007"/>
    <s v="TIPO IV"/>
    <s v="TERRESTRE"/>
    <s v="COGOLLO VERTEL EDER LUIS"/>
    <n v="1"/>
    <n v="0"/>
    <n v="122645.45276000001"/>
    <n v="65164.677720000007"/>
    <n v="122645.45276000001"/>
  </r>
  <r>
    <s v="VILLAVICENCIO"/>
    <x v="0"/>
    <x v="0"/>
    <n v="50006"/>
    <s v="TA-25-982556"/>
    <n v="81049"/>
    <s v="APERTURA"/>
    <s v="CB CRECIMIENTO - NUEVO"/>
    <s v="META"/>
    <s v="ACACIAS"/>
    <s v="BARRIO MANCERA ACACIAS 6"/>
    <s v="REDEBAN"/>
    <s v="FO-25-1390978"/>
    <d v="2025-08-19T00:00:00"/>
    <d v="2025-08-21T00:00:00"/>
    <s v="UNO A UNO"/>
    <s v="UNO A UNO"/>
    <s v="EJECUTADO"/>
    <s v="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
    <s v="VISITA_TÉCNICA"/>
    <s v="SHZZZ008"/>
    <s v="TIPO II"/>
    <s v="TERRESTRE"/>
    <s v="PEDREROS CONTRERAS MICHAEL STEVENS"/>
    <n v="1"/>
    <n v="0"/>
    <n v="122645.45276000001"/>
    <n v="65164.677720000007"/>
    <n v="122645.45276000001"/>
  </r>
  <r>
    <s v="CUCUTA"/>
    <x v="3"/>
    <x v="3"/>
    <n v="54001"/>
    <s v="TA-25-982557"/>
    <n v="81069"/>
    <s v="APERTURA"/>
    <s v="CB CRECIMIENTO - NUEVO"/>
    <s v="NORTE DE SANTANDER"/>
    <s v="CUCUTA"/>
    <s v="BARRIO SAN LUIS CUCUTA  32"/>
    <s v="REDEBAN"/>
    <s v="FO-25-1390985"/>
    <d v="2025-08-19T00:00:00"/>
    <d v="2025-08-20T00:00:00"/>
    <s v="UNO A UNO"/>
    <s v="UNO A UNO"/>
    <s v="EJECUTADO"/>
    <s v="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
    <s v="VISITA_TÉCNICA"/>
    <s v="SHZZZ009"/>
    <s v="TIPO I"/>
    <s v="TERRESTRE"/>
    <s v="MORA VEGA JEAMPIER"/>
    <n v="1"/>
    <n v="0"/>
    <n v="122645.45276000001"/>
    <n v="65164.677720000007"/>
    <n v="122645.45276000001"/>
  </r>
  <r>
    <s v="MONTERIA"/>
    <x v="4"/>
    <x v="4"/>
    <n v="5154"/>
    <s v="TA-25-982559"/>
    <n v="81065"/>
    <s v="APERTURA"/>
    <s v="CB CRECIMIENTO - NUEVO"/>
    <s v="ANTIOQUIA"/>
    <s v="CAUCASIA"/>
    <s v="BARRIO VRD VILLA DEL SOCORRO CAUCASIA"/>
    <s v="REDEBAN"/>
    <s v="FO-25-1390990"/>
    <d v="2025-08-19T00:00:00"/>
    <d v="2025-08-20T00:00:00"/>
    <s v="UNO A UNO"/>
    <s v="UNO A UNO"/>
    <s v="EJECUTADO"/>
    <s v="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VISITA_TÉCNICA"/>
    <s v="SHZZZ010"/>
    <s v="TIPO II"/>
    <s v="TERRESTRE"/>
    <s v="CALDERA SALCEDO CARLOS JULIO"/>
    <n v="1"/>
    <n v="0"/>
    <n v="122645.45276000001"/>
    <n v="65164.677720000007"/>
    <n v="122645.45276000001"/>
  </r>
  <r>
    <s v="TUNJA"/>
    <x v="3"/>
    <x v="3"/>
    <n v="15759"/>
    <s v="TA-25-982561"/>
    <n v="81102"/>
    <s v="APERTURA"/>
    <s v="CB CRECIMIENTO - NUEVO"/>
    <s v="BOYACA"/>
    <s v="SOGAMOSO"/>
    <s v="BARRIO SUGAMUXI SOGAMOSO"/>
    <s v="REDEBAN"/>
    <s v="FO-25-1390993"/>
    <d v="2025-08-19T00:00:00"/>
    <d v="2025-08-20T00:00:00"/>
    <s v="UNO A UNO"/>
    <s v="UNO A UNO"/>
    <s v="EJECUTADO"/>
    <s v="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VISITA_TÉCNICA"/>
    <s v="SHZZZ011"/>
    <s v="TIPO II"/>
    <s v="TERRESTRE"/>
    <s v="RODRIGUEZ MURCIA YERSON IVAN"/>
    <n v="1"/>
    <n v="0"/>
    <n v="122645.45276000001"/>
    <n v="65164.677720000007"/>
    <n v="122645.45276000001"/>
  </r>
  <r>
    <s v="PEREIRA"/>
    <x v="1"/>
    <x v="6"/>
    <n v="63001"/>
    <s v="TA-25-982562"/>
    <n v="81052"/>
    <s v="APERTURA"/>
    <s v="CB CRECIMIENTO - NUEVO"/>
    <s v="QUINDIO"/>
    <s v="ARMENIA"/>
    <s v="BARRIO BAMBUSA ARMENIA"/>
    <s v="REDEBAN"/>
    <s v="FO-25-1390995"/>
    <d v="2025-08-19T00:00:00"/>
    <d v="2025-08-20T00:00:00"/>
    <s v="UNO A UNO"/>
    <s v="UNO A UNO"/>
    <s v="EJECUTADO"/>
    <s v="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
    <s v="VISITA_TÉCNICA"/>
    <s v="SHZZZ012"/>
    <s v="TIPO II"/>
    <s v="TERRESTRE"/>
    <s v="SANCHEZ SOLORZANO JUAN SEBASTIAN"/>
    <n v="1"/>
    <n v="0"/>
    <n v="122645.45276000001"/>
    <n v="65164.677720000007"/>
    <n v="122645.45276000001"/>
  </r>
  <r>
    <s v="MANIZALES"/>
    <x v="1"/>
    <x v="6"/>
    <n v="17001"/>
    <s v="TA-25-982564"/>
    <n v="81082"/>
    <s v="APERTURA"/>
    <s v="CB CRECIMIENTO - NUEVO"/>
    <s v="CALDAS"/>
    <s v="MANIZALES"/>
    <s v="BARRIO VILLA PILAR MANIZALES 1"/>
    <s v="REDEBAN"/>
    <s v="FO-25-1391003"/>
    <d v="2025-08-19T00:00:00"/>
    <d v="2025-08-20T00:00:00"/>
    <s v="UNO A UNO"/>
    <s v="UNO A UNO"/>
    <s v="EJECUTADO"/>
    <s v="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
    <s v="VISITA_TÉCNICA"/>
    <s v="SHZZZ014"/>
    <s v="TIPO I"/>
    <s v="TERRESTRE"/>
    <s v="AGUIRRE HENAO RAUL EDUARDO"/>
    <n v="1"/>
    <n v="0"/>
    <n v="122645.45276000001"/>
    <n v="65164.677720000007"/>
    <n v="122645.45276000001"/>
  </r>
  <r>
    <s v="MONTERIA"/>
    <x v="4"/>
    <x v="4"/>
    <n v="23001"/>
    <s v="TA-25-982569"/>
    <n v="81085"/>
    <s v="APERTURA"/>
    <s v="CB CRECIMIENTO - NUEVO"/>
    <s v="CORDOBA"/>
    <s v="MONTERIA"/>
    <s v="BARRIO CGT SANTA ISABEL MONTERIA"/>
    <s v="REDEBAN"/>
    <s v="FO-25-1391010"/>
    <d v="2025-08-19T00:00:00"/>
    <d v="2025-08-21T00:00:00"/>
    <s v="UNO A UNO"/>
    <s v="UNO A UNO"/>
    <s v="EJECUTADO"/>
    <s v="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ÉCNICA"/>
    <s v="SHZZZ015"/>
    <s v="TIPO I"/>
    <s v="TERRESTRE"/>
    <s v="CASSIANI PEREZ RAUL RAMIRO"/>
    <n v="1"/>
    <n v="0"/>
    <n v="122645.45276000001"/>
    <n v="65164.677720000007"/>
    <n v="122645.45276000001"/>
  </r>
  <r>
    <s v="BOGOTA"/>
    <x v="5"/>
    <x v="5"/>
    <n v="25126"/>
    <s v="TA-25-982574"/>
    <n v="81058"/>
    <s v="APERTURA"/>
    <s v="CB CRECIMIENTO - NUEVO"/>
    <s v="CUNDINAMARCA"/>
    <s v="CAJICA"/>
    <s v="BARRIO EL PRADO CAJICA 1"/>
    <s v="REDEBAN"/>
    <s v="FO-25-1391017"/>
    <d v="2025-08-19T00:00:00"/>
    <d v="2025-08-21T00:00:00"/>
    <s v="UNO A UNO"/>
    <s v="UNO A UNO"/>
    <s v="EJECUTADO"/>
    <s v="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ÉCNICA"/>
    <s v="SHZZZ016"/>
    <s v="TIPO II"/>
    <s v="TERRESTRE"/>
    <s v="VEGA MANRIQUE JONATAN MAURICIO"/>
    <n v="1"/>
    <n v="0"/>
    <n v="122645.45276000001"/>
    <n v="65164.677720000007"/>
    <n v="122645.45276000001"/>
  </r>
  <r>
    <s v="BOGOTA"/>
    <x v="5"/>
    <x v="5"/>
    <n v="25754"/>
    <s v="TA-25-982575"/>
    <n v="81101"/>
    <s v="APERTURA"/>
    <s v="CB CRECIMIENTO - NUEVO"/>
    <s v="CUNDINAMARCA"/>
    <s v="SOACHA"/>
    <s v="BARRIO CIUDADELA SUCRE SOACHA 2"/>
    <s v="REDEBAN"/>
    <s v="FO-25-1391021"/>
    <d v="2025-08-19T00:00:00"/>
    <d v="2025-08-20T00:00:00"/>
    <s v="UNO A UNO"/>
    <s v="UNO A UNO"/>
    <s v="EJECUTADO"/>
    <s v="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VISITA_TÉCNICA"/>
    <s v="SHZZZ017"/>
    <s v="TIPO I"/>
    <s v="TERRESTRE"/>
    <s v="ORTIZ MARTINEZ STIVEN"/>
    <n v="1"/>
    <n v="0"/>
    <n v="122645.45276000001"/>
    <n v="65164.677720000007"/>
    <n v="122645.45276000001"/>
  </r>
  <r>
    <s v="MEDELLIN"/>
    <x v="2"/>
    <x v="2"/>
    <n v="5001"/>
    <s v="TA-25-982576"/>
    <n v="81109"/>
    <s v="APERTURA"/>
    <s v="CB CRECIMIENTO - NUEVO"/>
    <s v="ANTIOQUIA"/>
    <s v="MEDELLIN"/>
    <s v="BARRIO ROBLEDO VILLA FLORA MEDELLIN 5"/>
    <s v="REDEBAN"/>
    <s v="FO-25-1391024"/>
    <d v="2025-08-19T00:00:00"/>
    <d v="2025-08-20T00:00:00"/>
    <s v="UNO A UNO"/>
    <s v="UNO A UNO"/>
    <s v="EJECUTADO"/>
    <s v="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ÉCNICA"/>
    <s v="SHZZZ018"/>
    <s v="TIPO I"/>
    <s v="TERRESTRE"/>
    <s v="ALVAREZ ARENAS VICTOR HUGO"/>
    <n v="1"/>
    <n v="0"/>
    <n v="122645.45276000001"/>
    <n v="65164.677720000007"/>
    <n v="122645.45276000001"/>
  </r>
  <r>
    <s v="MONTERIA"/>
    <x v="4"/>
    <x v="4"/>
    <n v="5495"/>
    <s v="TA-25-982577"/>
    <n v="81088"/>
    <s v="APERTURA"/>
    <s v="CB CRECIMIENTO - NUEVO"/>
    <s v="ANTIOQUIA"/>
    <s v="NECHI"/>
    <s v="BARRIO 20 DE ENERO NECHI"/>
    <s v="REDEBAN"/>
    <s v="FO-25-1391028"/>
    <d v="2025-08-19T00:00:00"/>
    <d v="2025-08-21T00:00:00"/>
    <s v="UNO A UNO"/>
    <s v="UNO A UNO"/>
    <s v="EJECUTADO"/>
    <s v="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ÉCNICA"/>
    <s v="SHZZZ019"/>
    <s v="TIPO III"/>
    <s v="TERRESTRE"/>
    <s v="CALDERA SALCEDO CARLOS JULIO"/>
    <n v="1"/>
    <n v="0"/>
    <n v="122645.45276000001"/>
    <n v="65164.677720000007"/>
    <n v="122645.45276000001"/>
  </r>
  <r>
    <s v="BUCARAMANGA"/>
    <x v="3"/>
    <x v="3"/>
    <n v="68001"/>
    <s v="TA-25-982578"/>
    <n v="81056"/>
    <s v="APERTURA"/>
    <s v="CB CRECIMIENTO - NUEVO"/>
    <s v="SANTANDER"/>
    <s v="BUCARAMANGA"/>
    <s v="BARRIO EL PRADO BUCARAMANGA 5"/>
    <s v="REDEBAN"/>
    <s v="FO-25-1391034"/>
    <d v="2025-08-19T00:00:00"/>
    <d v="2025-08-20T00:00:00"/>
    <s v="UNO A UNO"/>
    <s v="UNO A UNO"/>
    <s v="EJECUTADO"/>
    <s v="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ÉCNICA"/>
    <s v="SHZZZ020"/>
    <s v="TIPO I"/>
    <s v="TERRESTRE"/>
    <s v="HERRERA LUQUE SAUL JAVIER"/>
    <n v="1"/>
    <n v="0"/>
    <n v="122645.45276000001"/>
    <n v="65164.677720000007"/>
    <n v="122645.45276000001"/>
  </r>
  <r>
    <s v="BUCARAMANGA"/>
    <x v="3"/>
    <x v="3"/>
    <n v="68895"/>
    <s v="TA-25-982580"/>
    <n v="81111"/>
    <s v="APERTURA"/>
    <s v="CB CRECIMIENTO - NUEVO"/>
    <s v="SANTANDER"/>
    <s v="ZAPATOCA"/>
    <s v="BARRIO ZAPATOCA ZAPATOCA"/>
    <s v="REDEBAN"/>
    <s v="FO-25-1391039"/>
    <d v="2025-08-19T00:00:00"/>
    <d v="2025-08-20T00:00:00"/>
    <s v="UNO A UNO"/>
    <s v="UNO A UNO"/>
    <s v="EJECUTADO"/>
    <s v="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
    <s v="VISITA_TÉCNICA"/>
    <s v="SHZZZ021"/>
    <s v="TIPO III"/>
    <s v="TERRESTRE"/>
    <s v="MARIÑO PABON JORGE ENRIQUE"/>
    <n v="1"/>
    <n v="0"/>
    <n v="122645.45276000001"/>
    <n v="65164.677720000007"/>
    <n v="122645.45276000001"/>
  </r>
  <r>
    <s v="MONTERIA"/>
    <x v="4"/>
    <x v="4"/>
    <n v="23417"/>
    <s v="TA-25-982581"/>
    <n v="81081"/>
    <s v="APERTURA"/>
    <s v="CB CRECIMIENTO - NUEVO"/>
    <s v="CORDOBA"/>
    <s v="LORICA"/>
    <s v="BARRIO NAVIDAD LORICA"/>
    <s v="REDEBAN"/>
    <s v="FO-25-1391044"/>
    <d v="2025-08-19T00:00:00"/>
    <d v="2025-08-20T00:00:00"/>
    <s v="UNO A UNO"/>
    <s v="UNO A UNO"/>
    <s v="EJECUTADO"/>
    <s v="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
    <s v="VISITA_TÉCNICA"/>
    <s v="SHZZZ022"/>
    <s v="TIPO II"/>
    <s v="TERRESTRE"/>
    <s v="GONZALEZ FERRER JESUS ALEXANDER"/>
    <n v="1"/>
    <n v="0"/>
    <n v="122645.45276000001"/>
    <n v="65164.677720000007"/>
    <n v="122645.45276000001"/>
  </r>
  <r>
    <s v="CUCUTA"/>
    <x v="3"/>
    <x v="3"/>
    <n v="54001"/>
    <s v="TA-25-982582"/>
    <n v="81071"/>
    <s v="APERTURA"/>
    <s v="CB CRECIMIENTO - NUEVO"/>
    <s v="NORTE DE SANTANDER"/>
    <s v="CUCUTA"/>
    <s v="BARRIO TRIGAL DEL NORTE CUCUTA 10"/>
    <s v="REDEBAN"/>
    <s v="FO-25-1391048"/>
    <d v="2025-08-19T00:00:00"/>
    <d v="2025-08-20T00:00:00"/>
    <s v="UNO A UNO"/>
    <s v="UNO A UNO"/>
    <s v="EJECUTADO"/>
    <s v="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HZZZ023"/>
    <s v="TIPO I"/>
    <s v="TERRESTRE"/>
    <s v="DURAN ACOSTA FRANK YONNY"/>
    <n v="1"/>
    <n v="0"/>
    <n v="122645.45276000001"/>
    <n v="65164.677720000007"/>
    <n v="122645.45276000001"/>
  </r>
  <r>
    <s v="CALI"/>
    <x v="1"/>
    <x v="1"/>
    <n v="76364"/>
    <s v="TA-25-982585"/>
    <n v="81079"/>
    <s v="APERTURA"/>
    <s v="CB CRECIMIENTO - NUEVO"/>
    <s v="VALLE DEL CAUCA"/>
    <s v="JAMUNDI"/>
    <s v="BARRIO BELLO HORIZONTE JAMUNDI"/>
    <s v="REDEBAN"/>
    <s v="FO-25-1391057"/>
    <d v="2025-08-19T00:00:00"/>
    <d v="2025-08-20T00:00:00"/>
    <s v="UNO A UNO"/>
    <s v="UNO A UNO"/>
    <s v="EJECUTADO"/>
    <s v="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
    <s v="VISITA_TÉCNICA"/>
    <s v="SHZZZ024"/>
    <s v="TIPO II"/>
    <s v="TERRESTRE"/>
    <s v="MONTERO MUESES GIAN CARLO"/>
    <n v="1"/>
    <n v="0"/>
    <n v="122645.45276000001"/>
    <n v="65164.677720000007"/>
    <n v="122645.45276000001"/>
  </r>
  <r>
    <s v="CALI"/>
    <x v="1"/>
    <x v="1"/>
    <n v="19001"/>
    <s v="TA-25-982587"/>
    <n v="81093"/>
    <s v="APERTURA"/>
    <s v="CB CRECIMIENTO - NUEVO"/>
    <s v="CAUCA"/>
    <s v="POPAYAN"/>
    <s v="BARRIO PANDIGUANDO POPAYAN 2"/>
    <s v="REDEBAN"/>
    <s v="FO-25-1391061"/>
    <d v="2025-08-19T00:00:00"/>
    <d v="2025-08-20T00:00:00"/>
    <s v="UNO A UNO"/>
    <s v="UNO A UNO"/>
    <s v="EJECUTADO"/>
    <s v="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ÉCNICA"/>
    <s v="SHZZZ025"/>
    <s v="TIPO III"/>
    <s v="TERRESTRE"/>
    <s v="GIMBUEL LASSO LUIS GERMAN"/>
    <n v="1"/>
    <n v="0"/>
    <n v="122645.45276000001"/>
    <n v="65164.677720000007"/>
    <n v="122645.45276000001"/>
  </r>
  <r>
    <s v="CALI"/>
    <x v="1"/>
    <x v="1"/>
    <n v="76001"/>
    <s v="TA-25-982588"/>
    <n v="81062"/>
    <s v="APERTURA"/>
    <s v="CB CRECIMIENTO - NUEVO"/>
    <s v="VALLE DEL CAUCA"/>
    <s v="CALI"/>
    <s v="BARRIO LOURDES CALI"/>
    <s v="REDEBAN"/>
    <s v="FO-25-1391066"/>
    <d v="2025-08-19T00:00:00"/>
    <d v="2025-08-20T00:00:00"/>
    <s v="UNO A UNO"/>
    <s v="UNO A UNO"/>
    <s v="EJECUTADO"/>
    <s v="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VISITA_TÉCNICA"/>
    <s v="SHZZZ026"/>
    <s v="TIPO I"/>
    <s v="TERRESTRE"/>
    <s v="HERRERA MONAR GEOVANNY"/>
    <n v="1"/>
    <n v="0"/>
    <n v="122645.45276000001"/>
    <n v="65164.677720000007"/>
    <n v="122645.45276000001"/>
  </r>
  <r>
    <s v="PEREIRA"/>
    <x v="1"/>
    <x v="6"/>
    <n v="63130"/>
    <s v="TA-25-982589"/>
    <n v="81059"/>
    <s v="APERTURA"/>
    <s v="CB CRECIMIENTO - NUEVO"/>
    <s v="QUINDIO"/>
    <s v="CALARCA"/>
    <s v="BARRIO LAS PALOMAS CALARCA 1"/>
    <s v="REDEBAN"/>
    <s v="FO-25-1391068"/>
    <d v="2025-08-19T00:00:00"/>
    <d v="2025-08-21T00:00:00"/>
    <s v="UNO A UNO"/>
    <s v="UNO A UNO"/>
    <s v="EJECUTADO"/>
    <s v="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VISITA_TÉCNICA"/>
    <s v="SHZZZ027"/>
    <s v="TIPO II"/>
    <s v="TERRESTRE"/>
    <s v="SANCHEZ SOLORZANO JUAN SEBASTIAN"/>
    <n v="1"/>
    <n v="0"/>
    <n v="122645.45276000001"/>
    <n v="65164.677720000007"/>
    <n v="122645.45276000001"/>
  </r>
  <r>
    <s v="BOGOTA"/>
    <x v="5"/>
    <x v="5"/>
    <n v="25740"/>
    <s v="TA-25-982590"/>
    <n v="81099"/>
    <s v="APERTURA"/>
    <s v="CB CRECIMIENTO - NUEVO"/>
    <s v="CUNDINAMARCA"/>
    <s v="SIBATE"/>
    <s v="BARRIO PROGRESO SIBATE 1"/>
    <s v="REDEBAN"/>
    <s v="FO-25-1391073"/>
    <d v="2025-08-19T00:00:00"/>
    <d v="2025-08-21T00:00:00"/>
    <s v="UNO A UNO"/>
    <s v="UNO A UNO"/>
    <s v="EJECUTADO"/>
    <s v="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
    <s v="VISITA_TÉCNICA"/>
    <s v="SHZZZ028"/>
    <s v="TIPO II"/>
    <s v="TERRESTRE"/>
    <s v="GALEANO SORIANO JUAN DAVID"/>
    <n v="1"/>
    <n v="0"/>
    <n v="122645.45276000001"/>
    <n v="65164.677720000007"/>
    <n v="122645.45276000001"/>
  </r>
  <r>
    <s v="MEDELLIN"/>
    <x v="2"/>
    <x v="2"/>
    <n v="5579"/>
    <s v="TA-25-982591"/>
    <n v="81068"/>
    <s v="APERTURA"/>
    <s v="CB CRECIMIENTO - NUEVO"/>
    <s v="ANTIOQUIA"/>
    <s v="PUERTO BERRIO"/>
    <s v="BARRIO CENTRO PUERTO BERRIO 9"/>
    <s v="REDEBAN"/>
    <s v="FO-25-1391078"/>
    <d v="2025-08-19T00:00:00"/>
    <d v="2025-08-21T00:00:00"/>
    <s v="UNO A UNO"/>
    <s v="UNO A UNO"/>
    <s v="EJECUTADO"/>
    <s v="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
    <s v="VISITA_TÉCNICA"/>
    <s v="SHZZZ029"/>
    <s v="TIPO III"/>
    <s v="TERRESTRE"/>
    <s v="BARRIENTOS HERNANDEZ CRISTIAN HORACIO"/>
    <n v="1"/>
    <n v="0"/>
    <n v="122645.45276000001"/>
    <n v="65164.677720000007"/>
    <n v="122645.45276000001"/>
  </r>
  <r>
    <s v="BOGOTA"/>
    <x v="5"/>
    <x v="5"/>
    <n v="25473"/>
    <s v="TA-25-982592"/>
    <n v="80951"/>
    <s v="APERTURA"/>
    <s v="CB CRECIMIENTO - OTRAS LISTAS"/>
    <s v="CUNDINAMARCA"/>
    <s v="MOSQUERA"/>
    <s v="BARRIO CENTRO MOSQUERA MOSQUERA"/>
    <s v="REDEBAN"/>
    <s v="FO-25-1391081"/>
    <d v="2025-08-19T00:00:00"/>
    <d v="2025-08-20T00:00:00"/>
    <s v="UNO A UNO"/>
    <s v="UNO A UNO"/>
    <s v="EJECUTADO"/>
    <s v="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VISITA_TÉCNICA"/>
    <s v="SHZZZ030"/>
    <s v="TIPO I"/>
    <s v="TERRESTRE"/>
    <s v="VEGA MANRIQUE JONATAN MAURICIO"/>
    <n v="1"/>
    <n v="0"/>
    <n v="122645.45276000001"/>
    <n v="65164.677720000007"/>
    <n v="122645.45276000001"/>
  </r>
  <r>
    <s v="CARTAGENA"/>
    <x v="4"/>
    <x v="4"/>
    <n v="13654"/>
    <s v="TA-25-982593"/>
    <n v="80965"/>
    <s v="APERTURA"/>
    <s v="CB CRECIMIENTO - OTRAS LISTAS"/>
    <s v="BOLIVAR"/>
    <s v="SAN JACINTO"/>
    <s v="BARRIO CENTRO SAN JACINTO 3"/>
    <s v="REDEBAN"/>
    <s v="FO-25-1391088"/>
    <d v="2025-08-19T00:00:00"/>
    <d v="2025-08-20T00:00:00"/>
    <s v="UNO A UNO"/>
    <s v="UNO A UNO"/>
    <s v="EJECUTADO"/>
    <s v="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ÉCNICA"/>
    <s v="SHZZZ031"/>
    <s v="TIPO III"/>
    <s v="TERRESTRE"/>
    <s v="MARTINEZ SALGUEDO ANDRES AUGUSTO"/>
    <n v="1"/>
    <n v="0"/>
    <n v="122645.45276000001"/>
    <n v="65164.677720000007"/>
    <n v="122645.45276000001"/>
  </r>
  <r>
    <s v="APARTADO"/>
    <x v="2"/>
    <x v="2"/>
    <n v="27413"/>
    <s v="TA-25-982594"/>
    <n v="80973"/>
    <s v="APERTURA"/>
    <s v="CB CRECIMIENTO - OTRAS LISTAS"/>
    <s v="CHOCO"/>
    <s v="LLORO"/>
    <s v="BARRIO NUEVO LLORO LLORO"/>
    <s v="REDEBAN"/>
    <s v="FO-25-1391091"/>
    <d v="2025-08-19T00:00:00"/>
    <d v="2025-08-27T00:00:00"/>
    <s v="UNO A UNO"/>
    <s v="UNO A UNO"/>
    <s v="EJECUTADO"/>
    <s v="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
    <s v="VISITA_TÉCNICA"/>
    <s v="SHZZZ032"/>
    <s v="TIPO IV"/>
    <s v="TERRESTRE"/>
    <s v="ROBLEDO DIAZ ANDRES FELIPE"/>
    <n v="1"/>
    <n v="0"/>
    <n v="122645.45276000001"/>
    <n v="65164.677720000007"/>
    <n v="122645.45276000001"/>
  </r>
  <r>
    <s v="APARTADO"/>
    <x v="2"/>
    <x v="2"/>
    <n v="5490"/>
    <s v="TA-25-992996"/>
    <n v="81113"/>
    <s v="APERTURA"/>
    <s v="CB CRECIMIENTO ALIANZA - NUEVO"/>
    <s v="ANTIOQUIA"/>
    <s v="NECOCLI"/>
    <s v="DISTRICOL VARIEDADES GUACAMAYA"/>
    <s v="REDEBAN"/>
    <s v="FO-25-140441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ÉCNICA"/>
    <s v="SIZZZ933"/>
    <s v="TIPO II"/>
    <s v="TERRESTRE"/>
    <s v="GONZALEZ FERRER JESUS ALEXANDER"/>
    <n v="1"/>
    <n v="0"/>
    <n v="122645.45276000001"/>
    <n v="65164.677720000007"/>
    <n v="122645.45276000001"/>
  </r>
  <r>
    <s v="MEDELLIN"/>
    <x v="2"/>
    <x v="2"/>
    <n v="5887"/>
    <s v="TA-25-992999"/>
    <n v="81119"/>
    <s v="APERTURA"/>
    <s v="CB CRECIMIENTO ALIANZA - NUEVO"/>
    <s v="ANTIOQUIA"/>
    <s v="YARUMAL"/>
    <s v="DISTRICOL PAPELERIA DETALLES A"/>
    <s v="REDEBAN"/>
    <s v="FO-25-140442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ÉCNICA"/>
    <s v="SIZZZ935"/>
    <s v="TIPO III"/>
    <s v="TERRESTRE"/>
    <s v="PAREJA ECHAVARRIA JHON DAVID"/>
    <n v="1"/>
    <n v="0"/>
    <n v="122645.45276000001"/>
    <n v="65164.677720000007"/>
    <n v="122645.45276000001"/>
  </r>
  <r>
    <s v="MANIZALES"/>
    <x v="1"/>
    <x v="6"/>
    <n v="17873"/>
    <s v="TA-25-993008"/>
    <n v="81117"/>
    <s v="APERTURA"/>
    <s v="CB CRECIMIENTO ALIANZA - NUEVO"/>
    <s v="CALDAS"/>
    <s v="VILLAMARIA"/>
    <s v="DISTRICOL CITYPHONE CLUB"/>
    <s v="REDEBAN"/>
    <s v="FO-25-140442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ÉCNICA"/>
    <s v="SIZZZ936"/>
    <s v="TIPO I"/>
    <s v="TERRESTRE"/>
    <s v="AGUIRRE HENAO RAUL EDUARDO"/>
    <n v="1"/>
    <n v="0"/>
    <n v="122645.45276000001"/>
    <n v="65164.677720000007"/>
    <n v="122645.45276000001"/>
  </r>
  <r>
    <s v="SANTA MARTA"/>
    <x v="4"/>
    <x v="4"/>
    <n v="44430"/>
    <s v="TA-25-993009"/>
    <n v="81114"/>
    <s v="APERTURA"/>
    <s v="CB CRECIMIENTO ALIANZA - NUEVO"/>
    <s v="LA GUAJIRA"/>
    <s v="MAICAO"/>
    <s v="DISTRICOL SAANTINA S.A.S"/>
    <s v="REDEBAN"/>
    <s v="FO-25-1404429"/>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ÉCNICA"/>
    <s v="SIZZZ937"/>
    <s v="TIPO IV"/>
    <s v="TERRESTRE"/>
    <s v="THOMAS  CAMPO SIGIFREDO SEGUNDO"/>
    <n v="1"/>
    <n v="0"/>
    <n v="122645.45276000001"/>
    <n v="65164.677720000007"/>
    <n v="122645.45276000001"/>
  </r>
  <r>
    <s v="PASTO"/>
    <x v="1"/>
    <x v="1"/>
    <n v="52001"/>
    <s v="TA-25-993010"/>
    <n v="81115"/>
    <s v="APERTURA"/>
    <s v="CB CRECIMIENTO ALIANZA - NUEVO"/>
    <s v="NARIÑO"/>
    <s v="PASTO"/>
    <s v="DISTRICOL CONECTADOS 123"/>
    <s v="REDEBAN"/>
    <s v="FO-25-1404432"/>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ÉCNICA"/>
    <s v="SIZZZ938"/>
    <s v="TIPO I"/>
    <s v="TERRESTRE"/>
    <s v="CASTILLO HERRERA ALEX RICARDO"/>
    <n v="1"/>
    <n v="0"/>
    <n v="122645.45276000001"/>
    <n v="65164.677720000007"/>
    <n v="122645.45276000001"/>
  </r>
  <r>
    <s v="TUNJA"/>
    <x v="3"/>
    <x v="3"/>
    <n v="68077"/>
    <s v="TA-25-993019"/>
    <n v="81112"/>
    <s v="APERTURA"/>
    <s v="CB CRECIMIENTO ALIANZA - NUEVO"/>
    <s v="SANTANDER"/>
    <s v="BARBOSA"/>
    <s v="DISTRICOL MOTO EXPRESS"/>
    <s v="REDEBAN"/>
    <s v="FO-25-140443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ÉCNICA"/>
    <s v="SIZZZ939"/>
    <s v="TIPO II"/>
    <s v="TERRESTRE"/>
    <s v="RODRIGUEZ MURCIA YERSON IVAN"/>
    <n v="1"/>
    <n v="0"/>
    <n v="122645.45276000001"/>
    <n v="65164.677720000007"/>
    <n v="122645.45276000001"/>
  </r>
  <r>
    <s v="CARTAGENA"/>
    <x v="4"/>
    <x v="4"/>
    <n v="13442"/>
    <s v="TA-25-992097"/>
    <n v="81146"/>
    <s v="APERTURA"/>
    <s v="CB CRECIMIENTO - NUEVO"/>
    <s v="BOLIVAR"/>
    <s v="MARIA LA BAJA"/>
    <s v="BARRIO ARROYO ABAJO MARÍA LA BAJA"/>
    <s v="REDEBAN"/>
    <s v="FO-25-1402155"/>
    <d v="2025-08-21T00:00:00"/>
    <d v="2025-08-22T00:00:00"/>
    <s v="UNO A UNO"/>
    <s v="UNO A UNO"/>
    <s v="EJECUTADO"/>
    <s v="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ÉCNICA"/>
    <s v="SIZZZ880"/>
    <s v="TIPO II"/>
    <s v="TERRESTRE"/>
    <s v="MARTINEZ SALGUEDO ANDRES AUGUSTO"/>
    <n v="1"/>
    <n v="0"/>
    <n v="122645.45276000001"/>
    <n v="65164.677720000007"/>
    <n v="122645.45276000001"/>
  </r>
  <r>
    <s v="PASTO"/>
    <x v="1"/>
    <x v="1"/>
    <n v="52520"/>
    <s v="TA-25-992098"/>
    <n v="81135"/>
    <s v="APERTURA"/>
    <s v="CB CRECIMIENTO - NUEVO"/>
    <s v="NARIÑO"/>
    <s v="FRANCISCO PIZARRO"/>
    <s v="BARRIO AV LOS ESTUDIANTES FRANCISCO PIZARRO"/>
    <s v="REDEBAN"/>
    <s v="FO-25-1402160"/>
    <d v="2025-08-21T00:00:00"/>
    <d v="2025-08-26T00:00:00"/>
    <s v="UNO A UNO"/>
    <s v="UNO A UNO"/>
    <s v="EJECUTADO"/>
    <s v="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
    <s v="VISITA_TÉCNICA"/>
    <s v="SIZZZ881"/>
    <s v="TIPO IV ESPECIAL"/>
    <s v="FLUVIAL"/>
    <s v="PAZ MARTINEZ RICHARD HUMBERTO"/>
    <n v="1"/>
    <n v="0"/>
    <n v="122645.45276000001"/>
    <n v="65164.677720000007"/>
    <n v="122645.45276000001"/>
  </r>
  <r>
    <s v="MEDELLIN"/>
    <x v="2"/>
    <x v="2"/>
    <n v="5086"/>
    <s v="TA-25-992099"/>
    <n v="81138"/>
    <s v="APERTURA"/>
    <s v="CB CRECIMIENTO - NUEVO"/>
    <s v="ANTIOQUIA"/>
    <s v="BELMIRA"/>
    <s v="BARRIO BELMIRA BELMIRA"/>
    <s v="REDEBAN"/>
    <s v="FO-25-1402165"/>
    <d v="2025-08-21T00:00:00"/>
    <d v="2025-08-25T00:00:00"/>
    <s v="UNO A UNO"/>
    <s v="UNO A UNO"/>
    <s v="EJECUTADO"/>
    <s v="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 v="VISITA_TÉCNICA"/>
    <s v="SIZZZ882"/>
    <s v="TIPO II"/>
    <s v="TERRESTRE"/>
    <s v="QUINTERO SANCHEZ JUAN SEBASTIAN"/>
    <n v="1"/>
    <n v="0"/>
    <n v="122645.45276000001"/>
    <n v="65164.677720000007"/>
    <n v="122645.45276000001"/>
  </r>
  <r>
    <s v="CARTAGENA"/>
    <x v="4"/>
    <x v="4"/>
    <n v="13001"/>
    <s v="TA-25-992101"/>
    <n v="81125"/>
    <s v="APERTURA"/>
    <s v="CB CRECIMIENTO - NUEVO"/>
    <s v="BOLIVAR"/>
    <s v="CARTAGENA"/>
    <s v="BARRIO BICENTENARIO CARTAGENA DE INDIAS 5"/>
    <s v="REDEBAN"/>
    <s v="FO-25-1402167"/>
    <d v="2025-08-21T00:00:00"/>
    <d v="2025-08-25T00:00:00"/>
    <s v="UNO A UNO"/>
    <s v="UNO A UNO"/>
    <s v="EJECUTADO"/>
    <s v="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
    <s v="VISITA_TÉCNICA"/>
    <s v="SIZZZ883"/>
    <s v="TIPO I"/>
    <s v="TERRESTRE"/>
    <s v="CANEDO HERRERA ALEXANDER"/>
    <n v="1"/>
    <n v="0"/>
    <n v="122645.45276000001"/>
    <n v="65164.677720000007"/>
    <n v="122645.45276000001"/>
  </r>
  <r>
    <s v="MEDELLIN"/>
    <x v="2"/>
    <x v="2"/>
    <n v="5697"/>
    <s v="TA-25-992105"/>
    <n v="81160"/>
    <s v="APERTURA"/>
    <s v="CB CRECIMIENTO - NUEVO"/>
    <s v="ANTIOQUIA"/>
    <s v="EL SANTUARIO"/>
    <s v="BARRIO BUENOS AIRES EL SANTUARIO"/>
    <s v="REDEBAN"/>
    <s v="FO-25-1402175"/>
    <d v="2025-08-21T00:00:00"/>
    <d v="2025-08-25T00:00:00"/>
    <s v="UNO A UNO"/>
    <s v="UNO A UNO"/>
    <s v="EJECUTADO"/>
    <s v="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
    <s v="VISITA_TÉCNICA"/>
    <s v="SIZZZ884"/>
    <s v="TIPO II"/>
    <s v="TERRESTRE"/>
    <s v="ZAPATA LOPEZ EDWARD ASDRUBAL"/>
    <n v="1"/>
    <n v="0"/>
    <n v="122645.45276000001"/>
    <n v="65164.677720000007"/>
    <n v="122645.45276000001"/>
  </r>
  <r>
    <s v="MANIZALES"/>
    <x v="1"/>
    <x v="6"/>
    <n v="17001"/>
    <s v="TA-25-992108"/>
    <n v="81142"/>
    <s v="APERTURA"/>
    <s v="CB CRECIMIENTO - NUEVO"/>
    <s v="CALDAS"/>
    <s v="MANIZALES"/>
    <s v="BARRIO CARIBE MANIZALES 1"/>
    <s v="REDEBAN"/>
    <s v="FO-25-1402185"/>
    <d v="2025-08-21T00:00:00"/>
    <d v="2025-08-22T00:00:00"/>
    <s v="UNO A UNO"/>
    <s v="UNO A UNO"/>
    <s v="EJECUTADO"/>
    <s v="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VISITA_TÉCNICA"/>
    <s v="SIZZZ885"/>
    <s v="TIPO I"/>
    <s v="TERRESTRE"/>
    <s v="AGUIRRE HENAO RAUL EDUARDO"/>
    <n v="1"/>
    <n v="0"/>
    <n v="122645.45276000001"/>
    <n v="65164.677720000007"/>
    <n v="122645.45276000001"/>
  </r>
  <r>
    <s v="BOGOTA"/>
    <x v="5"/>
    <x v="5"/>
    <n v="25053"/>
    <s v="TA-25-992109"/>
    <n v="81137"/>
    <s v="APERTURA"/>
    <s v="CB CRECIMIENTO - NUEVO"/>
    <s v="CUNDINAMARCA"/>
    <s v="ARBELAEZ"/>
    <s v="BARRIO CENTRO ARBELAEZ 1"/>
    <s v="REDEBAN"/>
    <s v="FO-25-1402191"/>
    <d v="2025-08-21T00:00:00"/>
    <d v="2025-08-25T00:00:00"/>
    <s v="UNO A UNO"/>
    <s v="UNO A UNO"/>
    <s v="EJECUTADO"/>
    <s v="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
    <s v="VISITA_TÉCNICA"/>
    <s v="SIZZZ886"/>
    <s v="TIPO II"/>
    <s v="TERRESTRE"/>
    <s v="ORTIZ MARTINEZ STIVEN"/>
    <n v="1"/>
    <n v="0"/>
    <n v="122645.45276000001"/>
    <n v="65164.677720000007"/>
    <n v="122645.45276000001"/>
  </r>
  <r>
    <s v="MANIZALES"/>
    <x v="1"/>
    <x v="6"/>
    <n v="17174"/>
    <s v="TA-25-992111"/>
    <n v="81128"/>
    <s v="APERTURA"/>
    <s v="CAMBIO DE RAZON SOCIAL"/>
    <s v="CALDAS"/>
    <s v="CHINCHINA"/>
    <s v="BARRIO CENTRO CHINCHINA 13"/>
    <s v="REDEBAN"/>
    <s v="FO-25-1402195"/>
    <d v="2025-08-21T00:00:00"/>
    <d v="2025-08-22T00:00:00"/>
    <s v="UNO A UNO"/>
    <s v="UNO A UNO"/>
    <s v="EJECUTADO"/>
    <s v="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
    <s v="VISITA_TÉCNICA"/>
    <s v="SIZZZ887"/>
    <s v="TIPO II"/>
    <s v="TERRESTRE"/>
    <s v="ARROYAVE CANO MANUEL GUILLERMO"/>
    <n v="1"/>
    <n v="0"/>
    <n v="122645.45276000001"/>
    <n v="65164.677720000007"/>
    <n v="122645.45276000001"/>
  </r>
  <r>
    <s v="VILLAVICENCIO"/>
    <x v="0"/>
    <x v="0"/>
    <n v="50223"/>
    <s v="TA-25-992113"/>
    <n v="81132"/>
    <s v="APERTURA"/>
    <s v="CB CRECIMIENTO - NUEVO"/>
    <s v="META"/>
    <s v="CUBARRAL"/>
    <s v="BARRIO CENTRO CUBARRAL  8"/>
    <s v="REDEBAN"/>
    <s v="FO-25-1402202"/>
    <d v="2025-08-21T00:00:00"/>
    <d v="2025-08-25T00:00:00"/>
    <s v="UNO A UNO"/>
    <s v="UNO A UNO"/>
    <s v="EJECUTADO"/>
    <s v="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VISITA_TÉCNICA"/>
    <s v="SIZZZ888"/>
    <s v="TIPO II"/>
    <s v="TERRESTRE"/>
    <s v="ROZO JIMENEZ EDGAR ARMANDO"/>
    <n v="1"/>
    <n v="0"/>
    <n v="122645.45276000001"/>
    <n v="65164.677720000007"/>
    <n v="122645.45276000001"/>
  </r>
  <r>
    <s v="MANIZALES"/>
    <x v="1"/>
    <x v="6"/>
    <n v="17001"/>
    <s v="TA-25-992114"/>
    <n v="81144"/>
    <s v="APERTURA"/>
    <s v="CB CRECIMIENTO - NUEVO"/>
    <s v="CALDAS"/>
    <s v="MANIZALES"/>
    <s v="BARRIO CENTRO MANIZALES 27"/>
    <s v="REDEBAN"/>
    <s v="FO-25-1402209"/>
    <d v="2025-08-21T00:00:00"/>
    <d v="2025-08-25T00:00:00"/>
    <s v="UNO A UNO"/>
    <s v="UNO A UNO"/>
    <s v="EJECUTADO"/>
    <s v="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VISITA_TÉCNICA"/>
    <s v="SIZZZ889"/>
    <s v="TIPO I"/>
    <s v="TERRESTRE"/>
    <s v="FRANCO CAÑAVERAL YAMID RAUL"/>
    <n v="1"/>
    <n v="0"/>
    <n v="122645.45276000001"/>
    <n v="65164.677720000007"/>
    <n v="122645.45276000001"/>
  </r>
  <r>
    <s v="CALI"/>
    <x v="1"/>
    <x v="1"/>
    <n v="19573"/>
    <s v="TA-25-992115"/>
    <n v="81153"/>
    <s v="APERTURA"/>
    <s v="CB CRECIMIENTO - NUEVO"/>
    <s v="CAUCA"/>
    <s v="PUERTO TEJADA"/>
    <s v="BARRIO CENTRO PUERTO TEJADA 12"/>
    <s v="REDEBAN"/>
    <s v="FO-25-1402214"/>
    <d v="2025-08-21T00:00:00"/>
    <d v="2025-08-22T00:00:00"/>
    <s v="UNO A UNO"/>
    <s v="UNO A UNO"/>
    <s v="EJECUTADO"/>
    <s v="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ÉCNICA"/>
    <s v="SIZZZ890"/>
    <s v="TIPO II"/>
    <s v="TERRESTRE"/>
    <s v="PAREDES CASTILLO DIEGO"/>
    <n v="1"/>
    <n v="0"/>
    <n v="122645.45276000001"/>
    <n v="65164.677720000007"/>
    <n v="122645.45276000001"/>
  </r>
  <r>
    <s v="BOGOTA"/>
    <x v="5"/>
    <x v="5"/>
    <n v="25899"/>
    <s v="TA-25-992116"/>
    <n v="81163"/>
    <s v="APERTURA"/>
    <s v="CB CRECIMIENTO - NUEVO"/>
    <s v="CUNDINAMARCA"/>
    <s v="ZIPAQUIRA"/>
    <s v="BARRIO CENTRO ZIPQUIRA"/>
    <s v="REDEBAN"/>
    <s v="FO-25-1402219"/>
    <d v="2025-08-21T00:00:00"/>
    <d v="2025-08-22T00:00:00"/>
    <s v="UNO A UNO"/>
    <s v="UNO A UNO"/>
    <s v="EJECUTADO"/>
    <s v="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VISITA_TÉCNICA"/>
    <s v="SIZZZ892"/>
    <s v="TIPO II"/>
    <s v="TERRESTRE"/>
    <s v="LOZADA ROJAS CHRISTIAN ANDRES"/>
    <n v="1"/>
    <n v="0"/>
    <n v="122645.45276000001"/>
    <n v="65164.677720000007"/>
    <n v="122645.45276000001"/>
  </r>
  <r>
    <s v="MONTERIA"/>
    <x v="4"/>
    <x v="4"/>
    <n v="23580"/>
    <s v="TA-25-992117"/>
    <n v="81152"/>
    <s v="APERTURA"/>
    <s v="CB CRECIMIENTO - NUEVO"/>
    <s v="CORDOBA"/>
    <s v="PUERTO LIBERTADOR"/>
    <s v="BARRIO CGT SAN JUAN DE ASIS PUERTO LIBERTADOR"/>
    <s v="REDEBAN"/>
    <s v="FO-25-1402224"/>
    <d v="2025-08-21T00:00:00"/>
    <d v="2025-08-27T00:00:00"/>
    <s v="UNO A UNO"/>
    <s v="UNO A UNO"/>
    <s v="EJECUTADO"/>
    <s v="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
    <s v="VISITA_TÉCNICA"/>
    <s v="SIZZZ893"/>
    <s v="TIPO IV"/>
    <s v="TERRESTRE"/>
    <s v="ARRAZOLA HERNANDEZ NICOLAS AUGUSTO"/>
    <n v="1"/>
    <n v="0"/>
    <n v="122645.45276000001"/>
    <n v="65164.677720000007"/>
    <n v="122645.45276000001"/>
  </r>
  <r>
    <s v="BOGOTA"/>
    <x v="5"/>
    <x v="5"/>
    <n v="25175"/>
    <s v="TA-25-992118"/>
    <n v="81127"/>
    <s v="APERTURA"/>
    <s v="CB CRECIMIENTO - NUEVO"/>
    <s v="CUNDINAMARCA"/>
    <s v="CHIA"/>
    <s v="BARRIO CHILAGOS  CHIA 1"/>
    <s v="REDEBAN"/>
    <s v="FO-25-1402228"/>
    <d v="2025-08-21T00:00:00"/>
    <d v="2025-08-22T00:00:00"/>
    <s v="UNO A UNO"/>
    <s v="UNO A UNO"/>
    <s v="EJECUTADO"/>
    <s v="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ÉCNICA"/>
    <s v="SIZZZ894"/>
    <s v="TIPO II"/>
    <s v="TERRESTRE"/>
    <s v="LOZADA ROJAS CHRISTIAN ANDRES"/>
    <n v="1"/>
    <n v="0"/>
    <n v="122645.45276000001"/>
    <n v="65164.677720000007"/>
    <n v="122645.45276000001"/>
  </r>
  <r>
    <s v="CARTAGENA"/>
    <x v="4"/>
    <x v="4"/>
    <n v="13052"/>
    <s v="TA-25-992119"/>
    <n v="81120"/>
    <s v="APERTURA"/>
    <s v="CB CRECIMIENTO - NUEVO"/>
    <s v="BOLIVAR"/>
    <s v="ARJONA"/>
    <s v="BARRIO CL JUNCAL SEC EL PONDO ARJONA"/>
    <s v="REDEBAN"/>
    <s v="FO-25-1402232"/>
    <d v="2025-08-21T00:00:00"/>
    <d v="2025-08-25T00:00:00"/>
    <s v="UNO A UNO"/>
    <s v="UNO A UNO"/>
    <s v="EJECUTADO"/>
    <s v="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
    <s v="VISITA_TÉCNICA"/>
    <s v="SIZZZ895"/>
    <s v="TIPO II"/>
    <s v="TERRESTRE"/>
    <s v="MARTINEZ SALGUEDO ANDRES AUGUSTO"/>
    <n v="1"/>
    <n v="0"/>
    <n v="122645.45276000001"/>
    <n v="65164.677720000007"/>
    <n v="122645.45276000001"/>
  </r>
  <r>
    <s v="CARTAGENA"/>
    <x v="4"/>
    <x v="4"/>
    <n v="13001"/>
    <s v="TA-25-992120"/>
    <n v="81126"/>
    <s v="APERTURA"/>
    <s v="CAMBIO DE RAZON SOCIAL"/>
    <s v="BOLIVAR"/>
    <s v="CARTAGENA"/>
    <s v="BARRIO COLOMBIATON CARTAGENA DE INDIAS"/>
    <s v="REDEBAN"/>
    <s v="FO-25-1402240"/>
    <d v="2025-08-21T00:00:00"/>
    <d v="2025-08-22T00:00:00"/>
    <s v="UNO A UNO"/>
    <s v="UNO A UNO"/>
    <s v="EJECUTADO"/>
    <s v="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896"/>
    <s v="TIPO I"/>
    <s v="TERRESTRE"/>
    <s v="CANEDO HERRERA ALEXANDER"/>
    <n v="1"/>
    <n v="0"/>
    <n v="122645.45276000001"/>
    <n v="65164.677720000007"/>
    <n v="122645.45276000001"/>
  </r>
  <r>
    <s v="BUCARAMANGA"/>
    <x v="3"/>
    <x v="3"/>
    <n v="68276"/>
    <s v="TA-25-992133"/>
    <n v="81134"/>
    <s v="APERTURA"/>
    <s v="CB CRECIMIENTO - NUEVO"/>
    <s v="SANTANDER"/>
    <s v="FLORIDABLANCA"/>
    <s v="BARRIO EL CARMEN FLORIDABLANCA 5"/>
    <s v="REDEBAN"/>
    <s v="FO-25-1402245"/>
    <d v="2025-08-21T00:00:00"/>
    <d v="2025-08-22T00:00:00"/>
    <s v="UNO A UNO"/>
    <s v="UNO A UNO"/>
    <s v="EJECUTADO"/>
    <s v="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
    <s v="VISITA_TÉCNICA"/>
    <s v="SIZZZ897"/>
    <s v="TIPO I"/>
    <s v="TERRESTRE"/>
    <s v="MARTINEZ FLOREZ DONIS ALBERTO"/>
    <n v="1"/>
    <n v="0"/>
    <n v="122645.45276000001"/>
    <n v="65164.677720000007"/>
    <n v="122645.45276000001"/>
  </r>
  <r>
    <s v="BUCARAMANGA"/>
    <x v="3"/>
    <x v="3"/>
    <n v="20710"/>
    <s v="TA-25-992134"/>
    <n v="81155"/>
    <s v="APERTURA"/>
    <s v="CB CRECIMIENTO - NUEVO"/>
    <s v="CESAR"/>
    <s v="SAN ALBERTO"/>
    <s v="BARRIO EL CENTRO SAN ALBERTO "/>
    <s v="REDEBAN"/>
    <s v="FO-25-1402250"/>
    <d v="2025-08-21T00:00:00"/>
    <d v="2025-08-22T00:00:00"/>
    <s v="UNO A UNO"/>
    <s v="UNO A UNO"/>
    <s v="EJECUTADO"/>
    <s v="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
    <s v="VISITA_TÉCNICA"/>
    <s v="SIZZZ898"/>
    <s v="TIPO III"/>
    <s v="TERRESTRE"/>
    <s v="HERRERA LUQUE SAUL JAVIER"/>
    <n v="1"/>
    <n v="0"/>
    <n v="122645.45276000001"/>
    <n v="65164.677720000007"/>
    <n v="122645.45276000001"/>
  </r>
  <r>
    <s v="PEREIRA"/>
    <x v="1"/>
    <x v="6"/>
    <n v="66318"/>
    <s v="TA-25-992135"/>
    <n v="81139"/>
    <s v="APERTURA"/>
    <s v="CB CRECIMIENTO - NUEVO"/>
    <s v="RISARALDA"/>
    <s v="GUATICA"/>
    <s v="BARRIO EL JARDIN GUATICA"/>
    <s v="REDEBAN"/>
    <s v="FO-25-1420655"/>
    <d v="2025-08-21T00:00:00"/>
    <d v="2025-08-29T00:00:00"/>
    <s v="UNO A UNO"/>
    <s v="UNO A UNO"/>
    <s v="EJECUTADO"/>
    <s v="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
    <s v="VISITA_TÉCNICA"/>
    <s v="SIZZZ899"/>
    <s v="TIPO II"/>
    <s v="TERRESTRE"/>
    <s v="ARROYAVE CANO MANUEL GUILLERMO"/>
    <n v="1"/>
    <n v="0"/>
    <n v="122645.45276000001"/>
    <n v="65164.677720000007"/>
    <n v="122645.45276000001"/>
  </r>
  <r>
    <s v="BOGOTA"/>
    <x v="5"/>
    <x v="5"/>
    <n v="25326"/>
    <s v="TA-25-992137"/>
    <n v="81158"/>
    <s v="APERTURA"/>
    <s v="CB CRECIMIENTO - NUEVO"/>
    <s v="CUNDINAMARCA"/>
    <s v="GUATAVITA"/>
    <s v="BARRIO GUATAVITA GUATAVITA"/>
    <s v="REDEBAN"/>
    <s v="FO-25-1402272"/>
    <d v="2025-08-21T00:00:00"/>
    <d v="2025-08-25T00:00:00"/>
    <s v="UNO A UNO"/>
    <s v="UNO A UNO"/>
    <s v="EJECUTADO"/>
    <s v="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
    <s v="VISITA_TÉCNICA"/>
    <s v="SIZZZ901"/>
    <s v="TIPO II"/>
    <s v="TERRESTRE"/>
    <s v="HERNANDEZ NARANJO OSCAR EDUARDO"/>
    <n v="1"/>
    <n v="0"/>
    <n v="122645.45276000001"/>
    <n v="65164.677720000007"/>
    <n v="122645.45276000001"/>
  </r>
  <r>
    <s v="BOGOTA"/>
    <x v="5"/>
    <x v="5"/>
    <n v="25286"/>
    <s v="TA-25-992141"/>
    <n v="81136"/>
    <s v="APERTURA"/>
    <s v="CB CRECIMIENTO - NUEVO"/>
    <s v="CUNDINAMARCA"/>
    <s v="FUNZA"/>
    <s v="BARRIO HATO 1 FUNZA"/>
    <s v="REDEBAN"/>
    <s v="FO-25-1402280"/>
    <d v="2025-08-21T00:00:00"/>
    <d v="2025-08-22T00:00:00"/>
    <s v="UNO A UNO"/>
    <s v="UNO A UNO"/>
    <s v="EJECUTADO"/>
    <s v="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902"/>
    <s v="TIPO II"/>
    <s v="TERRESTRE"/>
    <s v="GOMEZ VEGA DAVID SNEYDER"/>
    <n v="1"/>
    <n v="0"/>
    <n v="122645.45276000001"/>
    <n v="65164.677720000007"/>
    <n v="122645.45276000001"/>
  </r>
  <r>
    <s v="MANIZALES"/>
    <x v="1"/>
    <x v="6"/>
    <n v="17001"/>
    <s v="TA-25-992142"/>
    <n v="81143"/>
    <s v="APERTURA"/>
    <s v="CB CRECIMIENTO - NUEVO"/>
    <s v="CALDAS"/>
    <s v="MANIZALES"/>
    <s v="BARRIO LA CUMBRE MANIZALES 1"/>
    <s v="REDEBAN"/>
    <s v="FO-25-1402285"/>
    <d v="2025-08-21T00:00:00"/>
    <d v="2025-08-25T00:00:00"/>
    <s v="UNO A UNO"/>
    <s v="UNO A UNO"/>
    <s v="EJECUTADO"/>
    <s v="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
    <s v="VISITA_TÉCNICA"/>
    <s v="SIZZZ903"/>
    <s v="TIPO I"/>
    <s v="TERRESTRE"/>
    <s v="AGUIRRE HENAO RAUL EDUARDO"/>
    <n v="1"/>
    <n v="0"/>
    <n v="122645.45276000001"/>
    <n v="65164.677720000007"/>
    <n v="122645.45276000001"/>
  </r>
  <r>
    <s v="CALI"/>
    <x v="1"/>
    <x v="1"/>
    <n v="19001"/>
    <s v="TA-25-992143"/>
    <n v="81150"/>
    <s v="APERTURA"/>
    <s v="CB CRECIMIENTO - NUEVO"/>
    <s v="CAUCA"/>
    <s v="POPAYAN"/>
    <s v="BARRIO LA MARIA OCCIDENTE POPAYAN 3"/>
    <s v="REDEBAN"/>
    <s v="FO-25-1402293"/>
    <d v="2025-08-21T00:00:00"/>
    <d v="2025-08-25T00:00:00"/>
    <s v="UNO A UNO"/>
    <s v="UNO A UNO"/>
    <s v="EJECUTADO"/>
    <s v="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
    <s v="VISITA_TÉCNICA"/>
    <s v="SIZZZ904"/>
    <s v="TIPO III"/>
    <s v="TERRESTRE"/>
    <s v="GIMBUEL LASSO LUIS GERMAN"/>
    <n v="1"/>
    <n v="0"/>
    <n v="122645.45276000001"/>
    <n v="65164.677720000007"/>
    <n v="122645.45276000001"/>
  </r>
  <r>
    <s v="BOGOTA"/>
    <x v="5"/>
    <x v="5"/>
    <n v="25386"/>
    <s v="TA-25-992144"/>
    <n v="81141"/>
    <s v="APERTURA"/>
    <s v="CB CRECIMIENTO - NUEVO"/>
    <s v="CUNDINAMARCA"/>
    <s v="LA MESA"/>
    <s v="BARRIO LA MESA LA MESA 7"/>
    <s v="REDEBAN"/>
    <s v="FO-25-1402302"/>
    <d v="2025-08-21T00:00:00"/>
    <d v="2025-08-22T00:00:00"/>
    <s v="UNO A UNO"/>
    <s v="UNO A UNO"/>
    <s v="EJECUTADO"/>
    <s v="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905"/>
    <s v="TIPO II"/>
    <s v="TERRESTRE"/>
    <s v="GALEANO SORIANO JUAN DAVID"/>
    <n v="1"/>
    <n v="0"/>
    <n v="122645.45276000001"/>
    <n v="65164.677720000007"/>
    <n v="122645.45276000001"/>
  </r>
  <r>
    <s v="APARTADO"/>
    <x v="2"/>
    <x v="2"/>
    <n v="5147"/>
    <s v="TA-25-992145"/>
    <n v="81130"/>
    <s v="APERTURA"/>
    <s v="CB CRECIMIENTO - NUEVO"/>
    <s v="ANTIOQUIA"/>
    <s v="CAREPA"/>
    <s v="BARRIO LA PRADERA CAREPA ANTIOQUIA  CAREPA"/>
    <s v="REDEBAN"/>
    <s v="FO-25-1402309"/>
    <d v="2025-08-21T00:00:00"/>
    <d v="2025-08-22T00:00:00"/>
    <s v="UNO A UNO"/>
    <s v="UNO A UNO"/>
    <s v="EJECUTADO"/>
    <s v="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ÉCNICA"/>
    <s v="SIZZZ906"/>
    <s v="TIPO I"/>
    <s v="TERRESTRE"/>
    <s v="MARTINEZ TOVAR OSCAR DAVID"/>
    <n v="1"/>
    <n v="0"/>
    <n v="122645.45276000001"/>
    <n v="65164.677720000007"/>
    <n v="122645.45276000001"/>
  </r>
  <r>
    <s v="APARTADO"/>
    <x v="2"/>
    <x v="2"/>
    <n v="5045"/>
    <s v="TA-25-992147"/>
    <n v="81129"/>
    <s v="APERTURA"/>
    <s v="CAMBIO DE RAZON SOCIAL"/>
    <s v="ANTIOQUIA"/>
    <s v="APARTADO"/>
    <s v="BARRIO LAURELES APARTADO ANTIOQUIA APARTADO"/>
    <s v="REDEBAN"/>
    <s v="FO-25-1402319"/>
    <d v="2025-08-21T00:00:00"/>
    <d v="2025-08-22T00:00:00"/>
    <s v="UNO A UNO"/>
    <s v="UNO A UNO"/>
    <s v="EJECUTADO"/>
    <s v="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
    <s v="VISITA_TÉCNICA"/>
    <s v="SIZZZ908"/>
    <s v="TIPO I"/>
    <s v="TERRESTRE"/>
    <s v="SALDARRIAGA MIRANDA SANTIAGO"/>
    <n v="1"/>
    <n v="0"/>
    <n v="122645.45276000001"/>
    <n v="65164.677720000007"/>
    <n v="122645.45276000001"/>
  </r>
  <r>
    <s v="CALI"/>
    <x v="1"/>
    <x v="1"/>
    <n v="19001"/>
    <s v="TA-25-992148"/>
    <n v="81151"/>
    <s v="APERTURA"/>
    <s v="CB CRECIMIENTO - NUEVO"/>
    <s v="CAUCA"/>
    <s v="POPAYAN"/>
    <s v="BARRIO LOMAS DE GRANADA POPAYAN 8"/>
    <s v="REDEBAN"/>
    <s v="FO-25-1402322"/>
    <d v="2025-08-21T00:00:00"/>
    <d v="2025-08-25T00:00:00"/>
    <s v="UNO A UNO"/>
    <s v="UNO A UNO"/>
    <s v="EJECUTADO"/>
    <s v="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VISITA_TÉCNICA"/>
    <s v="SIZZZ909"/>
    <s v="TIPO III"/>
    <s v="TERRESTRE"/>
    <s v="GIMBUEL LASSO LUIS GERMAN"/>
    <n v="1"/>
    <n v="0"/>
    <n v="122645.45276000001"/>
    <n v="65164.677720000007"/>
    <n v="122645.45276000001"/>
  </r>
  <r>
    <s v="MANIZALES"/>
    <x v="1"/>
    <x v="6"/>
    <n v="17001"/>
    <s v="TA-25-992149"/>
    <n v="81145"/>
    <s v="APERTURA"/>
    <s v="CB CRECIMIENTO - NUEVO"/>
    <s v="CALDAS"/>
    <s v="MANIZALES"/>
    <s v="BARRIO LOS CAMBULOS MANEIZALES"/>
    <s v="REDEBAN"/>
    <s v="FO-25-1402324"/>
    <d v="2025-08-21T00:00:00"/>
    <d v="2025-08-25T00:00:00"/>
    <s v="UNO A UNO"/>
    <s v="UNO A UNO"/>
    <s v="EJECUTADO"/>
    <s v="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VISITA_TÉCNICA"/>
    <s v="SIZZZ910"/>
    <s v="TIPO I"/>
    <s v="TERRESTRE"/>
    <s v="FRANCO CAÑAVERAL YAMID RAUL"/>
    <n v="1"/>
    <n v="0"/>
    <n v="122645.45276000001"/>
    <n v="65164.677720000007"/>
    <n v="122645.45276000001"/>
  </r>
  <r>
    <s v="PASTO"/>
    <x v="1"/>
    <x v="1"/>
    <n v="52356"/>
    <s v="TA-25-992151"/>
    <n v="81140"/>
    <s v="APERTURA"/>
    <s v="CB CRECIMIENTO - NUEVO"/>
    <s v="NARIÑO"/>
    <s v="IPIALES"/>
    <s v="BARRIO OBRERO IPIALES 6"/>
    <s v="REDEBAN"/>
    <s v="FO-25-1402328"/>
    <d v="2025-08-21T00:00:00"/>
    <d v="2025-08-22T00:00:00"/>
    <s v="UNO A UNO"/>
    <s v="UNO A UNO"/>
    <s v="EJECUTADO"/>
    <s v="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911"/>
    <s v="TIPO II"/>
    <s v="TERRESTRE"/>
    <s v="PAZ MARTINEZ RICHARD HUMBERTO"/>
    <n v="1"/>
    <n v="0"/>
    <n v="122645.45276000001"/>
    <n v="65164.677720000007"/>
    <n v="122645.45276000001"/>
  </r>
  <r>
    <s v="CALI"/>
    <x v="1"/>
    <x v="1"/>
    <n v="19698"/>
    <s v="TA-25-992155"/>
    <n v="81157"/>
    <s v="APERTURA"/>
    <s v="CB CRECIMIENTO - NUEVO"/>
    <s v="CAUCA"/>
    <s v="SANTANDER DE QUILICHAO"/>
    <s v="BARRIO PANAMERICANO SANTANDER DE QUILICHAO  3"/>
    <s v="REDEBAN"/>
    <s v="FO-25-1402332"/>
    <d v="2025-08-21T00:00:00"/>
    <d v="2025-08-22T00:00:00"/>
    <s v="UNO A UNO"/>
    <s v="UNO A UNO"/>
    <s v="EJECUTADO"/>
    <s v="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ÉCNICA"/>
    <s v="SIZZZ912"/>
    <s v="TIPO II"/>
    <s v="TERRESTRE"/>
    <s v="BOLAÑOS TABORDA JORGE ENRIQUE"/>
    <n v="1"/>
    <n v="0"/>
    <n v="122645.45276000001"/>
    <n v="65164.677720000007"/>
    <n v="122645.45276000001"/>
  </r>
  <r>
    <s v="MEDELLIN"/>
    <x v="2"/>
    <x v="2"/>
    <n v="5789"/>
    <s v="TA-25-992160"/>
    <n v="81156"/>
    <s v="APERTURA"/>
    <s v="CAMBIO DE RAZON SOCIAL"/>
    <s v="ANTIOQUIA"/>
    <s v="TAMESIS"/>
    <s v="BARRIO PARQUE TAMESIS   2"/>
    <s v="REDEBAN"/>
    <s v="FO-25-1402338"/>
    <d v="2025-08-21T00:00:00"/>
    <d v="2025-08-22T00:00:00"/>
    <s v="UNO A UNO"/>
    <s v="UNO A UNO"/>
    <s v="EJECUTADO"/>
    <s v="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913"/>
    <s v="TIPO III"/>
    <s v="TERRESTRE"/>
    <s v="QUINTERO SANCHEZ JUAN SEBASTIAN"/>
    <n v="1"/>
    <n v="0"/>
    <n v="122645.45276000001"/>
    <n v="65164.677720000007"/>
    <n v="122645.45276000001"/>
  </r>
  <r>
    <s v="BOGOTA"/>
    <x v="5"/>
    <x v="5"/>
    <n v="11001"/>
    <s v="TA-25-992166"/>
    <n v="81121"/>
    <s v="APERTURA"/>
    <s v="CB CRECIMIENTO - NUEVO"/>
    <s v="CUNDINAMARCA"/>
    <s v="BOGOTA"/>
    <s v="BARRIO PATIO BONITO II SECTOR BOGOTA"/>
    <s v="REDEBAN"/>
    <s v="FO-25-1402343"/>
    <d v="2025-08-21T00:00:00"/>
    <d v="2025-08-22T00:00:00"/>
    <s v="UNO A UNO"/>
    <s v="UNO A UNO"/>
    <s v="EJECUTADO"/>
    <s v="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VISITA_TÉCNICA"/>
    <s v="SIZZZ914"/>
    <s v="TIPO I"/>
    <s v="TERRESTRE"/>
    <s v="HERNANDEZ NARANJO OSCAR EDUARDO"/>
    <n v="1"/>
    <n v="0"/>
    <n v="122645.45276000001"/>
    <n v="65164.677720000007"/>
    <n v="122645.45276000001"/>
  </r>
  <r>
    <s v="BOGOTA"/>
    <x v="5"/>
    <x v="5"/>
    <n v="11001"/>
    <s v="TA-25-992176"/>
    <n v="81122"/>
    <s v="APERTURA"/>
    <s v="CB CRECIMIENTO - NUEVO"/>
    <s v="CUNDINAMARCA"/>
    <s v="BOGOTA"/>
    <s v="BARRIO POLO BOGOTA 2"/>
    <s v="REDEBAN"/>
    <s v="FO-25-1402386"/>
    <d v="2025-08-21T00:00:00"/>
    <d v="2025-08-25T00:00:00"/>
    <s v="UNO A UNO"/>
    <s v="UNO A UNO"/>
    <s v="EJECUTADO"/>
    <s v="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ÉCNICA"/>
    <s v="SIZZZ916"/>
    <s v="TIPO I"/>
    <s v="TERRESTRE"/>
    <s v="GOMEZ VEGA DAVID SNEYDER"/>
    <n v="1"/>
    <n v="0"/>
    <n v="122645.45276000001"/>
    <n v="65164.677720000007"/>
    <n v="122645.45276000001"/>
  </r>
  <r>
    <s v="MEDELLIN"/>
    <x v="2"/>
    <x v="2"/>
    <n v="5001"/>
    <s v="TA-25-992179"/>
    <n v="81162"/>
    <s v="APERTURA"/>
    <s v="CB CRECIMIENTO - NUEVO"/>
    <s v="ANTIOQUIA"/>
    <s v="MEDELLIN"/>
    <s v="BARRIO ROBLEDO MEDELLIN 29"/>
    <s v="REDEBAN"/>
    <s v="FO-25-1402405"/>
    <d v="2025-08-21T00:00:00"/>
    <d v="2025-08-25T00:00:00"/>
    <s v="UNO A UNO"/>
    <s v="UNO A UNO"/>
    <s v="EJECUTADO"/>
    <s v="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ÉCNICA"/>
    <s v="SIZZZ917"/>
    <s v="TIPO I"/>
    <s v="TERRESTRE"/>
    <s v="BADEL ACUÑA LUIS ALBERTO"/>
    <n v="1"/>
    <n v="0"/>
    <n v="122645.45276000001"/>
    <n v="65164.677720000007"/>
    <n v="122645.45276000001"/>
  </r>
  <r>
    <s v="MEDELLIN"/>
    <x v="2"/>
    <x v="2"/>
    <n v="27361"/>
    <s v="TA-25-992180"/>
    <n v="81147"/>
    <s v="APERTURA"/>
    <s v="CB CRECIMIENTO - NUEVO"/>
    <s v="CHOCO"/>
    <s v="ISTMINA"/>
    <s v="BARRIO SANTA GENOVEVA FRENTE AL RESTAURANTE LA CASONA ISTMINA"/>
    <s v="REDEBAN"/>
    <s v="FO-25-1402425"/>
    <d v="2025-08-21T00:00:00"/>
    <d v="2025-08-29T00:00:00"/>
    <s v="UNO A UNO"/>
    <s v="UNO A UNO"/>
    <s v="EJECUTADO"/>
    <s v="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
    <s v="VISITA_TÉCNICA"/>
    <s v="SIZZZ918"/>
    <s v="TIPO IV ESPECIAL"/>
    <s v="AEREO"/>
    <s v="ROBLEDO DIAZ ANDRES FELIPE"/>
    <n v="1"/>
    <n v="0"/>
    <n v="122645.45276000001"/>
    <n v="65164.677720000007"/>
    <n v="122645.45276000001"/>
  </r>
  <r>
    <s v="BOGOTA"/>
    <x v="5"/>
    <x v="5"/>
    <n v="11001"/>
    <s v="TA-25-992183"/>
    <n v="81123"/>
    <s v="APERTURA"/>
    <s v="CB CRECIMIENTO - NUEVO"/>
    <s v="CUNDINAMARCA"/>
    <s v="BOGOTA"/>
    <s v="BARRIO SERRANIAS BOGOTA"/>
    <s v="REDEBAN"/>
    <s v="FO-25-1402466"/>
    <d v="2025-08-21T00:00:00"/>
    <d v="2025-08-25T00:00:00"/>
    <s v="UNO A UNO"/>
    <s v="UNO A UNO"/>
    <s v="EJECUTADO"/>
    <s v="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
    <s v="VISITA_TÉCNICA"/>
    <s v="SIZZZ920"/>
    <s v="TIPO I"/>
    <s v="TERRESTRE"/>
    <s v="BUSTOS MORA DIEGO MANUEL"/>
    <n v="1"/>
    <n v="0"/>
    <n v="122645.45276000001"/>
    <n v="65164.677720000007"/>
    <n v="122645.45276000001"/>
  </r>
  <r>
    <s v="VILLAVICENCIO"/>
    <x v="0"/>
    <x v="0"/>
    <n v="50001"/>
    <s v="TA-25-992185"/>
    <n v="81161"/>
    <s v="APERTURA"/>
    <s v="CB CRECIMIENTO - NUEVO"/>
    <s v="META"/>
    <s v="VILLAVICENCIO"/>
    <s v="BARRIO SEXTA ETAPA ESPERANZA VILLAVICENCIO"/>
    <s v="REDEBAN"/>
    <s v="FO-25-1402484"/>
    <d v="2025-08-21T00:00:00"/>
    <d v="2025-08-22T00:00:00"/>
    <s v="UNO A UNO"/>
    <s v="UNO A UNO"/>
    <s v="EJECUTADO"/>
    <s v="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VISITA_TÉCNICA"/>
    <s v="SIZZZ921"/>
    <s v="TIPO I"/>
    <s v="TERRESTRE"/>
    <s v="ROZO JIMENEZ EDGAR ARMANDO"/>
    <n v="1"/>
    <n v="0"/>
    <n v="122645.45276000001"/>
    <n v="65164.677720000007"/>
    <n v="122645.45276000001"/>
  </r>
  <r>
    <s v="CALI"/>
    <x v="1"/>
    <x v="1"/>
    <n v="76001"/>
    <s v="TA-25-992191"/>
    <n v="81124"/>
    <s v="APERTURA"/>
    <s v="CB CRECIMIENTO - NUEVO"/>
    <s v="VALLE DEL CAUCA"/>
    <s v="CALI"/>
    <s v="BARRIO TERRON COLORADO CALI 3"/>
    <s v="REDEBAN"/>
    <s v="FO-25-1402502"/>
    <d v="2025-08-21T00:00:00"/>
    <d v="2025-08-22T00:00:00"/>
    <s v="UNO A UNO"/>
    <s v="UNO A UNO"/>
    <s v="EJECUTADO"/>
    <s v="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
    <s v="VISITA_TÉCNICA"/>
    <s v="SIZZZ922"/>
    <s v="TIPO I"/>
    <s v="TERRESTRE"/>
    <s v="MONTERO MUESES GIAN CARLO"/>
    <n v="1"/>
    <n v="0"/>
    <n v="122645.45276000001"/>
    <n v="65164.677720000007"/>
    <n v="122645.45276000001"/>
  </r>
  <r>
    <s v="PEREIRA"/>
    <x v="1"/>
    <x v="6"/>
    <n v="66001"/>
    <s v="TA-25-992195"/>
    <n v="81149"/>
    <s v="APERTURA"/>
    <s v="CB CRECIMIENTO - NUEVO"/>
    <s v="RISARALDA"/>
    <s v="PEREIRA"/>
    <s v="BARRIO VILLAVICENCIO PAREIRA"/>
    <s v="REDEBAN"/>
    <s v="FO-25-1402525"/>
    <d v="2025-08-21T00:00:00"/>
    <d v="2025-08-22T00:00:00"/>
    <s v="UNO A UNO"/>
    <s v="UNO A UNO"/>
    <s v="EJECUTADO"/>
    <s v="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
    <s v="VISITA_TÉCNICA"/>
    <s v="SIZZZ923"/>
    <s v="TIPO I"/>
    <s v="TERRESTRE"/>
    <s v="FRANCO CAÑAVERAL YAMID RAUL"/>
    <n v="1"/>
    <n v="0"/>
    <n v="122645.45276000001"/>
    <n v="65164.677720000007"/>
    <n v="122645.45276000001"/>
  </r>
  <r>
    <s v="MONTERIA"/>
    <x v="4"/>
    <x v="4"/>
    <n v="23672"/>
    <s v="TA-25-992196"/>
    <n v="80913"/>
    <s v="APERTURA"/>
    <s v="CB CRECIMIENTO - OTRAS LISTAS"/>
    <s v="CORDOBA"/>
    <s v="SAN ANTERO"/>
    <s v="BARRIO CGT EL PORVENIR SAN ANTERO"/>
    <s v="REDEBAN"/>
    <s v="FO-25-1402543"/>
    <d v="2025-08-21T00:00:00"/>
    <d v="2025-08-25T00:00:00"/>
    <s v="UNO A UNO"/>
    <s v="UNO A UNO"/>
    <s v="EJECUTADO"/>
    <s v="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ÉCNICA"/>
    <s v="SIZZZ924"/>
    <s v="TIPO II"/>
    <s v="TERRESTRE"/>
    <s v="CASSIANI PEREZ RAUL RAMIRO"/>
    <n v="1"/>
    <n v="0"/>
    <n v="122645.45276000001"/>
    <n v="65164.677720000007"/>
    <n v="122645.45276000001"/>
  </r>
  <r>
    <s v="YOPAL"/>
    <x v="0"/>
    <x v="0"/>
    <n v="85250"/>
    <s v="TA-25-992197"/>
    <n v="80906"/>
    <s v="APERTURA"/>
    <s v="CB CRECIMIENTO - OTRAS LISTAS"/>
    <s v="CASANARE"/>
    <s v="PAZ DE ARIPORO"/>
    <s v="BARRIO EL PALMAR PAZ DE ARIPORO 2"/>
    <s v="REDEBAN"/>
    <s v="FO-25-1402562"/>
    <d v="2025-08-21T00:00:00"/>
    <d v="2025-08-22T00:00:00"/>
    <s v="UNO A UNO"/>
    <s v="UNO A UNO"/>
    <s v="EJECUTADO"/>
    <s v="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ÉCNICA"/>
    <s v="SIZZZ925"/>
    <s v="TIPO II"/>
    <s v="TERRESTRE"/>
    <s v="BERNAL ELAICA EDGAR ALEXIS"/>
    <n v="1"/>
    <n v="0"/>
    <n v="122645.45276000001"/>
    <n v="65164.677720000007"/>
    <n v="122645.45276000001"/>
  </r>
  <r>
    <s v="NEIVA"/>
    <x v="0"/>
    <x v="0"/>
    <n v="41001"/>
    <s v="TA-25-1005055"/>
    <n v="81170"/>
    <s v="APERTURA"/>
    <s v="CB CRECIMIENTO - NUEVO"/>
    <s v="HUILA"/>
    <s v="NEIVA"/>
    <s v="BARRIO LOS CAMBULOS NEIVA 1"/>
    <s v="REDEBAN"/>
    <s v="FO-25-1418960"/>
    <d v="2025-08-25T00:00:00"/>
    <d v="2025-08-26T00:00:00"/>
    <s v="UNO A UNO"/>
    <s v="UNO A UNO"/>
    <s v="EJECUTADO"/>
    <s v="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ÉCNICA"/>
    <s v="VBZZZ271"/>
    <s v="TIPO I"/>
    <s v="TERRESTRE"/>
    <s v="DEVIA REINOSO JUAN CARLOS"/>
    <n v="1"/>
    <n v="0"/>
    <n v="122645.45276000001"/>
    <n v="65164.677720000007"/>
    <n v="122645.45276000001"/>
  </r>
  <r>
    <s v="BUCARAMANGA"/>
    <x v="3"/>
    <x v="3"/>
    <n v="68276"/>
    <s v="TA-25-1005057"/>
    <n v="81168"/>
    <s v="APERTURA"/>
    <s v="CB CRECIMIENTO - NUEVO"/>
    <s v="SANTANDER"/>
    <s v="FLORIDABLANCA"/>
    <s v="BARRIO BELLAVISTA FLORIDABLANCA FLORIDABLACA"/>
    <s v="REDEBAN"/>
    <s v="FO-25-1418968"/>
    <d v="2025-08-25T00:00:00"/>
    <d v="2025-08-26T00:00:00"/>
    <s v="UNO A UNO"/>
    <s v="UNO A UNO"/>
    <s v="EJECUTADO"/>
    <s v="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
    <s v="VISITA_TÉCNICA"/>
    <s v="VBZZZ272"/>
    <s v="TIPO I"/>
    <s v="TERRESTRE"/>
    <s v="MARTINEZ FLOREZ DONIS ALBERTO"/>
    <n v="1"/>
    <n v="0"/>
    <n v="122645.45276000001"/>
    <n v="65164.677720000007"/>
    <n v="122645.45276000001"/>
  </r>
  <r>
    <s v="VALLEDUPAR"/>
    <x v="4"/>
    <x v="4"/>
    <n v="20001"/>
    <s v="TA-25-1005058"/>
    <n v="81179"/>
    <s v="APERTURA"/>
    <s v="CB CRECIMIENTO - NUEVO"/>
    <s v="CESAR"/>
    <s v="VALLEDUPAR"/>
    <s v="BARRIO DOCE DE OCTUBRE VALLEDUPAR 5"/>
    <s v="REDEBAN"/>
    <s v="FO-25-1418974"/>
    <d v="2025-08-25T00:00:00"/>
    <d v="2025-08-26T00:00:00"/>
    <s v="UNO A UNO"/>
    <s v="UNO A UNO"/>
    <s v="EJECUTADO"/>
    <s v="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VISITA_TÉCNICA"/>
    <s v="VBZZZ273"/>
    <s v="TIPO I"/>
    <s v="TERRESTRE"/>
    <s v="MAESTRE MENGUAL EDGAR ENRIQUE"/>
    <n v="1"/>
    <n v="0"/>
    <n v="122645.45276000001"/>
    <n v="65164.677720000007"/>
    <n v="122645.45276000001"/>
  </r>
  <r>
    <s v="TUNJA"/>
    <x v="3"/>
    <x v="3"/>
    <n v="15837"/>
    <s v="TA-25-1005059"/>
    <n v="81175"/>
    <s v="APERTURA"/>
    <s v="CB CRECIMIENTO - NUEVO"/>
    <s v="BOYACA"/>
    <s v="TUTA"/>
    <s v="BARRIO VEREDA RIO DE PIEDRAS TUTA"/>
    <s v="REDEBAN"/>
    <s v="FO-25-1418980"/>
    <d v="2025-08-25T00:00:00"/>
    <d v="2025-08-26T00:00:00"/>
    <s v="UNO A UNO"/>
    <s v="UNO A UNO"/>
    <s v="EJECUTADO"/>
    <s v="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ÉCNICA"/>
    <s v="VBZZZ274"/>
    <s v="TIPO II"/>
    <s v="TERRESTRE"/>
    <s v="GONZALEZ GONZALEZ MARIO ALBERTO"/>
    <n v="1"/>
    <n v="0"/>
    <n v="122645.45276000001"/>
    <n v="65164.677720000007"/>
    <n v="122645.45276000001"/>
  </r>
  <r>
    <s v="VALLEDUPAR"/>
    <x v="4"/>
    <x v="4"/>
    <n v="20750"/>
    <s v="TA-25-1005061"/>
    <n v="81174"/>
    <s v="APERTURA"/>
    <s v="CB CRECIMIENTO - NUEVO"/>
    <s v="CESAR"/>
    <s v="SAN DIEGO"/>
    <s v="BARRIO MUNICH SAN DIEGO"/>
    <s v="REDEBAN"/>
    <s v="FO-25-1418984"/>
    <d v="2025-08-25T00:00:00"/>
    <d v="2025-08-27T00:00:00"/>
    <s v="UNO A UNO"/>
    <s v="UNO A UNO"/>
    <s v="EJECUTADO"/>
    <s v="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ÉCNICA"/>
    <s v="VBZZZ275"/>
    <s v="TIPO II"/>
    <s v="TERRESTRE"/>
    <s v="MONTES DIAZ JOHN FRED"/>
    <n v="1"/>
    <n v="0"/>
    <n v="122645.45276000001"/>
    <n v="65164.677720000007"/>
    <n v="122645.45276000001"/>
  </r>
  <r>
    <s v="BUCARAMANGA"/>
    <x v="3"/>
    <x v="3"/>
    <n v="68547"/>
    <s v="TA-25-1005062"/>
    <n v="81172"/>
    <s v="APERTURA"/>
    <s v="CB CRECIMIENTO - NUEVO"/>
    <s v="SANTANDER"/>
    <s v="PIEDECUESTA"/>
    <s v="BARRIO VILLANUEVA PIEDECUESTA 1"/>
    <s v="REDEBAN"/>
    <s v="FO-25-1418990"/>
    <d v="2025-08-25T00:00:00"/>
    <d v="2025-08-26T00:00:00"/>
    <s v="UNO A UNO"/>
    <s v="UNO A UNO"/>
    <s v="EJECUTADO"/>
    <s v="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
    <s v="VISITA_TÉCNICA"/>
    <s v="VBZZZ276"/>
    <s v="TIPO II"/>
    <s v="TERRESTRE"/>
    <s v="ORTEBARRERAGA MARLON STWAR"/>
    <n v="1"/>
    <n v="0"/>
    <n v="122645.45276000001"/>
    <n v="65164.677720000007"/>
    <n v="122645.45276000001"/>
  </r>
  <r>
    <s v="SINCELEJO"/>
    <x v="4"/>
    <x v="4"/>
    <n v="70124"/>
    <s v="TA-25-1005063"/>
    <n v="81165"/>
    <s v="APERTURA"/>
    <s v="CB CRECIMIENTO - NUEVO"/>
    <s v="SUCRE"/>
    <s v="CAIMITO"/>
    <s v="BARRIO LAS GUADUAS CAIMITO"/>
    <s v="REDEBAN"/>
    <s v="FO-25-1418996"/>
    <d v="2025-08-25T00:00:00"/>
    <d v="2025-08-26T00:00:00"/>
    <s v="UNO A UNO"/>
    <s v="UNO A UNO"/>
    <s v="EJECUTADO"/>
    <s v="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
    <s v="VISITA_TÉCNICA"/>
    <s v="VBZZZ277"/>
    <s v="TIPO IV"/>
    <s v="TERRESTRE"/>
    <s v="CACERES HERNANDEZ ANDRES"/>
    <n v="1"/>
    <n v="0"/>
    <n v="122645.45276000001"/>
    <n v="65164.677720000007"/>
    <n v="122645.45276000001"/>
  </r>
  <r>
    <s v="SANTA MARTA"/>
    <x v="4"/>
    <x v="4"/>
    <n v="47798"/>
    <s v="TA-25-1005065"/>
    <n v="81177"/>
    <s v="APERTURA"/>
    <s v="CB CRECIMIENTO - NUEVO"/>
    <s v="MAGDALENA"/>
    <s v="TENERIFE"/>
    <s v="BARRIO CENTRO TENERIFE 2"/>
    <s v="REDEBAN"/>
    <s v="FO-25-1419002"/>
    <d v="2025-08-25T00:00:00"/>
    <d v="2025-08-26T00:00:00"/>
    <s v="UNO A UNO"/>
    <s v="UNO A UNO"/>
    <s v="EJECUTADO"/>
    <s v="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ÉCNICA"/>
    <s v="VBZZZ278"/>
    <s v="TIPO IV"/>
    <s v="TERRESTRE"/>
    <s v="BENITEZ CARVAJAL ALVARO JAVIER"/>
    <n v="1"/>
    <n v="0"/>
    <n v="122645.45276000001"/>
    <n v="65164.677720000007"/>
    <n v="122645.45276000001"/>
  </r>
  <r>
    <s v="VILLAVICENCIO"/>
    <x v="0"/>
    <x v="0"/>
    <n v="50270"/>
    <s v="TA-25-1005066"/>
    <n v="81167"/>
    <s v="APERTURA"/>
    <s v="CB CRECIMIENTO - NUEVO"/>
    <s v="META"/>
    <s v="EL DORADO"/>
    <s v="BARRIO CENTRO EL DORADO 2"/>
    <s v="REDEBAN"/>
    <s v="FO-25-1419007"/>
    <d v="2025-08-25T00:00:00"/>
    <d v="2025-08-26T00:00:00"/>
    <s v="UNO A UNO"/>
    <s v="UNO A UNO"/>
    <s v="EJECUTADO"/>
    <s v="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
    <s v="VISITA_TÉCNICA"/>
    <s v="VBZZZ279"/>
    <s v="TIPO II"/>
    <s v="TERRESTRE"/>
    <s v="PEDREROS CONTRERAS MICHAEL STEVENS"/>
    <n v="1"/>
    <n v="0"/>
    <n v="122645.45276000001"/>
    <n v="65164.677720000007"/>
    <n v="122645.45276000001"/>
  </r>
  <r>
    <s v="MONTERIA"/>
    <x v="4"/>
    <x v="4"/>
    <n v="23090"/>
    <s v="TA-25-1005067"/>
    <n v="81166"/>
    <s v="APERTURA"/>
    <s v="CB CRECIMIENTO - NUEVO"/>
    <s v="CORDOBA"/>
    <s v="CANALETE"/>
    <s v="BARRIO EL CENTRO CANALETE"/>
    <s v="REDEBAN"/>
    <s v="FO-25-1419012"/>
    <d v="2025-08-25T00:00:00"/>
    <d v="2025-08-27T00:00:00"/>
    <s v="UNO A UNO"/>
    <s v="UNO A UNO"/>
    <s v="EJECUTADO"/>
    <s v="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
    <s v="VISITA_TÉCNICA"/>
    <s v="VBZZZ280"/>
    <s v="TIPO II"/>
    <s v="TERRESTRE"/>
    <s v="CALDERA SALCEDO CARLOS JULIO"/>
    <n v="1"/>
    <n v="0"/>
    <n v="122645.45276000001"/>
    <n v="65164.677720000007"/>
    <n v="122645.45276000001"/>
  </r>
  <r>
    <s v="TUNJA"/>
    <x v="3"/>
    <x v="3"/>
    <n v="15276"/>
    <s v="TA-25-1005071"/>
    <n v="81178"/>
    <s v="APERTURA"/>
    <s v="CB CRECIMIENTO - NUEVO"/>
    <s v="BOYACA"/>
    <s v="FLORESTA"/>
    <s v="BARRIO CENTRO FLORESTA"/>
    <s v="REDEBAN"/>
    <s v="FO-25-1419021"/>
    <d v="2025-08-25T00:00:00"/>
    <d v="2025-08-27T00:00:00"/>
    <s v="UNO A UNO"/>
    <s v="UNO A UNO"/>
    <s v="EJECUTADO"/>
    <s v="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VISITA_TÉCNICA"/>
    <s v="VBZZZ281"/>
    <s v="TIPO II"/>
    <s v="TERRESTRE"/>
    <s v="ALVARADO MORENO CRISTHIAN"/>
    <n v="1"/>
    <n v="0"/>
    <n v="122645.45276000001"/>
    <n v="65164.677720000007"/>
    <n v="122645.45276000001"/>
  </r>
  <r>
    <s v="SINCELEJO"/>
    <x v="4"/>
    <x v="4"/>
    <n v="70708"/>
    <s v="TA-25-1005073"/>
    <n v="81176"/>
    <s v="APERTURA"/>
    <s v="CB CRECIMIENTO - NUEVO"/>
    <s v="SUCRE"/>
    <s v="SAN MARCOS"/>
    <s v="BARRIO SAN JOSE SAN MARCOS 2"/>
    <s v="REDEBAN"/>
    <s v="FO-25-1419026"/>
    <d v="2025-08-25T00:00:00"/>
    <d v="2025-08-26T00:00:00"/>
    <s v="UNO A UNO"/>
    <s v="UNO A UNO"/>
    <s v="EJECUTADO"/>
    <s v="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VISITA_TÉCNICA"/>
    <s v="VBZZZ282"/>
    <s v="TIPO III"/>
    <s v="TERRESTRE"/>
    <s v="SANTOS GUZMAN CHRISTIAN FELIPE"/>
    <n v="1"/>
    <n v="0"/>
    <n v="122645.45276000001"/>
    <n v="65164.677720000007"/>
    <n v="122645.45276000001"/>
  </r>
  <r>
    <s v="VILLAVICENCIO"/>
    <x v="0"/>
    <x v="0"/>
    <n v="50287"/>
    <s v="TA-25-1005074"/>
    <n v="81169"/>
    <s v="APERTURA"/>
    <s v="CB CRECIMIENTO - NUEVO"/>
    <s v="META"/>
    <s v="FUENTE DE ORO"/>
    <s v="BARRIO CENTRO FUENTE 7 DE ORO"/>
    <s v="REDEBAN"/>
    <s v="FO-25-1419031"/>
    <d v="2025-08-25T00:00:00"/>
    <d v="2025-08-27T00:00:00"/>
    <s v="UNO A UNO"/>
    <s v="UNO A UNO"/>
    <s v="EJECUTADO"/>
    <s v="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ÉCNICA"/>
    <s v="VBZZZ283"/>
    <s v="TIPO III"/>
    <s v="TERRESTRE"/>
    <s v="CASTRILLON URREA LONDIER LEANDRO"/>
    <n v="1"/>
    <n v="0"/>
    <n v="122645.45276000001"/>
    <n v="65164.677720000007"/>
    <n v="122645.45276000001"/>
  </r>
  <r>
    <s v="VILLAVICENCIO"/>
    <x v="0"/>
    <x v="0"/>
    <n v="50577"/>
    <s v="TA-25-1005075"/>
    <n v="81173"/>
    <s v="APERTURA"/>
    <s v="CB CRECIMIENTO - NUEVO"/>
    <s v="META"/>
    <s v="PUERTO LLERAS"/>
    <s v="BARRIO CENTRO PUERTO 7 LLERAS"/>
    <s v="REDEBAN"/>
    <s v="FO-25-1419036"/>
    <d v="2025-08-25T00:00:00"/>
    <d v="2025-08-27T00:00:00"/>
    <s v="UNO A UNO"/>
    <s v="UNO A UNO"/>
    <s v="EJECUTADO"/>
    <s v="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ÉCNICA"/>
    <s v="VBZZZ284"/>
    <s v="TIPO III"/>
    <s v="TERRESTRE"/>
    <s v="CASTRILLON URREA LONDIER LEANDRO"/>
    <n v="1"/>
    <n v="0"/>
    <n v="122645.45276000001"/>
    <n v="65164.677720000007"/>
    <n v="122645.45276000001"/>
  </r>
  <r>
    <s v="TUNJA"/>
    <x v="3"/>
    <x v="3"/>
    <n v="15516"/>
    <s v="TA-25-1005078"/>
    <n v="81171"/>
    <s v="APERTURA"/>
    <s v="CB CRECIMIENTO - NUEVO"/>
    <s v="BOYACA"/>
    <s v="PAIPA"/>
    <s v="BARRIO CENTRO PAIPA 19"/>
    <s v="REDEBAN"/>
    <s v="FO-25-1419041"/>
    <d v="2025-08-25T00:00:00"/>
    <d v="2025-08-27T00:00:00"/>
    <s v="UNO A UNO"/>
    <s v="UNO A UNO"/>
    <s v="EJECUTADO"/>
    <s v="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
    <s v="VISITA_TÉCNICA"/>
    <s v="VBZZZ285"/>
    <s v="TIPO II"/>
    <s v="TERRESTRE"/>
    <s v="SOLER HOYOS CRISTIAN LEONARDO"/>
    <n v="1"/>
    <n v="0"/>
    <n v="122645.45276000001"/>
    <n v="65164.677720000007"/>
    <n v="122645.45276000001"/>
  </r>
  <r>
    <s v="CALI"/>
    <x v="1"/>
    <x v="1"/>
    <n v="76001"/>
    <s v="TA-25-1005079"/>
    <n v="81060"/>
    <s v="APERTURA"/>
    <s v="CB CRECIMIENTO - OTRAS LISTAS"/>
    <s v="VALLE DEL CAUCA"/>
    <s v="CALI"/>
    <s v="BARRIO SANTA ISABEL CALI 3"/>
    <s v="REDEBAN"/>
    <s v="FO-25-1419047"/>
    <d v="2025-08-25T00:00:00"/>
    <d v="2025-08-26T00:00:00"/>
    <s v="UNO A UNO"/>
    <s v="UNO A UNO"/>
    <s v="EJECUTADO"/>
    <s v="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
    <s v="VISITA_TÉCNICA"/>
    <s v="VBZZZ286"/>
    <s v="TIPO I"/>
    <s v="TERRESTRE"/>
    <s v="MONTERO MUESES GIAN CARLO"/>
    <n v="1"/>
    <n v="0"/>
    <n v="122645.45276000001"/>
    <n v="65164.677720000007"/>
    <n v="122645.45276000001"/>
  </r>
  <r>
    <s v="CALI"/>
    <x v="1"/>
    <x v="1"/>
    <n v="76520"/>
    <s v="TA-25-1005081"/>
    <n v="81090"/>
    <s v="APERTURA"/>
    <s v="CB CRECIMIENTO - OTRAS LISTAS"/>
    <s v="VALLE DEL CAUCA"/>
    <s v="PALMIRA"/>
    <s v="BARRIO POPULAR MODELO PALMIRA"/>
    <s v="REDEBAN"/>
    <s v="FO-25-1419050"/>
    <d v="2025-08-25T00:00:00"/>
    <d v="2025-08-26T00:00:00"/>
    <s v="UNO A UNO"/>
    <s v="UNO A UNO"/>
    <s v="EJECUTADO"/>
    <s v="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
    <s v="VISITA_TÉCNICA"/>
    <s v="VBZZZ287"/>
    <s v="TIPO I"/>
    <s v="TERRESTRE"/>
    <s v="BOLAÑOS TABORDA JORGE ENRIQUE"/>
    <n v="1"/>
    <n v="0"/>
    <n v="122645.45276000001"/>
    <n v="65164.677720000007"/>
    <n v="122645.45276000001"/>
  </r>
  <r>
    <s v="CUCUTA"/>
    <x v="3"/>
    <x v="3"/>
    <n v="54313"/>
    <s v="TA-25-1033965"/>
    <n v="81205"/>
    <s v="APERTURA"/>
    <s v="CB CRECIMIENTO - NUEVO"/>
    <s v="NORTE DE SANTANDER"/>
    <s v="GRAMALOTE"/>
    <s v="BARRIO GRAMALOTE GRAMALOTE"/>
    <s v="REDEBAN"/>
    <s v="FO-25-1432951"/>
    <d v="2025-08-27T00:00:00"/>
    <d v="2025-08-29T00:00:00"/>
    <s v="UNO A UNO"/>
    <s v="UNO A UNO"/>
    <s v="EJECUTADO"/>
    <s v="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
    <s v="VISITA_TÉCNICA"/>
    <s v="FKZZZ630"/>
    <s v="TIPO II"/>
    <s v="TERRESTRE"/>
    <s v="NARANJO AFANADOR RUBEN JESUS"/>
    <n v="1"/>
    <n v="0"/>
    <n v="122645.45276000001"/>
    <n v="65164.677720000007"/>
    <n v="122645.45276000001"/>
  </r>
  <r>
    <s v="SANTA MARTA"/>
    <x v="4"/>
    <x v="4"/>
    <n v="47030"/>
    <s v="TA-25-1033968"/>
    <n v="81182"/>
    <s v="APERTURA"/>
    <s v="CB CRECIMIENTO - NUEVO"/>
    <s v="MAGDALENA"/>
    <s v="ALGARROBO"/>
    <s v="BARRIO CENTRO ALGARROBO 1"/>
    <s v="REDEBAN"/>
    <s v="FO-25-1432956"/>
    <d v="2025-08-27T00:00:00"/>
    <d v="2025-08-28T00:00:00"/>
    <s v="UNO A UNO"/>
    <s v="UNO A UNO"/>
    <s v="EJECUTADO"/>
    <s v="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
    <s v="VISITA_TÉCNICA"/>
    <s v="FKZZZ631"/>
    <s v="TIPO IV"/>
    <s v="TERRESTRE"/>
    <s v="THOMAS  CAMPO SIGIFREDO SEGUNDO"/>
    <n v="1"/>
    <n v="0"/>
    <n v="122645.45276000001"/>
    <n v="65164.677720000007"/>
    <n v="122645.45276000001"/>
  </r>
  <r>
    <s v="NEIVA"/>
    <x v="0"/>
    <x v="0"/>
    <n v="41298"/>
    <s v="TA-25-1033971"/>
    <n v="81204"/>
    <s v="APERTURA"/>
    <s v="CB CRECIMIENTO - NUEVO"/>
    <s v="HUILA"/>
    <s v="GARZON"/>
    <s v="BARRIO GUADUALES GARZON"/>
    <s v="REDEBAN"/>
    <s v="FO-25-1432962"/>
    <d v="2025-08-27T00:00:00"/>
    <d v="2025-08-28T00:00:00"/>
    <s v="UNO A UNO"/>
    <s v="UNO A UNO"/>
    <s v="EJECUTADO"/>
    <s v="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 v="VISITA_TÉCNICA"/>
    <s v="FKZZZ632"/>
    <s v="TIPO III"/>
    <s v="TERRESTRE"/>
    <s v="ANDRADE HERNANDEZ JUAN CARLOS"/>
    <n v="1"/>
    <n v="0"/>
    <n v="122645.45276000001"/>
    <n v="65164.677720000007"/>
    <n v="122645.45276000001"/>
  </r>
  <r>
    <s v="IBAGUE"/>
    <x v="0"/>
    <x v="0"/>
    <n v="73319"/>
    <s v="TA-25-1033972"/>
    <n v="81206"/>
    <s v="APERTURA"/>
    <s v="CB CRECIMIENTO - NUEVO"/>
    <s v="TOLIMA"/>
    <s v="GUAMO"/>
    <s v="BARRIO SANTA ANA GUAMO 2"/>
    <s v="REDEBAN"/>
    <s v="FO-25-1432965"/>
    <d v="2025-08-27T00:00:00"/>
    <d v="2025-08-28T00:00:00"/>
    <s v="UNO A UNO"/>
    <s v="UNO A UNO"/>
    <s v="EJECUTADO"/>
    <s v="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
    <s v="VISITA_TÉCNICA"/>
    <s v="FKZZZ633"/>
    <s v="TIPO II"/>
    <s v="TERRESTRE"/>
    <s v="GUTIERREZ  CAMILO ANDRES"/>
    <n v="1"/>
    <n v="0"/>
    <n v="122645.45276000001"/>
    <n v="65164.677720000007"/>
    <n v="122645.45276000001"/>
  </r>
  <r>
    <s v="TUNJA"/>
    <x v="3"/>
    <x v="3"/>
    <n v="68271"/>
    <s v="TA-25-1033973"/>
    <n v="81202"/>
    <s v="APERTURA"/>
    <s v="CB CRECIMIENTO - NUEVO"/>
    <s v="SANTANDER"/>
    <s v="FLORIAN"/>
    <s v="BARRIO CENTRO FLORIAN 1"/>
    <s v="REDEBAN"/>
    <s v="FO-25-1432972"/>
    <d v="2025-08-27T00:00:00"/>
    <d v="2025-08-29T00:00:00"/>
    <s v="UNO A UNO"/>
    <s v="UNO A UNO"/>
    <s v="EJECUTADO"/>
    <s v="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
    <s v="VISITA_TÉCNICA"/>
    <s v="FKZZZ634"/>
    <s v="TIPO IV"/>
    <s v="TERRESTRE"/>
    <s v="SOLER HOYOS CRISTIAN LEONARDO"/>
    <n v="1"/>
    <n v="0"/>
    <n v="122645.45276000001"/>
    <n v="65164.677720000007"/>
    <n v="122645.45276000001"/>
  </r>
  <r>
    <s v="BOGOTA"/>
    <x v="5"/>
    <x v="5"/>
    <n v="25200"/>
    <s v="TA-25-1033975"/>
    <n v="81207"/>
    <s v="APERTURA"/>
    <s v="CB CRECIMIENTO - NUEVO"/>
    <s v="CUNDINAMARCA"/>
    <s v="COGUA"/>
    <s v="BARRIO CENTRO COGUA 9"/>
    <s v="REDEBAN"/>
    <s v="FO-25-1432985"/>
    <d v="2025-08-27T00:00:00"/>
    <d v="2025-08-28T00:00:00"/>
    <s v="UNO A UNO"/>
    <s v="UNO A UNO"/>
    <s v="EJECUTADO"/>
    <s v="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
    <s v="VISITA_TÉCNICA"/>
    <s v="FKZZZ636"/>
    <s v="TIPO II"/>
    <s v="TERRESTRE"/>
    <s v="MURCIA HERNANDEZ HARVEY IGNACIO"/>
    <n v="1"/>
    <n v="0"/>
    <n v="122645.45276000001"/>
    <n v="65164.677720000007"/>
    <n v="122645.45276000001"/>
  </r>
  <r>
    <s v="BOGOTA"/>
    <x v="5"/>
    <x v="5"/>
    <n v="25430"/>
    <s v="TA-25-1033976"/>
    <n v="81210"/>
    <s v="APERTURA"/>
    <s v="CB CRECIMIENTO - NUEVO"/>
    <s v="CUNDINAMARCA"/>
    <s v="MADRID"/>
    <s v="BARRIO SAN JOSE MADRID MADRID"/>
    <s v="REDEBAN"/>
    <s v="FO-25-1432992"/>
    <d v="2025-08-27T00:00:00"/>
    <d v="2025-08-28T00:00:00"/>
    <s v="UNO A UNO"/>
    <s v="UNO A UNO"/>
    <s v="EJECUTADO"/>
    <s v="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
    <s v="VISITA_TÉCNICA"/>
    <s v="FKZZZ637"/>
    <s v="TIPO II"/>
    <s v="TERRESTRE"/>
    <s v="GOMEZ VEGA DAVID SNEYDER"/>
    <n v="1"/>
    <n v="0"/>
    <n v="122645.45276000001"/>
    <n v="65164.677720000007"/>
    <n v="122645.45276000001"/>
  </r>
  <r>
    <s v="BOGOTA"/>
    <x v="5"/>
    <x v="5"/>
    <n v="11001"/>
    <s v="TA-25-1033977"/>
    <n v="81187"/>
    <s v="APERTURA"/>
    <s v="CAMBIO DE RAZON SOCIAL"/>
    <s v="CUNDINAMARCA"/>
    <s v="BOGOTA"/>
    <s v="BARRIO LA ESMERALDA BOGOTA 7"/>
    <s v="REDEBAN"/>
    <s v="FO-25-1432997"/>
    <d v="2025-08-27T00:00:00"/>
    <d v="2025-08-29T00:00:00"/>
    <s v="UNO A UNO"/>
    <s v="UNO A UNO"/>
    <s v="EJECUTADO"/>
    <s v="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
    <s v="VISITA_TÉCNICA"/>
    <s v="FKZZZ638"/>
    <s v="TIPO I"/>
    <s v="TERRESTRE"/>
    <s v="LOZADA ROJAS CHRISTIAN ANDRES"/>
    <n v="1"/>
    <n v="0"/>
    <n v="122645.45276000001"/>
    <n v="65164.677720000007"/>
    <n v="122645.45276000001"/>
  </r>
  <r>
    <s v="BOGOTA"/>
    <x v="5"/>
    <x v="5"/>
    <n v="25290"/>
    <s v="TA-25-1033978"/>
    <n v="81203"/>
    <s v="APERTURA"/>
    <s v="CB CRECIMIENTO - NUEVO"/>
    <s v="CUNDINAMARCA"/>
    <s v="FUSAGASUGA"/>
    <s v="BARRIO VILLA LADY FUSAGASUGA"/>
    <s v="REDEBAN"/>
    <s v="FO-25-1433002"/>
    <d v="2025-08-27T00:00:00"/>
    <d v="2025-08-29T00:00:00"/>
    <s v="UNO A UNO"/>
    <s v="UNO A UNO"/>
    <s v="EJECUTADO"/>
    <s v="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
    <s v="VISITA_TÉCNICA"/>
    <s v="FKZZZ639"/>
    <s v="TIPO II"/>
    <s v="TERRESTRE"/>
    <s v="HERNANDEZ NARANJO OSCAR EDUARDO"/>
    <n v="1"/>
    <n v="0"/>
    <n v="122645.45276000001"/>
    <n v="65164.677720000007"/>
    <n v="122645.45276000001"/>
  </r>
  <r>
    <s v="MANIZALES"/>
    <x v="1"/>
    <x v="6"/>
    <n v="17616"/>
    <s v="TA-25-1033982"/>
    <n v="81240"/>
    <s v="APERTURA"/>
    <s v="CB CRECIMIENTO - NUEVO"/>
    <s v="CALDAS"/>
    <s v="RISARALDA"/>
    <s v="BARRIO CENTRO RISARALDA 2"/>
    <s v="REDEBAN"/>
    <s v="FO-25-1433008"/>
    <d v="2025-08-27T00:00:00"/>
    <d v="2025-08-28T00:00:00"/>
    <s v="UNO A UNO"/>
    <s v="UNO A UNO"/>
    <s v="EJECUTADO"/>
    <s v="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
    <s v="VISITA_TÉCNICA"/>
    <s v="FKZZZ640"/>
    <s v="TIPO II"/>
    <s v="TERRESTRE"/>
    <s v="AGUIRRE HENAO RAUL EDUARDO"/>
    <n v="1"/>
    <n v="0"/>
    <n v="122645.45276000001"/>
    <n v="65164.677720000007"/>
    <n v="122645.45276000001"/>
  </r>
  <r>
    <s v="TUNJA"/>
    <x v="3"/>
    <x v="3"/>
    <n v="15835"/>
    <s v="TA-25-1033983"/>
    <n v="81250"/>
    <s v="APERTURA"/>
    <s v="CB CRECIMIENTO - NUEVO"/>
    <s v="BOYACA"/>
    <s v="TURMEQUE"/>
    <s v="BARRIO LA PLAZA CENTRO TURMEQUE"/>
    <s v="REDEBAN"/>
    <s v="FO-25-1433014"/>
    <d v="2025-08-27T00:00:00"/>
    <d v="2025-08-28T00:00:00"/>
    <s v="UNO A UNO"/>
    <s v="UNO A UNO"/>
    <s v="EJECUTADO"/>
    <s v="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
    <s v="VISITA_TÉCNICA"/>
    <s v="FKZZZ641"/>
    <s v="TIPO II"/>
    <s v="TERRESTRE"/>
    <s v="GONZALEZ GONZALEZ MARIO ALBERTO"/>
    <n v="1"/>
    <n v="0"/>
    <n v="122645.45276000001"/>
    <n v="65164.677720000007"/>
    <n v="122645.45276000001"/>
  </r>
  <r>
    <s v="PASTO"/>
    <x v="1"/>
    <x v="1"/>
    <n v="52256"/>
    <s v="TA-25-1033984"/>
    <n v="81200"/>
    <s v="APERTURA"/>
    <s v="CB CRECIMIENTO - NUEVO"/>
    <s v="NARIÑO"/>
    <s v="EL ROSARIO"/>
    <s v="BARRIO SAGRADO CORAZON DE JESUS EL ROSARIO"/>
    <s v="REDEBAN"/>
    <s v="FO-25-1433021"/>
    <d v="2025-08-27T00:00:00"/>
    <d v="2025-08-29T00:00:00"/>
    <s v="UNO A UNO"/>
    <s v="UNO A UNO"/>
    <s v="EJECUTADO"/>
    <s v="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
    <s v="VISITA_TÉCNICA"/>
    <s v="FKZZZ642"/>
    <s v="TIPO II"/>
    <s v="TERRESTRE"/>
    <s v="CASTILLO HERRERA ALEX RICARDO"/>
    <n v="1"/>
    <n v="0"/>
    <n v="122645.45276000001"/>
    <n v="65164.677720000007"/>
    <n v="122645.45276000001"/>
  </r>
  <r>
    <s v="BOGOTA"/>
    <x v="5"/>
    <x v="5"/>
    <n v="25279"/>
    <s v="TA-25-1033986"/>
    <n v="81209"/>
    <s v="APERTURA"/>
    <s v="CB CRECIMIENTO - NUEVO"/>
    <s v="CUNDINAMARCA"/>
    <s v="FOMEQUE"/>
    <s v="BARRIO CENTRO FOMEQUE FOMEQUE"/>
    <s v="REDEBAN"/>
    <s v="FO-25-1433033"/>
    <d v="2025-08-27T00:00:00"/>
    <d v="2025-08-28T00:00:00"/>
    <s v="UNO A UNO"/>
    <s v="UNO A UNO"/>
    <s v="EJECUTADO"/>
    <s v="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
    <s v="VISITA_TÉCNICA"/>
    <s v="FKZZZ644"/>
    <s v="TIPO II"/>
    <s v="TERRESTRE"/>
    <s v="BUSTOS MORA DIEGO MANUEL"/>
    <n v="1"/>
    <n v="0"/>
    <n v="122645.45276000001"/>
    <n v="65164.677720000007"/>
    <n v="122645.45276000001"/>
  </r>
  <r>
    <s v="PEREIRA"/>
    <x v="1"/>
    <x v="6"/>
    <n v="76100"/>
    <s v="TA-25-1033988"/>
    <n v="81192"/>
    <s v="APERTURA"/>
    <s v="CB CRECIMIENTO - NUEVO"/>
    <s v="VALLE DEL CAUCA"/>
    <s v="BOLIVAR"/>
    <s v="BARRIO NARANJAL BOLIVAR 1"/>
    <s v="REDEBAN"/>
    <s v="FO-25-1433043"/>
    <d v="2025-08-27T00:00:00"/>
    <d v="2025-08-29T00:00:00"/>
    <s v="UNO A UNO"/>
    <s v="UNO A UNO"/>
    <s v="EJECUTADO"/>
    <s v="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
    <s v="VISITA_TÉCNICA"/>
    <s v="FKZZZ647"/>
    <s v="TIPO II"/>
    <s v="TERRESTRE"/>
    <s v="PAREDES CASTILLO DIEGO"/>
    <n v="1"/>
    <n v="0"/>
    <n v="122645.45276000001"/>
    <n v="65164.677720000007"/>
    <n v="122645.45276000001"/>
  </r>
  <r>
    <s v="MEDELLIN"/>
    <x v="2"/>
    <x v="2"/>
    <n v="5212"/>
    <s v="TA-25-1033989"/>
    <n v="81199"/>
    <s v="APERTURA"/>
    <s v="CAMBIO DE RAZON SOCIAL"/>
    <s v="ANTIOQUIA"/>
    <s v="COPACABANA"/>
    <s v="BARRIO VRD ZARZAL LA LUZ COPACABANA"/>
    <s v="REDEBAN"/>
    <s v="FO-25-1433048"/>
    <d v="2025-08-27T00:00:00"/>
    <d v="2025-08-29T00:00:00"/>
    <s v="UNO A UNO"/>
    <s v="UNO A UNO"/>
    <s v="EJECUTADO"/>
    <s v="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
    <s v="VISITA_TÉCNICA"/>
    <s v="FKZZZ648"/>
    <s v="TIPO I"/>
    <s v="TERRESTRE"/>
    <s v="QUINTERO SANCHEZ JUAN SEBASTIAN"/>
    <n v="1"/>
    <n v="0"/>
    <n v="122645.45276000001"/>
    <n v="65164.677720000007"/>
    <n v="122645.45276000001"/>
  </r>
  <r>
    <s v="PEREIRA"/>
    <x v="1"/>
    <x v="6"/>
    <n v="63001"/>
    <s v="TA-25-1033992"/>
    <n v="81184"/>
    <s v="APERTURA"/>
    <s v="CB CRECIMIENTO - NUEVO"/>
    <s v="QUINDIO"/>
    <s v="ARMENIA"/>
    <s v="BARRIO ESMERALDA ARMENIA"/>
    <s v="REDEBAN"/>
    <s v="FO-25-1433065"/>
    <d v="2025-08-27T00:00:00"/>
    <d v="2025-08-28T00:00:00"/>
    <s v="UNO A UNO"/>
    <s v="UNO A UNO"/>
    <s v="EJECUTADO"/>
    <s v="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0"/>
    <s v="TIPO II"/>
    <s v="TERRESTRE"/>
    <s v="SANCHEZ SOLORZANO JUAN SEBASTIAN"/>
    <n v="1"/>
    <n v="0"/>
    <n v="122645.45276000001"/>
    <n v="65164.677720000007"/>
    <n v="122645.45276000001"/>
  </r>
  <r>
    <s v="CALI"/>
    <x v="1"/>
    <x v="1"/>
    <n v="76520"/>
    <s v="TA-25-1033993"/>
    <n v="81213"/>
    <s v="APERTURA"/>
    <s v="CB CRECIMIENTO - NUEVO"/>
    <s v="VALLE DEL CAUCA"/>
    <s v="PALMIRA"/>
    <s v="BARRIO EL BOSQUE PALMIRA 1"/>
    <s v="REDEBAN"/>
    <s v="FO-25-1433073"/>
    <d v="2025-08-27T00:00:00"/>
    <d v="2025-08-28T00:00:00"/>
    <s v="UNO A UNO"/>
    <s v="UNO A UNO"/>
    <s v="EJECUTADO"/>
    <s v="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1"/>
    <s v="TIPO I"/>
    <s v="TERRESTRE"/>
    <s v="TORRES GARCIA JENDRY JOSE"/>
    <n v="1"/>
    <n v="0"/>
    <n v="122645.45276000001"/>
    <n v="65164.677720000007"/>
    <n v="122645.45276000001"/>
  </r>
  <r>
    <s v="CALI"/>
    <x v="1"/>
    <x v="1"/>
    <n v="76001"/>
    <s v="TA-25-1033994"/>
    <n v="81193"/>
    <s v="APERTURA"/>
    <s v="CB CRECIMIENTO - NUEVO"/>
    <s v="VALLE DEL CAUCA"/>
    <s v="CALI"/>
    <s v="BARRIO ULPIANO LLOREDA CALI 1"/>
    <s v="REDEBAN"/>
    <s v="FO-25-1433077"/>
    <d v="2025-08-27T00:00:00"/>
    <d v="2025-08-28T00:00:00"/>
    <s v="UNO A UNO"/>
    <s v="UNO A UNO"/>
    <s v="EJECUTADO"/>
    <s v="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
    <s v="VISITA_TÉCNICA"/>
    <s v="FKZZZ652"/>
    <s v="TIPO I"/>
    <s v="TERRESTRE"/>
    <s v="BOLAÑOS TABORDA JORGE ENRIQUE"/>
    <n v="1"/>
    <n v="0"/>
    <n v="122645.45276000001"/>
    <n v="65164.677720000007"/>
    <n v="122645.45276000001"/>
  </r>
  <r>
    <s v="BOGOTA"/>
    <x v="5"/>
    <x v="5"/>
    <n v="11001"/>
    <s v="TA-25-1033995"/>
    <n v="81190"/>
    <s v="APERTURA"/>
    <s v="CB CRECIMIENTO - NUEVO"/>
    <s v="CUNDINAMARCA"/>
    <s v="BOGOTA"/>
    <s v="BARRIO CAÑAVERALEJO BOGOTA 1"/>
    <s v="REDEBAN"/>
    <s v="FO-25-1433086"/>
    <d v="2025-08-27T00:00:00"/>
    <d v="2025-08-28T00:00:00"/>
    <s v="UNO A UNO"/>
    <s v="UNO A UNO"/>
    <s v="EJECUTADO"/>
    <s v="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3"/>
    <s v="TIPO I"/>
    <s v="TERRESTRE"/>
    <s v="HERNANDEZ NARANJO OSCAR EDUARDO"/>
    <n v="1"/>
    <n v="0"/>
    <n v="122645.45276000001"/>
    <n v="65164.677720000007"/>
    <n v="122645.45276000001"/>
  </r>
  <r>
    <s v="BOGOTA"/>
    <x v="5"/>
    <x v="5"/>
    <n v="11001"/>
    <s v="TA-25-1033996"/>
    <n v="81191"/>
    <s v="APERTURA"/>
    <s v="CB CRECIMIENTO - NUEVO"/>
    <s v="CUNDINAMARCA"/>
    <s v="BOGOTA"/>
    <s v="BARRIO BILBAO BOGOTA 7"/>
    <s v="REDEBAN"/>
    <s v="FO-25-1433090"/>
    <d v="2025-08-27T00:00:00"/>
    <d v="2025-08-28T00:00:00"/>
    <s v="UNO A UNO"/>
    <s v="UNO A UNO"/>
    <s v="EJECUTADO"/>
    <s v="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
    <s v="VISITA_TÉCNICA"/>
    <s v="FKZZZ654"/>
    <s v="TIPO I"/>
    <s v="TERRESTRE"/>
    <s v="VEGA MANRIQUE JONATAN MAURICIO"/>
    <n v="1"/>
    <n v="0"/>
    <n v="122645.45276000001"/>
    <n v="65164.677720000007"/>
    <n v="122645.45276000001"/>
  </r>
  <r>
    <s v="NEIVA"/>
    <x v="0"/>
    <x v="0"/>
    <n v="18001"/>
    <s v="TA-25-1033997"/>
    <n v="81201"/>
    <s v="APERTURA"/>
    <s v="CB CRECIMIENTO - NUEVO"/>
    <s v="CAQUETA"/>
    <s v="FLORENCIA"/>
    <s v="BARRIO PORVENIR FLORENCIA"/>
    <s v="REDEBAN"/>
    <s v="FO-25-1433097"/>
    <d v="2025-08-27T00:00:00"/>
    <d v="2025-08-28T00:00:00"/>
    <s v="UNO A UNO"/>
    <s v="UNO A UNO"/>
    <s v="EJECUTADO"/>
    <s v="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5"/>
    <s v="TIPO IV"/>
    <s v="TERRESTRE"/>
    <s v="DEVIA REINOSO JUAN CARLOS"/>
    <n v="1"/>
    <n v="0"/>
    <n v="122645.45276000001"/>
    <n v="65164.677720000007"/>
    <n v="122645.45276000001"/>
  </r>
  <r>
    <s v="BARRANQUILLA"/>
    <x v="4"/>
    <x v="4"/>
    <n v="8638"/>
    <s v="TA-25-1033998"/>
    <n v="81245"/>
    <s v="APERTURA"/>
    <s v="CB CRECIMIENTO - NUEVO"/>
    <s v="ATLANTICO"/>
    <s v="SABANALARGA"/>
    <s v="BARRIO CENTRO SABANALARGA 24"/>
    <s v="REDEBAN"/>
    <s v="FO-25-1433101"/>
    <d v="2025-08-27T00:00:00"/>
    <d v="2025-08-28T00:00:00"/>
    <s v="UNO A UNO"/>
    <s v="UNO A UNO"/>
    <s v="EJECUTADO"/>
    <s v="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VISITA_TÉCNICA"/>
    <s v="FKZZZ656"/>
    <s v="TIPO II"/>
    <s v="TERRESTRE"/>
    <s v="DE AGUAS MUÑOZ DAVID JOSE"/>
    <n v="1"/>
    <n v="0"/>
    <n v="122645.45276000001"/>
    <n v="65164.677720000007"/>
    <n v="122645.45276000001"/>
  </r>
  <r>
    <s v="BUCARAMANGA"/>
    <x v="3"/>
    <x v="3"/>
    <n v="68679"/>
    <s v="TA-25-1034001"/>
    <n v="81248"/>
    <s v="APERTURA"/>
    <s v="CB CRECIMIENTO - NUEVO"/>
    <s v="SANTANDER"/>
    <s v="SAN GIL"/>
    <s v="BARRIO SAN GIL SAN GIL 1"/>
    <s v="REDEBAN"/>
    <s v="FO-25-1433107"/>
    <d v="2025-08-27T00:00:00"/>
    <d v="2025-08-28T00:00:00"/>
    <s v="UNO A UNO"/>
    <s v="UNO A UNO"/>
    <s v="EJECUTADO"/>
    <s v="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
    <s v="VISITA_TÉCNICA"/>
    <s v="FKZZZ657"/>
    <s v="TIPO II"/>
    <s v="TERRESTRE"/>
    <s v="HERRERA LUQUE SAUL JAVIER"/>
    <n v="1"/>
    <n v="0"/>
    <n v="122645.45276000001"/>
    <n v="65164.677720000007"/>
    <n v="122645.45276000001"/>
  </r>
  <r>
    <s v="CALI"/>
    <x v="1"/>
    <x v="1"/>
    <n v="76001"/>
    <s v="TA-25-1034002"/>
    <n v="81196"/>
    <s v="APERTURA"/>
    <s v="CB CRECIMIENTO - NUEVO"/>
    <s v="VALLE DEL CAUCA"/>
    <s v="CALI"/>
    <s v="BARRIO FLORALIA CALI 11"/>
    <s v="REDEBAN"/>
    <s v="FO-25-1433110"/>
    <d v="2025-08-27T00:00:00"/>
    <d v="2025-08-28T00:00:00"/>
    <s v="UNO A UNO"/>
    <s v="UNO A UNO"/>
    <s v="EJECUTADO"/>
    <s v="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8"/>
    <s v="TIPO I"/>
    <s v="TERRESTRE"/>
    <s v="HERRERA MONAR GEOVANNY"/>
    <n v="1"/>
    <n v="0"/>
    <n v="122645.45276000001"/>
    <n v="65164.677720000007"/>
    <n v="122645.45276000001"/>
  </r>
  <r>
    <s v="MANIZALES"/>
    <x v="1"/>
    <x v="6"/>
    <n v="17174"/>
    <s v="TA-25-1034003"/>
    <n v="81198"/>
    <s v="APERTURA"/>
    <s v="CB CRECIMIENTO - NUEVO"/>
    <s v="CALDAS"/>
    <s v="CHINCHINA"/>
    <s v="BARRIO CENTRO CHINCHINA 14"/>
    <s v="REDEBAN"/>
    <s v="FO-25-1433115"/>
    <d v="2025-08-27T00:00:00"/>
    <d v="2025-08-28T00:00:00"/>
    <s v="UNO A UNO"/>
    <s v="UNO A UNO"/>
    <s v="EJECUTADO"/>
    <s v="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59"/>
    <s v="TIPO II"/>
    <s v="TERRESTRE"/>
    <s v="FRANCO CAÑAVERAL YAMID RAUL"/>
    <n v="1"/>
    <n v="0"/>
    <n v="122645.45276000001"/>
    <n v="65164.677720000007"/>
    <n v="122645.45276000001"/>
  </r>
  <r>
    <s v="CALI"/>
    <x v="1"/>
    <x v="1"/>
    <n v="76001"/>
    <s v="TA-25-1034005"/>
    <n v="81197"/>
    <s v="APERTURA"/>
    <s v="CB CRECIMIENTO - NUEVO"/>
    <s v="VALLE DEL CAUCA"/>
    <s v="CALI"/>
    <s v="BARRIO LOS NARANJOS 1 CALI"/>
    <s v="REDEBAN"/>
    <s v="FO-25-1433122"/>
    <d v="2025-08-27T00:00:00"/>
    <d v="2025-08-28T00:00:00"/>
    <s v="UNO A UNO"/>
    <s v="UNO A UNO"/>
    <s v="EJECUTADO"/>
    <s v="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
    <s v="VISITA_TÉCNICA"/>
    <s v="FKZZZ660"/>
    <s v="TIPO I"/>
    <s v="TERRESTRE"/>
    <s v="BOLAÑOS TABORDA JORGE ENRIQUE"/>
    <n v="1"/>
    <n v="0"/>
    <n v="122645.45276000001"/>
    <n v="65164.677720000007"/>
    <n v="122645.45276000001"/>
  </r>
  <r>
    <s v="BOGOTA"/>
    <x v="5"/>
    <x v="5"/>
    <n v="25035"/>
    <s v="TA-25-1034007"/>
    <n v="81183"/>
    <s v="APERTURA"/>
    <s v="CB CRECIMIENTO - NUEVO"/>
    <s v="CUNDINAMARCA"/>
    <s v="ANAPOIMA"/>
    <s v="BARRIO ANAPOIMA ANAPOIMA 2"/>
    <s v="REDEBAN"/>
    <s v="FO-25-1433126"/>
    <d v="2025-08-27T00:00:00"/>
    <d v="2025-08-29T00:00:00"/>
    <s v="UNO A UNO"/>
    <s v="UNO A UNO"/>
    <s v="EJECUTADO"/>
    <s v="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
    <s v="VISITA_TÉCNICA"/>
    <s v="FKZZZ661"/>
    <s v="TIPO II"/>
    <s v="TERRESTRE"/>
    <s v="GOMEZ VEGA DAVID SNEYDER"/>
    <n v="1"/>
    <n v="0"/>
    <n v="122645.45276000001"/>
    <n v="65164.677720000007"/>
    <n v="122645.45276000001"/>
  </r>
  <r>
    <s v="VALLEDUPAR"/>
    <x v="4"/>
    <x v="4"/>
    <n v="20045"/>
    <s v="TA-25-1034013"/>
    <n v="81186"/>
    <s v="APERTURA"/>
    <s v="CB CRECIMIENTO - NUEVO"/>
    <s v="CESAR"/>
    <s v="BECERRIL"/>
    <s v="BARRIO CENTRO BECERRIL 8"/>
    <s v="REDEBAN"/>
    <s v="FO-25-1433137"/>
    <d v="2025-08-27T00:00:00"/>
    <d v="2025-08-28T00:00:00"/>
    <s v="UNO A UNO"/>
    <s v="UNO A UNO"/>
    <s v="EJECUTADO"/>
    <s v="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
    <s v="VISITA_TÉCNICA"/>
    <s v="FKZZZ663"/>
    <s v="TIPO II"/>
    <s v="TERRESTRE"/>
    <s v="MONTES DIAZ JOHN FRED"/>
    <n v="1"/>
    <n v="0"/>
    <n v="122645.45276000001"/>
    <n v="65164.677720000007"/>
    <n v="122645.45276000001"/>
  </r>
  <r>
    <s v="VILLAVICENCIO"/>
    <x v="0"/>
    <x v="0"/>
    <n v="50680"/>
    <s v="TA-25-1034015"/>
    <n v="81246"/>
    <s v="APERTURA"/>
    <s v="CB CRECIMIENTO - NUEVO"/>
    <s v="META"/>
    <s v="SAN CARLOS DE GUAROA"/>
    <s v="BARRIO CENTRO SAN CARLOS DE GUAROA 8"/>
    <s v="REDEBAN"/>
    <s v="FO-25-1433143"/>
    <d v="2025-08-27T00:00:00"/>
    <d v="2025-08-29T00:00:00"/>
    <s v="UNO A UNO"/>
    <s v="UNO A UNO"/>
    <s v="EJECUTADO"/>
    <s v="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
    <s v="VISITA_TÉCNICA"/>
    <s v="FKZZZ664"/>
    <s v="TIPO II"/>
    <s v="TERRESTRE"/>
    <s v="CASTRILLON URREA LONDIER LEANDRO"/>
    <n v="1"/>
    <n v="0"/>
    <n v="122645.45276000001"/>
    <n v="65164.677720000007"/>
    <n v="122645.45276000001"/>
  </r>
  <r>
    <s v="CALI"/>
    <x v="1"/>
    <x v="1"/>
    <n v="76001"/>
    <s v="TA-25-1034019"/>
    <n v="81194"/>
    <s v="APERTURA"/>
    <s v="CAMBIO DE RAZON SOCIAL"/>
    <s v="VALLE DEL CAUCA"/>
    <s v="CALI"/>
    <s v="BARRIO LA RIVERA CALI 6"/>
    <s v="REDEBAN"/>
    <s v="FO-25-1433158"/>
    <d v="2025-08-27T00:00:00"/>
    <d v="2025-08-28T00:00:00"/>
    <s v="UNO A UNO"/>
    <s v="UNO A UNO"/>
    <s v="EJECUTADO"/>
    <s v="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
    <s v="VISITA_TÉCNICA"/>
    <s v="FKZZZ666"/>
    <s v="TIPO I"/>
    <s v="TERRESTRE"/>
    <s v="HERRERA MONAR GEOVANNY"/>
    <n v="1"/>
    <n v="0"/>
    <n v="122645.45276000001"/>
    <n v="65164.677720000007"/>
    <n v="122645.45276000001"/>
  </r>
  <r>
    <s v="BOGOTA"/>
    <x v="5"/>
    <x v="5"/>
    <n v="11001"/>
    <s v="TA-25-1034020"/>
    <n v="81188"/>
    <s v="APERTURA"/>
    <s v="CB CRECIMIENTO - NUEVO"/>
    <s v="CUNDINAMARCA"/>
    <s v="BOGOTA"/>
    <s v="BARRIO BARRANCAS BOGOTA 13"/>
    <s v="REDEBAN"/>
    <s v="FO-25-1433163"/>
    <d v="2025-08-27T00:00:00"/>
    <d v="2025-08-28T00:00:00"/>
    <s v="UNO A UNO"/>
    <s v="UNO A UNO"/>
    <s v="EJECUTADO"/>
    <s v="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
    <s v="VISITA_TÉCNICA"/>
    <s v="FKZZZ667"/>
    <s v="TIPO I"/>
    <s v="TERRESTRE"/>
    <s v="ORTIZ MARTINEZ STIVEN"/>
    <n v="1"/>
    <n v="0"/>
    <n v="122645.45276000001"/>
    <n v="65164.677720000007"/>
    <n v="122645.45276000001"/>
  </r>
  <r>
    <s v="PEREIRA"/>
    <x v="1"/>
    <x v="6"/>
    <n v="66001"/>
    <s v="TA-25-1034021"/>
    <n v="81243"/>
    <s v="APERTURA"/>
    <s v="CB CRECIMIENTO - NUEVO"/>
    <s v="RISARALDA"/>
    <s v="PEREIRA"/>
    <s v="BARRIO PUEBLITO PAISA CUBA PEREIRA"/>
    <s v="REDEBAN"/>
    <s v="FO-25-1433171"/>
    <d v="2025-08-27T00:00:00"/>
    <d v="2025-08-28T00:00:00"/>
    <s v="UNO A UNO"/>
    <s v="UNO A UNO"/>
    <s v="EJECUTADO"/>
    <s v="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
    <s v="VISITA_TÉCNICA"/>
    <s v="FKZZZ668"/>
    <s v="TIPO I"/>
    <s v="TERRESTRE"/>
    <s v="ARROYAVE CANO MANUEL GUILLERMO"/>
    <n v="1"/>
    <n v="0"/>
    <n v="122645.45276000001"/>
    <n v="65164.677720000007"/>
    <n v="122645.45276000001"/>
  </r>
  <r>
    <s v="VILLAVICENCIO"/>
    <x v="0"/>
    <x v="0"/>
    <n v="50006"/>
    <s v="TA-25-1034023"/>
    <n v="81180"/>
    <s v="APERTURA"/>
    <s v="CB CRECIMIENTO - NUEVO"/>
    <s v="META"/>
    <s v="ACACIAS"/>
    <s v="BARRIO BRISAS DEL PLAYON ACACIAS"/>
    <s v="REDEBAN"/>
    <s v="FO-25-1433185"/>
    <d v="2025-08-27T00:00:00"/>
    <d v="2025-08-28T00:00:00"/>
    <s v="UNO A UNO"/>
    <s v="UNO A UNO"/>
    <s v="EJECUTADO"/>
    <s v="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
    <s v="VISITA_TÉCNICA"/>
    <s v="FKZZZ670"/>
    <s v="TIPO II"/>
    <s v="TERRESTRE"/>
    <s v="ROZO JIMENEZ EDGAR ARMANDO"/>
    <n v="1"/>
    <n v="0"/>
    <n v="122645.45276000001"/>
    <n v="65164.677720000007"/>
    <n v="122645.45276000001"/>
  </r>
  <r>
    <s v="NEIVA"/>
    <x v="0"/>
    <x v="0"/>
    <n v="41016"/>
    <s v="TA-25-1034024"/>
    <n v="81181"/>
    <s v="APERTURA"/>
    <s v="CB CRECIMIENTO - NUEVO"/>
    <s v="HUILA"/>
    <s v="AIPE"/>
    <s v="BARRIO LAS MARIAS AIPE"/>
    <s v="REDEBAN"/>
    <s v="FO-25-1433192"/>
    <d v="2025-08-27T00:00:00"/>
    <d v="2025-08-28T00:00:00"/>
    <s v="UNO A UNO"/>
    <s v="UNO A UNO"/>
    <s v="EJECUTADO"/>
    <s v="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VISITA_TÉCNICA"/>
    <s v="FKZZZ671"/>
    <s v="TIPO II"/>
    <s v="TERRESTRE"/>
    <s v="DIAZ VARGAS JONATHAN MIGUEL"/>
    <n v="1"/>
    <n v="0"/>
    <n v="122645.45276000001"/>
    <n v="65164.677720000007"/>
    <n v="122645.45276000001"/>
  </r>
  <r>
    <s v="CALI"/>
    <x v="1"/>
    <x v="1"/>
    <n v="76606"/>
    <s v="TA-25-1034028"/>
    <n v="81244"/>
    <s v="APERTURA"/>
    <s v="CB CRECIMIENTO - NUEVO"/>
    <s v="VALLE DEL CAUCA"/>
    <s v="RESTREPO"/>
    <s v="BARRIO CENTRO RESTREPO 8"/>
    <s v="REDEBAN"/>
    <s v="FO-25-1433218"/>
    <d v="2025-08-27T00:00:00"/>
    <d v="2025-08-29T00:00:00"/>
    <s v="UNO A UNO"/>
    <s v="UNO A UNO"/>
    <s v="EJECUTADO"/>
    <s v="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
    <s v="VISITA_TÉCNICA"/>
    <s v="FKZZZ674"/>
    <s v="TIPO II"/>
    <s v="TERRESTRE"/>
    <s v="MONTERO MUESES GIAN CARLO"/>
    <n v="1"/>
    <n v="0"/>
    <n v="122645.45276000001"/>
    <n v="65164.677720000007"/>
    <n v="122645.45276000001"/>
  </r>
  <r>
    <s v="MEDELLIN"/>
    <x v="2"/>
    <x v="2"/>
    <n v="5380"/>
    <s v="TA-25-1031265"/>
    <n v="81253"/>
    <s v="APERTURA"/>
    <s v="CB CRECIMIENTO - NUEVO"/>
    <s v="ANTIOQUIA"/>
    <s v="LA ESTRELLA"/>
    <s v="BARRIO BAVARIA LA ESTRELLA 1"/>
    <s v="REDEBAN"/>
    <s v="FO-25-1429791"/>
    <d v="2025-08-27T00:00:00"/>
    <d v="2025-08-27T00:00:00"/>
    <s v="UNO A UNO"/>
    <s v="UNO A UNO"/>
    <s v="EJECUTADO"/>
    <s v="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VISITA_TÉCNICA"/>
    <s v="FKZZZ676"/>
    <s v="TIPO I"/>
    <s v="TERRESTRE"/>
    <s v="ALVAREZ ARENAS VICTOR HUGO"/>
    <n v="1"/>
    <n v="0"/>
    <n v="122645.45276000001"/>
    <n v="65164.677720000007"/>
    <n v="122645.45276000001"/>
  </r>
  <r>
    <s v="BOGOTA"/>
    <x v="5"/>
    <x v="5"/>
    <n v="11001"/>
    <s v="TA-25-1034030"/>
    <n v="81189"/>
    <s v="APERTURA"/>
    <s v="CB CRECIMIENTO - NUEVO"/>
    <s v="CUNDINAMARCA"/>
    <s v="BOGOTA"/>
    <s v="BARRIO ALFONSO LOPEZ 6 BOGOTA"/>
    <s v="REDEBAN"/>
    <s v="FO-25-1433226"/>
    <d v="2025-08-27T00:00:00"/>
    <d v="2025-08-29T00:00:00"/>
    <s v="UNO A UNO"/>
    <s v="UNO A UNO"/>
    <s v="EJECUTADO"/>
    <s v="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
    <s v="VISITA_TÉCNICA"/>
    <s v="FKZZZ677"/>
    <s v="TIPO I"/>
    <s v="TERRESTRE"/>
    <s v="ROMERO ROJAS BREIDY JHOHAN"/>
    <n v="1"/>
    <n v="0"/>
    <n v="122645.45276000001"/>
    <n v="65164.677720000007"/>
    <n v="122645.45276000001"/>
  </r>
  <r>
    <s v="CALI"/>
    <x v="1"/>
    <x v="1"/>
    <n v="76834"/>
    <s v="TA-25-1034031"/>
    <n v="81159"/>
    <s v="APERTURA"/>
    <s v="CB CRECIMIENTO - OTRAS LISTAS"/>
    <s v="VALLE DEL CAUCA"/>
    <s v="TULUA"/>
    <s v="BARRIO CENTRO TULUA 28"/>
    <s v="REDEBAN"/>
    <s v="FO-25-1433234"/>
    <d v="2025-08-27T00:00:00"/>
    <d v="2025-08-29T00:00:00"/>
    <s v="UNO A UNO"/>
    <s v="UNO A UNO"/>
    <s v="EJECUTADO"/>
    <s v="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
    <s v="VISITA_TÉCNICA"/>
    <s v="FKZZZ678"/>
    <s v="TIPO II"/>
    <s v="TERRESTRE"/>
    <s v="BOLAÑOS TABORDA JORGE ENRIQUE"/>
    <n v="1"/>
    <n v="0"/>
    <n v="122645.45276000001"/>
    <n v="65164.677720000007"/>
    <n v="122645.45276000001"/>
  </r>
  <r>
    <s v="MEDELLIN"/>
    <x v="2"/>
    <x v="2"/>
    <n v="5001"/>
    <s v="TA-25-1034454"/>
    <n v="81238"/>
    <s v="APERTURA"/>
    <s v="CB CRECIMIENTO ALIANZA - NUEVO"/>
    <s v="ANTIOQUIA"/>
    <s v="MEDELLIN"/>
    <s v="DISTRICOL FRUVER PAGUE MENOS"/>
    <s v="REDEBAN"/>
    <s v="FO-25-1433870"/>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VISITA_TÉCNICA"/>
    <s v="FKZZZ681"/>
    <s v="TIPO I"/>
    <s v="TERRESTRE"/>
    <s v="PAREJA ECHAVARRIA JHON DAVID"/>
    <n v="1"/>
    <n v="0"/>
    <n v="122645.45276000001"/>
    <n v="65164.677720000007"/>
    <n v="122645.45276000001"/>
  </r>
  <r>
    <s v="MEDELLIN"/>
    <x v="2"/>
    <x v="2"/>
    <n v="5088"/>
    <s v="TA-25-1034455"/>
    <n v="81234"/>
    <s v="APERTURA"/>
    <s v="CB CRECIMIENTO ALIANZA - NUEVO"/>
    <s v="ANTIOQUIA"/>
    <s v="BELLO"/>
    <s v="DISTRICOL SUPERMERCADO PORVENI"/>
    <s v="REDEBAN"/>
    <s v="FO-25-1433873"/>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VISITA_TÉCNICA"/>
    <s v="FKZZZ682"/>
    <s v="TIPO I"/>
    <s v="TERRESTRE"/>
    <s v="QUINTERO SANCHEZ JUAN SEBASTIAN"/>
    <n v="1"/>
    <n v="0"/>
    <n v="122645.45276000001"/>
    <n v="65164.677720000007"/>
    <n v="122645.45276000001"/>
  </r>
  <r>
    <s v="MEDELLIN"/>
    <x v="2"/>
    <x v="2"/>
    <n v="5361"/>
    <s v="TA-25-1034457"/>
    <n v="81215"/>
    <s v="APERTURA"/>
    <s v="CB CRECIMIENTO ALIANZA - NUEVO"/>
    <s v="ANTIOQUIA"/>
    <s v="ITUANGO"/>
    <s v="DISTRICOL PEQUEÑOS ENCANTOS"/>
    <s v="REDEBAN"/>
    <s v="FO-25-1433881"/>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VISITA_TÉCNICA"/>
    <s v="FKZZZ684"/>
    <s v="TIPO IV"/>
    <s v="TERRESTRE"/>
    <s v="MARTINEZ TOVAR OSCAR DAVID"/>
    <n v="1"/>
    <n v="0"/>
    <n v="122645.45276000001"/>
    <n v="65164.677720000007"/>
    <n v="122645.45276000001"/>
  </r>
  <r>
    <s v="MEDELLIN"/>
    <x v="2"/>
    <x v="2"/>
    <n v="5858"/>
    <s v="TA-25-1034458"/>
    <n v="81231"/>
    <s v="APERTURA"/>
    <s v="CB CRECIMIENTO ALIANZA - NUEVO"/>
    <s v="ANTIOQUIA"/>
    <s v="VEGACHI"/>
    <s v="DISTRICOL CELUMOVIL VEGACHI"/>
    <s v="REDEBAN"/>
    <s v="FO-25-1433884"/>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VISITA_TÉCNICA"/>
    <s v="FKZZZ685"/>
    <s v="TIPO III"/>
    <s v="TERRESTRE"/>
    <s v="DIAZ ZABALA FRANCIS DUBAN"/>
    <n v="1"/>
    <n v="0"/>
    <n v="122645.45276000001"/>
    <n v="65164.677720000007"/>
    <n v="122645.45276000001"/>
  </r>
  <r>
    <s v="TUNJA"/>
    <x v="3"/>
    <x v="3"/>
    <n v="15238"/>
    <s v="TA-25-1034459"/>
    <n v="81223"/>
    <s v="APERTURA"/>
    <s v="CB CRECIMIENTO ALIANZA - NUEVO"/>
    <s v="BOYACA"/>
    <s v="DUITAMA"/>
    <s v="DISTRICOL MAGIC PAPELERIA CREA"/>
    <s v="REDEBAN"/>
    <s v="FO-25-143388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VISITA_TÉCNICA"/>
    <s v="FKZZZ686"/>
    <s v="TIPO II"/>
    <s v="TERRESTRE"/>
    <s v="RODRIGUEZ MURCIA YERSON IVAN"/>
    <n v="1"/>
    <n v="0"/>
    <n v="122645.45276000001"/>
    <n v="65164.677720000007"/>
    <n v="122645.45276000001"/>
  </r>
  <r>
    <s v="NEIVA"/>
    <x v="0"/>
    <x v="0"/>
    <n v="18256"/>
    <s v="TA-25-1034460"/>
    <n v="81224"/>
    <s v="APERTURA"/>
    <s v="CB CRECIMIENTO ALIANZA - NUEVO"/>
    <s v="CAQUETA"/>
    <s v="EL PAUJIL"/>
    <s v="DISTRICOL TIENDA CHAUX"/>
    <s v="REDEBAN"/>
    <s v="FO-25-1433892"/>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
    <s v="VISITA_TÉCNICA"/>
    <s v="FKZZZ687"/>
    <s v="TIPO IV"/>
    <s v="TERRESTRE"/>
    <s v="DEVIA REINOSO JUAN CARLOS"/>
    <n v="1"/>
    <n v="0"/>
    <n v="122645.45276000001"/>
    <n v="65164.677720000007"/>
    <n v="122645.45276000001"/>
  </r>
  <r>
    <s v="PASTO"/>
    <x v="1"/>
    <x v="1"/>
    <n v="52356"/>
    <s v="TA-25-1034462"/>
    <n v="81226"/>
    <s v="APERTURA"/>
    <s v="CB CRECIMIENTO ALIANZA - NUEVO"/>
    <s v="NARIÑO"/>
    <s v="IPIALES"/>
    <s v="DISTRICOL EL LANCERO B MILITAR"/>
    <s v="REDEBAN"/>
    <s v="FO-25-1433899"/>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
    <s v="VISITA_TÉCNICA"/>
    <s v="FKZZZ689"/>
    <s v="TIPO II"/>
    <s v="TERRESTRE"/>
    <s v="CASTILLO HERRERA ALEX RICARDO"/>
    <n v="1"/>
    <n v="0"/>
    <n v="122645.45276000001"/>
    <n v="65164.677720000007"/>
    <n v="122645.45276000001"/>
  </r>
  <r>
    <s v="PASTO"/>
    <x v="1"/>
    <x v="1"/>
    <n v="52838"/>
    <s v="TA-25-1034464"/>
    <n v="81233"/>
    <s v="APERTURA"/>
    <s v="CB CRECIMIENTO ALIANZA - NUEVO"/>
    <s v="NARIÑO"/>
    <s v="TUQUERRES"/>
    <s v="DISTRICOL DROG SANA SANA"/>
    <s v="REDEBAN"/>
    <s v="FO-25-1433910"/>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VISITA_TÉCNICA"/>
    <s v="FKZZZ691"/>
    <s v="TIPO II"/>
    <s v="TERRESTRE"/>
    <s v="GUERRERO RAMIREZ OSCAR DARIO"/>
    <n v="1"/>
    <n v="0"/>
    <n v="122645.45276000001"/>
    <n v="65164.677720000007"/>
    <n v="122645.45276000001"/>
  </r>
  <r>
    <s v="PEREIRA"/>
    <x v="1"/>
    <x v="6"/>
    <n v="76400"/>
    <s v="TA-25-1034469"/>
    <n v="81228"/>
    <s v="APERTURA"/>
    <s v="CB CRECIMIENTO ALIANZA - NUEVO"/>
    <s v="VALLE DEL CAUCA"/>
    <s v="LA UNION"/>
    <s v="DISTRICOL COSITAS Y VAINAS"/>
    <s v="REDEBAN"/>
    <s v="FO-25-1433917"/>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VISITA_TÉCNICA"/>
    <s v="FKZZZ692"/>
    <s v="TIPO II"/>
    <s v="TERRESTRE"/>
    <s v="PAREDES CASTILLO DIEGO"/>
    <n v="1"/>
    <n v="0"/>
    <n v="122645.45276000001"/>
    <n v="65164.677720000007"/>
    <n v="122645.45276000001"/>
  </r>
  <r>
    <s v="YOPAL"/>
    <x v="0"/>
    <x v="0"/>
    <n v="85001"/>
    <s v="TA-25-1034474"/>
    <n v="81239"/>
    <s v="APERTURA"/>
    <s v="CB CRECIMIENTO ALIANZA - NUEVO"/>
    <s v="CASANARE"/>
    <s v="YOPAL"/>
    <s v="DISTRICOL PAPELERIA LA MONA 2"/>
    <s v="REDEBAN"/>
    <s v="FO-25-1433923"/>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
    <s v="VISITA_TÉCNICA"/>
    <s v="FKZZZ693"/>
    <s v="TIPO I"/>
    <s v="TERRESTRE"/>
    <s v="BERNAL ELAICA EDGAR ALEXIS"/>
    <n v="1"/>
    <n v="0"/>
    <n v="122645.45276000001"/>
    <n v="65164.677720000007"/>
    <n v="122645.45276000001"/>
  </r>
  <r>
    <s v="YOPAL"/>
    <x v="0"/>
    <x v="0"/>
    <n v="85010"/>
    <s v="TA-25-1034475"/>
    <n v="81214"/>
    <s v="APERTURA"/>
    <s v="CB CRECIMIENTO ALIANZA - NUEVO"/>
    <s v="CASANARE"/>
    <s v="AGUAZUL"/>
    <s v="DISTRICOL SUPERDROGAS LA 17"/>
    <s v="REDEBAN"/>
    <s v="FO-25-143392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
    <s v="VISITA_TÉCNICA"/>
    <s v="FKZZZ694"/>
    <s v="TIPO II"/>
    <s v="TERRESTRE"/>
    <s v="BERNAL ELAICA EDGAR ALEXIS"/>
    <n v="1"/>
    <n v="0"/>
    <n v="122645.45276000001"/>
    <n v="65164.677720000007"/>
    <n v="122645.45276000001"/>
  </r>
  <r>
    <s v="APARTADO"/>
    <x v="2"/>
    <x v="2"/>
    <n v="5045"/>
    <s v="TA-25-1034479"/>
    <n v="81220"/>
    <s v="APERTURA"/>
    <s v="CB CRECIMIENTO ALIANZA - NUEVO"/>
    <s v="ANTIOQUIA"/>
    <s v="APARTADO"/>
    <s v="DISTRICOL MISCELANEA YAJANDRE"/>
    <s v="REDEBAN"/>
    <s v="FO-25-1433944"/>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VISITA_TÉCNICA"/>
    <s v="FKZZZ697"/>
    <s v="TIPO I"/>
    <s v="TERRESTRE"/>
    <s v="SALDARRIAGA MIRANDA SANTIAGO"/>
    <n v="1"/>
    <n v="0"/>
    <n v="122645.45276000001"/>
    <n v="65164.677720000007"/>
    <n v="122645.45276000001"/>
  </r>
  <r>
    <m/>
    <x v="6"/>
    <x v="7"/>
    <m/>
    <m/>
    <m/>
    <m/>
    <m/>
    <m/>
    <m/>
    <m/>
    <m/>
    <m/>
    <m/>
    <m/>
    <m/>
    <m/>
    <m/>
    <m/>
    <m/>
    <m/>
    <m/>
    <m/>
    <m/>
    <m/>
    <m/>
    <m/>
    <m/>
    <n v="56907490.080640614"/>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4DEE5-F944-4E18-AB6F-1A5CF0B1FA8D}" name="TablaDinámica1" cacheId="21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29">
    <pivotField compact="0" outline="0" showAll="0"/>
    <pivotField axis="axisRow" compact="0" outline="0" showAll="0" defaultSubtotal="0">
      <items count="7">
        <item x="1"/>
        <item x="4"/>
        <item x="2"/>
        <item x="0"/>
        <item x="3"/>
        <item x="5"/>
        <item h="1" x="6"/>
      </items>
    </pivotField>
    <pivotField axis="axisRow" compact="0" outline="0" showAll="0">
      <items count="9">
        <item x="4"/>
        <item x="6"/>
        <item x="1"/>
        <item x="5"/>
        <item x="2"/>
        <item x="0"/>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Suma de  VALOR TOTAL " fld="28" showDataAs="percentOfTotal" baseField="0" baseItem="0" numFmtId="10"/>
    <dataField name="Suma de  VALOR TOTAL 2" fld="28" baseField="0" baseItem="0"/>
  </dataFields>
  <formats count="2">
    <format dxfId="4">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4"/>
  <sheetViews>
    <sheetView workbookViewId="0">
      <selection activeCell="C17" sqref="C17"/>
    </sheetView>
  </sheetViews>
  <sheetFormatPr defaultColWidth="11.42578125" defaultRowHeight="10.9"/>
  <cols>
    <col min="1" max="1" width="16.5703125" style="1" bestFit="1" customWidth="1"/>
    <col min="2" max="2" width="10.140625" style="1" bestFit="1" customWidth="1"/>
    <col min="3" max="3" width="21" style="1" bestFit="1" customWidth="1"/>
    <col min="4" max="4" width="28.140625" style="1" bestFit="1" customWidth="1"/>
    <col min="5" max="5" width="15.28515625" style="1" bestFit="1" customWidth="1"/>
    <col min="6" max="6" width="13.85546875" style="1" customWidth="1"/>
    <col min="7" max="7" width="13.140625" style="1" customWidth="1"/>
    <col min="8" max="8" width="13.7109375" style="1" bestFit="1" customWidth="1"/>
    <col min="9" max="9" width="15.5703125" style="1" bestFit="1" customWidth="1"/>
    <col min="10" max="10" width="2.7109375" style="1" customWidth="1"/>
    <col min="11" max="11" width="16.5703125" style="1" customWidth="1"/>
    <col min="12" max="12" width="15.28515625" style="1" customWidth="1"/>
    <col min="13" max="13" width="14.5703125" style="1" bestFit="1" customWidth="1"/>
    <col min="14" max="16384" width="11.42578125" style="1"/>
  </cols>
  <sheetData>
    <row r="1" spans="1:13" ht="53.45" thickBot="1">
      <c r="A1" s="38" t="s">
        <v>0</v>
      </c>
      <c r="B1" s="39" t="s">
        <v>1</v>
      </c>
      <c r="C1" s="39" t="s">
        <v>2</v>
      </c>
      <c r="D1" s="39" t="s">
        <v>3</v>
      </c>
      <c r="E1" s="39" t="s">
        <v>4</v>
      </c>
      <c r="F1" s="39" t="s">
        <v>5</v>
      </c>
      <c r="G1" s="39" t="s">
        <v>6</v>
      </c>
      <c r="H1" s="39" t="s">
        <v>7</v>
      </c>
      <c r="I1" s="39" t="s">
        <v>8</v>
      </c>
    </row>
    <row r="2" spans="1:13" ht="41.25">
      <c r="A2" s="40" t="s">
        <v>9</v>
      </c>
      <c r="B2" s="41" t="s">
        <v>10</v>
      </c>
      <c r="C2" s="41" t="s">
        <v>11</v>
      </c>
      <c r="D2" s="41" t="s">
        <v>12</v>
      </c>
      <c r="E2" s="41" t="s">
        <v>13</v>
      </c>
      <c r="F2" s="42">
        <f>COUNTA('CAPACITACIONES APERTURAS'!A:A)-1</f>
        <v>464</v>
      </c>
      <c r="G2" s="43">
        <f>'BASE FACTURACION 2025'!C3</f>
        <v>122645.45276000001</v>
      </c>
      <c r="H2" s="43">
        <f>'CAPACITACIONES APERTURAS'!AC466</f>
        <v>56907490.080640614</v>
      </c>
      <c r="I2" s="43">
        <f>H2*1.19</f>
        <v>67719913.195962325</v>
      </c>
    </row>
    <row r="3" spans="1:13" ht="40.15" thickBot="1">
      <c r="A3" s="40" t="str">
        <f>A2</f>
        <v>AGOSTO DE 2025</v>
      </c>
      <c r="B3" s="41" t="s">
        <v>10</v>
      </c>
      <c r="C3" s="41" t="s">
        <v>11</v>
      </c>
      <c r="D3" s="41" t="s">
        <v>14</v>
      </c>
      <c r="E3" s="41" t="s">
        <v>13</v>
      </c>
      <c r="F3" s="42">
        <f>COUNTA('CAPACITACION OC '!A:A)-1</f>
        <v>0</v>
      </c>
      <c r="G3" s="43">
        <v>0</v>
      </c>
      <c r="H3" s="43">
        <f>'CAPACITACION OC '!AW3</f>
        <v>0</v>
      </c>
      <c r="I3" s="43">
        <f t="shared" ref="I3" si="0">H3*1.19</f>
        <v>0</v>
      </c>
    </row>
    <row r="4" spans="1:13" ht="13.9" thickBot="1">
      <c r="A4" s="88" t="s">
        <v>15</v>
      </c>
      <c r="B4" s="89"/>
      <c r="C4" s="89"/>
      <c r="D4" s="90"/>
      <c r="E4" s="44" t="s">
        <v>15</v>
      </c>
      <c r="F4" s="45">
        <f>SUM(F2:F3)</f>
        <v>464</v>
      </c>
      <c r="G4" s="46"/>
      <c r="H4" s="47">
        <f>SUM(H2:H3)</f>
        <v>56907490.080640614</v>
      </c>
      <c r="I4" s="47">
        <f>SUM(I2:I3)</f>
        <v>67719913.195962325</v>
      </c>
      <c r="K4" s="63"/>
      <c r="L4" s="63"/>
      <c r="M4" s="63"/>
    </row>
  </sheetData>
  <autoFilter ref="A1:I4" xr:uid="{00000000-0009-0000-0000-000000000000}"/>
  <mergeCells count="1">
    <mergeCell ref="A4:D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18"/>
  <sheetViews>
    <sheetView workbookViewId="0">
      <selection activeCell="F4" sqref="F4"/>
    </sheetView>
  </sheetViews>
  <sheetFormatPr defaultColWidth="11.42578125" defaultRowHeight="14.45"/>
  <cols>
    <col min="1" max="1" width="18.28515625" style="5" customWidth="1"/>
    <col min="2" max="2" width="18.5703125" style="5" bestFit="1" customWidth="1"/>
    <col min="3" max="3" width="21" style="5" customWidth="1"/>
    <col min="4" max="4" width="18.140625" style="5" bestFit="1" customWidth="1"/>
    <col min="5" max="5" width="23.140625" style="5" customWidth="1"/>
    <col min="6" max="6" width="11.85546875" style="5" bestFit="1" customWidth="1"/>
    <col min="7" max="7" width="3.85546875" style="5" customWidth="1"/>
    <col min="8" max="8" width="17.5703125" style="5" customWidth="1"/>
    <col min="9" max="9" width="12" style="5" bestFit="1" customWidth="1"/>
    <col min="10" max="11" width="20.7109375" style="5" customWidth="1"/>
  </cols>
  <sheetData>
    <row r="1" spans="1:12">
      <c r="A1" s="91" t="s">
        <v>16</v>
      </c>
      <c r="B1" s="91"/>
      <c r="C1" s="91"/>
      <c r="D1" s="91"/>
      <c r="E1" s="91"/>
      <c r="F1" s="91"/>
      <c r="H1" s="11" t="s">
        <v>17</v>
      </c>
    </row>
    <row r="2" spans="1:12" ht="66">
      <c r="A2" s="10" t="s">
        <v>18</v>
      </c>
      <c r="B2" s="10" t="s">
        <v>19</v>
      </c>
      <c r="C2" s="10" t="s">
        <v>20</v>
      </c>
      <c r="D2" s="10" t="s">
        <v>21</v>
      </c>
      <c r="E2" s="10" t="s">
        <v>22</v>
      </c>
      <c r="F2" s="11" t="s">
        <v>23</v>
      </c>
      <c r="H2" s="34">
        <v>5.1999999999999998E-2</v>
      </c>
    </row>
    <row r="3" spans="1:12">
      <c r="A3" s="35" t="s">
        <v>24</v>
      </c>
      <c r="B3" s="35" t="s">
        <v>25</v>
      </c>
      <c r="C3" s="36">
        <f>116583.13*(1+$H$2)</f>
        <v>122645.45276000001</v>
      </c>
      <c r="D3" s="36">
        <f>186397.63*(1+$H$2)</f>
        <v>196090.30676000001</v>
      </c>
      <c r="E3" s="36">
        <f>36031.04*(1+$H$2)</f>
        <v>37904.65408</v>
      </c>
      <c r="F3" s="36">
        <f>61943.61*(1+$H$2)</f>
        <v>65164.677720000007</v>
      </c>
      <c r="H3" s="6"/>
      <c r="I3" s="6"/>
      <c r="J3" s="6"/>
      <c r="K3" s="6"/>
    </row>
    <row r="4" spans="1:12">
      <c r="A4" s="35" t="s">
        <v>26</v>
      </c>
      <c r="B4" s="35" t="s">
        <v>27</v>
      </c>
      <c r="C4" s="36">
        <f t="shared" ref="C4:C7" si="0">116583.13*(1+$H$2)</f>
        <v>122645.45276000001</v>
      </c>
      <c r="D4" s="36">
        <f>239830.52*(1+$H$2)</f>
        <v>252301.70704000001</v>
      </c>
      <c r="E4" s="36">
        <f t="shared" ref="E4:E7" si="1">36031.04*(1+$H$2)</f>
        <v>37904.65408</v>
      </c>
      <c r="F4" s="36">
        <f t="shared" ref="F4:F7" si="2">61943.61*(1+$H$2)</f>
        <v>65164.677720000007</v>
      </c>
      <c r="H4" s="6"/>
      <c r="I4" s="6"/>
      <c r="J4" s="6"/>
      <c r="K4" s="6"/>
    </row>
    <row r="5" spans="1:12">
      <c r="A5" s="35" t="s">
        <v>28</v>
      </c>
      <c r="B5" s="35" t="s">
        <v>29</v>
      </c>
      <c r="C5" s="36">
        <f t="shared" si="0"/>
        <v>122645.45276000001</v>
      </c>
      <c r="D5" s="36">
        <f>385797.87*(1+$H$2)</f>
        <v>405859.35924000002</v>
      </c>
      <c r="E5" s="36">
        <f t="shared" si="1"/>
        <v>37904.65408</v>
      </c>
      <c r="F5" s="36">
        <f t="shared" si="2"/>
        <v>65164.677720000007</v>
      </c>
      <c r="H5" s="6"/>
      <c r="I5" s="6"/>
      <c r="J5" s="6"/>
      <c r="K5" s="6"/>
    </row>
    <row r="6" spans="1:12">
      <c r="A6" s="35" t="s">
        <v>30</v>
      </c>
      <c r="B6" s="35" t="s">
        <v>31</v>
      </c>
      <c r="C6" s="36">
        <f t="shared" si="0"/>
        <v>122645.45276000001</v>
      </c>
      <c r="D6" s="36">
        <f>579581.34*(1+$H$2)</f>
        <v>609719.56967999996</v>
      </c>
      <c r="E6" s="36">
        <f t="shared" si="1"/>
        <v>37904.65408</v>
      </c>
      <c r="F6" s="36">
        <f t="shared" si="2"/>
        <v>65164.677720000007</v>
      </c>
      <c r="H6" s="6"/>
      <c r="I6" s="6"/>
      <c r="J6" s="6"/>
      <c r="K6" s="6"/>
    </row>
    <row r="7" spans="1:12">
      <c r="A7" s="35" t="s">
        <v>32</v>
      </c>
      <c r="B7" s="35" t="s">
        <v>33</v>
      </c>
      <c r="C7" s="36">
        <f t="shared" si="0"/>
        <v>122645.45276000001</v>
      </c>
      <c r="D7" s="36">
        <f>579581.34*(1+$H$2)</f>
        <v>609719.56967999996</v>
      </c>
      <c r="E7" s="36">
        <f t="shared" si="1"/>
        <v>37904.65408</v>
      </c>
      <c r="F7" s="36">
        <f t="shared" si="2"/>
        <v>65164.677720000007</v>
      </c>
      <c r="H7" s="6"/>
      <c r="I7" s="6"/>
      <c r="J7" s="6"/>
      <c r="K7" s="6"/>
    </row>
    <row r="8" spans="1:12">
      <c r="A8" s="92" t="s">
        <v>34</v>
      </c>
      <c r="B8" s="93"/>
      <c r="C8" s="93"/>
      <c r="D8" s="93"/>
      <c r="E8" s="93"/>
      <c r="F8" s="94"/>
    </row>
    <row r="9" spans="1:12">
      <c r="A9" s="92" t="s">
        <v>35</v>
      </c>
      <c r="B9" s="93"/>
      <c r="C9" s="93"/>
      <c r="D9" s="93"/>
      <c r="E9" s="93"/>
      <c r="F9" s="94"/>
    </row>
    <row r="11" spans="1:12">
      <c r="A11" s="95" t="s">
        <v>36</v>
      </c>
      <c r="B11" s="95"/>
      <c r="C11" s="95"/>
      <c r="D11" s="95"/>
      <c r="E11" s="20"/>
      <c r="F11" s="20"/>
    </row>
    <row r="12" spans="1:12">
      <c r="A12" s="16" t="s">
        <v>18</v>
      </c>
      <c r="B12" s="16" t="s">
        <v>19</v>
      </c>
      <c r="C12" s="16" t="s">
        <v>37</v>
      </c>
      <c r="D12" s="16" t="s">
        <v>38</v>
      </c>
    </row>
    <row r="13" spans="1:12">
      <c r="A13" s="17" t="s">
        <v>24</v>
      </c>
      <c r="B13" s="17" t="s">
        <v>25</v>
      </c>
      <c r="C13" s="37">
        <f>62700.07*(1+$H$2)</f>
        <v>65960.473639999997</v>
      </c>
      <c r="D13" s="37">
        <f>42357.4*(1+$H$2)</f>
        <v>44559.984800000006</v>
      </c>
      <c r="E13" s="6"/>
      <c r="F13" s="6"/>
      <c r="H13" s="6"/>
      <c r="I13" s="6"/>
      <c r="J13" s="6"/>
      <c r="K13" s="6"/>
      <c r="L13" s="6"/>
    </row>
    <row r="14" spans="1:12">
      <c r="A14" s="17" t="s">
        <v>26</v>
      </c>
      <c r="B14" s="17" t="s">
        <v>27</v>
      </c>
      <c r="C14" s="37">
        <f>155716.31*(1+$H$2)</f>
        <v>163813.55812</v>
      </c>
      <c r="D14" s="37">
        <f>127766.53*(1+$H$2)</f>
        <v>134410.38956000001</v>
      </c>
      <c r="E14" s="6"/>
      <c r="F14" s="6"/>
      <c r="H14" s="6"/>
      <c r="I14" s="6"/>
      <c r="J14" s="6"/>
      <c r="K14" s="6"/>
      <c r="L14" s="6"/>
    </row>
    <row r="15" spans="1:12">
      <c r="A15" s="17" t="s">
        <v>28</v>
      </c>
      <c r="B15" s="17" t="s">
        <v>29</v>
      </c>
      <c r="C15" s="37">
        <f>262099.22*(1+$H$2)</f>
        <v>275728.37943999999</v>
      </c>
      <c r="D15" s="37">
        <f>211886.19*(1+$H$2)</f>
        <v>222904.27188000001</v>
      </c>
      <c r="E15" s="6"/>
      <c r="F15" s="6"/>
      <c r="H15" s="6"/>
      <c r="I15" s="6"/>
      <c r="J15" s="6"/>
      <c r="K15" s="6"/>
      <c r="L15" s="6"/>
    </row>
    <row r="16" spans="1:12" ht="15" customHeight="1">
      <c r="A16" s="17" t="s">
        <v>30</v>
      </c>
      <c r="B16" s="17" t="s">
        <v>31</v>
      </c>
      <c r="C16" s="37">
        <f>455883.78*(1+$H$2)</f>
        <v>479589.73656000005</v>
      </c>
      <c r="D16" s="37">
        <f>441833.68*(1+$H$2)</f>
        <v>464809.03136000002</v>
      </c>
      <c r="E16" s="6"/>
      <c r="F16" s="6"/>
      <c r="H16" s="6"/>
      <c r="I16" s="6"/>
      <c r="J16" s="6"/>
      <c r="K16" s="6"/>
      <c r="L16" s="6"/>
    </row>
    <row r="17" spans="1:12" ht="27" customHeight="1">
      <c r="A17" s="17" t="s">
        <v>39</v>
      </c>
      <c r="B17" s="17" t="s">
        <v>40</v>
      </c>
      <c r="C17" s="37">
        <f>455883.78*(1+$H$2)</f>
        <v>479589.73656000005</v>
      </c>
      <c r="D17" s="37">
        <f>441833.68*(1+$H$2)</f>
        <v>464809.03136000002</v>
      </c>
      <c r="E17" s="6"/>
      <c r="F17" s="6"/>
      <c r="H17" s="6"/>
      <c r="I17" s="6"/>
      <c r="J17" s="6"/>
      <c r="K17" s="6"/>
      <c r="L17" s="6"/>
    </row>
    <row r="18" spans="1:12" s="19" customFormat="1" ht="24" customHeight="1">
      <c r="A18" s="96" t="s">
        <v>41</v>
      </c>
      <c r="B18" s="97"/>
      <c r="C18" s="97"/>
      <c r="D18" s="98"/>
      <c r="E18" s="18"/>
    </row>
  </sheetData>
  <mergeCells count="5">
    <mergeCell ref="A1:F1"/>
    <mergeCell ref="A8:F8"/>
    <mergeCell ref="A9:F9"/>
    <mergeCell ref="A11:D11"/>
    <mergeCell ref="A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CC79-F853-4081-AAEC-E1D40B88D430}">
  <dimension ref="A3:E11"/>
  <sheetViews>
    <sheetView workbookViewId="0">
      <selection activeCell="C17" sqref="C17"/>
    </sheetView>
  </sheetViews>
  <sheetFormatPr defaultColWidth="8.85546875" defaultRowHeight="14.45"/>
  <cols>
    <col min="1" max="1" width="32.85546875" bestFit="1" customWidth="1"/>
    <col min="2" max="2" width="30.140625" bestFit="1" customWidth="1"/>
    <col min="3" max="3" width="21.5703125" bestFit="1" customWidth="1"/>
    <col min="4" max="4" width="22.5703125" style="33" bestFit="1" customWidth="1"/>
    <col min="5" max="5" width="30" customWidth="1"/>
  </cols>
  <sheetData>
    <row r="3" spans="1:5">
      <c r="A3" s="31" t="s">
        <v>42</v>
      </c>
      <c r="B3" s="31" t="s">
        <v>43</v>
      </c>
      <c r="C3" t="s">
        <v>44</v>
      </c>
      <c r="D3" t="s">
        <v>45</v>
      </c>
      <c r="E3" t="s">
        <v>46</v>
      </c>
    </row>
    <row r="4" spans="1:5">
      <c r="A4" t="s">
        <v>47</v>
      </c>
      <c r="B4" t="s">
        <v>48</v>
      </c>
      <c r="C4" s="53">
        <v>9.2672413793103467E-2</v>
      </c>
      <c r="D4" s="32">
        <v>5273754.4686799953</v>
      </c>
      <c r="E4" t="str">
        <f>VLOOKUP(B4,'CENTRO DE COSTOS'!B:C,2,0)</f>
        <v>Redeban Eje Cafetero (Pereira)</v>
      </c>
    </row>
    <row r="5" spans="1:5">
      <c r="B5" t="s">
        <v>49</v>
      </c>
      <c r="C5" s="53">
        <v>0.15948275862068964</v>
      </c>
      <c r="D5" s="32">
        <v>9075763.5042399894</v>
      </c>
      <c r="E5" t="str">
        <f>VLOOKUP(B5,'CENTRO DE COSTOS'!B:C,2,0)</f>
        <v>Redeban Suroccidente (Cali)</v>
      </c>
    </row>
    <row r="6" spans="1:5">
      <c r="A6" t="s">
        <v>50</v>
      </c>
      <c r="B6" t="s">
        <v>51</v>
      </c>
      <c r="C6" s="53">
        <v>0.14224137931034481</v>
      </c>
      <c r="D6" s="32">
        <v>8094599.8821599903</v>
      </c>
      <c r="E6" t="str">
        <f>VLOOKUP(B6,'CENTRO DE COSTOS'!B:C,2,0)</f>
        <v>Redeban Costa (Barranqullla)</v>
      </c>
    </row>
    <row r="7" spans="1:5">
      <c r="A7" t="s">
        <v>52</v>
      </c>
      <c r="B7" t="s">
        <v>53</v>
      </c>
      <c r="C7" s="53">
        <v>0.15517241379310345</v>
      </c>
      <c r="D7" s="32">
        <v>8830472.5987199899</v>
      </c>
      <c r="E7" t="str">
        <f>VLOOKUP(B7,'CENTRO DE COSTOS'!B:C,2,0)</f>
        <v>Redeban Noroccidente (Medellín)</v>
      </c>
    </row>
    <row r="8" spans="1:5">
      <c r="A8" t="s">
        <v>54</v>
      </c>
      <c r="B8" t="s">
        <v>55</v>
      </c>
      <c r="C8" s="53">
        <v>0.125</v>
      </c>
      <c r="D8" s="32">
        <v>7113436.260079992</v>
      </c>
      <c r="E8" t="str">
        <f>VLOOKUP(B8,'CENTRO DE COSTOS'!B:C,2,0)</f>
        <v>Redeban Oriente (Otros)</v>
      </c>
    </row>
    <row r="9" spans="1:5">
      <c r="A9" t="s">
        <v>56</v>
      </c>
      <c r="B9" t="s">
        <v>57</v>
      </c>
      <c r="C9" s="53">
        <v>0.18965517241379307</v>
      </c>
      <c r="D9" s="32">
        <v>10792799.842879986</v>
      </c>
      <c r="E9" t="str">
        <f>VLOOKUP(B9,'CENTRO DE COSTOS'!B:C,2,0)</f>
        <v>Redeban Santander</v>
      </c>
    </row>
    <row r="10" spans="1:5">
      <c r="A10" t="s">
        <v>58</v>
      </c>
      <c r="B10" t="s">
        <v>59</v>
      </c>
      <c r="C10" s="53">
        <v>0.1357758620689655</v>
      </c>
      <c r="D10" s="32">
        <v>7726663.5238799909</v>
      </c>
      <c r="E10" t="str">
        <f>VLOOKUP(B10,'CENTRO DE COSTOS'!B:C,2,0)</f>
        <v>Redeban Centro ( Bogotá)</v>
      </c>
    </row>
    <row r="11" spans="1:5">
      <c r="A11" t="s">
        <v>60</v>
      </c>
      <c r="C11" s="53">
        <v>1</v>
      </c>
      <c r="D11" s="32">
        <v>56907490.080639936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C466"/>
  <sheetViews>
    <sheetView tabSelected="1" topLeftCell="I1" workbookViewId="0">
      <pane ySplit="1" topLeftCell="P456" activePane="bottomLeft" state="frozen"/>
      <selection pane="bottomLeft" activeCell="AC2" sqref="AC2:AC465"/>
      <selection activeCell="C1" sqref="C1"/>
    </sheetView>
  </sheetViews>
  <sheetFormatPr defaultColWidth="11.42578125" defaultRowHeight="15" customHeight="1"/>
  <cols>
    <col min="1" max="2" width="11.42578125" style="48"/>
    <col min="3" max="3" width="11.85546875" style="48" customWidth="1"/>
    <col min="4" max="4" width="11.5703125" style="48" bestFit="1" customWidth="1"/>
    <col min="5" max="5" width="11.85546875" style="48" bestFit="1" customWidth="1"/>
    <col min="6" max="6" width="11.5703125" style="50" bestFit="1" customWidth="1"/>
    <col min="7" max="12" width="11.42578125" style="48"/>
    <col min="13" max="13" width="15.7109375" style="48" customWidth="1"/>
    <col min="14" max="14" width="11.5703125" style="49" bestFit="1" customWidth="1"/>
    <col min="15" max="15" width="14.42578125" style="49" customWidth="1"/>
    <col min="16" max="24" width="11.42578125" style="48"/>
    <col min="25" max="26" width="11.5703125" style="48" bestFit="1" customWidth="1"/>
    <col min="27" max="28" width="13.140625" style="48" bestFit="1" customWidth="1"/>
    <col min="29" max="29" width="13.42578125" style="48" bestFit="1" customWidth="1"/>
    <col min="30" max="16384" width="11.42578125" style="48"/>
  </cols>
  <sheetData>
    <row r="1" spans="1:29" s="61" customFormat="1" ht="52.9">
      <c r="A1" s="62" t="s">
        <v>61</v>
      </c>
      <c r="B1" s="62" t="s">
        <v>42</v>
      </c>
      <c r="C1" s="62" t="s">
        <v>43</v>
      </c>
      <c r="D1" s="62" t="s">
        <v>62</v>
      </c>
      <c r="E1" s="62" t="s">
        <v>63</v>
      </c>
      <c r="F1" s="62" t="s">
        <v>64</v>
      </c>
      <c r="G1" s="54" t="s">
        <v>65</v>
      </c>
      <c r="H1" s="54" t="s">
        <v>66</v>
      </c>
      <c r="I1" s="62" t="s">
        <v>67</v>
      </c>
      <c r="J1" s="62" t="s">
        <v>68</v>
      </c>
      <c r="K1" s="62" t="s">
        <v>69</v>
      </c>
      <c r="L1" s="62" t="s">
        <v>70</v>
      </c>
      <c r="M1" s="62" t="s">
        <v>71</v>
      </c>
      <c r="N1" s="55" t="s">
        <v>72</v>
      </c>
      <c r="O1" s="55" t="s">
        <v>73</v>
      </c>
      <c r="P1" s="56" t="s">
        <v>74</v>
      </c>
      <c r="Q1" s="56" t="s">
        <v>75</v>
      </c>
      <c r="R1" s="57" t="s">
        <v>76</v>
      </c>
      <c r="S1" s="57" t="s">
        <v>77</v>
      </c>
      <c r="T1" s="62" t="s">
        <v>78</v>
      </c>
      <c r="U1" s="57" t="s">
        <v>79</v>
      </c>
      <c r="V1" s="56" t="s">
        <v>80</v>
      </c>
      <c r="W1" s="56" t="s">
        <v>81</v>
      </c>
      <c r="X1" s="57" t="s">
        <v>82</v>
      </c>
      <c r="Y1" s="58" t="s">
        <v>83</v>
      </c>
      <c r="Z1" s="59" t="s">
        <v>84</v>
      </c>
      <c r="AA1" s="60" t="s">
        <v>85</v>
      </c>
      <c r="AB1" s="60" t="s">
        <v>86</v>
      </c>
      <c r="AC1" s="60" t="s">
        <v>87</v>
      </c>
    </row>
    <row r="2" spans="1:29" s="80" customFormat="1" ht="13.15">
      <c r="A2" s="64" t="s">
        <v>88</v>
      </c>
      <c r="B2" s="65" t="str">
        <f>VLOOKUP(A2,'CENTRO DE COSTOS'!A:D,4,FALSE)</f>
        <v>KEVIN ALEXIS CORZO BUSTOS</v>
      </c>
      <c r="C2" s="65" t="str">
        <f>VLOOKUP(A2,'CENTRO DE COSTOS'!A:D,2,FALSE)</f>
        <v>0004-0007</v>
      </c>
      <c r="D2" s="64">
        <v>18001</v>
      </c>
      <c r="E2" s="66" t="s">
        <v>89</v>
      </c>
      <c r="F2" s="67">
        <v>80665</v>
      </c>
      <c r="G2" s="68" t="s">
        <v>90</v>
      </c>
      <c r="H2" s="69" t="s">
        <v>91</v>
      </c>
      <c r="I2" s="67" t="s">
        <v>92</v>
      </c>
      <c r="J2" s="70" t="s">
        <v>93</v>
      </c>
      <c r="K2" s="67" t="s">
        <v>94</v>
      </c>
      <c r="L2" s="71" t="s">
        <v>95</v>
      </c>
      <c r="M2" s="72" t="s">
        <v>96</v>
      </c>
      <c r="N2" s="73">
        <v>45866</v>
      </c>
      <c r="O2" s="74">
        <v>45870</v>
      </c>
      <c r="P2" s="75" t="s">
        <v>97</v>
      </c>
      <c r="Q2" s="76" t="s">
        <v>97</v>
      </c>
      <c r="R2" s="64" t="s">
        <v>98</v>
      </c>
      <c r="S2" s="77" t="s">
        <v>99</v>
      </c>
      <c r="T2" s="74" t="s">
        <v>100</v>
      </c>
      <c r="U2" s="64" t="s">
        <v>101</v>
      </c>
      <c r="V2" s="70" t="s">
        <v>102</v>
      </c>
      <c r="W2" s="74" t="s">
        <v>103</v>
      </c>
      <c r="X2" s="68" t="s">
        <v>104</v>
      </c>
      <c r="Y2" s="64">
        <v>1</v>
      </c>
      <c r="Z2" s="78">
        <v>0</v>
      </c>
      <c r="AA2" s="79">
        <f>'BASE FACTURACION 2025'!$C$3</f>
        <v>122645.45276000001</v>
      </c>
      <c r="AB2" s="79">
        <f>'BASE FACTURACION 2025'!$F$3</f>
        <v>65164.677720000007</v>
      </c>
      <c r="AC2" s="79">
        <f>AA2*Y2+AB2*Z2</f>
        <v>122645.45276000001</v>
      </c>
    </row>
    <row r="3" spans="1:29" s="80" customFormat="1" ht="13.15">
      <c r="A3" s="64" t="s">
        <v>88</v>
      </c>
      <c r="B3" s="65" t="str">
        <f>VLOOKUP(A3,'CENTRO DE COSTOS'!A:D,4,FALSE)</f>
        <v>KEVIN ALEXIS CORZO BUSTOS</v>
      </c>
      <c r="C3" s="65" t="str">
        <f>VLOOKUP(A3,'CENTRO DE COSTOS'!A:D,2,FALSE)</f>
        <v>0004-0007</v>
      </c>
      <c r="D3" s="64">
        <v>18001</v>
      </c>
      <c r="E3" s="66" t="s">
        <v>105</v>
      </c>
      <c r="F3" s="67">
        <v>80664</v>
      </c>
      <c r="G3" s="68" t="s">
        <v>90</v>
      </c>
      <c r="H3" s="69" t="s">
        <v>91</v>
      </c>
      <c r="I3" s="67" t="s">
        <v>92</v>
      </c>
      <c r="J3" s="70" t="s">
        <v>93</v>
      </c>
      <c r="K3" s="67" t="s">
        <v>106</v>
      </c>
      <c r="L3" s="71" t="s">
        <v>95</v>
      </c>
      <c r="M3" s="72" t="s">
        <v>107</v>
      </c>
      <c r="N3" s="73">
        <v>45866</v>
      </c>
      <c r="O3" s="74">
        <v>45870</v>
      </c>
      <c r="P3" s="75" t="s">
        <v>97</v>
      </c>
      <c r="Q3" s="76" t="s">
        <v>97</v>
      </c>
      <c r="R3" s="64" t="s">
        <v>98</v>
      </c>
      <c r="S3" s="77" t="s">
        <v>108</v>
      </c>
      <c r="T3" s="74" t="s">
        <v>100</v>
      </c>
      <c r="U3" s="64" t="s">
        <v>109</v>
      </c>
      <c r="V3" s="70" t="s">
        <v>102</v>
      </c>
      <c r="W3" s="74" t="s">
        <v>103</v>
      </c>
      <c r="X3" s="68" t="s">
        <v>104</v>
      </c>
      <c r="Y3" s="64">
        <v>1</v>
      </c>
      <c r="Z3" s="78">
        <v>0</v>
      </c>
      <c r="AA3" s="79">
        <f>'BASE FACTURACION 2025'!$C$3</f>
        <v>122645.45276000001</v>
      </c>
      <c r="AB3" s="79">
        <f>'BASE FACTURACION 2025'!$F$3</f>
        <v>65164.677720000007</v>
      </c>
      <c r="AC3" s="79">
        <f t="shared" ref="AC3:AC66" si="0">AA3*Y3+AB3*Z3</f>
        <v>122645.45276000001</v>
      </c>
    </row>
    <row r="4" spans="1:29" s="80" customFormat="1" ht="13.15">
      <c r="A4" s="64" t="s">
        <v>110</v>
      </c>
      <c r="B4" s="65" t="str">
        <f>VLOOKUP(A4,'CENTRO DE COSTOS'!A:D,4,FALSE)</f>
        <v>DIEGO FERNANDO HENAO CARDONA</v>
      </c>
      <c r="C4" s="65" t="str">
        <f>VLOOKUP(A4,'CENTRO DE COSTOS'!A:D,2,FALSE)</f>
        <v>0004-0003</v>
      </c>
      <c r="D4" s="64">
        <v>52427</v>
      </c>
      <c r="E4" s="66" t="s">
        <v>111</v>
      </c>
      <c r="F4" s="67">
        <v>80676</v>
      </c>
      <c r="G4" s="68" t="s">
        <v>90</v>
      </c>
      <c r="H4" s="69" t="s">
        <v>91</v>
      </c>
      <c r="I4" s="67" t="s">
        <v>112</v>
      </c>
      <c r="J4" s="70" t="s">
        <v>113</v>
      </c>
      <c r="K4" s="67" t="s">
        <v>114</v>
      </c>
      <c r="L4" s="71" t="s">
        <v>95</v>
      </c>
      <c r="M4" s="72" t="s">
        <v>115</v>
      </c>
      <c r="N4" s="73">
        <v>45866</v>
      </c>
      <c r="O4" s="74">
        <v>45883</v>
      </c>
      <c r="P4" s="75" t="s">
        <v>97</v>
      </c>
      <c r="Q4" s="76" t="s">
        <v>97</v>
      </c>
      <c r="R4" s="64" t="s">
        <v>98</v>
      </c>
      <c r="S4" s="77" t="s">
        <v>116</v>
      </c>
      <c r="T4" s="74" t="s">
        <v>100</v>
      </c>
      <c r="U4" s="64" t="s">
        <v>117</v>
      </c>
      <c r="V4" s="70" t="s">
        <v>118</v>
      </c>
      <c r="W4" s="74" t="s">
        <v>119</v>
      </c>
      <c r="X4" s="68" t="s">
        <v>120</v>
      </c>
      <c r="Y4" s="64">
        <v>1</v>
      </c>
      <c r="Z4" s="78">
        <v>0</v>
      </c>
      <c r="AA4" s="79">
        <f>'BASE FACTURACION 2025'!$C$3</f>
        <v>122645.45276000001</v>
      </c>
      <c r="AB4" s="79">
        <f>'BASE FACTURACION 2025'!$F$3</f>
        <v>65164.677720000007</v>
      </c>
      <c r="AC4" s="79">
        <f t="shared" si="0"/>
        <v>122645.45276000001</v>
      </c>
    </row>
    <row r="5" spans="1:29" s="80" customFormat="1" ht="13.15">
      <c r="A5" s="64" t="s">
        <v>110</v>
      </c>
      <c r="B5" s="65" t="str">
        <f>VLOOKUP(A5,'CENTRO DE COSTOS'!A:D,4,FALSE)</f>
        <v>DIEGO FERNANDO HENAO CARDONA</v>
      </c>
      <c r="C5" s="65" t="str">
        <f>VLOOKUP(A5,'CENTRO DE COSTOS'!A:D,2,FALSE)</f>
        <v>0004-0003</v>
      </c>
      <c r="D5" s="64">
        <v>52427</v>
      </c>
      <c r="E5" s="66" t="s">
        <v>121</v>
      </c>
      <c r="F5" s="67">
        <v>80675</v>
      </c>
      <c r="G5" s="68" t="s">
        <v>90</v>
      </c>
      <c r="H5" s="69" t="s">
        <v>91</v>
      </c>
      <c r="I5" s="67" t="s">
        <v>112</v>
      </c>
      <c r="J5" s="70" t="s">
        <v>113</v>
      </c>
      <c r="K5" s="67" t="s">
        <v>122</v>
      </c>
      <c r="L5" s="71" t="s">
        <v>95</v>
      </c>
      <c r="M5" s="72" t="s">
        <v>123</v>
      </c>
      <c r="N5" s="73">
        <v>45866</v>
      </c>
      <c r="O5" s="74">
        <v>45883</v>
      </c>
      <c r="P5" s="75" t="s">
        <v>97</v>
      </c>
      <c r="Q5" s="76" t="s">
        <v>97</v>
      </c>
      <c r="R5" s="64" t="s">
        <v>98</v>
      </c>
      <c r="S5" s="77" t="s">
        <v>124</v>
      </c>
      <c r="T5" s="74" t="s">
        <v>100</v>
      </c>
      <c r="U5" s="64" t="s">
        <v>125</v>
      </c>
      <c r="V5" s="70" t="s">
        <v>118</v>
      </c>
      <c r="W5" s="74" t="s">
        <v>119</v>
      </c>
      <c r="X5" s="68" t="s">
        <v>120</v>
      </c>
      <c r="Y5" s="64">
        <v>1</v>
      </c>
      <c r="Z5" s="78">
        <v>0</v>
      </c>
      <c r="AA5" s="79">
        <f>'BASE FACTURACION 2025'!$C$3</f>
        <v>122645.45276000001</v>
      </c>
      <c r="AB5" s="79">
        <f>'BASE FACTURACION 2025'!$F$3</f>
        <v>65164.677720000007</v>
      </c>
      <c r="AC5" s="79">
        <f t="shared" si="0"/>
        <v>122645.45276000001</v>
      </c>
    </row>
    <row r="6" spans="1:29" s="80" customFormat="1" ht="13.15">
      <c r="A6" s="64" t="s">
        <v>126</v>
      </c>
      <c r="B6" s="65" t="str">
        <f>VLOOKUP(A6,'CENTRO DE COSTOS'!A:D,4,FALSE)</f>
        <v>KEVIN ALEXIS CORZO BUSTOS</v>
      </c>
      <c r="C6" s="65" t="str">
        <f>VLOOKUP(A6,'CENTRO DE COSTOS'!A:D,2,FALSE)</f>
        <v>0004-0007</v>
      </c>
      <c r="D6" s="64">
        <v>85001</v>
      </c>
      <c r="E6" s="66" t="s">
        <v>127</v>
      </c>
      <c r="F6" s="67">
        <v>80709</v>
      </c>
      <c r="G6" s="68" t="s">
        <v>90</v>
      </c>
      <c r="H6" s="69" t="s">
        <v>91</v>
      </c>
      <c r="I6" s="67" t="s">
        <v>128</v>
      </c>
      <c r="J6" s="70" t="s">
        <v>126</v>
      </c>
      <c r="K6" s="67" t="s">
        <v>129</v>
      </c>
      <c r="L6" s="71" t="s">
        <v>95</v>
      </c>
      <c r="M6" s="72" t="s">
        <v>130</v>
      </c>
      <c r="N6" s="73">
        <v>45866</v>
      </c>
      <c r="O6" s="74">
        <v>45870</v>
      </c>
      <c r="P6" s="75" t="s">
        <v>97</v>
      </c>
      <c r="Q6" s="76" t="s">
        <v>97</v>
      </c>
      <c r="R6" s="64" t="s">
        <v>98</v>
      </c>
      <c r="S6" s="77" t="s">
        <v>131</v>
      </c>
      <c r="T6" s="74" t="s">
        <v>100</v>
      </c>
      <c r="U6" s="64" t="s">
        <v>132</v>
      </c>
      <c r="V6" s="70" t="s">
        <v>133</v>
      </c>
      <c r="W6" s="74" t="s">
        <v>103</v>
      </c>
      <c r="X6" s="68" t="s">
        <v>134</v>
      </c>
      <c r="Y6" s="64">
        <v>1</v>
      </c>
      <c r="Z6" s="78">
        <v>0</v>
      </c>
      <c r="AA6" s="79">
        <f>'BASE FACTURACION 2025'!$C$3</f>
        <v>122645.45276000001</v>
      </c>
      <c r="AB6" s="79">
        <f>'BASE FACTURACION 2025'!$F$3</f>
        <v>65164.677720000007</v>
      </c>
      <c r="AC6" s="79">
        <f t="shared" si="0"/>
        <v>122645.45276000001</v>
      </c>
    </row>
    <row r="7" spans="1:29" s="80" customFormat="1" ht="13.15">
      <c r="A7" s="64" t="s">
        <v>135</v>
      </c>
      <c r="B7" s="65" t="str">
        <f>VLOOKUP(A7,'CENTRO DE COSTOS'!A:D,4,FALSE)</f>
        <v>JUAN SEBASTIÁN RÍOS CASTRILLÓN</v>
      </c>
      <c r="C7" s="65" t="str">
        <f>VLOOKUP(A7,'CENTRO DE COSTOS'!A:D,2,FALSE)</f>
        <v>0004-0005</v>
      </c>
      <c r="D7" s="64">
        <v>5001</v>
      </c>
      <c r="E7" s="66" t="s">
        <v>136</v>
      </c>
      <c r="F7" s="67">
        <v>80717</v>
      </c>
      <c r="G7" s="68" t="s">
        <v>90</v>
      </c>
      <c r="H7" s="69" t="s">
        <v>137</v>
      </c>
      <c r="I7" s="67" t="s">
        <v>138</v>
      </c>
      <c r="J7" s="70" t="s">
        <v>135</v>
      </c>
      <c r="K7" s="67" t="s">
        <v>139</v>
      </c>
      <c r="L7" s="71" t="s">
        <v>95</v>
      </c>
      <c r="M7" s="72" t="s">
        <v>140</v>
      </c>
      <c r="N7" s="73">
        <v>45868</v>
      </c>
      <c r="O7" s="74">
        <v>45870</v>
      </c>
      <c r="P7" s="75" t="s">
        <v>141</v>
      </c>
      <c r="Q7" s="76" t="s">
        <v>142</v>
      </c>
      <c r="R7" s="64" t="s">
        <v>98</v>
      </c>
      <c r="S7" s="77" t="s">
        <v>143</v>
      </c>
      <c r="T7" s="74" t="s">
        <v>100</v>
      </c>
      <c r="U7" s="64" t="s">
        <v>144</v>
      </c>
      <c r="V7" s="70" t="s">
        <v>133</v>
      </c>
      <c r="W7" s="74" t="s">
        <v>103</v>
      </c>
      <c r="X7" s="68" t="s">
        <v>145</v>
      </c>
      <c r="Y7" s="64">
        <v>1</v>
      </c>
      <c r="Z7" s="78">
        <v>0</v>
      </c>
      <c r="AA7" s="79">
        <f>'BASE FACTURACION 2025'!$C$3</f>
        <v>122645.45276000001</v>
      </c>
      <c r="AB7" s="79">
        <f>'BASE FACTURACION 2025'!$F$3</f>
        <v>65164.677720000007</v>
      </c>
      <c r="AC7" s="79">
        <f t="shared" si="0"/>
        <v>122645.45276000001</v>
      </c>
    </row>
    <row r="8" spans="1:29" s="80" customFormat="1" ht="13.15">
      <c r="A8" s="64" t="s">
        <v>135</v>
      </c>
      <c r="B8" s="65" t="str">
        <f>VLOOKUP(A8,'CENTRO DE COSTOS'!A:D,4,FALSE)</f>
        <v>JUAN SEBASTIÁN RÍOS CASTRILLÓN</v>
      </c>
      <c r="C8" s="65" t="str">
        <f>VLOOKUP(A8,'CENTRO DE COSTOS'!A:D,2,FALSE)</f>
        <v>0004-0005</v>
      </c>
      <c r="D8" s="64">
        <v>5001</v>
      </c>
      <c r="E8" s="66" t="s">
        <v>146</v>
      </c>
      <c r="F8" s="67">
        <v>80718</v>
      </c>
      <c r="G8" s="68" t="s">
        <v>90</v>
      </c>
      <c r="H8" s="69" t="s">
        <v>137</v>
      </c>
      <c r="I8" s="67" t="s">
        <v>138</v>
      </c>
      <c r="J8" s="70" t="s">
        <v>135</v>
      </c>
      <c r="K8" s="67" t="s">
        <v>147</v>
      </c>
      <c r="L8" s="71" t="s">
        <v>95</v>
      </c>
      <c r="M8" s="72" t="s">
        <v>148</v>
      </c>
      <c r="N8" s="73">
        <v>45868</v>
      </c>
      <c r="O8" s="74">
        <v>45870</v>
      </c>
      <c r="P8" s="75" t="s">
        <v>141</v>
      </c>
      <c r="Q8" s="76" t="s">
        <v>142</v>
      </c>
      <c r="R8" s="64" t="s">
        <v>98</v>
      </c>
      <c r="S8" s="77" t="s">
        <v>143</v>
      </c>
      <c r="T8" s="74" t="s">
        <v>100</v>
      </c>
      <c r="U8" s="64" t="s">
        <v>149</v>
      </c>
      <c r="V8" s="70" t="s">
        <v>133</v>
      </c>
      <c r="W8" s="74" t="s">
        <v>103</v>
      </c>
      <c r="X8" s="68" t="s">
        <v>150</v>
      </c>
      <c r="Y8" s="64">
        <v>1</v>
      </c>
      <c r="Z8" s="78">
        <v>0</v>
      </c>
      <c r="AA8" s="79">
        <f>'BASE FACTURACION 2025'!$C$3</f>
        <v>122645.45276000001</v>
      </c>
      <c r="AB8" s="79">
        <f>'BASE FACTURACION 2025'!$F$3</f>
        <v>65164.677720000007</v>
      </c>
      <c r="AC8" s="79">
        <f t="shared" si="0"/>
        <v>122645.45276000001</v>
      </c>
    </row>
    <row r="9" spans="1:29" s="80" customFormat="1" ht="13.15">
      <c r="A9" s="64" t="s">
        <v>135</v>
      </c>
      <c r="B9" s="65" t="str">
        <f>VLOOKUP(A9,'CENTRO DE COSTOS'!A:D,4,FALSE)</f>
        <v>JUAN SEBASTIÁN RÍOS CASTRILLÓN</v>
      </c>
      <c r="C9" s="65" t="str">
        <f>VLOOKUP(A9,'CENTRO DE COSTOS'!A:D,2,FALSE)</f>
        <v>0004-0005</v>
      </c>
      <c r="D9" s="64">
        <v>5088</v>
      </c>
      <c r="E9" s="66" t="s">
        <v>151</v>
      </c>
      <c r="F9" s="67">
        <v>80715</v>
      </c>
      <c r="G9" s="68" t="s">
        <v>90</v>
      </c>
      <c r="H9" s="69" t="s">
        <v>137</v>
      </c>
      <c r="I9" s="67" t="s">
        <v>138</v>
      </c>
      <c r="J9" s="70" t="s">
        <v>152</v>
      </c>
      <c r="K9" s="67" t="s">
        <v>153</v>
      </c>
      <c r="L9" s="71" t="s">
        <v>95</v>
      </c>
      <c r="M9" s="72" t="s">
        <v>154</v>
      </c>
      <c r="N9" s="73">
        <v>45868</v>
      </c>
      <c r="O9" s="74">
        <v>45870</v>
      </c>
      <c r="P9" s="75" t="s">
        <v>141</v>
      </c>
      <c r="Q9" s="76" t="s">
        <v>142</v>
      </c>
      <c r="R9" s="64" t="s">
        <v>98</v>
      </c>
      <c r="S9" s="77" t="s">
        <v>143</v>
      </c>
      <c r="T9" s="74" t="s">
        <v>100</v>
      </c>
      <c r="U9" s="64" t="s">
        <v>155</v>
      </c>
      <c r="V9" s="70" t="s">
        <v>133</v>
      </c>
      <c r="W9" s="74" t="s">
        <v>103</v>
      </c>
      <c r="X9" s="68" t="s">
        <v>145</v>
      </c>
      <c r="Y9" s="64">
        <v>1</v>
      </c>
      <c r="Z9" s="78">
        <v>0</v>
      </c>
      <c r="AA9" s="79">
        <f>'BASE FACTURACION 2025'!$C$3</f>
        <v>122645.45276000001</v>
      </c>
      <c r="AB9" s="79">
        <f>'BASE FACTURACION 2025'!$F$3</f>
        <v>65164.677720000007</v>
      </c>
      <c r="AC9" s="79">
        <f t="shared" si="0"/>
        <v>122645.45276000001</v>
      </c>
    </row>
    <row r="10" spans="1:29" s="80" customFormat="1" ht="13.15">
      <c r="A10" s="64" t="s">
        <v>126</v>
      </c>
      <c r="B10" s="65" t="str">
        <f>VLOOKUP(A10,'CENTRO DE COSTOS'!A:D,4,FALSE)</f>
        <v>KEVIN ALEXIS CORZO BUSTOS</v>
      </c>
      <c r="C10" s="65" t="str">
        <f>VLOOKUP(A10,'CENTRO DE COSTOS'!A:D,2,FALSE)</f>
        <v>0004-0007</v>
      </c>
      <c r="D10" s="64">
        <v>85162</v>
      </c>
      <c r="E10" s="66" t="s">
        <v>156</v>
      </c>
      <c r="F10" s="67">
        <v>80742</v>
      </c>
      <c r="G10" s="68" t="s">
        <v>90</v>
      </c>
      <c r="H10" s="69" t="s">
        <v>91</v>
      </c>
      <c r="I10" s="67" t="s">
        <v>128</v>
      </c>
      <c r="J10" s="70" t="s">
        <v>157</v>
      </c>
      <c r="K10" s="67" t="s">
        <v>158</v>
      </c>
      <c r="L10" s="71" t="s">
        <v>95</v>
      </c>
      <c r="M10" s="72" t="s">
        <v>159</v>
      </c>
      <c r="N10" s="73">
        <v>45868</v>
      </c>
      <c r="O10" s="74">
        <v>45874</v>
      </c>
      <c r="P10" s="75" t="s">
        <v>97</v>
      </c>
      <c r="Q10" s="76" t="s">
        <v>97</v>
      </c>
      <c r="R10" s="64" t="s">
        <v>98</v>
      </c>
      <c r="S10" s="77" t="s">
        <v>160</v>
      </c>
      <c r="T10" s="74" t="s">
        <v>100</v>
      </c>
      <c r="U10" s="64" t="s">
        <v>161</v>
      </c>
      <c r="V10" s="70" t="s">
        <v>162</v>
      </c>
      <c r="W10" s="74" t="s">
        <v>103</v>
      </c>
      <c r="X10" s="68" t="s">
        <v>134</v>
      </c>
      <c r="Y10" s="64">
        <v>1</v>
      </c>
      <c r="Z10" s="78">
        <v>0</v>
      </c>
      <c r="AA10" s="79">
        <f>'BASE FACTURACION 2025'!$C$3</f>
        <v>122645.45276000001</v>
      </c>
      <c r="AB10" s="79">
        <f>'BASE FACTURACION 2025'!$F$3</f>
        <v>65164.677720000007</v>
      </c>
      <c r="AC10" s="79">
        <f t="shared" si="0"/>
        <v>122645.45276000001</v>
      </c>
    </row>
    <row r="11" spans="1:29" s="80" customFormat="1" ht="13.15">
      <c r="A11" s="64" t="s">
        <v>163</v>
      </c>
      <c r="B11" s="65" t="str">
        <f>VLOOKUP(A11,'CENTRO DE COSTOS'!A:D,4,FALSE)</f>
        <v>MIGUEL JULIÁN HERNÁNDEZ GUARÍN</v>
      </c>
      <c r="C11" s="65" t="str">
        <f>VLOOKUP(A11,'CENTRO DE COSTOS'!A:D,2,FALSE)</f>
        <v>0004-0008</v>
      </c>
      <c r="D11" s="64">
        <v>15464</v>
      </c>
      <c r="E11" s="66" t="s">
        <v>164</v>
      </c>
      <c r="F11" s="67">
        <v>80720</v>
      </c>
      <c r="G11" s="68" t="s">
        <v>90</v>
      </c>
      <c r="H11" s="69" t="s">
        <v>91</v>
      </c>
      <c r="I11" s="67" t="s">
        <v>165</v>
      </c>
      <c r="J11" s="70" t="s">
        <v>166</v>
      </c>
      <c r="K11" s="67" t="s">
        <v>167</v>
      </c>
      <c r="L11" s="71" t="s">
        <v>95</v>
      </c>
      <c r="M11" s="72" t="s">
        <v>168</v>
      </c>
      <c r="N11" s="73">
        <v>45868</v>
      </c>
      <c r="O11" s="74">
        <v>45870</v>
      </c>
      <c r="P11" s="75" t="s">
        <v>97</v>
      </c>
      <c r="Q11" s="76" t="s">
        <v>97</v>
      </c>
      <c r="R11" s="64" t="s">
        <v>98</v>
      </c>
      <c r="S11" s="77" t="s">
        <v>169</v>
      </c>
      <c r="T11" s="74" t="s">
        <v>100</v>
      </c>
      <c r="U11" s="64" t="s">
        <v>170</v>
      </c>
      <c r="V11" s="70" t="s">
        <v>162</v>
      </c>
      <c r="W11" s="74" t="s">
        <v>103</v>
      </c>
      <c r="X11" s="68" t="s">
        <v>171</v>
      </c>
      <c r="Y11" s="64">
        <v>1</v>
      </c>
      <c r="Z11" s="78">
        <v>0</v>
      </c>
      <c r="AA11" s="79">
        <f>'BASE FACTURACION 2025'!$C$3</f>
        <v>122645.45276000001</v>
      </c>
      <c r="AB11" s="79">
        <f>'BASE FACTURACION 2025'!$F$3</f>
        <v>65164.677720000007</v>
      </c>
      <c r="AC11" s="79">
        <f t="shared" si="0"/>
        <v>122645.45276000001</v>
      </c>
    </row>
    <row r="12" spans="1:29" s="80" customFormat="1" ht="13.15">
      <c r="A12" s="64" t="s">
        <v>88</v>
      </c>
      <c r="B12" s="65" t="str">
        <f>VLOOKUP(A12,'CENTRO DE COSTOS'!A:D,4,FALSE)</f>
        <v>KEVIN ALEXIS CORZO BUSTOS</v>
      </c>
      <c r="C12" s="65" t="str">
        <f>VLOOKUP(A12,'CENTRO DE COSTOS'!A:D,2,FALSE)</f>
        <v>0004-0007</v>
      </c>
      <c r="D12" s="64">
        <v>41306</v>
      </c>
      <c r="E12" s="66" t="s">
        <v>172</v>
      </c>
      <c r="F12" s="67">
        <v>80736</v>
      </c>
      <c r="G12" s="68" t="s">
        <v>90</v>
      </c>
      <c r="H12" s="69" t="s">
        <v>91</v>
      </c>
      <c r="I12" s="67" t="s">
        <v>173</v>
      </c>
      <c r="J12" s="70" t="s">
        <v>174</v>
      </c>
      <c r="K12" s="67" t="s">
        <v>175</v>
      </c>
      <c r="L12" s="71" t="s">
        <v>95</v>
      </c>
      <c r="M12" s="72" t="s">
        <v>176</v>
      </c>
      <c r="N12" s="73">
        <v>45868</v>
      </c>
      <c r="O12" s="74">
        <v>45870</v>
      </c>
      <c r="P12" s="75" t="s">
        <v>97</v>
      </c>
      <c r="Q12" s="76" t="s">
        <v>97</v>
      </c>
      <c r="R12" s="64" t="s">
        <v>98</v>
      </c>
      <c r="S12" s="77" t="s">
        <v>177</v>
      </c>
      <c r="T12" s="74" t="s">
        <v>100</v>
      </c>
      <c r="U12" s="64" t="s">
        <v>178</v>
      </c>
      <c r="V12" s="70" t="s">
        <v>162</v>
      </c>
      <c r="W12" s="74" t="s">
        <v>103</v>
      </c>
      <c r="X12" s="68" t="s">
        <v>179</v>
      </c>
      <c r="Y12" s="64">
        <v>1</v>
      </c>
      <c r="Z12" s="78">
        <v>0</v>
      </c>
      <c r="AA12" s="79">
        <f>'BASE FACTURACION 2025'!$C$3</f>
        <v>122645.45276000001</v>
      </c>
      <c r="AB12" s="79">
        <f>'BASE FACTURACION 2025'!$F$3</f>
        <v>65164.677720000007</v>
      </c>
      <c r="AC12" s="79">
        <f t="shared" si="0"/>
        <v>122645.45276000001</v>
      </c>
    </row>
    <row r="13" spans="1:29" s="80" customFormat="1" ht="13.15">
      <c r="A13" s="64" t="s">
        <v>180</v>
      </c>
      <c r="B13" s="65" t="str">
        <f>VLOOKUP(A13,'CENTRO DE COSTOS'!A:D,4,FALSE)</f>
        <v>DIEGO FERNANDO HENAO CARDONA</v>
      </c>
      <c r="C13" s="65" t="str">
        <f>VLOOKUP(A13,'CENTRO DE COSTOS'!A:D,2,FALSE)</f>
        <v>0004-0003</v>
      </c>
      <c r="D13" s="64">
        <v>19212</v>
      </c>
      <c r="E13" s="66" t="s">
        <v>181</v>
      </c>
      <c r="F13" s="67">
        <v>80727</v>
      </c>
      <c r="G13" s="68" t="s">
        <v>90</v>
      </c>
      <c r="H13" s="69" t="s">
        <v>182</v>
      </c>
      <c r="I13" s="67" t="s">
        <v>183</v>
      </c>
      <c r="J13" s="70" t="s">
        <v>184</v>
      </c>
      <c r="K13" s="67" t="s">
        <v>185</v>
      </c>
      <c r="L13" s="71" t="s">
        <v>95</v>
      </c>
      <c r="M13" s="72" t="s">
        <v>186</v>
      </c>
      <c r="N13" s="73">
        <v>45868</v>
      </c>
      <c r="O13" s="74">
        <v>45870</v>
      </c>
      <c r="P13" s="75" t="s">
        <v>97</v>
      </c>
      <c r="Q13" s="76" t="s">
        <v>97</v>
      </c>
      <c r="R13" s="64" t="s">
        <v>98</v>
      </c>
      <c r="S13" s="77" t="s">
        <v>187</v>
      </c>
      <c r="T13" s="74" t="s">
        <v>100</v>
      </c>
      <c r="U13" s="64" t="s">
        <v>188</v>
      </c>
      <c r="V13" s="70" t="s">
        <v>189</v>
      </c>
      <c r="W13" s="74" t="s">
        <v>103</v>
      </c>
      <c r="X13" s="68" t="s">
        <v>190</v>
      </c>
      <c r="Y13" s="64">
        <v>1</v>
      </c>
      <c r="Z13" s="78">
        <v>0</v>
      </c>
      <c r="AA13" s="79">
        <f>'BASE FACTURACION 2025'!$C$3</f>
        <v>122645.45276000001</v>
      </c>
      <c r="AB13" s="79">
        <f>'BASE FACTURACION 2025'!$F$3</f>
        <v>65164.677720000007</v>
      </c>
      <c r="AC13" s="79">
        <f t="shared" si="0"/>
        <v>122645.45276000001</v>
      </c>
    </row>
    <row r="14" spans="1:29" s="80" customFormat="1" ht="13.15">
      <c r="A14" s="64" t="s">
        <v>135</v>
      </c>
      <c r="B14" s="65" t="str">
        <f>VLOOKUP(A14,'CENTRO DE COSTOS'!A:D,4,FALSE)</f>
        <v>JUAN SEBASTIÁN RÍOS CASTRILLÓN</v>
      </c>
      <c r="C14" s="65" t="str">
        <f>VLOOKUP(A14,'CENTRO DE COSTOS'!A:D,2,FALSE)</f>
        <v>0004-0005</v>
      </c>
      <c r="D14" s="64">
        <v>5001</v>
      </c>
      <c r="E14" s="66" t="s">
        <v>191</v>
      </c>
      <c r="F14" s="67">
        <v>80762</v>
      </c>
      <c r="G14" s="68" t="s">
        <v>90</v>
      </c>
      <c r="H14" s="69" t="s">
        <v>91</v>
      </c>
      <c r="I14" s="67" t="s">
        <v>138</v>
      </c>
      <c r="J14" s="70" t="s">
        <v>135</v>
      </c>
      <c r="K14" s="67" t="s">
        <v>192</v>
      </c>
      <c r="L14" s="71" t="s">
        <v>95</v>
      </c>
      <c r="M14" s="72" t="s">
        <v>193</v>
      </c>
      <c r="N14" s="73">
        <v>45868</v>
      </c>
      <c r="O14" s="74">
        <v>45870</v>
      </c>
      <c r="P14" s="75" t="s">
        <v>97</v>
      </c>
      <c r="Q14" s="76" t="s">
        <v>97</v>
      </c>
      <c r="R14" s="64" t="s">
        <v>98</v>
      </c>
      <c r="S14" s="77" t="s">
        <v>194</v>
      </c>
      <c r="T14" s="74" t="s">
        <v>100</v>
      </c>
      <c r="U14" s="64" t="s">
        <v>195</v>
      </c>
      <c r="V14" s="70" t="s">
        <v>133</v>
      </c>
      <c r="W14" s="74" t="s">
        <v>103</v>
      </c>
      <c r="X14" s="68" t="s">
        <v>196</v>
      </c>
      <c r="Y14" s="64">
        <v>1</v>
      </c>
      <c r="Z14" s="78">
        <v>0</v>
      </c>
      <c r="AA14" s="79">
        <f>'BASE FACTURACION 2025'!$C$3</f>
        <v>122645.45276000001</v>
      </c>
      <c r="AB14" s="79">
        <f>'BASE FACTURACION 2025'!$F$3</f>
        <v>65164.677720000007</v>
      </c>
      <c r="AC14" s="79">
        <f t="shared" si="0"/>
        <v>122645.45276000001</v>
      </c>
    </row>
    <row r="15" spans="1:29" s="80" customFormat="1" ht="13.15">
      <c r="A15" s="64" t="s">
        <v>110</v>
      </c>
      <c r="B15" s="65" t="str">
        <f>VLOOKUP(A15,'CENTRO DE COSTOS'!A:D,4,FALSE)</f>
        <v>DIEGO FERNANDO HENAO CARDONA</v>
      </c>
      <c r="C15" s="65" t="str">
        <f>VLOOKUP(A15,'CENTRO DE COSTOS'!A:D,2,FALSE)</f>
        <v>0004-0003</v>
      </c>
      <c r="D15" s="64">
        <v>52621</v>
      </c>
      <c r="E15" s="66" t="s">
        <v>197</v>
      </c>
      <c r="F15" s="67">
        <v>80750</v>
      </c>
      <c r="G15" s="68" t="s">
        <v>90</v>
      </c>
      <c r="H15" s="69" t="s">
        <v>91</v>
      </c>
      <c r="I15" s="67" t="s">
        <v>112</v>
      </c>
      <c r="J15" s="70" t="s">
        <v>198</v>
      </c>
      <c r="K15" s="67" t="s">
        <v>199</v>
      </c>
      <c r="L15" s="71" t="s">
        <v>95</v>
      </c>
      <c r="M15" s="72" t="s">
        <v>200</v>
      </c>
      <c r="N15" s="73">
        <v>45868</v>
      </c>
      <c r="O15" s="74">
        <v>45881</v>
      </c>
      <c r="P15" s="75" t="s">
        <v>97</v>
      </c>
      <c r="Q15" s="76" t="s">
        <v>97</v>
      </c>
      <c r="R15" s="64" t="s">
        <v>98</v>
      </c>
      <c r="S15" s="77" t="s">
        <v>201</v>
      </c>
      <c r="T15" s="74" t="s">
        <v>100</v>
      </c>
      <c r="U15" s="64" t="s">
        <v>202</v>
      </c>
      <c r="V15" s="70" t="s">
        <v>118</v>
      </c>
      <c r="W15" s="74" t="s">
        <v>119</v>
      </c>
      <c r="X15" s="68" t="s">
        <v>120</v>
      </c>
      <c r="Y15" s="64">
        <v>1</v>
      </c>
      <c r="Z15" s="78">
        <v>0</v>
      </c>
      <c r="AA15" s="79">
        <f>'BASE FACTURACION 2025'!$C$3</f>
        <v>122645.45276000001</v>
      </c>
      <c r="AB15" s="79">
        <f>'BASE FACTURACION 2025'!$F$3</f>
        <v>65164.677720000007</v>
      </c>
      <c r="AC15" s="79">
        <f t="shared" si="0"/>
        <v>122645.45276000001</v>
      </c>
    </row>
    <row r="16" spans="1:29" s="80" customFormat="1" ht="13.15">
      <c r="A16" s="64" t="s">
        <v>110</v>
      </c>
      <c r="B16" s="65" t="str">
        <f>VLOOKUP(A16,'CENTRO DE COSTOS'!A:D,4,FALSE)</f>
        <v>DIEGO FERNANDO HENAO CARDONA</v>
      </c>
      <c r="C16" s="65" t="str">
        <f>VLOOKUP(A16,'CENTRO DE COSTOS'!A:D,2,FALSE)</f>
        <v>0004-0003</v>
      </c>
      <c r="D16" s="64">
        <v>52585</v>
      </c>
      <c r="E16" s="66" t="s">
        <v>203</v>
      </c>
      <c r="F16" s="67">
        <v>80749</v>
      </c>
      <c r="G16" s="68" t="s">
        <v>90</v>
      </c>
      <c r="H16" s="69" t="s">
        <v>91</v>
      </c>
      <c r="I16" s="67" t="s">
        <v>112</v>
      </c>
      <c r="J16" s="70" t="s">
        <v>204</v>
      </c>
      <c r="K16" s="67" t="s">
        <v>205</v>
      </c>
      <c r="L16" s="71" t="s">
        <v>95</v>
      </c>
      <c r="M16" s="72" t="s">
        <v>206</v>
      </c>
      <c r="N16" s="73">
        <v>45868</v>
      </c>
      <c r="O16" s="74">
        <v>45870</v>
      </c>
      <c r="P16" s="75" t="s">
        <v>97</v>
      </c>
      <c r="Q16" s="76" t="s">
        <v>97</v>
      </c>
      <c r="R16" s="64" t="s">
        <v>98</v>
      </c>
      <c r="S16" s="77" t="s">
        <v>207</v>
      </c>
      <c r="T16" s="74" t="s">
        <v>100</v>
      </c>
      <c r="U16" s="64" t="s">
        <v>208</v>
      </c>
      <c r="V16" s="70" t="s">
        <v>162</v>
      </c>
      <c r="W16" s="74" t="s">
        <v>103</v>
      </c>
      <c r="X16" s="68" t="s">
        <v>209</v>
      </c>
      <c r="Y16" s="64">
        <v>1</v>
      </c>
      <c r="Z16" s="78">
        <v>0</v>
      </c>
      <c r="AA16" s="79">
        <f>'BASE FACTURACION 2025'!$C$3</f>
        <v>122645.45276000001</v>
      </c>
      <c r="AB16" s="79">
        <f>'BASE FACTURACION 2025'!$F$3</f>
        <v>65164.677720000007</v>
      </c>
      <c r="AC16" s="79">
        <f t="shared" si="0"/>
        <v>122645.45276000001</v>
      </c>
    </row>
    <row r="17" spans="1:29" s="80" customFormat="1" ht="13.15">
      <c r="A17" s="64" t="s">
        <v>110</v>
      </c>
      <c r="B17" s="65" t="str">
        <f>VLOOKUP(A17,'CENTRO DE COSTOS'!A:D,4,FALSE)</f>
        <v>DIEGO FERNANDO HENAO CARDONA</v>
      </c>
      <c r="C17" s="65" t="str">
        <f>VLOOKUP(A17,'CENTRO DE COSTOS'!A:D,2,FALSE)</f>
        <v>0004-0003</v>
      </c>
      <c r="D17" s="64">
        <v>52427</v>
      </c>
      <c r="E17" s="66" t="s">
        <v>210</v>
      </c>
      <c r="F17" s="67">
        <v>80739</v>
      </c>
      <c r="G17" s="68" t="s">
        <v>90</v>
      </c>
      <c r="H17" s="69" t="s">
        <v>91</v>
      </c>
      <c r="I17" s="67" t="s">
        <v>112</v>
      </c>
      <c r="J17" s="70" t="s">
        <v>113</v>
      </c>
      <c r="K17" s="67" t="s">
        <v>211</v>
      </c>
      <c r="L17" s="71" t="s">
        <v>95</v>
      </c>
      <c r="M17" s="72" t="s">
        <v>212</v>
      </c>
      <c r="N17" s="73">
        <v>45868</v>
      </c>
      <c r="O17" s="74">
        <v>45882</v>
      </c>
      <c r="P17" s="75" t="s">
        <v>97</v>
      </c>
      <c r="Q17" s="76" t="s">
        <v>97</v>
      </c>
      <c r="R17" s="64" t="s">
        <v>98</v>
      </c>
      <c r="S17" s="77" t="s">
        <v>213</v>
      </c>
      <c r="T17" s="74" t="s">
        <v>100</v>
      </c>
      <c r="U17" s="64" t="s">
        <v>214</v>
      </c>
      <c r="V17" s="70" t="s">
        <v>118</v>
      </c>
      <c r="W17" s="74" t="s">
        <v>119</v>
      </c>
      <c r="X17" s="68" t="s">
        <v>120</v>
      </c>
      <c r="Y17" s="64">
        <v>1</v>
      </c>
      <c r="Z17" s="78">
        <v>0</v>
      </c>
      <c r="AA17" s="79">
        <f>'BASE FACTURACION 2025'!$C$3</f>
        <v>122645.45276000001</v>
      </c>
      <c r="AB17" s="79">
        <f>'BASE FACTURACION 2025'!$F$3</f>
        <v>65164.677720000007</v>
      </c>
      <c r="AC17" s="79">
        <f t="shared" si="0"/>
        <v>122645.45276000001</v>
      </c>
    </row>
    <row r="18" spans="1:29" s="80" customFormat="1" ht="13.15">
      <c r="A18" s="64" t="s">
        <v>135</v>
      </c>
      <c r="B18" s="65" t="str">
        <f>VLOOKUP(A18,'CENTRO DE COSTOS'!A:D,4,FALSE)</f>
        <v>JUAN SEBASTIÁN RÍOS CASTRILLÓN</v>
      </c>
      <c r="C18" s="65" t="str">
        <f>VLOOKUP(A18,'CENTRO DE COSTOS'!A:D,2,FALSE)</f>
        <v>0004-0005</v>
      </c>
      <c r="D18" s="64">
        <v>5001</v>
      </c>
      <c r="E18" s="66" t="s">
        <v>215</v>
      </c>
      <c r="F18" s="67">
        <v>80763</v>
      </c>
      <c r="G18" s="68" t="s">
        <v>90</v>
      </c>
      <c r="H18" s="69" t="s">
        <v>91</v>
      </c>
      <c r="I18" s="67" t="s">
        <v>138</v>
      </c>
      <c r="J18" s="70" t="s">
        <v>135</v>
      </c>
      <c r="K18" s="67" t="s">
        <v>216</v>
      </c>
      <c r="L18" s="71" t="s">
        <v>95</v>
      </c>
      <c r="M18" s="72" t="s">
        <v>217</v>
      </c>
      <c r="N18" s="73">
        <v>45868</v>
      </c>
      <c r="O18" s="74">
        <v>45870</v>
      </c>
      <c r="P18" s="75" t="s">
        <v>97</v>
      </c>
      <c r="Q18" s="76" t="s">
        <v>97</v>
      </c>
      <c r="R18" s="64" t="s">
        <v>98</v>
      </c>
      <c r="S18" s="77" t="s">
        <v>218</v>
      </c>
      <c r="T18" s="74" t="s">
        <v>100</v>
      </c>
      <c r="U18" s="64" t="s">
        <v>219</v>
      </c>
      <c r="V18" s="70" t="s">
        <v>133</v>
      </c>
      <c r="W18" s="74" t="s">
        <v>103</v>
      </c>
      <c r="X18" s="68" t="s">
        <v>196</v>
      </c>
      <c r="Y18" s="64">
        <v>1</v>
      </c>
      <c r="Z18" s="78">
        <v>0</v>
      </c>
      <c r="AA18" s="79">
        <f>'BASE FACTURACION 2025'!$C$3</f>
        <v>122645.45276000001</v>
      </c>
      <c r="AB18" s="79">
        <f>'BASE FACTURACION 2025'!$F$3</f>
        <v>65164.677720000007</v>
      </c>
      <c r="AC18" s="79">
        <f t="shared" si="0"/>
        <v>122645.45276000001</v>
      </c>
    </row>
    <row r="19" spans="1:29" s="80" customFormat="1" ht="13.15">
      <c r="A19" s="64" t="s">
        <v>220</v>
      </c>
      <c r="B19" s="65" t="str">
        <f>VLOOKUP(A19,'CENTRO DE COSTOS'!A:D,4,FALSE)</f>
        <v>KEVIN ALEXIS CORZO BUSTOS</v>
      </c>
      <c r="C19" s="65" t="str">
        <f>VLOOKUP(A19,'CENTRO DE COSTOS'!A:D,2,FALSE)</f>
        <v>0004-0007</v>
      </c>
      <c r="D19" s="64">
        <v>50313</v>
      </c>
      <c r="E19" s="66" t="s">
        <v>221</v>
      </c>
      <c r="F19" s="67">
        <v>80737</v>
      </c>
      <c r="G19" s="68" t="s">
        <v>90</v>
      </c>
      <c r="H19" s="69" t="s">
        <v>91</v>
      </c>
      <c r="I19" s="67" t="s">
        <v>222</v>
      </c>
      <c r="J19" s="70" t="s">
        <v>223</v>
      </c>
      <c r="K19" s="67" t="s">
        <v>224</v>
      </c>
      <c r="L19" s="71" t="s">
        <v>95</v>
      </c>
      <c r="M19" s="72" t="s">
        <v>225</v>
      </c>
      <c r="N19" s="73">
        <v>45868</v>
      </c>
      <c r="O19" s="74">
        <v>45870</v>
      </c>
      <c r="P19" s="75" t="s">
        <v>97</v>
      </c>
      <c r="Q19" s="76" t="s">
        <v>97</v>
      </c>
      <c r="R19" s="64" t="s">
        <v>98</v>
      </c>
      <c r="S19" s="77" t="s">
        <v>226</v>
      </c>
      <c r="T19" s="74" t="s">
        <v>100</v>
      </c>
      <c r="U19" s="64" t="s">
        <v>227</v>
      </c>
      <c r="V19" s="70" t="s">
        <v>162</v>
      </c>
      <c r="W19" s="74" t="s">
        <v>103</v>
      </c>
      <c r="X19" s="68" t="s">
        <v>228</v>
      </c>
      <c r="Y19" s="64">
        <v>1</v>
      </c>
      <c r="Z19" s="78">
        <v>0</v>
      </c>
      <c r="AA19" s="79">
        <f>'BASE FACTURACION 2025'!$C$3</f>
        <v>122645.45276000001</v>
      </c>
      <c r="AB19" s="79">
        <f>'BASE FACTURACION 2025'!$F$3</f>
        <v>65164.677720000007</v>
      </c>
      <c r="AC19" s="79">
        <f t="shared" si="0"/>
        <v>122645.45276000001</v>
      </c>
    </row>
    <row r="20" spans="1:29" s="80" customFormat="1" ht="13.15">
      <c r="A20" s="64" t="s">
        <v>229</v>
      </c>
      <c r="B20" s="65" t="str">
        <f>VLOOKUP(A20,'CENTRO DE COSTOS'!A:D,4,FALSE)</f>
        <v>MIGUEL JULIÁN HERNÁNDEZ GUARÍN</v>
      </c>
      <c r="C20" s="65" t="str">
        <f>VLOOKUP(A20,'CENTRO DE COSTOS'!A:D,2,FALSE)</f>
        <v>0004-0008</v>
      </c>
      <c r="D20" s="64">
        <v>13688</v>
      </c>
      <c r="E20" s="66" t="s">
        <v>230</v>
      </c>
      <c r="F20" s="67">
        <v>80753</v>
      </c>
      <c r="G20" s="68" t="s">
        <v>90</v>
      </c>
      <c r="H20" s="69" t="s">
        <v>91</v>
      </c>
      <c r="I20" s="67" t="s">
        <v>231</v>
      </c>
      <c r="J20" s="70" t="s">
        <v>232</v>
      </c>
      <c r="K20" s="67" t="s">
        <v>233</v>
      </c>
      <c r="L20" s="71" t="s">
        <v>95</v>
      </c>
      <c r="M20" s="72" t="s">
        <v>234</v>
      </c>
      <c r="N20" s="73">
        <v>45868</v>
      </c>
      <c r="O20" s="74">
        <v>45874</v>
      </c>
      <c r="P20" s="75" t="s">
        <v>97</v>
      </c>
      <c r="Q20" s="76" t="s">
        <v>97</v>
      </c>
      <c r="R20" s="64" t="s">
        <v>98</v>
      </c>
      <c r="S20" s="77" t="s">
        <v>235</v>
      </c>
      <c r="T20" s="74" t="s">
        <v>100</v>
      </c>
      <c r="U20" s="64" t="s">
        <v>236</v>
      </c>
      <c r="V20" s="70" t="s">
        <v>118</v>
      </c>
      <c r="W20" s="74" t="s">
        <v>237</v>
      </c>
      <c r="X20" s="68" t="s">
        <v>238</v>
      </c>
      <c r="Y20" s="64">
        <v>1</v>
      </c>
      <c r="Z20" s="78">
        <v>0</v>
      </c>
      <c r="AA20" s="79">
        <f>'BASE FACTURACION 2025'!$C$3</f>
        <v>122645.45276000001</v>
      </c>
      <c r="AB20" s="79">
        <f>'BASE FACTURACION 2025'!$F$3</f>
        <v>65164.677720000007</v>
      </c>
      <c r="AC20" s="79">
        <f t="shared" si="0"/>
        <v>122645.45276000001</v>
      </c>
    </row>
    <row r="21" spans="1:29" s="80" customFormat="1" ht="13.15">
      <c r="A21" s="64" t="s">
        <v>88</v>
      </c>
      <c r="B21" s="65" t="str">
        <f>VLOOKUP(A21,'CENTRO DE COSTOS'!A:D,4,FALSE)</f>
        <v>KEVIN ALEXIS CORZO BUSTOS</v>
      </c>
      <c r="C21" s="65" t="str">
        <f>VLOOKUP(A21,'CENTRO DE COSTOS'!A:D,2,FALSE)</f>
        <v>0004-0007</v>
      </c>
      <c r="D21" s="64">
        <v>18001</v>
      </c>
      <c r="E21" s="66" t="s">
        <v>239</v>
      </c>
      <c r="F21" s="67">
        <v>80733</v>
      </c>
      <c r="G21" s="68" t="s">
        <v>90</v>
      </c>
      <c r="H21" s="69" t="s">
        <v>91</v>
      </c>
      <c r="I21" s="67" t="s">
        <v>92</v>
      </c>
      <c r="J21" s="70" t="s">
        <v>93</v>
      </c>
      <c r="K21" s="67" t="s">
        <v>240</v>
      </c>
      <c r="L21" s="71" t="s">
        <v>95</v>
      </c>
      <c r="M21" s="72" t="s">
        <v>241</v>
      </c>
      <c r="N21" s="73">
        <v>45868</v>
      </c>
      <c r="O21" s="74">
        <v>45873</v>
      </c>
      <c r="P21" s="75" t="s">
        <v>97</v>
      </c>
      <c r="Q21" s="76" t="s">
        <v>97</v>
      </c>
      <c r="R21" s="64" t="s">
        <v>98</v>
      </c>
      <c r="S21" s="77" t="s">
        <v>242</v>
      </c>
      <c r="T21" s="74" t="s">
        <v>100</v>
      </c>
      <c r="U21" s="64" t="s">
        <v>243</v>
      </c>
      <c r="V21" s="70" t="s">
        <v>102</v>
      </c>
      <c r="W21" s="74" t="s">
        <v>103</v>
      </c>
      <c r="X21" s="68" t="s">
        <v>244</v>
      </c>
      <c r="Y21" s="64">
        <v>1</v>
      </c>
      <c r="Z21" s="78">
        <v>0</v>
      </c>
      <c r="AA21" s="79">
        <f>'BASE FACTURACION 2025'!$C$3</f>
        <v>122645.45276000001</v>
      </c>
      <c r="AB21" s="79">
        <f>'BASE FACTURACION 2025'!$F$3</f>
        <v>65164.677720000007</v>
      </c>
      <c r="AC21" s="79">
        <f t="shared" si="0"/>
        <v>122645.45276000001</v>
      </c>
    </row>
    <row r="22" spans="1:29" s="80" customFormat="1" ht="13.15">
      <c r="A22" s="64" t="s">
        <v>245</v>
      </c>
      <c r="B22" s="65" t="str">
        <f>VLOOKUP(A22,'CENTRO DE COSTOS'!A:D,4,FALSE)</f>
        <v>MIGUEL JULIÁN HERNÁNDEZ GUARÍN</v>
      </c>
      <c r="C22" s="65" t="str">
        <f>VLOOKUP(A22,'CENTRO DE COSTOS'!A:D,2,FALSE)</f>
        <v>0004-0008</v>
      </c>
      <c r="D22" s="64">
        <v>54498</v>
      </c>
      <c r="E22" s="66" t="s">
        <v>246</v>
      </c>
      <c r="F22" s="67">
        <v>80745</v>
      </c>
      <c r="G22" s="68" t="s">
        <v>90</v>
      </c>
      <c r="H22" s="69" t="s">
        <v>91</v>
      </c>
      <c r="I22" s="67" t="s">
        <v>247</v>
      </c>
      <c r="J22" s="70" t="s">
        <v>248</v>
      </c>
      <c r="K22" s="67" t="s">
        <v>249</v>
      </c>
      <c r="L22" s="71" t="s">
        <v>95</v>
      </c>
      <c r="M22" s="72" t="s">
        <v>250</v>
      </c>
      <c r="N22" s="73">
        <v>45868</v>
      </c>
      <c r="O22" s="74">
        <v>45870</v>
      </c>
      <c r="P22" s="75" t="s">
        <v>97</v>
      </c>
      <c r="Q22" s="76" t="s">
        <v>97</v>
      </c>
      <c r="R22" s="64" t="s">
        <v>98</v>
      </c>
      <c r="S22" s="77" t="s">
        <v>251</v>
      </c>
      <c r="T22" s="74" t="s">
        <v>100</v>
      </c>
      <c r="U22" s="64" t="s">
        <v>252</v>
      </c>
      <c r="V22" s="70" t="s">
        <v>102</v>
      </c>
      <c r="W22" s="74" t="s">
        <v>103</v>
      </c>
      <c r="X22" s="68" t="s">
        <v>253</v>
      </c>
      <c r="Y22" s="64">
        <v>1</v>
      </c>
      <c r="Z22" s="78">
        <v>0</v>
      </c>
      <c r="AA22" s="79">
        <f>'BASE FACTURACION 2025'!$C$3</f>
        <v>122645.45276000001</v>
      </c>
      <c r="AB22" s="79">
        <f>'BASE FACTURACION 2025'!$F$3</f>
        <v>65164.677720000007</v>
      </c>
      <c r="AC22" s="79">
        <f t="shared" si="0"/>
        <v>122645.45276000001</v>
      </c>
    </row>
    <row r="23" spans="1:29" s="80" customFormat="1" ht="13.15">
      <c r="A23" s="64" t="s">
        <v>180</v>
      </c>
      <c r="B23" s="65" t="str">
        <f>VLOOKUP(A23,'CENTRO DE COSTOS'!A:D,4,FALSE)</f>
        <v>DIEGO FERNANDO HENAO CARDONA</v>
      </c>
      <c r="C23" s="65" t="str">
        <f>VLOOKUP(A23,'CENTRO DE COSTOS'!A:D,2,FALSE)</f>
        <v>0004-0003</v>
      </c>
      <c r="D23" s="64">
        <v>19137</v>
      </c>
      <c r="E23" s="66" t="s">
        <v>254</v>
      </c>
      <c r="F23" s="67">
        <v>80723</v>
      </c>
      <c r="G23" s="68" t="s">
        <v>90</v>
      </c>
      <c r="H23" s="69" t="s">
        <v>91</v>
      </c>
      <c r="I23" s="67" t="s">
        <v>183</v>
      </c>
      <c r="J23" s="70" t="s">
        <v>255</v>
      </c>
      <c r="K23" s="67" t="s">
        <v>256</v>
      </c>
      <c r="L23" s="71" t="s">
        <v>95</v>
      </c>
      <c r="M23" s="72" t="s">
        <v>257</v>
      </c>
      <c r="N23" s="73">
        <v>45868</v>
      </c>
      <c r="O23" s="74">
        <v>45870</v>
      </c>
      <c r="P23" s="75" t="s">
        <v>97</v>
      </c>
      <c r="Q23" s="76" t="s">
        <v>97</v>
      </c>
      <c r="R23" s="64" t="s">
        <v>98</v>
      </c>
      <c r="S23" s="77" t="s">
        <v>258</v>
      </c>
      <c r="T23" s="74" t="s">
        <v>100</v>
      </c>
      <c r="U23" s="64" t="s">
        <v>259</v>
      </c>
      <c r="V23" s="70" t="s">
        <v>189</v>
      </c>
      <c r="W23" s="74" t="s">
        <v>103</v>
      </c>
      <c r="X23" s="68" t="s">
        <v>260</v>
      </c>
      <c r="Y23" s="64">
        <v>1</v>
      </c>
      <c r="Z23" s="78">
        <v>0</v>
      </c>
      <c r="AA23" s="79">
        <f>'BASE FACTURACION 2025'!$C$3</f>
        <v>122645.45276000001</v>
      </c>
      <c r="AB23" s="79">
        <f>'BASE FACTURACION 2025'!$F$3</f>
        <v>65164.677720000007</v>
      </c>
      <c r="AC23" s="79">
        <f t="shared" si="0"/>
        <v>122645.45276000001</v>
      </c>
    </row>
    <row r="24" spans="1:29" s="80" customFormat="1" ht="13.15">
      <c r="A24" s="64" t="s">
        <v>261</v>
      </c>
      <c r="B24" s="65" t="str">
        <f>VLOOKUP(A24,'CENTRO DE COSTOS'!A:D,4,FALSE)</f>
        <v>JOSE MAURICIO HERNANDEZ ROJAS</v>
      </c>
      <c r="C24" s="65" t="str">
        <f>VLOOKUP(A24,'CENTRO DE COSTOS'!A:D,2,FALSE)</f>
        <v>0004-0001</v>
      </c>
      <c r="D24" s="64">
        <v>13442</v>
      </c>
      <c r="E24" s="66" t="s">
        <v>262</v>
      </c>
      <c r="F24" s="67">
        <v>80740</v>
      </c>
      <c r="G24" s="68" t="s">
        <v>90</v>
      </c>
      <c r="H24" s="69" t="s">
        <v>91</v>
      </c>
      <c r="I24" s="67" t="s">
        <v>231</v>
      </c>
      <c r="J24" s="70" t="s">
        <v>263</v>
      </c>
      <c r="K24" s="67" t="s">
        <v>264</v>
      </c>
      <c r="L24" s="71" t="s">
        <v>95</v>
      </c>
      <c r="M24" s="72" t="s">
        <v>265</v>
      </c>
      <c r="N24" s="73">
        <v>45868</v>
      </c>
      <c r="O24" s="74">
        <v>45875</v>
      </c>
      <c r="P24" s="75" t="s">
        <v>97</v>
      </c>
      <c r="Q24" s="76" t="s">
        <v>97</v>
      </c>
      <c r="R24" s="64" t="s">
        <v>98</v>
      </c>
      <c r="S24" s="77" t="s">
        <v>266</v>
      </c>
      <c r="T24" s="74" t="s">
        <v>100</v>
      </c>
      <c r="U24" s="64" t="s">
        <v>267</v>
      </c>
      <c r="V24" s="70" t="s">
        <v>162</v>
      </c>
      <c r="W24" s="74" t="s">
        <v>103</v>
      </c>
      <c r="X24" s="68" t="s">
        <v>268</v>
      </c>
      <c r="Y24" s="64">
        <v>1</v>
      </c>
      <c r="Z24" s="78">
        <v>0</v>
      </c>
      <c r="AA24" s="79">
        <f>'BASE FACTURACION 2025'!$C$3</f>
        <v>122645.45276000001</v>
      </c>
      <c r="AB24" s="79">
        <f>'BASE FACTURACION 2025'!$F$3</f>
        <v>65164.677720000007</v>
      </c>
      <c r="AC24" s="79">
        <f t="shared" si="0"/>
        <v>122645.45276000001</v>
      </c>
    </row>
    <row r="25" spans="1:29" s="80" customFormat="1" ht="13.15">
      <c r="A25" s="64" t="s">
        <v>88</v>
      </c>
      <c r="B25" s="65" t="str">
        <f>VLOOKUP(A25,'CENTRO DE COSTOS'!A:D,4,FALSE)</f>
        <v>KEVIN ALEXIS CORZO BUSTOS</v>
      </c>
      <c r="C25" s="65" t="str">
        <f>VLOOKUP(A25,'CENTRO DE COSTOS'!A:D,2,FALSE)</f>
        <v>0004-0007</v>
      </c>
      <c r="D25" s="64">
        <v>41396</v>
      </c>
      <c r="E25" s="66" t="s">
        <v>269</v>
      </c>
      <c r="F25" s="67">
        <v>80738</v>
      </c>
      <c r="G25" s="68" t="s">
        <v>90</v>
      </c>
      <c r="H25" s="69" t="s">
        <v>91</v>
      </c>
      <c r="I25" s="67" t="s">
        <v>173</v>
      </c>
      <c r="J25" s="70" t="s">
        <v>270</v>
      </c>
      <c r="K25" s="67" t="s">
        <v>271</v>
      </c>
      <c r="L25" s="71" t="s">
        <v>95</v>
      </c>
      <c r="M25" s="72" t="s">
        <v>272</v>
      </c>
      <c r="N25" s="73">
        <v>45868</v>
      </c>
      <c r="O25" s="74">
        <v>45870</v>
      </c>
      <c r="P25" s="75" t="s">
        <v>97</v>
      </c>
      <c r="Q25" s="76" t="s">
        <v>97</v>
      </c>
      <c r="R25" s="64" t="s">
        <v>98</v>
      </c>
      <c r="S25" s="77" t="s">
        <v>273</v>
      </c>
      <c r="T25" s="74" t="s">
        <v>100</v>
      </c>
      <c r="U25" s="64" t="s">
        <v>274</v>
      </c>
      <c r="V25" s="70" t="s">
        <v>189</v>
      </c>
      <c r="W25" s="74" t="s">
        <v>103</v>
      </c>
      <c r="X25" s="68" t="s">
        <v>275</v>
      </c>
      <c r="Y25" s="64">
        <v>1</v>
      </c>
      <c r="Z25" s="78">
        <v>0</v>
      </c>
      <c r="AA25" s="79">
        <f>'BASE FACTURACION 2025'!$C$3</f>
        <v>122645.45276000001</v>
      </c>
      <c r="AB25" s="79">
        <f>'BASE FACTURACION 2025'!$F$3</f>
        <v>65164.677720000007</v>
      </c>
      <c r="AC25" s="79">
        <f t="shared" si="0"/>
        <v>122645.45276000001</v>
      </c>
    </row>
    <row r="26" spans="1:29" s="80" customFormat="1" ht="13.15">
      <c r="A26" s="64" t="s">
        <v>135</v>
      </c>
      <c r="B26" s="65" t="str">
        <f>VLOOKUP(A26,'CENTRO DE COSTOS'!A:D,4,FALSE)</f>
        <v>JUAN SEBASTIÁN RÍOS CASTRILLÓN</v>
      </c>
      <c r="C26" s="65" t="str">
        <f>VLOOKUP(A26,'CENTRO DE COSTOS'!A:D,2,FALSE)</f>
        <v>0004-0005</v>
      </c>
      <c r="D26" s="64">
        <v>5001</v>
      </c>
      <c r="E26" s="66" t="s">
        <v>276</v>
      </c>
      <c r="F26" s="67">
        <v>80761</v>
      </c>
      <c r="G26" s="68" t="s">
        <v>90</v>
      </c>
      <c r="H26" s="69" t="s">
        <v>91</v>
      </c>
      <c r="I26" s="67" t="s">
        <v>138</v>
      </c>
      <c r="J26" s="70" t="s">
        <v>135</v>
      </c>
      <c r="K26" s="67" t="s">
        <v>277</v>
      </c>
      <c r="L26" s="71" t="s">
        <v>95</v>
      </c>
      <c r="M26" s="72" t="s">
        <v>278</v>
      </c>
      <c r="N26" s="73">
        <v>45868</v>
      </c>
      <c r="O26" s="74">
        <v>45870</v>
      </c>
      <c r="P26" s="75" t="s">
        <v>97</v>
      </c>
      <c r="Q26" s="76" t="s">
        <v>97</v>
      </c>
      <c r="R26" s="64" t="s">
        <v>98</v>
      </c>
      <c r="S26" s="77" t="s">
        <v>279</v>
      </c>
      <c r="T26" s="74" t="s">
        <v>100</v>
      </c>
      <c r="U26" s="64" t="s">
        <v>280</v>
      </c>
      <c r="V26" s="70" t="s">
        <v>133</v>
      </c>
      <c r="W26" s="74" t="s">
        <v>103</v>
      </c>
      <c r="X26" s="68" t="s">
        <v>150</v>
      </c>
      <c r="Y26" s="64">
        <v>1</v>
      </c>
      <c r="Z26" s="78">
        <v>0</v>
      </c>
      <c r="AA26" s="79">
        <f>'BASE FACTURACION 2025'!$C$3</f>
        <v>122645.45276000001</v>
      </c>
      <c r="AB26" s="79">
        <f>'BASE FACTURACION 2025'!$F$3</f>
        <v>65164.677720000007</v>
      </c>
      <c r="AC26" s="79">
        <f t="shared" si="0"/>
        <v>122645.45276000001</v>
      </c>
    </row>
    <row r="27" spans="1:29" s="80" customFormat="1" ht="13.15">
      <c r="A27" s="64" t="s">
        <v>163</v>
      </c>
      <c r="B27" s="65" t="str">
        <f>VLOOKUP(A27,'CENTRO DE COSTOS'!A:D,4,FALSE)</f>
        <v>MIGUEL JULIÁN HERNÁNDEZ GUARÍN</v>
      </c>
      <c r="C27" s="65" t="str">
        <f>VLOOKUP(A27,'CENTRO DE COSTOS'!A:D,2,FALSE)</f>
        <v>0004-0008</v>
      </c>
      <c r="D27" s="64">
        <v>15759</v>
      </c>
      <c r="E27" s="66" t="s">
        <v>281</v>
      </c>
      <c r="F27" s="67">
        <v>80755</v>
      </c>
      <c r="G27" s="68" t="s">
        <v>90</v>
      </c>
      <c r="H27" s="69" t="s">
        <v>91</v>
      </c>
      <c r="I27" s="67" t="s">
        <v>165</v>
      </c>
      <c r="J27" s="70" t="s">
        <v>282</v>
      </c>
      <c r="K27" s="67" t="s">
        <v>283</v>
      </c>
      <c r="L27" s="71" t="s">
        <v>95</v>
      </c>
      <c r="M27" s="72" t="s">
        <v>284</v>
      </c>
      <c r="N27" s="73">
        <v>45868</v>
      </c>
      <c r="O27" s="74">
        <v>45870</v>
      </c>
      <c r="P27" s="75" t="s">
        <v>97</v>
      </c>
      <c r="Q27" s="76" t="s">
        <v>97</v>
      </c>
      <c r="R27" s="64" t="s">
        <v>98</v>
      </c>
      <c r="S27" s="77" t="s">
        <v>285</v>
      </c>
      <c r="T27" s="74" t="s">
        <v>100</v>
      </c>
      <c r="U27" s="64" t="s">
        <v>286</v>
      </c>
      <c r="V27" s="70" t="s">
        <v>162</v>
      </c>
      <c r="W27" s="74" t="s">
        <v>103</v>
      </c>
      <c r="X27" s="68" t="s">
        <v>171</v>
      </c>
      <c r="Y27" s="64">
        <v>1</v>
      </c>
      <c r="Z27" s="78">
        <v>0</v>
      </c>
      <c r="AA27" s="79">
        <f>'BASE FACTURACION 2025'!$C$3</f>
        <v>122645.45276000001</v>
      </c>
      <c r="AB27" s="79">
        <f>'BASE FACTURACION 2025'!$F$3</f>
        <v>65164.677720000007</v>
      </c>
      <c r="AC27" s="79">
        <f t="shared" si="0"/>
        <v>122645.45276000001</v>
      </c>
    </row>
    <row r="28" spans="1:29" s="80" customFormat="1" ht="13.15">
      <c r="A28" s="64" t="s">
        <v>220</v>
      </c>
      <c r="B28" s="65" t="str">
        <f>VLOOKUP(A28,'CENTRO DE COSTOS'!A:D,4,FALSE)</f>
        <v>KEVIN ALEXIS CORZO BUSTOS</v>
      </c>
      <c r="C28" s="65" t="str">
        <f>VLOOKUP(A28,'CENTRO DE COSTOS'!A:D,2,FALSE)</f>
        <v>0004-0007</v>
      </c>
      <c r="D28" s="64">
        <v>50110</v>
      </c>
      <c r="E28" s="66" t="s">
        <v>287</v>
      </c>
      <c r="F28" s="67">
        <v>80719</v>
      </c>
      <c r="G28" s="68" t="s">
        <v>90</v>
      </c>
      <c r="H28" s="69" t="s">
        <v>91</v>
      </c>
      <c r="I28" s="67" t="s">
        <v>222</v>
      </c>
      <c r="J28" s="70" t="s">
        <v>288</v>
      </c>
      <c r="K28" s="67" t="s">
        <v>289</v>
      </c>
      <c r="L28" s="71" t="s">
        <v>95</v>
      </c>
      <c r="M28" s="72" t="s">
        <v>290</v>
      </c>
      <c r="N28" s="73">
        <v>45868</v>
      </c>
      <c r="O28" s="74">
        <v>45870</v>
      </c>
      <c r="P28" s="75" t="s">
        <v>97</v>
      </c>
      <c r="Q28" s="76" t="s">
        <v>97</v>
      </c>
      <c r="R28" s="64" t="s">
        <v>98</v>
      </c>
      <c r="S28" s="77" t="s">
        <v>291</v>
      </c>
      <c r="T28" s="74" t="s">
        <v>100</v>
      </c>
      <c r="U28" s="64" t="s">
        <v>292</v>
      </c>
      <c r="V28" s="70" t="s">
        <v>162</v>
      </c>
      <c r="W28" s="74" t="s">
        <v>103</v>
      </c>
      <c r="X28" s="68" t="s">
        <v>293</v>
      </c>
      <c r="Y28" s="64">
        <v>1</v>
      </c>
      <c r="Z28" s="78">
        <v>0</v>
      </c>
      <c r="AA28" s="79">
        <f>'BASE FACTURACION 2025'!$C$3</f>
        <v>122645.45276000001</v>
      </c>
      <c r="AB28" s="79">
        <f>'BASE FACTURACION 2025'!$F$3</f>
        <v>65164.677720000007</v>
      </c>
      <c r="AC28" s="79">
        <f t="shared" si="0"/>
        <v>122645.45276000001</v>
      </c>
    </row>
    <row r="29" spans="1:29" s="80" customFormat="1" ht="13.15">
      <c r="A29" s="64" t="s">
        <v>135</v>
      </c>
      <c r="B29" s="65" t="str">
        <f>VLOOKUP(A29,'CENTRO DE COSTOS'!A:D,4,FALSE)</f>
        <v>JUAN SEBASTIÁN RÍOS CASTRILLÓN</v>
      </c>
      <c r="C29" s="65" t="str">
        <f>VLOOKUP(A29,'CENTRO DE COSTOS'!A:D,2,FALSE)</f>
        <v>0004-0005</v>
      </c>
      <c r="D29" s="64">
        <v>5483</v>
      </c>
      <c r="E29" s="66" t="s">
        <v>294</v>
      </c>
      <c r="F29" s="67">
        <v>80744</v>
      </c>
      <c r="G29" s="68" t="s">
        <v>90</v>
      </c>
      <c r="H29" s="69" t="s">
        <v>91</v>
      </c>
      <c r="I29" s="67" t="s">
        <v>138</v>
      </c>
      <c r="J29" s="70" t="s">
        <v>112</v>
      </c>
      <c r="K29" s="67" t="s">
        <v>295</v>
      </c>
      <c r="L29" s="71" t="s">
        <v>95</v>
      </c>
      <c r="M29" s="72" t="s">
        <v>296</v>
      </c>
      <c r="N29" s="73">
        <v>45868</v>
      </c>
      <c r="O29" s="74">
        <v>45870</v>
      </c>
      <c r="P29" s="75" t="s">
        <v>97</v>
      </c>
      <c r="Q29" s="76" t="s">
        <v>97</v>
      </c>
      <c r="R29" s="64" t="s">
        <v>98</v>
      </c>
      <c r="S29" s="77" t="s">
        <v>297</v>
      </c>
      <c r="T29" s="74" t="s">
        <v>100</v>
      </c>
      <c r="U29" s="64" t="s">
        <v>298</v>
      </c>
      <c r="V29" s="70" t="s">
        <v>102</v>
      </c>
      <c r="W29" s="74" t="s">
        <v>103</v>
      </c>
      <c r="X29" s="68" t="s">
        <v>299</v>
      </c>
      <c r="Y29" s="64">
        <v>1</v>
      </c>
      <c r="Z29" s="78">
        <v>0</v>
      </c>
      <c r="AA29" s="79">
        <f>'BASE FACTURACION 2025'!$C$3</f>
        <v>122645.45276000001</v>
      </c>
      <c r="AB29" s="79">
        <f>'BASE FACTURACION 2025'!$F$3</f>
        <v>65164.677720000007</v>
      </c>
      <c r="AC29" s="79">
        <f t="shared" si="0"/>
        <v>122645.45276000001</v>
      </c>
    </row>
    <row r="30" spans="1:29" s="80" customFormat="1" ht="13.15">
      <c r="A30" s="64" t="s">
        <v>88</v>
      </c>
      <c r="B30" s="65" t="str">
        <f>VLOOKUP(A30,'CENTRO DE COSTOS'!A:D,4,FALSE)</f>
        <v>KEVIN ALEXIS CORZO BUSTOS</v>
      </c>
      <c r="C30" s="65" t="str">
        <f>VLOOKUP(A30,'CENTRO DE COSTOS'!A:D,2,FALSE)</f>
        <v>0004-0007</v>
      </c>
      <c r="D30" s="64">
        <v>18001</v>
      </c>
      <c r="E30" s="66" t="s">
        <v>300</v>
      </c>
      <c r="F30" s="67">
        <v>80786</v>
      </c>
      <c r="G30" s="68" t="s">
        <v>90</v>
      </c>
      <c r="H30" s="69" t="s">
        <v>91</v>
      </c>
      <c r="I30" s="67" t="s">
        <v>92</v>
      </c>
      <c r="J30" s="70" t="s">
        <v>93</v>
      </c>
      <c r="K30" s="67" t="s">
        <v>301</v>
      </c>
      <c r="L30" s="71" t="s">
        <v>95</v>
      </c>
      <c r="M30" s="72" t="s">
        <v>302</v>
      </c>
      <c r="N30" s="73">
        <v>45870</v>
      </c>
      <c r="O30" s="74">
        <v>45873</v>
      </c>
      <c r="P30" s="75" t="s">
        <v>97</v>
      </c>
      <c r="Q30" s="76" t="s">
        <v>97</v>
      </c>
      <c r="R30" s="64" t="s">
        <v>98</v>
      </c>
      <c r="S30" s="77" t="s">
        <v>303</v>
      </c>
      <c r="T30" s="74" t="s">
        <v>100</v>
      </c>
      <c r="U30" s="64" t="s">
        <v>304</v>
      </c>
      <c r="V30" s="70" t="s">
        <v>102</v>
      </c>
      <c r="W30" s="74" t="s">
        <v>103</v>
      </c>
      <c r="X30" s="68" t="s">
        <v>244</v>
      </c>
      <c r="Y30" s="64">
        <v>1</v>
      </c>
      <c r="Z30" s="78">
        <v>0</v>
      </c>
      <c r="AA30" s="79">
        <f>'BASE FACTURACION 2025'!$C$3</f>
        <v>122645.45276000001</v>
      </c>
      <c r="AB30" s="79">
        <f>'BASE FACTURACION 2025'!$F$3</f>
        <v>65164.677720000007</v>
      </c>
      <c r="AC30" s="79">
        <f t="shared" si="0"/>
        <v>122645.45276000001</v>
      </c>
    </row>
    <row r="31" spans="1:29" s="80" customFormat="1" ht="13.15">
      <c r="A31" s="64" t="s">
        <v>305</v>
      </c>
      <c r="B31" s="65" t="str">
        <f>VLOOKUP(A31,'CENTRO DE COSTOS'!A:D,4,FALSE)</f>
        <v>JOSE MAURICIO HERNANDEZ ROJAS</v>
      </c>
      <c r="C31" s="65" t="str">
        <f>VLOOKUP(A31,'CENTRO DE COSTOS'!A:D,2,FALSE)</f>
        <v>0004-0001</v>
      </c>
      <c r="D31" s="64">
        <v>8433</v>
      </c>
      <c r="E31" s="66" t="s">
        <v>306</v>
      </c>
      <c r="F31" s="67">
        <v>80788</v>
      </c>
      <c r="G31" s="68" t="s">
        <v>90</v>
      </c>
      <c r="H31" s="69" t="s">
        <v>91</v>
      </c>
      <c r="I31" s="67" t="s">
        <v>307</v>
      </c>
      <c r="J31" s="70" t="s">
        <v>308</v>
      </c>
      <c r="K31" s="67" t="s">
        <v>309</v>
      </c>
      <c r="L31" s="71" t="s">
        <v>95</v>
      </c>
      <c r="M31" s="72" t="s">
        <v>310</v>
      </c>
      <c r="N31" s="73">
        <v>45870</v>
      </c>
      <c r="O31" s="74">
        <v>45873</v>
      </c>
      <c r="P31" s="75" t="s">
        <v>97</v>
      </c>
      <c r="Q31" s="76" t="s">
        <v>97</v>
      </c>
      <c r="R31" s="64" t="s">
        <v>98</v>
      </c>
      <c r="S31" s="77" t="s">
        <v>311</v>
      </c>
      <c r="T31" s="74" t="s">
        <v>100</v>
      </c>
      <c r="U31" s="64" t="s">
        <v>312</v>
      </c>
      <c r="V31" s="70" t="s">
        <v>162</v>
      </c>
      <c r="W31" s="74" t="s">
        <v>103</v>
      </c>
      <c r="X31" s="68" t="s">
        <v>313</v>
      </c>
      <c r="Y31" s="64">
        <v>1</v>
      </c>
      <c r="Z31" s="78">
        <v>0</v>
      </c>
      <c r="AA31" s="79">
        <f>'BASE FACTURACION 2025'!$C$3</f>
        <v>122645.45276000001</v>
      </c>
      <c r="AB31" s="79">
        <f>'BASE FACTURACION 2025'!$F$3</f>
        <v>65164.677720000007</v>
      </c>
      <c r="AC31" s="79">
        <f t="shared" si="0"/>
        <v>122645.45276000001</v>
      </c>
    </row>
    <row r="32" spans="1:29" s="80" customFormat="1" ht="13.15">
      <c r="A32" s="64" t="s">
        <v>245</v>
      </c>
      <c r="B32" s="65" t="str">
        <f>VLOOKUP(A32,'CENTRO DE COSTOS'!A:D,4,FALSE)</f>
        <v>MIGUEL JULIÁN HERNÁNDEZ GUARÍN</v>
      </c>
      <c r="C32" s="65" t="str">
        <f>VLOOKUP(A32,'CENTRO DE COSTOS'!A:D,2,FALSE)</f>
        <v>0004-0008</v>
      </c>
      <c r="D32" s="64">
        <v>54001</v>
      </c>
      <c r="E32" s="66" t="s">
        <v>314</v>
      </c>
      <c r="F32" s="67">
        <v>80783</v>
      </c>
      <c r="G32" s="68" t="s">
        <v>90</v>
      </c>
      <c r="H32" s="69" t="s">
        <v>91</v>
      </c>
      <c r="I32" s="67" t="s">
        <v>247</v>
      </c>
      <c r="J32" s="70" t="s">
        <v>245</v>
      </c>
      <c r="K32" s="67" t="s">
        <v>315</v>
      </c>
      <c r="L32" s="71" t="s">
        <v>95</v>
      </c>
      <c r="M32" s="72" t="s">
        <v>316</v>
      </c>
      <c r="N32" s="73">
        <v>45870</v>
      </c>
      <c r="O32" s="74">
        <v>45873</v>
      </c>
      <c r="P32" s="75" t="s">
        <v>97</v>
      </c>
      <c r="Q32" s="76" t="s">
        <v>97</v>
      </c>
      <c r="R32" s="64" t="s">
        <v>98</v>
      </c>
      <c r="S32" s="77" t="s">
        <v>317</v>
      </c>
      <c r="T32" s="74" t="s">
        <v>100</v>
      </c>
      <c r="U32" s="64" t="s">
        <v>318</v>
      </c>
      <c r="V32" s="70" t="s">
        <v>133</v>
      </c>
      <c r="W32" s="74" t="s">
        <v>103</v>
      </c>
      <c r="X32" s="68" t="s">
        <v>319</v>
      </c>
      <c r="Y32" s="64">
        <v>1</v>
      </c>
      <c r="Z32" s="78">
        <v>0</v>
      </c>
      <c r="AA32" s="79">
        <f>'BASE FACTURACION 2025'!$C$3</f>
        <v>122645.45276000001</v>
      </c>
      <c r="AB32" s="79">
        <f>'BASE FACTURACION 2025'!$F$3</f>
        <v>65164.677720000007</v>
      </c>
      <c r="AC32" s="79">
        <f t="shared" si="0"/>
        <v>122645.45276000001</v>
      </c>
    </row>
    <row r="33" spans="1:29" s="80" customFormat="1" ht="13.15">
      <c r="A33" s="64" t="s">
        <v>245</v>
      </c>
      <c r="B33" s="65" t="str">
        <f>VLOOKUP(A33,'CENTRO DE COSTOS'!A:D,4,FALSE)</f>
        <v>MIGUEL JULIÁN HERNÁNDEZ GUARÍN</v>
      </c>
      <c r="C33" s="65" t="str">
        <f>VLOOKUP(A33,'CENTRO DE COSTOS'!A:D,2,FALSE)</f>
        <v>0004-0008</v>
      </c>
      <c r="D33" s="64">
        <v>54498</v>
      </c>
      <c r="E33" s="66" t="s">
        <v>320</v>
      </c>
      <c r="F33" s="67">
        <v>80794</v>
      </c>
      <c r="G33" s="68" t="s">
        <v>90</v>
      </c>
      <c r="H33" s="69" t="s">
        <v>91</v>
      </c>
      <c r="I33" s="67" t="s">
        <v>247</v>
      </c>
      <c r="J33" s="70" t="s">
        <v>248</v>
      </c>
      <c r="K33" s="67" t="s">
        <v>321</v>
      </c>
      <c r="L33" s="71" t="s">
        <v>95</v>
      </c>
      <c r="M33" s="72" t="s">
        <v>322</v>
      </c>
      <c r="N33" s="73">
        <v>45870</v>
      </c>
      <c r="O33" s="74">
        <v>45875</v>
      </c>
      <c r="P33" s="75" t="s">
        <v>97</v>
      </c>
      <c r="Q33" s="76" t="s">
        <v>97</v>
      </c>
      <c r="R33" s="64" t="s">
        <v>98</v>
      </c>
      <c r="S33" s="77" t="s">
        <v>323</v>
      </c>
      <c r="T33" s="74" t="s">
        <v>100</v>
      </c>
      <c r="U33" s="64" t="s">
        <v>324</v>
      </c>
      <c r="V33" s="70" t="s">
        <v>102</v>
      </c>
      <c r="W33" s="74" t="s">
        <v>103</v>
      </c>
      <c r="X33" s="68" t="s">
        <v>325</v>
      </c>
      <c r="Y33" s="64">
        <v>1</v>
      </c>
      <c r="Z33" s="78">
        <v>0</v>
      </c>
      <c r="AA33" s="79">
        <f>'BASE FACTURACION 2025'!$C$3</f>
        <v>122645.45276000001</v>
      </c>
      <c r="AB33" s="79">
        <f>'BASE FACTURACION 2025'!$F$3</f>
        <v>65164.677720000007</v>
      </c>
      <c r="AC33" s="79">
        <f t="shared" si="0"/>
        <v>122645.45276000001</v>
      </c>
    </row>
    <row r="34" spans="1:29" s="80" customFormat="1" ht="13.15">
      <c r="A34" s="64" t="s">
        <v>245</v>
      </c>
      <c r="B34" s="65" t="str">
        <f>VLOOKUP(A34,'CENTRO DE COSTOS'!A:D,4,FALSE)</f>
        <v>MIGUEL JULIÁN HERNÁNDEZ GUARÍN</v>
      </c>
      <c r="C34" s="65" t="str">
        <f>VLOOKUP(A34,'CENTRO DE COSTOS'!A:D,2,FALSE)</f>
        <v>0004-0008</v>
      </c>
      <c r="D34" s="64">
        <v>54498</v>
      </c>
      <c r="E34" s="66" t="s">
        <v>326</v>
      </c>
      <c r="F34" s="67">
        <v>80795</v>
      </c>
      <c r="G34" s="68" t="s">
        <v>90</v>
      </c>
      <c r="H34" s="69" t="s">
        <v>91</v>
      </c>
      <c r="I34" s="67" t="s">
        <v>247</v>
      </c>
      <c r="J34" s="70" t="s">
        <v>248</v>
      </c>
      <c r="K34" s="67" t="s">
        <v>327</v>
      </c>
      <c r="L34" s="71" t="s">
        <v>95</v>
      </c>
      <c r="M34" s="72" t="s">
        <v>328</v>
      </c>
      <c r="N34" s="73">
        <v>45870</v>
      </c>
      <c r="O34" s="74">
        <v>45875</v>
      </c>
      <c r="P34" s="75" t="s">
        <v>97</v>
      </c>
      <c r="Q34" s="76" t="s">
        <v>97</v>
      </c>
      <c r="R34" s="64" t="s">
        <v>98</v>
      </c>
      <c r="S34" s="77" t="s">
        <v>329</v>
      </c>
      <c r="T34" s="74" t="s">
        <v>100</v>
      </c>
      <c r="U34" s="64" t="s">
        <v>330</v>
      </c>
      <c r="V34" s="70" t="s">
        <v>102</v>
      </c>
      <c r="W34" s="74" t="s">
        <v>103</v>
      </c>
      <c r="X34" s="68" t="s">
        <v>325</v>
      </c>
      <c r="Y34" s="64">
        <v>1</v>
      </c>
      <c r="Z34" s="78">
        <v>0</v>
      </c>
      <c r="AA34" s="79">
        <f>'BASE FACTURACION 2025'!$C$3</f>
        <v>122645.45276000001</v>
      </c>
      <c r="AB34" s="79">
        <f>'BASE FACTURACION 2025'!$F$3</f>
        <v>65164.677720000007</v>
      </c>
      <c r="AC34" s="79">
        <f t="shared" si="0"/>
        <v>122645.45276000001</v>
      </c>
    </row>
    <row r="35" spans="1:29" s="80" customFormat="1" ht="13.15">
      <c r="A35" s="64" t="s">
        <v>331</v>
      </c>
      <c r="B35" s="65" t="str">
        <f>VLOOKUP(A35,'CENTRO DE COSTOS'!A:D,4,FALSE)</f>
        <v>JOSE MAURICIO HERNANDEZ ROJAS</v>
      </c>
      <c r="C35" s="65" t="str">
        <f>VLOOKUP(A35,'CENTRO DE COSTOS'!A:D,2,FALSE)</f>
        <v>0004-0001</v>
      </c>
      <c r="D35" s="64">
        <v>70001</v>
      </c>
      <c r="E35" s="66" t="s">
        <v>332</v>
      </c>
      <c r="F35" s="67">
        <v>80810</v>
      </c>
      <c r="G35" s="68" t="s">
        <v>90</v>
      </c>
      <c r="H35" s="69" t="s">
        <v>91</v>
      </c>
      <c r="I35" s="67" t="s">
        <v>333</v>
      </c>
      <c r="J35" s="70" t="s">
        <v>331</v>
      </c>
      <c r="K35" s="67" t="s">
        <v>334</v>
      </c>
      <c r="L35" s="71" t="s">
        <v>95</v>
      </c>
      <c r="M35" s="72" t="s">
        <v>335</v>
      </c>
      <c r="N35" s="73">
        <v>45870</v>
      </c>
      <c r="O35" s="74">
        <v>45873</v>
      </c>
      <c r="P35" s="75" t="s">
        <v>97</v>
      </c>
      <c r="Q35" s="76" t="s">
        <v>97</v>
      </c>
      <c r="R35" s="64" t="s">
        <v>98</v>
      </c>
      <c r="S35" s="77" t="s">
        <v>336</v>
      </c>
      <c r="T35" s="74" t="s">
        <v>100</v>
      </c>
      <c r="U35" s="64" t="s">
        <v>337</v>
      </c>
      <c r="V35" s="70" t="s">
        <v>133</v>
      </c>
      <c r="W35" s="74" t="s">
        <v>103</v>
      </c>
      <c r="X35" s="68" t="s">
        <v>338</v>
      </c>
      <c r="Y35" s="64">
        <v>1</v>
      </c>
      <c r="Z35" s="78">
        <v>0</v>
      </c>
      <c r="AA35" s="79">
        <f>'BASE FACTURACION 2025'!$C$3</f>
        <v>122645.45276000001</v>
      </c>
      <c r="AB35" s="79">
        <f>'BASE FACTURACION 2025'!$F$3</f>
        <v>65164.677720000007</v>
      </c>
      <c r="AC35" s="79">
        <f t="shared" si="0"/>
        <v>122645.45276000001</v>
      </c>
    </row>
    <row r="36" spans="1:29" s="80" customFormat="1" ht="13.15">
      <c r="A36" s="64" t="s">
        <v>339</v>
      </c>
      <c r="B36" s="65" t="str">
        <f>VLOOKUP(A36,'CENTRO DE COSTOS'!A:D,4,FALSE)</f>
        <v>JOSE MAURICIO HERNANDEZ ROJAS</v>
      </c>
      <c r="C36" s="65" t="str">
        <f>VLOOKUP(A36,'CENTRO DE COSTOS'!A:D,2,FALSE)</f>
        <v>0004-0001</v>
      </c>
      <c r="D36" s="64">
        <v>23001</v>
      </c>
      <c r="E36" s="66" t="s">
        <v>340</v>
      </c>
      <c r="F36" s="67">
        <v>80792</v>
      </c>
      <c r="G36" s="68" t="s">
        <v>90</v>
      </c>
      <c r="H36" s="69" t="s">
        <v>91</v>
      </c>
      <c r="I36" s="67" t="s">
        <v>341</v>
      </c>
      <c r="J36" s="70" t="s">
        <v>339</v>
      </c>
      <c r="K36" s="67" t="s">
        <v>342</v>
      </c>
      <c r="L36" s="71" t="s">
        <v>95</v>
      </c>
      <c r="M36" s="72" t="s">
        <v>343</v>
      </c>
      <c r="N36" s="73">
        <v>45870</v>
      </c>
      <c r="O36" s="74">
        <v>45873</v>
      </c>
      <c r="P36" s="75" t="s">
        <v>97</v>
      </c>
      <c r="Q36" s="76" t="s">
        <v>97</v>
      </c>
      <c r="R36" s="64" t="s">
        <v>98</v>
      </c>
      <c r="S36" s="77" t="s">
        <v>344</v>
      </c>
      <c r="T36" s="74" t="s">
        <v>100</v>
      </c>
      <c r="U36" s="64" t="s">
        <v>345</v>
      </c>
      <c r="V36" s="70" t="s">
        <v>133</v>
      </c>
      <c r="W36" s="74" t="s">
        <v>103</v>
      </c>
      <c r="X36" s="68" t="s">
        <v>346</v>
      </c>
      <c r="Y36" s="64">
        <v>1</v>
      </c>
      <c r="Z36" s="78">
        <v>0</v>
      </c>
      <c r="AA36" s="79">
        <f>'BASE FACTURACION 2025'!$C$3</f>
        <v>122645.45276000001</v>
      </c>
      <c r="AB36" s="79">
        <f>'BASE FACTURACION 2025'!$F$3</f>
        <v>65164.677720000007</v>
      </c>
      <c r="AC36" s="79">
        <f t="shared" si="0"/>
        <v>122645.45276000001</v>
      </c>
    </row>
    <row r="37" spans="1:29" s="80" customFormat="1" ht="13.15">
      <c r="A37" s="64" t="s">
        <v>245</v>
      </c>
      <c r="B37" s="65" t="str">
        <f>VLOOKUP(A37,'CENTRO DE COSTOS'!A:D,4,FALSE)</f>
        <v>MIGUEL JULIÁN HERNÁNDEZ GUARÍN</v>
      </c>
      <c r="C37" s="65" t="str">
        <f>VLOOKUP(A37,'CENTRO DE COSTOS'!A:D,2,FALSE)</f>
        <v>0004-0008</v>
      </c>
      <c r="D37" s="64">
        <v>54001</v>
      </c>
      <c r="E37" s="66" t="s">
        <v>347</v>
      </c>
      <c r="F37" s="67">
        <v>80784</v>
      </c>
      <c r="G37" s="68" t="s">
        <v>90</v>
      </c>
      <c r="H37" s="69" t="s">
        <v>91</v>
      </c>
      <c r="I37" s="67" t="s">
        <v>247</v>
      </c>
      <c r="J37" s="70" t="s">
        <v>245</v>
      </c>
      <c r="K37" s="67" t="s">
        <v>348</v>
      </c>
      <c r="L37" s="71" t="s">
        <v>95</v>
      </c>
      <c r="M37" s="72" t="s">
        <v>349</v>
      </c>
      <c r="N37" s="73">
        <v>45870</v>
      </c>
      <c r="O37" s="74">
        <v>45873</v>
      </c>
      <c r="P37" s="75" t="s">
        <v>97</v>
      </c>
      <c r="Q37" s="76" t="s">
        <v>97</v>
      </c>
      <c r="R37" s="64" t="s">
        <v>98</v>
      </c>
      <c r="S37" s="77" t="s">
        <v>350</v>
      </c>
      <c r="T37" s="74" t="s">
        <v>100</v>
      </c>
      <c r="U37" s="64" t="s">
        <v>351</v>
      </c>
      <c r="V37" s="70" t="s">
        <v>133</v>
      </c>
      <c r="W37" s="74" t="s">
        <v>103</v>
      </c>
      <c r="X37" s="68" t="s">
        <v>352</v>
      </c>
      <c r="Y37" s="64">
        <v>1</v>
      </c>
      <c r="Z37" s="78">
        <v>0</v>
      </c>
      <c r="AA37" s="79">
        <f>'BASE FACTURACION 2025'!$C$3</f>
        <v>122645.45276000001</v>
      </c>
      <c r="AB37" s="79">
        <f>'BASE FACTURACION 2025'!$F$3</f>
        <v>65164.677720000007</v>
      </c>
      <c r="AC37" s="79">
        <f t="shared" si="0"/>
        <v>122645.45276000001</v>
      </c>
    </row>
    <row r="38" spans="1:29" s="80" customFormat="1" ht="13.15">
      <c r="A38" s="64" t="s">
        <v>245</v>
      </c>
      <c r="B38" s="65" t="str">
        <f>VLOOKUP(A38,'CENTRO DE COSTOS'!A:D,4,FALSE)</f>
        <v>MIGUEL JULIÁN HERNÁNDEZ GUARÍN</v>
      </c>
      <c r="C38" s="65" t="str">
        <f>VLOOKUP(A38,'CENTRO DE COSTOS'!A:D,2,FALSE)</f>
        <v>0004-0008</v>
      </c>
      <c r="D38" s="64">
        <v>54498</v>
      </c>
      <c r="E38" s="66" t="s">
        <v>353</v>
      </c>
      <c r="F38" s="67">
        <v>80796</v>
      </c>
      <c r="G38" s="68" t="s">
        <v>90</v>
      </c>
      <c r="H38" s="69" t="s">
        <v>91</v>
      </c>
      <c r="I38" s="67" t="s">
        <v>247</v>
      </c>
      <c r="J38" s="70" t="s">
        <v>248</v>
      </c>
      <c r="K38" s="67" t="s">
        <v>354</v>
      </c>
      <c r="L38" s="71" t="s">
        <v>95</v>
      </c>
      <c r="M38" s="72" t="s">
        <v>355</v>
      </c>
      <c r="N38" s="73">
        <v>45870</v>
      </c>
      <c r="O38" s="74">
        <v>45874</v>
      </c>
      <c r="P38" s="75" t="s">
        <v>97</v>
      </c>
      <c r="Q38" s="76" t="s">
        <v>97</v>
      </c>
      <c r="R38" s="64" t="s">
        <v>98</v>
      </c>
      <c r="S38" s="77" t="s">
        <v>356</v>
      </c>
      <c r="T38" s="74" t="s">
        <v>100</v>
      </c>
      <c r="U38" s="64" t="s">
        <v>357</v>
      </c>
      <c r="V38" s="70" t="s">
        <v>102</v>
      </c>
      <c r="W38" s="74" t="s">
        <v>103</v>
      </c>
      <c r="X38" s="68" t="s">
        <v>358</v>
      </c>
      <c r="Y38" s="64">
        <v>1</v>
      </c>
      <c r="Z38" s="78">
        <v>0</v>
      </c>
      <c r="AA38" s="79">
        <f>'BASE FACTURACION 2025'!$C$3</f>
        <v>122645.45276000001</v>
      </c>
      <c r="AB38" s="79">
        <f>'BASE FACTURACION 2025'!$F$3</f>
        <v>65164.677720000007</v>
      </c>
      <c r="AC38" s="79">
        <f t="shared" si="0"/>
        <v>122645.45276000001</v>
      </c>
    </row>
    <row r="39" spans="1:29" s="80" customFormat="1" ht="13.15">
      <c r="A39" s="64" t="s">
        <v>359</v>
      </c>
      <c r="B39" s="65" t="str">
        <f>VLOOKUP(A39,'CENTRO DE COSTOS'!A:D,4,FALSE)</f>
        <v>JOSE MAURICIO HERNANDEZ ROJAS</v>
      </c>
      <c r="C39" s="65" t="str">
        <f>VLOOKUP(A39,'CENTRO DE COSTOS'!A:D,2,FALSE)</f>
        <v>0004-0001</v>
      </c>
      <c r="D39" s="64">
        <v>20011</v>
      </c>
      <c r="E39" s="66" t="s">
        <v>360</v>
      </c>
      <c r="F39" s="67">
        <v>80766</v>
      </c>
      <c r="G39" s="68" t="s">
        <v>90</v>
      </c>
      <c r="H39" s="69" t="s">
        <v>91</v>
      </c>
      <c r="I39" s="67" t="s">
        <v>361</v>
      </c>
      <c r="J39" s="70" t="s">
        <v>362</v>
      </c>
      <c r="K39" s="67" t="s">
        <v>363</v>
      </c>
      <c r="L39" s="71" t="s">
        <v>95</v>
      </c>
      <c r="M39" s="72" t="s">
        <v>364</v>
      </c>
      <c r="N39" s="73">
        <v>45870</v>
      </c>
      <c r="O39" s="74">
        <v>45873</v>
      </c>
      <c r="P39" s="75" t="s">
        <v>97</v>
      </c>
      <c r="Q39" s="76" t="s">
        <v>97</v>
      </c>
      <c r="R39" s="64" t="s">
        <v>98</v>
      </c>
      <c r="S39" s="77" t="s">
        <v>365</v>
      </c>
      <c r="T39" s="74" t="s">
        <v>100</v>
      </c>
      <c r="U39" s="64" t="s">
        <v>366</v>
      </c>
      <c r="V39" s="70" t="s">
        <v>102</v>
      </c>
      <c r="W39" s="74" t="s">
        <v>103</v>
      </c>
      <c r="X39" s="68" t="s">
        <v>367</v>
      </c>
      <c r="Y39" s="64">
        <v>1</v>
      </c>
      <c r="Z39" s="78">
        <v>0</v>
      </c>
      <c r="AA39" s="79">
        <f>'BASE FACTURACION 2025'!$C$3</f>
        <v>122645.45276000001</v>
      </c>
      <c r="AB39" s="79">
        <f>'BASE FACTURACION 2025'!$F$3</f>
        <v>65164.677720000007</v>
      </c>
      <c r="AC39" s="79">
        <f t="shared" si="0"/>
        <v>122645.45276000001</v>
      </c>
    </row>
    <row r="40" spans="1:29" s="80" customFormat="1" ht="13.15">
      <c r="A40" s="64" t="s">
        <v>261</v>
      </c>
      <c r="B40" s="65" t="str">
        <f>VLOOKUP(A40,'CENTRO DE COSTOS'!A:D,4,FALSE)</f>
        <v>JOSE MAURICIO HERNANDEZ ROJAS</v>
      </c>
      <c r="C40" s="65" t="str">
        <f>VLOOKUP(A40,'CENTRO DE COSTOS'!A:D,2,FALSE)</f>
        <v>0004-0001</v>
      </c>
      <c r="D40" s="64">
        <v>13001</v>
      </c>
      <c r="E40" s="66" t="s">
        <v>368</v>
      </c>
      <c r="F40" s="67">
        <v>80780</v>
      </c>
      <c r="G40" s="68" t="s">
        <v>90</v>
      </c>
      <c r="H40" s="69" t="s">
        <v>91</v>
      </c>
      <c r="I40" s="67" t="s">
        <v>231</v>
      </c>
      <c r="J40" s="70" t="s">
        <v>261</v>
      </c>
      <c r="K40" s="67" t="s">
        <v>369</v>
      </c>
      <c r="L40" s="71" t="s">
        <v>95</v>
      </c>
      <c r="M40" s="72" t="s">
        <v>370</v>
      </c>
      <c r="N40" s="73">
        <v>45870</v>
      </c>
      <c r="O40" s="74">
        <v>45873</v>
      </c>
      <c r="P40" s="75" t="s">
        <v>97</v>
      </c>
      <c r="Q40" s="76" t="s">
        <v>97</v>
      </c>
      <c r="R40" s="64" t="s">
        <v>98</v>
      </c>
      <c r="S40" s="77" t="s">
        <v>371</v>
      </c>
      <c r="T40" s="74" t="s">
        <v>100</v>
      </c>
      <c r="U40" s="64" t="s">
        <v>372</v>
      </c>
      <c r="V40" s="70" t="s">
        <v>133</v>
      </c>
      <c r="W40" s="74" t="s">
        <v>103</v>
      </c>
      <c r="X40" s="68" t="s">
        <v>373</v>
      </c>
      <c r="Y40" s="64">
        <v>1</v>
      </c>
      <c r="Z40" s="78">
        <v>0</v>
      </c>
      <c r="AA40" s="79">
        <f>'BASE FACTURACION 2025'!$C$3</f>
        <v>122645.45276000001</v>
      </c>
      <c r="AB40" s="79">
        <f>'BASE FACTURACION 2025'!$F$3</f>
        <v>65164.677720000007</v>
      </c>
      <c r="AC40" s="79">
        <f t="shared" si="0"/>
        <v>122645.45276000001</v>
      </c>
    </row>
    <row r="41" spans="1:29" s="80" customFormat="1" ht="13.15">
      <c r="A41" s="64" t="s">
        <v>229</v>
      </c>
      <c r="B41" s="65" t="str">
        <f>VLOOKUP(A41,'CENTRO DE COSTOS'!A:D,4,FALSE)</f>
        <v>MIGUEL JULIÁN HERNÁNDEZ GUARÍN</v>
      </c>
      <c r="C41" s="65" t="str">
        <f>VLOOKUP(A41,'CENTRO DE COSTOS'!A:D,2,FALSE)</f>
        <v>0004-0008</v>
      </c>
      <c r="D41" s="64">
        <v>13688</v>
      </c>
      <c r="E41" s="66" t="s">
        <v>374</v>
      </c>
      <c r="F41" s="67">
        <v>80807</v>
      </c>
      <c r="G41" s="68" t="s">
        <v>90</v>
      </c>
      <c r="H41" s="69" t="s">
        <v>91</v>
      </c>
      <c r="I41" s="67" t="s">
        <v>231</v>
      </c>
      <c r="J41" s="70" t="s">
        <v>232</v>
      </c>
      <c r="K41" s="67" t="s">
        <v>375</v>
      </c>
      <c r="L41" s="71" t="s">
        <v>95</v>
      </c>
      <c r="M41" s="72" t="s">
        <v>376</v>
      </c>
      <c r="N41" s="73">
        <v>45870</v>
      </c>
      <c r="O41" s="74">
        <v>45875</v>
      </c>
      <c r="P41" s="75" t="s">
        <v>97</v>
      </c>
      <c r="Q41" s="76" t="s">
        <v>97</v>
      </c>
      <c r="R41" s="64" t="s">
        <v>98</v>
      </c>
      <c r="S41" s="77" t="s">
        <v>377</v>
      </c>
      <c r="T41" s="74" t="s">
        <v>100</v>
      </c>
      <c r="U41" s="64" t="s">
        <v>378</v>
      </c>
      <c r="V41" s="70" t="s">
        <v>118</v>
      </c>
      <c r="W41" s="74" t="s">
        <v>237</v>
      </c>
      <c r="X41" s="68" t="s">
        <v>238</v>
      </c>
      <c r="Y41" s="64">
        <v>1</v>
      </c>
      <c r="Z41" s="78">
        <v>0</v>
      </c>
      <c r="AA41" s="79">
        <f>'BASE FACTURACION 2025'!$C$3</f>
        <v>122645.45276000001</v>
      </c>
      <c r="AB41" s="79">
        <f>'BASE FACTURACION 2025'!$F$3</f>
        <v>65164.677720000007</v>
      </c>
      <c r="AC41" s="79">
        <f t="shared" si="0"/>
        <v>122645.45276000001</v>
      </c>
    </row>
    <row r="42" spans="1:29" s="80" customFormat="1" ht="13.15">
      <c r="A42" s="64" t="s">
        <v>180</v>
      </c>
      <c r="B42" s="65" t="str">
        <f>VLOOKUP(A42,'CENTRO DE COSTOS'!A:D,4,FALSE)</f>
        <v>DIEGO FERNANDO HENAO CARDONA</v>
      </c>
      <c r="C42" s="65" t="str">
        <f>VLOOKUP(A42,'CENTRO DE COSTOS'!A:D,2,FALSE)</f>
        <v>0004-0003</v>
      </c>
      <c r="D42" s="64">
        <v>76001</v>
      </c>
      <c r="E42" s="66" t="s">
        <v>379</v>
      </c>
      <c r="F42" s="67">
        <v>80777</v>
      </c>
      <c r="G42" s="68" t="s">
        <v>90</v>
      </c>
      <c r="H42" s="69" t="s">
        <v>91</v>
      </c>
      <c r="I42" s="67" t="s">
        <v>380</v>
      </c>
      <c r="J42" s="70" t="s">
        <v>180</v>
      </c>
      <c r="K42" s="67" t="s">
        <v>381</v>
      </c>
      <c r="L42" s="71" t="s">
        <v>95</v>
      </c>
      <c r="M42" s="72" t="s">
        <v>382</v>
      </c>
      <c r="N42" s="73">
        <v>45870</v>
      </c>
      <c r="O42" s="74">
        <v>45873</v>
      </c>
      <c r="P42" s="75" t="s">
        <v>97</v>
      </c>
      <c r="Q42" s="76" t="s">
        <v>97</v>
      </c>
      <c r="R42" s="64" t="s">
        <v>98</v>
      </c>
      <c r="S42" s="77" t="s">
        <v>383</v>
      </c>
      <c r="T42" s="74" t="s">
        <v>100</v>
      </c>
      <c r="U42" s="64" t="s">
        <v>384</v>
      </c>
      <c r="V42" s="70" t="s">
        <v>133</v>
      </c>
      <c r="W42" s="74" t="s">
        <v>103</v>
      </c>
      <c r="X42" s="68" t="s">
        <v>190</v>
      </c>
      <c r="Y42" s="64">
        <v>1</v>
      </c>
      <c r="Z42" s="78">
        <v>0</v>
      </c>
      <c r="AA42" s="79">
        <f>'BASE FACTURACION 2025'!$C$3</f>
        <v>122645.45276000001</v>
      </c>
      <c r="AB42" s="79">
        <f>'BASE FACTURACION 2025'!$F$3</f>
        <v>65164.677720000007</v>
      </c>
      <c r="AC42" s="79">
        <f t="shared" si="0"/>
        <v>122645.45276000001</v>
      </c>
    </row>
    <row r="43" spans="1:29" s="80" customFormat="1" ht="13.15">
      <c r="A43" s="64" t="s">
        <v>110</v>
      </c>
      <c r="B43" s="65" t="str">
        <f>VLOOKUP(A43,'CENTRO DE COSTOS'!A:D,4,FALSE)</f>
        <v>DIEGO FERNANDO HENAO CARDONA</v>
      </c>
      <c r="C43" s="65" t="str">
        <f>VLOOKUP(A43,'CENTRO DE COSTOS'!A:D,2,FALSE)</f>
        <v>0004-0003</v>
      </c>
      <c r="D43" s="64">
        <v>52786</v>
      </c>
      <c r="E43" s="66" t="s">
        <v>385</v>
      </c>
      <c r="F43" s="67">
        <v>80812</v>
      </c>
      <c r="G43" s="68" t="s">
        <v>90</v>
      </c>
      <c r="H43" s="69" t="s">
        <v>91</v>
      </c>
      <c r="I43" s="67" t="s">
        <v>112</v>
      </c>
      <c r="J43" s="70" t="s">
        <v>386</v>
      </c>
      <c r="K43" s="67" t="s">
        <v>387</v>
      </c>
      <c r="L43" s="71" t="s">
        <v>95</v>
      </c>
      <c r="M43" s="72" t="s">
        <v>388</v>
      </c>
      <c r="N43" s="73">
        <v>45870</v>
      </c>
      <c r="O43" s="74">
        <v>45873</v>
      </c>
      <c r="P43" s="75" t="s">
        <v>97</v>
      </c>
      <c r="Q43" s="76" t="s">
        <v>97</v>
      </c>
      <c r="R43" s="64" t="s">
        <v>98</v>
      </c>
      <c r="S43" s="77" t="s">
        <v>389</v>
      </c>
      <c r="T43" s="74" t="s">
        <v>100</v>
      </c>
      <c r="U43" s="64" t="s">
        <v>390</v>
      </c>
      <c r="V43" s="70" t="s">
        <v>162</v>
      </c>
      <c r="W43" s="74" t="s">
        <v>103</v>
      </c>
      <c r="X43" s="68" t="s">
        <v>209</v>
      </c>
      <c r="Y43" s="64">
        <v>1</v>
      </c>
      <c r="Z43" s="78">
        <v>0</v>
      </c>
      <c r="AA43" s="79">
        <f>'BASE FACTURACION 2025'!$C$3</f>
        <v>122645.45276000001</v>
      </c>
      <c r="AB43" s="79">
        <f>'BASE FACTURACION 2025'!$F$3</f>
        <v>65164.677720000007</v>
      </c>
      <c r="AC43" s="79">
        <f t="shared" si="0"/>
        <v>122645.45276000001</v>
      </c>
    </row>
    <row r="44" spans="1:29" s="80" customFormat="1" ht="13.15">
      <c r="A44" s="64" t="s">
        <v>391</v>
      </c>
      <c r="B44" s="65" t="str">
        <f>VLOOKUP(A44,'CENTRO DE COSTOS'!A:D,4,FALSE)</f>
        <v>WILLIAM ASDRUBAL ROZO ROZO</v>
      </c>
      <c r="C44" s="65" t="str">
        <f>VLOOKUP(A44,'CENTRO DE COSTOS'!A:D,2,FALSE)</f>
        <v>0004-0004</v>
      </c>
      <c r="D44" s="64">
        <v>11001</v>
      </c>
      <c r="E44" s="66" t="s">
        <v>392</v>
      </c>
      <c r="F44" s="67">
        <v>80772</v>
      </c>
      <c r="G44" s="68" t="s">
        <v>90</v>
      </c>
      <c r="H44" s="69" t="s">
        <v>91</v>
      </c>
      <c r="I44" s="67" t="s">
        <v>393</v>
      </c>
      <c r="J44" s="70" t="s">
        <v>391</v>
      </c>
      <c r="K44" s="67" t="s">
        <v>394</v>
      </c>
      <c r="L44" s="71" t="s">
        <v>95</v>
      </c>
      <c r="M44" s="72" t="s">
        <v>395</v>
      </c>
      <c r="N44" s="73">
        <v>45870</v>
      </c>
      <c r="O44" s="74">
        <v>45874</v>
      </c>
      <c r="P44" s="75" t="s">
        <v>97</v>
      </c>
      <c r="Q44" s="76" t="s">
        <v>97</v>
      </c>
      <c r="R44" s="64" t="s">
        <v>98</v>
      </c>
      <c r="S44" s="77" t="s">
        <v>396</v>
      </c>
      <c r="T44" s="74" t="s">
        <v>100</v>
      </c>
      <c r="U44" s="64" t="s">
        <v>397</v>
      </c>
      <c r="V44" s="70" t="s">
        <v>133</v>
      </c>
      <c r="W44" s="74" t="s">
        <v>103</v>
      </c>
      <c r="X44" s="68" t="s">
        <v>398</v>
      </c>
      <c r="Y44" s="64">
        <v>1</v>
      </c>
      <c r="Z44" s="78">
        <v>0</v>
      </c>
      <c r="AA44" s="79">
        <f>'BASE FACTURACION 2025'!$C$3</f>
        <v>122645.45276000001</v>
      </c>
      <c r="AB44" s="79">
        <f>'BASE FACTURACION 2025'!$F$3</f>
        <v>65164.677720000007</v>
      </c>
      <c r="AC44" s="79">
        <f t="shared" si="0"/>
        <v>122645.45276000001</v>
      </c>
    </row>
    <row r="45" spans="1:29" s="80" customFormat="1" ht="13.15">
      <c r="A45" s="64" t="s">
        <v>399</v>
      </c>
      <c r="B45" s="65" t="str">
        <f>VLOOKUP(A45,'CENTRO DE COSTOS'!A:D,4,FALSE)</f>
        <v>DIEGO FERNANDO HENAO CARDONA</v>
      </c>
      <c r="C45" s="65" t="str">
        <f>VLOOKUP(A45,'CENTRO DE COSTOS'!A:D,2,FALSE)</f>
        <v>0004-0002</v>
      </c>
      <c r="D45" s="64">
        <v>17001</v>
      </c>
      <c r="E45" s="66" t="s">
        <v>400</v>
      </c>
      <c r="F45" s="67">
        <v>80789</v>
      </c>
      <c r="G45" s="68" t="s">
        <v>90</v>
      </c>
      <c r="H45" s="69" t="s">
        <v>91</v>
      </c>
      <c r="I45" s="67" t="s">
        <v>401</v>
      </c>
      <c r="J45" s="70" t="s">
        <v>399</v>
      </c>
      <c r="K45" s="67" t="s">
        <v>402</v>
      </c>
      <c r="L45" s="71" t="s">
        <v>95</v>
      </c>
      <c r="M45" s="72" t="s">
        <v>403</v>
      </c>
      <c r="N45" s="73">
        <v>45870</v>
      </c>
      <c r="O45" s="74">
        <v>45873</v>
      </c>
      <c r="P45" s="75" t="s">
        <v>97</v>
      </c>
      <c r="Q45" s="76" t="s">
        <v>97</v>
      </c>
      <c r="R45" s="64" t="s">
        <v>98</v>
      </c>
      <c r="S45" s="77" t="s">
        <v>404</v>
      </c>
      <c r="T45" s="74" t="s">
        <v>100</v>
      </c>
      <c r="U45" s="64" t="s">
        <v>405</v>
      </c>
      <c r="V45" s="70" t="s">
        <v>133</v>
      </c>
      <c r="W45" s="74" t="s">
        <v>103</v>
      </c>
      <c r="X45" s="68" t="s">
        <v>406</v>
      </c>
      <c r="Y45" s="64">
        <v>1</v>
      </c>
      <c r="Z45" s="78">
        <v>0</v>
      </c>
      <c r="AA45" s="79">
        <f>'BASE FACTURACION 2025'!$C$3</f>
        <v>122645.45276000001</v>
      </c>
      <c r="AB45" s="79">
        <f>'BASE FACTURACION 2025'!$F$3</f>
        <v>65164.677720000007</v>
      </c>
      <c r="AC45" s="79">
        <f t="shared" si="0"/>
        <v>122645.45276000001</v>
      </c>
    </row>
    <row r="46" spans="1:29" s="80" customFormat="1" ht="13.15">
      <c r="A46" s="64" t="s">
        <v>135</v>
      </c>
      <c r="B46" s="65" t="str">
        <f>VLOOKUP(A46,'CENTRO DE COSTOS'!A:D,4,FALSE)</f>
        <v>JUAN SEBASTIÁN RÍOS CASTRILLÓN</v>
      </c>
      <c r="C46" s="65" t="str">
        <f>VLOOKUP(A46,'CENTRO DE COSTOS'!A:D,2,FALSE)</f>
        <v>0004-0005</v>
      </c>
      <c r="D46" s="64">
        <v>5001</v>
      </c>
      <c r="E46" s="66" t="s">
        <v>407</v>
      </c>
      <c r="F46" s="67">
        <v>80818</v>
      </c>
      <c r="G46" s="68" t="s">
        <v>90</v>
      </c>
      <c r="H46" s="69" t="s">
        <v>91</v>
      </c>
      <c r="I46" s="67" t="s">
        <v>138</v>
      </c>
      <c r="J46" s="70" t="s">
        <v>135</v>
      </c>
      <c r="K46" s="67" t="s">
        <v>408</v>
      </c>
      <c r="L46" s="71" t="s">
        <v>95</v>
      </c>
      <c r="M46" s="72" t="s">
        <v>409</v>
      </c>
      <c r="N46" s="73">
        <v>45870</v>
      </c>
      <c r="O46" s="74">
        <v>45873</v>
      </c>
      <c r="P46" s="75" t="s">
        <v>97</v>
      </c>
      <c r="Q46" s="76" t="s">
        <v>97</v>
      </c>
      <c r="R46" s="64" t="s">
        <v>98</v>
      </c>
      <c r="S46" s="77" t="s">
        <v>410</v>
      </c>
      <c r="T46" s="74" t="s">
        <v>100</v>
      </c>
      <c r="U46" s="64" t="s">
        <v>411</v>
      </c>
      <c r="V46" s="70" t="s">
        <v>133</v>
      </c>
      <c r="W46" s="74" t="s">
        <v>103</v>
      </c>
      <c r="X46" s="68" t="s">
        <v>412</v>
      </c>
      <c r="Y46" s="64">
        <v>1</v>
      </c>
      <c r="Z46" s="78">
        <v>0</v>
      </c>
      <c r="AA46" s="79">
        <f>'BASE FACTURACION 2025'!$C$3</f>
        <v>122645.45276000001</v>
      </c>
      <c r="AB46" s="79">
        <f>'BASE FACTURACION 2025'!$F$3</f>
        <v>65164.677720000007</v>
      </c>
      <c r="AC46" s="79">
        <f t="shared" si="0"/>
        <v>122645.45276000001</v>
      </c>
    </row>
    <row r="47" spans="1:29" s="80" customFormat="1" ht="13.15">
      <c r="A47" s="64" t="s">
        <v>413</v>
      </c>
      <c r="B47" s="65" t="str">
        <f>VLOOKUP(A47,'CENTRO DE COSTOS'!A:D,4,FALSE)</f>
        <v>DIEGO FERNANDO HENAO CARDONA</v>
      </c>
      <c r="C47" s="65" t="str">
        <f>VLOOKUP(A47,'CENTRO DE COSTOS'!A:D,2,FALSE)</f>
        <v>0004-0002</v>
      </c>
      <c r="D47" s="64">
        <v>76823</v>
      </c>
      <c r="E47" s="66" t="s">
        <v>414</v>
      </c>
      <c r="F47" s="67">
        <v>80814</v>
      </c>
      <c r="G47" s="68" t="s">
        <v>90</v>
      </c>
      <c r="H47" s="69" t="s">
        <v>91</v>
      </c>
      <c r="I47" s="67" t="s">
        <v>380</v>
      </c>
      <c r="J47" s="70" t="s">
        <v>415</v>
      </c>
      <c r="K47" s="67" t="s">
        <v>416</v>
      </c>
      <c r="L47" s="71" t="s">
        <v>95</v>
      </c>
      <c r="M47" s="72" t="s">
        <v>417</v>
      </c>
      <c r="N47" s="73">
        <v>45870</v>
      </c>
      <c r="O47" s="74">
        <v>45874</v>
      </c>
      <c r="P47" s="75" t="s">
        <v>97</v>
      </c>
      <c r="Q47" s="76" t="s">
        <v>97</v>
      </c>
      <c r="R47" s="64" t="s">
        <v>98</v>
      </c>
      <c r="S47" s="77" t="s">
        <v>418</v>
      </c>
      <c r="T47" s="74" t="s">
        <v>100</v>
      </c>
      <c r="U47" s="64" t="s">
        <v>419</v>
      </c>
      <c r="V47" s="70" t="s">
        <v>162</v>
      </c>
      <c r="W47" s="74" t="s">
        <v>103</v>
      </c>
      <c r="X47" s="68" t="s">
        <v>420</v>
      </c>
      <c r="Y47" s="64">
        <v>1</v>
      </c>
      <c r="Z47" s="78">
        <v>0</v>
      </c>
      <c r="AA47" s="79">
        <f>'BASE FACTURACION 2025'!$C$3</f>
        <v>122645.45276000001</v>
      </c>
      <c r="AB47" s="79">
        <f>'BASE FACTURACION 2025'!$F$3</f>
        <v>65164.677720000007</v>
      </c>
      <c r="AC47" s="79">
        <f t="shared" si="0"/>
        <v>122645.45276000001</v>
      </c>
    </row>
    <row r="48" spans="1:29" s="80" customFormat="1" ht="13.15">
      <c r="A48" s="64" t="s">
        <v>135</v>
      </c>
      <c r="B48" s="65" t="str">
        <f>VLOOKUP(A48,'CENTRO DE COSTOS'!A:D,4,FALSE)</f>
        <v>JUAN SEBASTIÁN RÍOS CASTRILLÓN</v>
      </c>
      <c r="C48" s="65" t="str">
        <f>VLOOKUP(A48,'CENTRO DE COSTOS'!A:D,2,FALSE)</f>
        <v>0004-0005</v>
      </c>
      <c r="D48" s="64">
        <v>5001</v>
      </c>
      <c r="E48" s="66" t="s">
        <v>421</v>
      </c>
      <c r="F48" s="67">
        <v>80819</v>
      </c>
      <c r="G48" s="68" t="s">
        <v>90</v>
      </c>
      <c r="H48" s="69" t="s">
        <v>91</v>
      </c>
      <c r="I48" s="67" t="s">
        <v>138</v>
      </c>
      <c r="J48" s="70" t="s">
        <v>135</v>
      </c>
      <c r="K48" s="67" t="s">
        <v>422</v>
      </c>
      <c r="L48" s="71" t="s">
        <v>95</v>
      </c>
      <c r="M48" s="72" t="s">
        <v>423</v>
      </c>
      <c r="N48" s="73">
        <v>45870</v>
      </c>
      <c r="O48" s="74">
        <v>45873</v>
      </c>
      <c r="P48" s="75" t="s">
        <v>97</v>
      </c>
      <c r="Q48" s="76" t="s">
        <v>97</v>
      </c>
      <c r="R48" s="64" t="s">
        <v>98</v>
      </c>
      <c r="S48" s="77" t="s">
        <v>424</v>
      </c>
      <c r="T48" s="74" t="s">
        <v>100</v>
      </c>
      <c r="U48" s="64" t="s">
        <v>425</v>
      </c>
      <c r="V48" s="70" t="s">
        <v>133</v>
      </c>
      <c r="W48" s="74" t="s">
        <v>103</v>
      </c>
      <c r="X48" s="68" t="s">
        <v>412</v>
      </c>
      <c r="Y48" s="64">
        <v>1</v>
      </c>
      <c r="Z48" s="78">
        <v>0</v>
      </c>
      <c r="AA48" s="79">
        <f>'BASE FACTURACION 2025'!$C$3</f>
        <v>122645.45276000001</v>
      </c>
      <c r="AB48" s="79">
        <f>'BASE FACTURACION 2025'!$F$3</f>
        <v>65164.677720000007</v>
      </c>
      <c r="AC48" s="79">
        <f t="shared" si="0"/>
        <v>122645.45276000001</v>
      </c>
    </row>
    <row r="49" spans="1:29" s="80" customFormat="1" ht="13.15">
      <c r="A49" s="64" t="s">
        <v>391</v>
      </c>
      <c r="B49" s="65" t="str">
        <f>VLOOKUP(A49,'CENTRO DE COSTOS'!A:D,4,FALSE)</f>
        <v>WILLIAM ASDRUBAL ROZO ROZO</v>
      </c>
      <c r="C49" s="65" t="str">
        <f>VLOOKUP(A49,'CENTRO DE COSTOS'!A:D,2,FALSE)</f>
        <v>0004-0004</v>
      </c>
      <c r="D49" s="64">
        <v>11001</v>
      </c>
      <c r="E49" s="66" t="s">
        <v>426</v>
      </c>
      <c r="F49" s="67">
        <v>80775</v>
      </c>
      <c r="G49" s="68" t="s">
        <v>90</v>
      </c>
      <c r="H49" s="69" t="s">
        <v>91</v>
      </c>
      <c r="I49" s="67" t="s">
        <v>393</v>
      </c>
      <c r="J49" s="70" t="s">
        <v>391</v>
      </c>
      <c r="K49" s="67" t="s">
        <v>427</v>
      </c>
      <c r="L49" s="71" t="s">
        <v>95</v>
      </c>
      <c r="M49" s="72" t="s">
        <v>428</v>
      </c>
      <c r="N49" s="73">
        <v>45870</v>
      </c>
      <c r="O49" s="74">
        <v>45873</v>
      </c>
      <c r="P49" s="75" t="s">
        <v>97</v>
      </c>
      <c r="Q49" s="76" t="s">
        <v>97</v>
      </c>
      <c r="R49" s="64" t="s">
        <v>98</v>
      </c>
      <c r="S49" s="77" t="s">
        <v>429</v>
      </c>
      <c r="T49" s="74" t="s">
        <v>100</v>
      </c>
      <c r="U49" s="64" t="s">
        <v>430</v>
      </c>
      <c r="V49" s="70" t="s">
        <v>133</v>
      </c>
      <c r="W49" s="74" t="s">
        <v>103</v>
      </c>
      <c r="X49" s="68" t="s">
        <v>431</v>
      </c>
      <c r="Y49" s="64">
        <v>1</v>
      </c>
      <c r="Z49" s="78">
        <v>0</v>
      </c>
      <c r="AA49" s="79">
        <f>'BASE FACTURACION 2025'!$C$3</f>
        <v>122645.45276000001</v>
      </c>
      <c r="AB49" s="79">
        <f>'BASE FACTURACION 2025'!$F$3</f>
        <v>65164.677720000007</v>
      </c>
      <c r="AC49" s="79">
        <f t="shared" si="0"/>
        <v>122645.45276000001</v>
      </c>
    </row>
    <row r="50" spans="1:29" s="80" customFormat="1" ht="13.15">
      <c r="A50" s="64" t="s">
        <v>180</v>
      </c>
      <c r="B50" s="65" t="str">
        <f>VLOOKUP(A50,'CENTRO DE COSTOS'!A:D,4,FALSE)</f>
        <v>DIEGO FERNANDO HENAO CARDONA</v>
      </c>
      <c r="C50" s="65" t="str">
        <f>VLOOKUP(A50,'CENTRO DE COSTOS'!A:D,2,FALSE)</f>
        <v>0004-0003</v>
      </c>
      <c r="D50" s="64">
        <v>19845</v>
      </c>
      <c r="E50" s="66" t="s">
        <v>432</v>
      </c>
      <c r="F50" s="67">
        <v>80817</v>
      </c>
      <c r="G50" s="68" t="s">
        <v>90</v>
      </c>
      <c r="H50" s="69" t="s">
        <v>91</v>
      </c>
      <c r="I50" s="67" t="s">
        <v>183</v>
      </c>
      <c r="J50" s="70" t="s">
        <v>433</v>
      </c>
      <c r="K50" s="67" t="s">
        <v>434</v>
      </c>
      <c r="L50" s="71" t="s">
        <v>95</v>
      </c>
      <c r="M50" s="72" t="s">
        <v>435</v>
      </c>
      <c r="N50" s="73">
        <v>45870</v>
      </c>
      <c r="O50" s="74">
        <v>45873</v>
      </c>
      <c r="P50" s="75" t="s">
        <v>97</v>
      </c>
      <c r="Q50" s="76" t="s">
        <v>97</v>
      </c>
      <c r="R50" s="64" t="s">
        <v>98</v>
      </c>
      <c r="S50" s="77" t="s">
        <v>436</v>
      </c>
      <c r="T50" s="74" t="s">
        <v>100</v>
      </c>
      <c r="U50" s="64" t="s">
        <v>437</v>
      </c>
      <c r="V50" s="70" t="s">
        <v>102</v>
      </c>
      <c r="W50" s="74" t="s">
        <v>103</v>
      </c>
      <c r="X50" s="68" t="s">
        <v>438</v>
      </c>
      <c r="Y50" s="64">
        <v>1</v>
      </c>
      <c r="Z50" s="78">
        <v>0</v>
      </c>
      <c r="AA50" s="79">
        <f>'BASE FACTURACION 2025'!$C$3</f>
        <v>122645.45276000001</v>
      </c>
      <c r="AB50" s="79">
        <f>'BASE FACTURACION 2025'!$F$3</f>
        <v>65164.677720000007</v>
      </c>
      <c r="AC50" s="79">
        <f t="shared" si="0"/>
        <v>122645.45276000001</v>
      </c>
    </row>
    <row r="51" spans="1:29" s="80" customFormat="1" ht="13.15">
      <c r="A51" s="64" t="s">
        <v>110</v>
      </c>
      <c r="B51" s="65" t="str">
        <f>VLOOKUP(A51,'CENTRO DE COSTOS'!A:D,4,FALSE)</f>
        <v>DIEGO FERNANDO HENAO CARDONA</v>
      </c>
      <c r="C51" s="65" t="str">
        <f>VLOOKUP(A51,'CENTRO DE COSTOS'!A:D,2,FALSE)</f>
        <v>0004-0003</v>
      </c>
      <c r="D51" s="64">
        <v>52835</v>
      </c>
      <c r="E51" s="66" t="s">
        <v>439</v>
      </c>
      <c r="F51" s="67">
        <v>80803</v>
      </c>
      <c r="G51" s="68" t="s">
        <v>90</v>
      </c>
      <c r="H51" s="69" t="s">
        <v>91</v>
      </c>
      <c r="I51" s="67" t="s">
        <v>112</v>
      </c>
      <c r="J51" s="70" t="s">
        <v>440</v>
      </c>
      <c r="K51" s="67" t="s">
        <v>441</v>
      </c>
      <c r="L51" s="71" t="s">
        <v>95</v>
      </c>
      <c r="M51" s="72" t="s">
        <v>442</v>
      </c>
      <c r="N51" s="73">
        <v>45870</v>
      </c>
      <c r="O51" s="74">
        <v>45874</v>
      </c>
      <c r="P51" s="75" t="s">
        <v>97</v>
      </c>
      <c r="Q51" s="76" t="s">
        <v>97</v>
      </c>
      <c r="R51" s="64" t="s">
        <v>98</v>
      </c>
      <c r="S51" s="77" t="s">
        <v>443</v>
      </c>
      <c r="T51" s="74" t="s">
        <v>100</v>
      </c>
      <c r="U51" s="64" t="s">
        <v>444</v>
      </c>
      <c r="V51" s="70" t="s">
        <v>102</v>
      </c>
      <c r="W51" s="74" t="s">
        <v>103</v>
      </c>
      <c r="X51" s="68" t="s">
        <v>120</v>
      </c>
      <c r="Y51" s="64">
        <v>1</v>
      </c>
      <c r="Z51" s="78">
        <v>0</v>
      </c>
      <c r="AA51" s="79">
        <f>'BASE FACTURACION 2025'!$C$3</f>
        <v>122645.45276000001</v>
      </c>
      <c r="AB51" s="79">
        <f>'BASE FACTURACION 2025'!$F$3</f>
        <v>65164.677720000007</v>
      </c>
      <c r="AC51" s="79">
        <f t="shared" si="0"/>
        <v>122645.45276000001</v>
      </c>
    </row>
    <row r="52" spans="1:29" s="80" customFormat="1" ht="13.15">
      <c r="A52" s="64" t="s">
        <v>180</v>
      </c>
      <c r="B52" s="65" t="str">
        <f>VLOOKUP(A52,'CENTRO DE COSTOS'!A:D,4,FALSE)</f>
        <v>DIEGO FERNANDO HENAO CARDONA</v>
      </c>
      <c r="C52" s="65" t="str">
        <f>VLOOKUP(A52,'CENTRO DE COSTOS'!A:D,2,FALSE)</f>
        <v>0004-0003</v>
      </c>
      <c r="D52" s="64">
        <v>76001</v>
      </c>
      <c r="E52" s="66" t="s">
        <v>445</v>
      </c>
      <c r="F52" s="67">
        <v>80778</v>
      </c>
      <c r="G52" s="68" t="s">
        <v>90</v>
      </c>
      <c r="H52" s="69" t="s">
        <v>91</v>
      </c>
      <c r="I52" s="67" t="s">
        <v>380</v>
      </c>
      <c r="J52" s="70" t="s">
        <v>180</v>
      </c>
      <c r="K52" s="67" t="s">
        <v>446</v>
      </c>
      <c r="L52" s="71" t="s">
        <v>95</v>
      </c>
      <c r="M52" s="72" t="s">
        <v>447</v>
      </c>
      <c r="N52" s="73">
        <v>45870</v>
      </c>
      <c r="O52" s="74">
        <v>45873</v>
      </c>
      <c r="P52" s="75" t="s">
        <v>97</v>
      </c>
      <c r="Q52" s="76" t="s">
        <v>97</v>
      </c>
      <c r="R52" s="64" t="s">
        <v>98</v>
      </c>
      <c r="S52" s="77" t="s">
        <v>448</v>
      </c>
      <c r="T52" s="74" t="s">
        <v>100</v>
      </c>
      <c r="U52" s="64" t="s">
        <v>449</v>
      </c>
      <c r="V52" s="70" t="s">
        <v>133</v>
      </c>
      <c r="W52" s="74" t="s">
        <v>103</v>
      </c>
      <c r="X52" s="68" t="s">
        <v>450</v>
      </c>
      <c r="Y52" s="64">
        <v>1</v>
      </c>
      <c r="Z52" s="78">
        <v>0</v>
      </c>
      <c r="AA52" s="79">
        <f>'BASE FACTURACION 2025'!$C$3</f>
        <v>122645.45276000001</v>
      </c>
      <c r="AB52" s="79">
        <f>'BASE FACTURACION 2025'!$F$3</f>
        <v>65164.677720000007</v>
      </c>
      <c r="AC52" s="79">
        <f t="shared" si="0"/>
        <v>122645.45276000001</v>
      </c>
    </row>
    <row r="53" spans="1:29" s="80" customFormat="1" ht="13.15">
      <c r="A53" s="64" t="s">
        <v>180</v>
      </c>
      <c r="B53" s="65" t="str">
        <f>VLOOKUP(A53,'CENTRO DE COSTOS'!A:D,4,FALSE)</f>
        <v>DIEGO FERNANDO HENAO CARDONA</v>
      </c>
      <c r="C53" s="65" t="str">
        <f>VLOOKUP(A53,'CENTRO DE COSTOS'!A:D,2,FALSE)</f>
        <v>0004-0003</v>
      </c>
      <c r="D53" s="64">
        <v>76001</v>
      </c>
      <c r="E53" s="66" t="s">
        <v>451</v>
      </c>
      <c r="F53" s="67">
        <v>80779</v>
      </c>
      <c r="G53" s="68" t="s">
        <v>90</v>
      </c>
      <c r="H53" s="69" t="s">
        <v>91</v>
      </c>
      <c r="I53" s="67" t="s">
        <v>380</v>
      </c>
      <c r="J53" s="70" t="s">
        <v>180</v>
      </c>
      <c r="K53" s="67" t="s">
        <v>452</v>
      </c>
      <c r="L53" s="71" t="s">
        <v>95</v>
      </c>
      <c r="M53" s="72" t="s">
        <v>453</v>
      </c>
      <c r="N53" s="73">
        <v>45870</v>
      </c>
      <c r="O53" s="74">
        <v>45873</v>
      </c>
      <c r="P53" s="75" t="s">
        <v>97</v>
      </c>
      <c r="Q53" s="76" t="s">
        <v>97</v>
      </c>
      <c r="R53" s="64" t="s">
        <v>98</v>
      </c>
      <c r="S53" s="77" t="s">
        <v>454</v>
      </c>
      <c r="T53" s="74" t="s">
        <v>100</v>
      </c>
      <c r="U53" s="64" t="s">
        <v>455</v>
      </c>
      <c r="V53" s="70" t="s">
        <v>133</v>
      </c>
      <c r="W53" s="74" t="s">
        <v>103</v>
      </c>
      <c r="X53" s="68" t="s">
        <v>456</v>
      </c>
      <c r="Y53" s="64">
        <v>1</v>
      </c>
      <c r="Z53" s="78">
        <v>0</v>
      </c>
      <c r="AA53" s="79">
        <f>'BASE FACTURACION 2025'!$C$3</f>
        <v>122645.45276000001</v>
      </c>
      <c r="AB53" s="79">
        <f>'BASE FACTURACION 2025'!$F$3</f>
        <v>65164.677720000007</v>
      </c>
      <c r="AC53" s="79">
        <f t="shared" si="0"/>
        <v>122645.45276000001</v>
      </c>
    </row>
    <row r="54" spans="1:29" s="80" customFormat="1" ht="13.15">
      <c r="A54" s="64" t="s">
        <v>391</v>
      </c>
      <c r="B54" s="65" t="str">
        <f>VLOOKUP(A54,'CENTRO DE COSTOS'!A:D,4,FALSE)</f>
        <v>WILLIAM ASDRUBAL ROZO ROZO</v>
      </c>
      <c r="C54" s="65" t="str">
        <f>VLOOKUP(A54,'CENTRO DE COSTOS'!A:D,2,FALSE)</f>
        <v>0004-0004</v>
      </c>
      <c r="D54" s="64">
        <v>25035</v>
      </c>
      <c r="E54" s="66" t="s">
        <v>457</v>
      </c>
      <c r="F54" s="67">
        <v>80768</v>
      </c>
      <c r="G54" s="68" t="s">
        <v>90</v>
      </c>
      <c r="H54" s="69" t="s">
        <v>91</v>
      </c>
      <c r="I54" s="67" t="s">
        <v>393</v>
      </c>
      <c r="J54" s="70" t="s">
        <v>458</v>
      </c>
      <c r="K54" s="67" t="s">
        <v>459</v>
      </c>
      <c r="L54" s="71" t="s">
        <v>95</v>
      </c>
      <c r="M54" s="72" t="s">
        <v>460</v>
      </c>
      <c r="N54" s="73">
        <v>45870</v>
      </c>
      <c r="O54" s="74">
        <v>45874</v>
      </c>
      <c r="P54" s="75" t="s">
        <v>97</v>
      </c>
      <c r="Q54" s="76" t="s">
        <v>97</v>
      </c>
      <c r="R54" s="64" t="s">
        <v>98</v>
      </c>
      <c r="S54" s="77" t="s">
        <v>461</v>
      </c>
      <c r="T54" s="74" t="s">
        <v>100</v>
      </c>
      <c r="U54" s="64" t="s">
        <v>462</v>
      </c>
      <c r="V54" s="70" t="s">
        <v>162</v>
      </c>
      <c r="W54" s="74" t="s">
        <v>103</v>
      </c>
      <c r="X54" s="68" t="s">
        <v>463</v>
      </c>
      <c r="Y54" s="64">
        <v>1</v>
      </c>
      <c r="Z54" s="78">
        <v>0</v>
      </c>
      <c r="AA54" s="79">
        <f>'BASE FACTURACION 2025'!$C$3</f>
        <v>122645.45276000001</v>
      </c>
      <c r="AB54" s="79">
        <f>'BASE FACTURACION 2025'!$F$3</f>
        <v>65164.677720000007</v>
      </c>
      <c r="AC54" s="79">
        <f t="shared" si="0"/>
        <v>122645.45276000001</v>
      </c>
    </row>
    <row r="55" spans="1:29" s="80" customFormat="1" ht="13.15">
      <c r="A55" s="64" t="s">
        <v>399</v>
      </c>
      <c r="B55" s="65" t="str">
        <f>VLOOKUP(A55,'CENTRO DE COSTOS'!A:D,4,FALSE)</f>
        <v>DIEGO FERNANDO HENAO CARDONA</v>
      </c>
      <c r="C55" s="65" t="str">
        <f>VLOOKUP(A55,'CENTRO DE COSTOS'!A:D,2,FALSE)</f>
        <v>0004-0002</v>
      </c>
      <c r="D55" s="64">
        <v>17001</v>
      </c>
      <c r="E55" s="66" t="s">
        <v>464</v>
      </c>
      <c r="F55" s="67">
        <v>80791</v>
      </c>
      <c r="G55" s="68" t="s">
        <v>90</v>
      </c>
      <c r="H55" s="69" t="s">
        <v>91</v>
      </c>
      <c r="I55" s="67" t="s">
        <v>401</v>
      </c>
      <c r="J55" s="70" t="s">
        <v>399</v>
      </c>
      <c r="K55" s="67" t="s">
        <v>465</v>
      </c>
      <c r="L55" s="71" t="s">
        <v>95</v>
      </c>
      <c r="M55" s="72" t="s">
        <v>466</v>
      </c>
      <c r="N55" s="73">
        <v>45870</v>
      </c>
      <c r="O55" s="74">
        <v>45874</v>
      </c>
      <c r="P55" s="75" t="s">
        <v>97</v>
      </c>
      <c r="Q55" s="76" t="s">
        <v>97</v>
      </c>
      <c r="R55" s="64" t="s">
        <v>98</v>
      </c>
      <c r="S55" s="77" t="s">
        <v>467</v>
      </c>
      <c r="T55" s="74" t="s">
        <v>100</v>
      </c>
      <c r="U55" s="64" t="s">
        <v>468</v>
      </c>
      <c r="V55" s="70" t="s">
        <v>133</v>
      </c>
      <c r="W55" s="74" t="s">
        <v>103</v>
      </c>
      <c r="X55" s="68" t="s">
        <v>469</v>
      </c>
      <c r="Y55" s="64">
        <v>1</v>
      </c>
      <c r="Z55" s="78">
        <v>0</v>
      </c>
      <c r="AA55" s="79">
        <f>'BASE FACTURACION 2025'!$C$3</f>
        <v>122645.45276000001</v>
      </c>
      <c r="AB55" s="79">
        <f>'BASE FACTURACION 2025'!$F$3</f>
        <v>65164.677720000007</v>
      </c>
      <c r="AC55" s="79">
        <f t="shared" si="0"/>
        <v>122645.45276000001</v>
      </c>
    </row>
    <row r="56" spans="1:29" s="80" customFormat="1" ht="13.15">
      <c r="A56" s="64" t="s">
        <v>245</v>
      </c>
      <c r="B56" s="65" t="str">
        <f>VLOOKUP(A56,'CENTRO DE COSTOS'!A:D,4,FALSE)</f>
        <v>MIGUEL JULIÁN HERNÁNDEZ GUARÍN</v>
      </c>
      <c r="C56" s="65" t="str">
        <f>VLOOKUP(A56,'CENTRO DE COSTOS'!A:D,2,FALSE)</f>
        <v>0004-0008</v>
      </c>
      <c r="D56" s="64">
        <v>54405</v>
      </c>
      <c r="E56" s="66" t="s">
        <v>470</v>
      </c>
      <c r="F56" s="67">
        <v>80787</v>
      </c>
      <c r="G56" s="68" t="s">
        <v>90</v>
      </c>
      <c r="H56" s="69" t="s">
        <v>91</v>
      </c>
      <c r="I56" s="67" t="s">
        <v>247</v>
      </c>
      <c r="J56" s="70" t="s">
        <v>471</v>
      </c>
      <c r="K56" s="67" t="s">
        <v>472</v>
      </c>
      <c r="L56" s="71" t="s">
        <v>95</v>
      </c>
      <c r="M56" s="72" t="s">
        <v>473</v>
      </c>
      <c r="N56" s="73">
        <v>45870</v>
      </c>
      <c r="O56" s="74">
        <v>45873</v>
      </c>
      <c r="P56" s="75" t="s">
        <v>97</v>
      </c>
      <c r="Q56" s="76" t="s">
        <v>97</v>
      </c>
      <c r="R56" s="64" t="s">
        <v>98</v>
      </c>
      <c r="S56" s="77" t="s">
        <v>474</v>
      </c>
      <c r="T56" s="74" t="s">
        <v>100</v>
      </c>
      <c r="U56" s="64" t="s">
        <v>475</v>
      </c>
      <c r="V56" s="70" t="s">
        <v>133</v>
      </c>
      <c r="W56" s="74" t="s">
        <v>103</v>
      </c>
      <c r="X56" s="68" t="s">
        <v>325</v>
      </c>
      <c r="Y56" s="64">
        <v>1</v>
      </c>
      <c r="Z56" s="78">
        <v>0</v>
      </c>
      <c r="AA56" s="79">
        <f>'BASE FACTURACION 2025'!$C$3</f>
        <v>122645.45276000001</v>
      </c>
      <c r="AB56" s="79">
        <f>'BASE FACTURACION 2025'!$F$3</f>
        <v>65164.677720000007</v>
      </c>
      <c r="AC56" s="79">
        <f t="shared" si="0"/>
        <v>122645.45276000001</v>
      </c>
    </row>
    <row r="57" spans="1:29" s="80" customFormat="1" ht="13.15">
      <c r="A57" s="64" t="s">
        <v>163</v>
      </c>
      <c r="B57" s="65" t="str">
        <f>VLOOKUP(A57,'CENTRO DE COSTOS'!A:D,4,FALSE)</f>
        <v>MIGUEL JULIÁN HERNÁNDEZ GUARÍN</v>
      </c>
      <c r="C57" s="65" t="str">
        <f>VLOOKUP(A57,'CENTRO DE COSTOS'!A:D,2,FALSE)</f>
        <v>0004-0008</v>
      </c>
      <c r="D57" s="64">
        <v>15001</v>
      </c>
      <c r="E57" s="66" t="s">
        <v>476</v>
      </c>
      <c r="F57" s="67">
        <v>80815</v>
      </c>
      <c r="G57" s="68" t="s">
        <v>90</v>
      </c>
      <c r="H57" s="69" t="s">
        <v>182</v>
      </c>
      <c r="I57" s="67" t="s">
        <v>165</v>
      </c>
      <c r="J57" s="70" t="s">
        <v>163</v>
      </c>
      <c r="K57" s="67" t="s">
        <v>477</v>
      </c>
      <c r="L57" s="71" t="s">
        <v>95</v>
      </c>
      <c r="M57" s="72" t="s">
        <v>478</v>
      </c>
      <c r="N57" s="73">
        <v>45870</v>
      </c>
      <c r="O57" s="74">
        <v>45873</v>
      </c>
      <c r="P57" s="75" t="s">
        <v>97</v>
      </c>
      <c r="Q57" s="76" t="s">
        <v>97</v>
      </c>
      <c r="R57" s="64" t="s">
        <v>98</v>
      </c>
      <c r="S57" s="77" t="s">
        <v>479</v>
      </c>
      <c r="T57" s="74" t="s">
        <v>100</v>
      </c>
      <c r="U57" s="64" t="s">
        <v>480</v>
      </c>
      <c r="V57" s="70" t="s">
        <v>133</v>
      </c>
      <c r="W57" s="74" t="s">
        <v>103</v>
      </c>
      <c r="X57" s="68" t="s">
        <v>481</v>
      </c>
      <c r="Y57" s="64">
        <v>1</v>
      </c>
      <c r="Z57" s="78">
        <v>0</v>
      </c>
      <c r="AA57" s="79">
        <f>'BASE FACTURACION 2025'!$C$3</f>
        <v>122645.45276000001</v>
      </c>
      <c r="AB57" s="79">
        <f>'BASE FACTURACION 2025'!$F$3</f>
        <v>65164.677720000007</v>
      </c>
      <c r="AC57" s="79">
        <f t="shared" si="0"/>
        <v>122645.45276000001</v>
      </c>
    </row>
    <row r="58" spans="1:29" s="80" customFormat="1" ht="13.15">
      <c r="A58" s="64" t="s">
        <v>88</v>
      </c>
      <c r="B58" s="65" t="str">
        <f>VLOOKUP(A58,'CENTRO DE COSTOS'!A:D,4,FALSE)</f>
        <v>KEVIN ALEXIS CORZO BUSTOS</v>
      </c>
      <c r="C58" s="65" t="str">
        <f>VLOOKUP(A58,'CENTRO DE COSTOS'!A:D,2,FALSE)</f>
        <v>0004-0007</v>
      </c>
      <c r="D58" s="64">
        <v>41791</v>
      </c>
      <c r="E58" s="66" t="s">
        <v>482</v>
      </c>
      <c r="F58" s="67">
        <v>80813</v>
      </c>
      <c r="G58" s="68" t="s">
        <v>90</v>
      </c>
      <c r="H58" s="69" t="s">
        <v>91</v>
      </c>
      <c r="I58" s="67" t="s">
        <v>173</v>
      </c>
      <c r="J58" s="70" t="s">
        <v>483</v>
      </c>
      <c r="K58" s="67" t="s">
        <v>484</v>
      </c>
      <c r="L58" s="71" t="s">
        <v>95</v>
      </c>
      <c r="M58" s="72" t="s">
        <v>485</v>
      </c>
      <c r="N58" s="73">
        <v>45870</v>
      </c>
      <c r="O58" s="74">
        <v>45873</v>
      </c>
      <c r="P58" s="75" t="s">
        <v>97</v>
      </c>
      <c r="Q58" s="76" t="s">
        <v>97</v>
      </c>
      <c r="R58" s="64" t="s">
        <v>98</v>
      </c>
      <c r="S58" s="77" t="s">
        <v>486</v>
      </c>
      <c r="T58" s="74" t="s">
        <v>100</v>
      </c>
      <c r="U58" s="64" t="s">
        <v>487</v>
      </c>
      <c r="V58" s="70" t="s">
        <v>189</v>
      </c>
      <c r="W58" s="74" t="s">
        <v>103</v>
      </c>
      <c r="X58" s="68" t="s">
        <v>275</v>
      </c>
      <c r="Y58" s="64">
        <v>1</v>
      </c>
      <c r="Z58" s="78">
        <v>0</v>
      </c>
      <c r="AA58" s="79">
        <f>'BASE FACTURACION 2025'!$C$3</f>
        <v>122645.45276000001</v>
      </c>
      <c r="AB58" s="79">
        <f>'BASE FACTURACION 2025'!$F$3</f>
        <v>65164.677720000007</v>
      </c>
      <c r="AC58" s="79">
        <f t="shared" si="0"/>
        <v>122645.45276000001</v>
      </c>
    </row>
    <row r="59" spans="1:29" s="80" customFormat="1" ht="13.15">
      <c r="A59" s="64" t="s">
        <v>229</v>
      </c>
      <c r="B59" s="65" t="str">
        <f>VLOOKUP(A59,'CENTRO DE COSTOS'!A:D,4,FALSE)</f>
        <v>MIGUEL JULIÁN HERNÁNDEZ GUARÍN</v>
      </c>
      <c r="C59" s="65" t="str">
        <f>VLOOKUP(A59,'CENTRO DE COSTOS'!A:D,2,FALSE)</f>
        <v>0004-0008</v>
      </c>
      <c r="D59" s="64">
        <v>13688</v>
      </c>
      <c r="E59" s="66" t="s">
        <v>488</v>
      </c>
      <c r="F59" s="67">
        <v>80806</v>
      </c>
      <c r="G59" s="68" t="s">
        <v>90</v>
      </c>
      <c r="H59" s="69" t="s">
        <v>91</v>
      </c>
      <c r="I59" s="67" t="s">
        <v>231</v>
      </c>
      <c r="J59" s="70" t="s">
        <v>232</v>
      </c>
      <c r="K59" s="67" t="s">
        <v>489</v>
      </c>
      <c r="L59" s="71" t="s">
        <v>95</v>
      </c>
      <c r="M59" s="72" t="s">
        <v>490</v>
      </c>
      <c r="N59" s="73">
        <v>45870</v>
      </c>
      <c r="O59" s="74">
        <v>45874</v>
      </c>
      <c r="P59" s="75" t="s">
        <v>97</v>
      </c>
      <c r="Q59" s="76" t="s">
        <v>97</v>
      </c>
      <c r="R59" s="64" t="s">
        <v>98</v>
      </c>
      <c r="S59" s="77" t="s">
        <v>491</v>
      </c>
      <c r="T59" s="74" t="s">
        <v>100</v>
      </c>
      <c r="U59" s="64" t="s">
        <v>492</v>
      </c>
      <c r="V59" s="70" t="s">
        <v>118</v>
      </c>
      <c r="W59" s="74" t="s">
        <v>237</v>
      </c>
      <c r="X59" s="68" t="s">
        <v>238</v>
      </c>
      <c r="Y59" s="64">
        <v>1</v>
      </c>
      <c r="Z59" s="78">
        <v>0</v>
      </c>
      <c r="AA59" s="79">
        <f>'BASE FACTURACION 2025'!$C$3</f>
        <v>122645.45276000001</v>
      </c>
      <c r="AB59" s="79">
        <f>'BASE FACTURACION 2025'!$F$3</f>
        <v>65164.677720000007</v>
      </c>
      <c r="AC59" s="79">
        <f t="shared" si="0"/>
        <v>122645.45276000001</v>
      </c>
    </row>
    <row r="60" spans="1:29" s="80" customFormat="1" ht="13.15">
      <c r="A60" s="64" t="s">
        <v>391</v>
      </c>
      <c r="B60" s="65" t="str">
        <f>VLOOKUP(A60,'CENTRO DE COSTOS'!A:D,4,FALSE)</f>
        <v>WILLIAM ASDRUBAL ROZO ROZO</v>
      </c>
      <c r="C60" s="65" t="str">
        <f>VLOOKUP(A60,'CENTRO DE COSTOS'!A:D,2,FALSE)</f>
        <v>0004-0004</v>
      </c>
      <c r="D60" s="64">
        <v>11001</v>
      </c>
      <c r="E60" s="66" t="s">
        <v>493</v>
      </c>
      <c r="F60" s="67">
        <v>80771</v>
      </c>
      <c r="G60" s="68" t="s">
        <v>90</v>
      </c>
      <c r="H60" s="69" t="s">
        <v>91</v>
      </c>
      <c r="I60" s="67" t="s">
        <v>393</v>
      </c>
      <c r="J60" s="70" t="s">
        <v>391</v>
      </c>
      <c r="K60" s="67" t="s">
        <v>494</v>
      </c>
      <c r="L60" s="71" t="s">
        <v>95</v>
      </c>
      <c r="M60" s="72" t="s">
        <v>495</v>
      </c>
      <c r="N60" s="73">
        <v>45870</v>
      </c>
      <c r="O60" s="74">
        <v>45873</v>
      </c>
      <c r="P60" s="75" t="s">
        <v>97</v>
      </c>
      <c r="Q60" s="76" t="s">
        <v>97</v>
      </c>
      <c r="R60" s="64" t="s">
        <v>98</v>
      </c>
      <c r="S60" s="77" t="s">
        <v>496</v>
      </c>
      <c r="T60" s="74" t="s">
        <v>100</v>
      </c>
      <c r="U60" s="64" t="s">
        <v>497</v>
      </c>
      <c r="V60" s="70" t="s">
        <v>133</v>
      </c>
      <c r="W60" s="74" t="s">
        <v>103</v>
      </c>
      <c r="X60" s="68" t="s">
        <v>498</v>
      </c>
      <c r="Y60" s="64">
        <v>1</v>
      </c>
      <c r="Z60" s="78">
        <v>0</v>
      </c>
      <c r="AA60" s="79">
        <f>'BASE FACTURACION 2025'!$C$3</f>
        <v>122645.45276000001</v>
      </c>
      <c r="AB60" s="79">
        <f>'BASE FACTURACION 2025'!$F$3</f>
        <v>65164.677720000007</v>
      </c>
      <c r="AC60" s="79">
        <f t="shared" si="0"/>
        <v>122645.45276000001</v>
      </c>
    </row>
    <row r="61" spans="1:29" s="80" customFormat="1" ht="13.15">
      <c r="A61" s="64" t="s">
        <v>180</v>
      </c>
      <c r="B61" s="65" t="str">
        <f>VLOOKUP(A61,'CENTRO DE COSTOS'!A:D,4,FALSE)</f>
        <v>DIEGO FERNANDO HENAO CARDONA</v>
      </c>
      <c r="C61" s="65" t="str">
        <f>VLOOKUP(A61,'CENTRO DE COSTOS'!A:D,2,FALSE)</f>
        <v>0004-0003</v>
      </c>
      <c r="D61" s="64">
        <v>19532</v>
      </c>
      <c r="E61" s="66" t="s">
        <v>499</v>
      </c>
      <c r="F61" s="67">
        <v>80797</v>
      </c>
      <c r="G61" s="68" t="s">
        <v>90</v>
      </c>
      <c r="H61" s="69" t="s">
        <v>91</v>
      </c>
      <c r="I61" s="67" t="s">
        <v>183</v>
      </c>
      <c r="J61" s="70" t="s">
        <v>500</v>
      </c>
      <c r="K61" s="67" t="s">
        <v>501</v>
      </c>
      <c r="L61" s="71" t="s">
        <v>95</v>
      </c>
      <c r="M61" s="72" t="s">
        <v>502</v>
      </c>
      <c r="N61" s="73">
        <v>45870</v>
      </c>
      <c r="O61" s="74">
        <v>45874</v>
      </c>
      <c r="P61" s="75" t="s">
        <v>97</v>
      </c>
      <c r="Q61" s="76" t="s">
        <v>97</v>
      </c>
      <c r="R61" s="64" t="s">
        <v>98</v>
      </c>
      <c r="S61" s="77" t="s">
        <v>503</v>
      </c>
      <c r="T61" s="74" t="s">
        <v>100</v>
      </c>
      <c r="U61" s="64" t="s">
        <v>504</v>
      </c>
      <c r="V61" s="70" t="s">
        <v>102</v>
      </c>
      <c r="W61" s="74" t="s">
        <v>103</v>
      </c>
      <c r="X61" s="68" t="s">
        <v>260</v>
      </c>
      <c r="Y61" s="64">
        <v>1</v>
      </c>
      <c r="Z61" s="78">
        <v>0</v>
      </c>
      <c r="AA61" s="79">
        <f>'BASE FACTURACION 2025'!$C$3</f>
        <v>122645.45276000001</v>
      </c>
      <c r="AB61" s="79">
        <f>'BASE FACTURACION 2025'!$F$3</f>
        <v>65164.677720000007</v>
      </c>
      <c r="AC61" s="79">
        <f t="shared" si="0"/>
        <v>122645.45276000001</v>
      </c>
    </row>
    <row r="62" spans="1:29" s="80" customFormat="1" ht="13.15">
      <c r="A62" s="64" t="s">
        <v>413</v>
      </c>
      <c r="B62" s="65" t="str">
        <f>VLOOKUP(A62,'CENTRO DE COSTOS'!A:D,4,FALSE)</f>
        <v>DIEGO FERNANDO HENAO CARDONA</v>
      </c>
      <c r="C62" s="65" t="str">
        <f>VLOOKUP(A62,'CENTRO DE COSTOS'!A:D,2,FALSE)</f>
        <v>0004-0002</v>
      </c>
      <c r="D62" s="64">
        <v>63001</v>
      </c>
      <c r="E62" s="66" t="s">
        <v>505</v>
      </c>
      <c r="F62" s="67">
        <v>80770</v>
      </c>
      <c r="G62" s="68" t="s">
        <v>90</v>
      </c>
      <c r="H62" s="69" t="s">
        <v>91</v>
      </c>
      <c r="I62" s="67" t="s">
        <v>506</v>
      </c>
      <c r="J62" s="70" t="s">
        <v>507</v>
      </c>
      <c r="K62" s="67" t="s">
        <v>508</v>
      </c>
      <c r="L62" s="71" t="s">
        <v>95</v>
      </c>
      <c r="M62" s="72" t="s">
        <v>509</v>
      </c>
      <c r="N62" s="73">
        <v>45870</v>
      </c>
      <c r="O62" s="74">
        <v>45873</v>
      </c>
      <c r="P62" s="75" t="s">
        <v>97</v>
      </c>
      <c r="Q62" s="76" t="s">
        <v>97</v>
      </c>
      <c r="R62" s="64" t="s">
        <v>98</v>
      </c>
      <c r="S62" s="77" t="s">
        <v>510</v>
      </c>
      <c r="T62" s="74" t="s">
        <v>100</v>
      </c>
      <c r="U62" s="64" t="s">
        <v>511</v>
      </c>
      <c r="V62" s="70" t="s">
        <v>162</v>
      </c>
      <c r="W62" s="74" t="s">
        <v>103</v>
      </c>
      <c r="X62" s="68" t="s">
        <v>512</v>
      </c>
      <c r="Y62" s="64">
        <v>1</v>
      </c>
      <c r="Z62" s="78">
        <v>0</v>
      </c>
      <c r="AA62" s="79">
        <f>'BASE FACTURACION 2025'!$C$3</f>
        <v>122645.45276000001</v>
      </c>
      <c r="AB62" s="79">
        <f>'BASE FACTURACION 2025'!$F$3</f>
        <v>65164.677720000007</v>
      </c>
      <c r="AC62" s="79">
        <f t="shared" si="0"/>
        <v>122645.45276000001</v>
      </c>
    </row>
    <row r="63" spans="1:29" s="80" customFormat="1" ht="13.15">
      <c r="A63" s="64" t="s">
        <v>220</v>
      </c>
      <c r="B63" s="65" t="str">
        <f>VLOOKUP(A63,'CENTRO DE COSTOS'!A:D,4,FALSE)</f>
        <v>KEVIN ALEXIS CORZO BUSTOS</v>
      </c>
      <c r="C63" s="65" t="str">
        <f>VLOOKUP(A63,'CENTRO DE COSTOS'!A:D,2,FALSE)</f>
        <v>0004-0007</v>
      </c>
      <c r="D63" s="64">
        <v>50606</v>
      </c>
      <c r="E63" s="66" t="s">
        <v>513</v>
      </c>
      <c r="F63" s="67">
        <v>80800</v>
      </c>
      <c r="G63" s="68" t="s">
        <v>90</v>
      </c>
      <c r="H63" s="69" t="s">
        <v>182</v>
      </c>
      <c r="I63" s="67" t="s">
        <v>222</v>
      </c>
      <c r="J63" s="70" t="s">
        <v>514</v>
      </c>
      <c r="K63" s="67" t="s">
        <v>515</v>
      </c>
      <c r="L63" s="71" t="s">
        <v>95</v>
      </c>
      <c r="M63" s="72" t="s">
        <v>516</v>
      </c>
      <c r="N63" s="73">
        <v>45870</v>
      </c>
      <c r="O63" s="74">
        <v>45874</v>
      </c>
      <c r="P63" s="75" t="s">
        <v>97</v>
      </c>
      <c r="Q63" s="76" t="s">
        <v>97</v>
      </c>
      <c r="R63" s="64" t="s">
        <v>98</v>
      </c>
      <c r="S63" s="77" t="s">
        <v>517</v>
      </c>
      <c r="T63" s="74" t="s">
        <v>100</v>
      </c>
      <c r="U63" s="64" t="s">
        <v>518</v>
      </c>
      <c r="V63" s="70" t="s">
        <v>162</v>
      </c>
      <c r="W63" s="74" t="s">
        <v>103</v>
      </c>
      <c r="X63" s="68" t="s">
        <v>228</v>
      </c>
      <c r="Y63" s="64">
        <v>1</v>
      </c>
      <c r="Z63" s="78">
        <v>0</v>
      </c>
      <c r="AA63" s="79">
        <f>'BASE FACTURACION 2025'!$C$3</f>
        <v>122645.45276000001</v>
      </c>
      <c r="AB63" s="79">
        <f>'BASE FACTURACION 2025'!$F$3</f>
        <v>65164.677720000007</v>
      </c>
      <c r="AC63" s="79">
        <f t="shared" si="0"/>
        <v>122645.45276000001</v>
      </c>
    </row>
    <row r="64" spans="1:29" s="80" customFormat="1" ht="13.15">
      <c r="A64" s="64" t="s">
        <v>391</v>
      </c>
      <c r="B64" s="65" t="str">
        <f>VLOOKUP(A64,'CENTRO DE COSTOS'!A:D,4,FALSE)</f>
        <v>WILLIAM ASDRUBAL ROZO ROZO</v>
      </c>
      <c r="C64" s="65" t="str">
        <f>VLOOKUP(A64,'CENTRO DE COSTOS'!A:D,2,FALSE)</f>
        <v>0004-0004</v>
      </c>
      <c r="D64" s="64">
        <v>11001</v>
      </c>
      <c r="E64" s="66" t="s">
        <v>519</v>
      </c>
      <c r="F64" s="67">
        <v>80773</v>
      </c>
      <c r="G64" s="68" t="s">
        <v>90</v>
      </c>
      <c r="H64" s="69" t="s">
        <v>91</v>
      </c>
      <c r="I64" s="67" t="s">
        <v>393</v>
      </c>
      <c r="J64" s="70" t="s">
        <v>391</v>
      </c>
      <c r="K64" s="67" t="s">
        <v>520</v>
      </c>
      <c r="L64" s="71" t="s">
        <v>95</v>
      </c>
      <c r="M64" s="72" t="s">
        <v>521</v>
      </c>
      <c r="N64" s="73">
        <v>45870</v>
      </c>
      <c r="O64" s="74">
        <v>45874</v>
      </c>
      <c r="P64" s="75" t="s">
        <v>97</v>
      </c>
      <c r="Q64" s="76" t="s">
        <v>97</v>
      </c>
      <c r="R64" s="64" t="s">
        <v>98</v>
      </c>
      <c r="S64" s="77" t="s">
        <v>522</v>
      </c>
      <c r="T64" s="74" t="s">
        <v>100</v>
      </c>
      <c r="U64" s="64" t="s">
        <v>523</v>
      </c>
      <c r="V64" s="70" t="s">
        <v>133</v>
      </c>
      <c r="W64" s="74" t="s">
        <v>103</v>
      </c>
      <c r="X64" s="68" t="s">
        <v>524</v>
      </c>
      <c r="Y64" s="64">
        <v>1</v>
      </c>
      <c r="Z64" s="78">
        <v>0</v>
      </c>
      <c r="AA64" s="79">
        <f>'BASE FACTURACION 2025'!$C$3</f>
        <v>122645.45276000001</v>
      </c>
      <c r="AB64" s="79">
        <f>'BASE FACTURACION 2025'!$F$3</f>
        <v>65164.677720000007</v>
      </c>
      <c r="AC64" s="79">
        <f t="shared" si="0"/>
        <v>122645.45276000001</v>
      </c>
    </row>
    <row r="65" spans="1:29" s="80" customFormat="1" ht="13.15">
      <c r="A65" s="64" t="s">
        <v>391</v>
      </c>
      <c r="B65" s="65" t="str">
        <f>VLOOKUP(A65,'CENTRO DE COSTOS'!A:D,4,FALSE)</f>
        <v>WILLIAM ASDRUBAL ROZO ROZO</v>
      </c>
      <c r="C65" s="65" t="str">
        <f>VLOOKUP(A65,'CENTRO DE COSTOS'!A:D,2,FALSE)</f>
        <v>0004-0004</v>
      </c>
      <c r="D65" s="64">
        <v>11001</v>
      </c>
      <c r="E65" s="66" t="s">
        <v>525</v>
      </c>
      <c r="F65" s="67">
        <v>80776</v>
      </c>
      <c r="G65" s="68" t="s">
        <v>90</v>
      </c>
      <c r="H65" s="69" t="s">
        <v>91</v>
      </c>
      <c r="I65" s="67" t="s">
        <v>393</v>
      </c>
      <c r="J65" s="70" t="s">
        <v>391</v>
      </c>
      <c r="K65" s="67" t="s">
        <v>526</v>
      </c>
      <c r="L65" s="71" t="s">
        <v>95</v>
      </c>
      <c r="M65" s="72" t="s">
        <v>527</v>
      </c>
      <c r="N65" s="73">
        <v>45870</v>
      </c>
      <c r="O65" s="74">
        <v>45873</v>
      </c>
      <c r="P65" s="75" t="s">
        <v>97</v>
      </c>
      <c r="Q65" s="76" t="s">
        <v>97</v>
      </c>
      <c r="R65" s="64" t="s">
        <v>98</v>
      </c>
      <c r="S65" s="77" t="s">
        <v>528</v>
      </c>
      <c r="T65" s="74" t="s">
        <v>100</v>
      </c>
      <c r="U65" s="64" t="s">
        <v>529</v>
      </c>
      <c r="V65" s="70" t="s">
        <v>133</v>
      </c>
      <c r="W65" s="74" t="s">
        <v>103</v>
      </c>
      <c r="X65" s="68" t="s">
        <v>398</v>
      </c>
      <c r="Y65" s="64">
        <v>1</v>
      </c>
      <c r="Z65" s="78">
        <v>0</v>
      </c>
      <c r="AA65" s="79">
        <f>'BASE FACTURACION 2025'!$C$3</f>
        <v>122645.45276000001</v>
      </c>
      <c r="AB65" s="79">
        <f>'BASE FACTURACION 2025'!$F$3</f>
        <v>65164.677720000007</v>
      </c>
      <c r="AC65" s="79">
        <f t="shared" si="0"/>
        <v>122645.45276000001</v>
      </c>
    </row>
    <row r="66" spans="1:29" s="80" customFormat="1" ht="13.15">
      <c r="A66" s="64" t="s">
        <v>413</v>
      </c>
      <c r="B66" s="65" t="str">
        <f>VLOOKUP(A66,'CENTRO DE COSTOS'!A:D,4,FALSE)</f>
        <v>DIEGO FERNANDO HENAO CARDONA</v>
      </c>
      <c r="C66" s="65" t="str">
        <f>VLOOKUP(A66,'CENTRO DE COSTOS'!A:D,2,FALSE)</f>
        <v>0004-0002</v>
      </c>
      <c r="D66" s="64">
        <v>66001</v>
      </c>
      <c r="E66" s="66" t="s">
        <v>530</v>
      </c>
      <c r="F66" s="67">
        <v>80798</v>
      </c>
      <c r="G66" s="68" t="s">
        <v>90</v>
      </c>
      <c r="H66" s="69" t="s">
        <v>91</v>
      </c>
      <c r="I66" s="67" t="s">
        <v>531</v>
      </c>
      <c r="J66" s="70" t="s">
        <v>413</v>
      </c>
      <c r="K66" s="67" t="s">
        <v>532</v>
      </c>
      <c r="L66" s="71" t="s">
        <v>95</v>
      </c>
      <c r="M66" s="72" t="s">
        <v>533</v>
      </c>
      <c r="N66" s="73">
        <v>45870</v>
      </c>
      <c r="O66" s="74">
        <v>45873</v>
      </c>
      <c r="P66" s="75" t="s">
        <v>97</v>
      </c>
      <c r="Q66" s="76" t="s">
        <v>97</v>
      </c>
      <c r="R66" s="64" t="s">
        <v>98</v>
      </c>
      <c r="S66" s="77" t="s">
        <v>534</v>
      </c>
      <c r="T66" s="74" t="s">
        <v>100</v>
      </c>
      <c r="U66" s="64" t="s">
        <v>535</v>
      </c>
      <c r="V66" s="70" t="s">
        <v>133</v>
      </c>
      <c r="W66" s="74" t="s">
        <v>103</v>
      </c>
      <c r="X66" s="68" t="s">
        <v>420</v>
      </c>
      <c r="Y66" s="64">
        <v>1</v>
      </c>
      <c r="Z66" s="78">
        <v>0</v>
      </c>
      <c r="AA66" s="79">
        <f>'BASE FACTURACION 2025'!$C$3</f>
        <v>122645.45276000001</v>
      </c>
      <c r="AB66" s="79">
        <f>'BASE FACTURACION 2025'!$F$3</f>
        <v>65164.677720000007</v>
      </c>
      <c r="AC66" s="79">
        <f t="shared" si="0"/>
        <v>122645.45276000001</v>
      </c>
    </row>
    <row r="67" spans="1:29" s="80" customFormat="1" ht="13.15">
      <c r="A67" s="64" t="s">
        <v>331</v>
      </c>
      <c r="B67" s="65" t="str">
        <f>VLOOKUP(A67,'CENTRO DE COSTOS'!A:D,4,FALSE)</f>
        <v>JOSE MAURICIO HERNANDEZ ROJAS</v>
      </c>
      <c r="C67" s="65" t="str">
        <f>VLOOKUP(A67,'CENTRO DE COSTOS'!A:D,2,FALSE)</f>
        <v>0004-0001</v>
      </c>
      <c r="D67" s="64">
        <v>70820</v>
      </c>
      <c r="E67" s="66" t="s">
        <v>536</v>
      </c>
      <c r="F67" s="67">
        <v>80808</v>
      </c>
      <c r="G67" s="68" t="s">
        <v>90</v>
      </c>
      <c r="H67" s="69" t="s">
        <v>91</v>
      </c>
      <c r="I67" s="67" t="s">
        <v>333</v>
      </c>
      <c r="J67" s="70" t="s">
        <v>537</v>
      </c>
      <c r="K67" s="67" t="s">
        <v>538</v>
      </c>
      <c r="L67" s="71" t="s">
        <v>95</v>
      </c>
      <c r="M67" s="72" t="s">
        <v>539</v>
      </c>
      <c r="N67" s="73">
        <v>45870</v>
      </c>
      <c r="O67" s="74">
        <v>45874</v>
      </c>
      <c r="P67" s="75" t="s">
        <v>97</v>
      </c>
      <c r="Q67" s="76" t="s">
        <v>97</v>
      </c>
      <c r="R67" s="64" t="s">
        <v>98</v>
      </c>
      <c r="S67" s="77" t="s">
        <v>540</v>
      </c>
      <c r="T67" s="74" t="s">
        <v>100</v>
      </c>
      <c r="U67" s="64" t="s">
        <v>541</v>
      </c>
      <c r="V67" s="70" t="s">
        <v>162</v>
      </c>
      <c r="W67" s="74" t="s">
        <v>103</v>
      </c>
      <c r="X67" s="68" t="s">
        <v>338</v>
      </c>
      <c r="Y67" s="64">
        <v>1</v>
      </c>
      <c r="Z67" s="78">
        <v>0</v>
      </c>
      <c r="AA67" s="79">
        <f>'BASE FACTURACION 2025'!$C$3</f>
        <v>122645.45276000001</v>
      </c>
      <c r="AB67" s="79">
        <f>'BASE FACTURACION 2025'!$F$3</f>
        <v>65164.677720000007</v>
      </c>
      <c r="AC67" s="79">
        <f t="shared" ref="AC67:AC130" si="1">AA67*Y67+AB67*Z67</f>
        <v>122645.45276000001</v>
      </c>
    </row>
    <row r="68" spans="1:29" s="80" customFormat="1" ht="13.15">
      <c r="A68" s="64" t="s">
        <v>163</v>
      </c>
      <c r="B68" s="65" t="str">
        <f>VLOOKUP(A68,'CENTRO DE COSTOS'!A:D,4,FALSE)</f>
        <v>MIGUEL JULIÁN HERNÁNDEZ GUARÍN</v>
      </c>
      <c r="C68" s="65" t="str">
        <f>VLOOKUP(A68,'CENTRO DE COSTOS'!A:D,2,FALSE)</f>
        <v>0004-0008</v>
      </c>
      <c r="D68" s="64">
        <v>15238</v>
      </c>
      <c r="E68" s="66" t="s">
        <v>542</v>
      </c>
      <c r="F68" s="67">
        <v>80785</v>
      </c>
      <c r="G68" s="68" t="s">
        <v>90</v>
      </c>
      <c r="H68" s="69" t="s">
        <v>91</v>
      </c>
      <c r="I68" s="67" t="s">
        <v>165</v>
      </c>
      <c r="J68" s="70" t="s">
        <v>543</v>
      </c>
      <c r="K68" s="67" t="s">
        <v>544</v>
      </c>
      <c r="L68" s="71" t="s">
        <v>95</v>
      </c>
      <c r="M68" s="72" t="s">
        <v>545</v>
      </c>
      <c r="N68" s="73">
        <v>45870</v>
      </c>
      <c r="O68" s="74">
        <v>45877</v>
      </c>
      <c r="P68" s="75" t="s">
        <v>97</v>
      </c>
      <c r="Q68" s="76" t="s">
        <v>97</v>
      </c>
      <c r="R68" s="64" t="s">
        <v>98</v>
      </c>
      <c r="S68" s="77" t="s">
        <v>546</v>
      </c>
      <c r="T68" s="74" t="s">
        <v>100</v>
      </c>
      <c r="U68" s="64" t="s">
        <v>547</v>
      </c>
      <c r="V68" s="70" t="s">
        <v>162</v>
      </c>
      <c r="W68" s="74" t="s">
        <v>103</v>
      </c>
      <c r="X68" s="68" t="s">
        <v>548</v>
      </c>
      <c r="Y68" s="64">
        <v>1</v>
      </c>
      <c r="Z68" s="78">
        <v>0</v>
      </c>
      <c r="AA68" s="79">
        <f>'BASE FACTURACION 2025'!$C$3</f>
        <v>122645.45276000001</v>
      </c>
      <c r="AB68" s="79">
        <f>'BASE FACTURACION 2025'!$F$3</f>
        <v>65164.677720000007</v>
      </c>
      <c r="AC68" s="79">
        <f t="shared" si="1"/>
        <v>122645.45276000001</v>
      </c>
    </row>
    <row r="69" spans="1:29" s="80" customFormat="1" ht="13.15">
      <c r="A69" s="64" t="s">
        <v>88</v>
      </c>
      <c r="B69" s="65" t="str">
        <f>VLOOKUP(A69,'CENTRO DE COSTOS'!A:D,4,FALSE)</f>
        <v>KEVIN ALEXIS CORZO BUSTOS</v>
      </c>
      <c r="C69" s="65" t="str">
        <f>VLOOKUP(A69,'CENTRO DE COSTOS'!A:D,2,FALSE)</f>
        <v>0004-0007</v>
      </c>
      <c r="D69" s="64">
        <v>41551</v>
      </c>
      <c r="E69" s="66" t="s">
        <v>549</v>
      </c>
      <c r="F69" s="67">
        <v>80799</v>
      </c>
      <c r="G69" s="68" t="s">
        <v>90</v>
      </c>
      <c r="H69" s="69" t="s">
        <v>91</v>
      </c>
      <c r="I69" s="67" t="s">
        <v>173</v>
      </c>
      <c r="J69" s="70" t="s">
        <v>550</v>
      </c>
      <c r="K69" s="67" t="s">
        <v>551</v>
      </c>
      <c r="L69" s="71" t="s">
        <v>95</v>
      </c>
      <c r="M69" s="72" t="s">
        <v>552</v>
      </c>
      <c r="N69" s="73">
        <v>45870</v>
      </c>
      <c r="O69" s="74">
        <v>45874</v>
      </c>
      <c r="P69" s="75" t="s">
        <v>97</v>
      </c>
      <c r="Q69" s="76" t="s">
        <v>97</v>
      </c>
      <c r="R69" s="64" t="s">
        <v>98</v>
      </c>
      <c r="S69" s="77" t="s">
        <v>553</v>
      </c>
      <c r="T69" s="74" t="s">
        <v>100</v>
      </c>
      <c r="U69" s="64" t="s">
        <v>554</v>
      </c>
      <c r="V69" s="70" t="s">
        <v>189</v>
      </c>
      <c r="W69" s="74" t="s">
        <v>103</v>
      </c>
      <c r="X69" s="68" t="s">
        <v>275</v>
      </c>
      <c r="Y69" s="64">
        <v>1</v>
      </c>
      <c r="Z69" s="78">
        <v>0</v>
      </c>
      <c r="AA69" s="79">
        <f>'BASE FACTURACION 2025'!$C$3</f>
        <v>122645.45276000001</v>
      </c>
      <c r="AB69" s="79">
        <f>'BASE FACTURACION 2025'!$F$3</f>
        <v>65164.677720000007</v>
      </c>
      <c r="AC69" s="79">
        <f t="shared" si="1"/>
        <v>122645.45276000001</v>
      </c>
    </row>
    <row r="70" spans="1:29" s="80" customFormat="1" ht="13.15">
      <c r="A70" s="64" t="s">
        <v>555</v>
      </c>
      <c r="B70" s="65" t="str">
        <f>VLOOKUP(A70,'CENTRO DE COSTOS'!A:D,4,FALSE)</f>
        <v>JUAN SEBASTIÁN RÍOS CASTRILLÓN</v>
      </c>
      <c r="C70" s="65" t="str">
        <f>VLOOKUP(A70,'CENTRO DE COSTOS'!A:D,2,FALSE)</f>
        <v>0004-0005</v>
      </c>
      <c r="D70" s="64">
        <v>5490</v>
      </c>
      <c r="E70" s="66" t="s">
        <v>556</v>
      </c>
      <c r="F70" s="67">
        <v>80782</v>
      </c>
      <c r="G70" s="68" t="s">
        <v>90</v>
      </c>
      <c r="H70" s="69" t="s">
        <v>91</v>
      </c>
      <c r="I70" s="67" t="s">
        <v>138</v>
      </c>
      <c r="J70" s="70" t="s">
        <v>557</v>
      </c>
      <c r="K70" s="67" t="s">
        <v>558</v>
      </c>
      <c r="L70" s="71" t="s">
        <v>95</v>
      </c>
      <c r="M70" s="72" t="s">
        <v>559</v>
      </c>
      <c r="N70" s="73">
        <v>45870</v>
      </c>
      <c r="O70" s="74">
        <v>45874</v>
      </c>
      <c r="P70" s="75" t="s">
        <v>97</v>
      </c>
      <c r="Q70" s="76" t="s">
        <v>97</v>
      </c>
      <c r="R70" s="64" t="s">
        <v>98</v>
      </c>
      <c r="S70" s="77" t="s">
        <v>560</v>
      </c>
      <c r="T70" s="74" t="s">
        <v>100</v>
      </c>
      <c r="U70" s="64" t="s">
        <v>561</v>
      </c>
      <c r="V70" s="70" t="s">
        <v>162</v>
      </c>
      <c r="W70" s="74" t="s">
        <v>103</v>
      </c>
      <c r="X70" s="68" t="s">
        <v>562</v>
      </c>
      <c r="Y70" s="64">
        <v>1</v>
      </c>
      <c r="Z70" s="78">
        <v>0</v>
      </c>
      <c r="AA70" s="79">
        <f>'BASE FACTURACION 2025'!$C$3</f>
        <v>122645.45276000001</v>
      </c>
      <c r="AB70" s="79">
        <f>'BASE FACTURACION 2025'!$F$3</f>
        <v>65164.677720000007</v>
      </c>
      <c r="AC70" s="79">
        <f t="shared" si="1"/>
        <v>122645.45276000001</v>
      </c>
    </row>
    <row r="71" spans="1:29" s="80" customFormat="1" ht="13.15">
      <c r="A71" s="64" t="s">
        <v>391</v>
      </c>
      <c r="B71" s="65" t="str">
        <f>VLOOKUP(A71,'CENTRO DE COSTOS'!A:D,4,FALSE)</f>
        <v>WILLIAM ASDRUBAL ROZO ROZO</v>
      </c>
      <c r="C71" s="65" t="str">
        <f>VLOOKUP(A71,'CENTRO DE COSTOS'!A:D,2,FALSE)</f>
        <v>0004-0004</v>
      </c>
      <c r="D71" s="64">
        <v>25797</v>
      </c>
      <c r="E71" s="66" t="s">
        <v>563</v>
      </c>
      <c r="F71" s="67">
        <v>80804</v>
      </c>
      <c r="G71" s="68" t="s">
        <v>90</v>
      </c>
      <c r="H71" s="69" t="s">
        <v>91</v>
      </c>
      <c r="I71" s="67" t="s">
        <v>393</v>
      </c>
      <c r="J71" s="70" t="s">
        <v>564</v>
      </c>
      <c r="K71" s="67" t="s">
        <v>565</v>
      </c>
      <c r="L71" s="71" t="s">
        <v>95</v>
      </c>
      <c r="M71" s="72" t="s">
        <v>566</v>
      </c>
      <c r="N71" s="73">
        <v>45870</v>
      </c>
      <c r="O71" s="74">
        <v>45874</v>
      </c>
      <c r="P71" s="75" t="s">
        <v>97</v>
      </c>
      <c r="Q71" s="76" t="s">
        <v>97</v>
      </c>
      <c r="R71" s="64" t="s">
        <v>98</v>
      </c>
      <c r="S71" s="77" t="s">
        <v>567</v>
      </c>
      <c r="T71" s="74" t="s">
        <v>100</v>
      </c>
      <c r="U71" s="64" t="s">
        <v>568</v>
      </c>
      <c r="V71" s="70" t="s">
        <v>162</v>
      </c>
      <c r="W71" s="74" t="s">
        <v>103</v>
      </c>
      <c r="X71" s="68" t="s">
        <v>463</v>
      </c>
      <c r="Y71" s="64">
        <v>1</v>
      </c>
      <c r="Z71" s="78">
        <v>0</v>
      </c>
      <c r="AA71" s="79">
        <f>'BASE FACTURACION 2025'!$C$3</f>
        <v>122645.45276000001</v>
      </c>
      <c r="AB71" s="79">
        <f>'BASE FACTURACION 2025'!$F$3</f>
        <v>65164.677720000007</v>
      </c>
      <c r="AC71" s="79">
        <f t="shared" si="1"/>
        <v>122645.45276000001</v>
      </c>
    </row>
    <row r="72" spans="1:29" s="80" customFormat="1" ht="13.15">
      <c r="A72" s="64" t="s">
        <v>399</v>
      </c>
      <c r="B72" s="65" t="str">
        <f>VLOOKUP(A72,'CENTRO DE COSTOS'!A:D,4,FALSE)</f>
        <v>DIEGO FERNANDO HENAO CARDONA</v>
      </c>
      <c r="C72" s="65" t="str">
        <f>VLOOKUP(A72,'CENTRO DE COSTOS'!A:D,2,FALSE)</f>
        <v>0004-0002</v>
      </c>
      <c r="D72" s="64">
        <v>17013</v>
      </c>
      <c r="E72" s="66" t="s">
        <v>569</v>
      </c>
      <c r="F72" s="67">
        <v>80767</v>
      </c>
      <c r="G72" s="68" t="s">
        <v>90</v>
      </c>
      <c r="H72" s="69" t="s">
        <v>91</v>
      </c>
      <c r="I72" s="67" t="s">
        <v>401</v>
      </c>
      <c r="J72" s="70" t="s">
        <v>570</v>
      </c>
      <c r="K72" s="67" t="s">
        <v>571</v>
      </c>
      <c r="L72" s="71" t="s">
        <v>95</v>
      </c>
      <c r="M72" s="72" t="s">
        <v>572</v>
      </c>
      <c r="N72" s="73">
        <v>45870</v>
      </c>
      <c r="O72" s="74">
        <v>45874</v>
      </c>
      <c r="P72" s="75" t="s">
        <v>97</v>
      </c>
      <c r="Q72" s="76" t="s">
        <v>97</v>
      </c>
      <c r="R72" s="64" t="s">
        <v>98</v>
      </c>
      <c r="S72" s="77" t="s">
        <v>573</v>
      </c>
      <c r="T72" s="74" t="s">
        <v>100</v>
      </c>
      <c r="U72" s="64" t="s">
        <v>574</v>
      </c>
      <c r="V72" s="70" t="s">
        <v>189</v>
      </c>
      <c r="W72" s="74" t="s">
        <v>103</v>
      </c>
      <c r="X72" s="68" t="s">
        <v>406</v>
      </c>
      <c r="Y72" s="64">
        <v>1</v>
      </c>
      <c r="Z72" s="78">
        <v>0</v>
      </c>
      <c r="AA72" s="79">
        <f>'BASE FACTURACION 2025'!$C$3</f>
        <v>122645.45276000001</v>
      </c>
      <c r="AB72" s="79">
        <f>'BASE FACTURACION 2025'!$F$3</f>
        <v>65164.677720000007</v>
      </c>
      <c r="AC72" s="79">
        <f t="shared" si="1"/>
        <v>122645.45276000001</v>
      </c>
    </row>
    <row r="73" spans="1:29" s="80" customFormat="1" ht="13.15">
      <c r="A73" s="64" t="s">
        <v>399</v>
      </c>
      <c r="B73" s="65" t="str">
        <f>VLOOKUP(A73,'CENTRO DE COSTOS'!A:D,4,FALSE)</f>
        <v>DIEGO FERNANDO HENAO CARDONA</v>
      </c>
      <c r="C73" s="65" t="str">
        <f>VLOOKUP(A73,'CENTRO DE COSTOS'!A:D,2,FALSE)</f>
        <v>0004-0002</v>
      </c>
      <c r="D73" s="64">
        <v>17001</v>
      </c>
      <c r="E73" s="66" t="s">
        <v>575</v>
      </c>
      <c r="F73" s="67">
        <v>80790</v>
      </c>
      <c r="G73" s="68" t="s">
        <v>90</v>
      </c>
      <c r="H73" s="69" t="s">
        <v>91</v>
      </c>
      <c r="I73" s="67" t="s">
        <v>401</v>
      </c>
      <c r="J73" s="70" t="s">
        <v>399</v>
      </c>
      <c r="K73" s="67" t="s">
        <v>576</v>
      </c>
      <c r="L73" s="71" t="s">
        <v>95</v>
      </c>
      <c r="M73" s="72" t="s">
        <v>577</v>
      </c>
      <c r="N73" s="73">
        <v>45870</v>
      </c>
      <c r="O73" s="74">
        <v>45874</v>
      </c>
      <c r="P73" s="75" t="s">
        <v>97</v>
      </c>
      <c r="Q73" s="76" t="s">
        <v>97</v>
      </c>
      <c r="R73" s="64" t="s">
        <v>98</v>
      </c>
      <c r="S73" s="77" t="s">
        <v>578</v>
      </c>
      <c r="T73" s="74" t="s">
        <v>100</v>
      </c>
      <c r="U73" s="64" t="s">
        <v>579</v>
      </c>
      <c r="V73" s="70" t="s">
        <v>133</v>
      </c>
      <c r="W73" s="74" t="s">
        <v>103</v>
      </c>
      <c r="X73" s="68" t="s">
        <v>469</v>
      </c>
      <c r="Y73" s="64">
        <v>1</v>
      </c>
      <c r="Z73" s="78">
        <v>0</v>
      </c>
      <c r="AA73" s="79">
        <f>'BASE FACTURACION 2025'!$C$3</f>
        <v>122645.45276000001</v>
      </c>
      <c r="AB73" s="79">
        <f>'BASE FACTURACION 2025'!$F$3</f>
        <v>65164.677720000007</v>
      </c>
      <c r="AC73" s="79">
        <f t="shared" si="1"/>
        <v>122645.45276000001</v>
      </c>
    </row>
    <row r="74" spans="1:29" s="80" customFormat="1" ht="13.15">
      <c r="A74" s="64" t="s">
        <v>391</v>
      </c>
      <c r="B74" s="65" t="str">
        <f>VLOOKUP(A74,'CENTRO DE COSTOS'!A:D,4,FALSE)</f>
        <v>WILLIAM ASDRUBAL ROZO ROZO</v>
      </c>
      <c r="C74" s="65" t="str">
        <f>VLOOKUP(A74,'CENTRO DE COSTOS'!A:D,2,FALSE)</f>
        <v>0004-0004</v>
      </c>
      <c r="D74" s="64">
        <v>25781</v>
      </c>
      <c r="E74" s="66" t="s">
        <v>580</v>
      </c>
      <c r="F74" s="67">
        <v>80801</v>
      </c>
      <c r="G74" s="68" t="s">
        <v>90</v>
      </c>
      <c r="H74" s="69" t="s">
        <v>91</v>
      </c>
      <c r="I74" s="67" t="s">
        <v>393</v>
      </c>
      <c r="J74" s="70" t="s">
        <v>581</v>
      </c>
      <c r="K74" s="67" t="s">
        <v>582</v>
      </c>
      <c r="L74" s="71" t="s">
        <v>95</v>
      </c>
      <c r="M74" s="72" t="s">
        <v>583</v>
      </c>
      <c r="N74" s="73">
        <v>45870</v>
      </c>
      <c r="O74" s="74">
        <v>45874</v>
      </c>
      <c r="P74" s="75" t="s">
        <v>97</v>
      </c>
      <c r="Q74" s="76" t="s">
        <v>97</v>
      </c>
      <c r="R74" s="64" t="s">
        <v>98</v>
      </c>
      <c r="S74" s="77" t="s">
        <v>584</v>
      </c>
      <c r="T74" s="74" t="s">
        <v>100</v>
      </c>
      <c r="U74" s="64" t="s">
        <v>585</v>
      </c>
      <c r="V74" s="70" t="s">
        <v>162</v>
      </c>
      <c r="W74" s="74" t="s">
        <v>103</v>
      </c>
      <c r="X74" s="68" t="s">
        <v>431</v>
      </c>
      <c r="Y74" s="64">
        <v>1</v>
      </c>
      <c r="Z74" s="78">
        <v>0</v>
      </c>
      <c r="AA74" s="79">
        <f>'BASE FACTURACION 2025'!$C$3</f>
        <v>122645.45276000001</v>
      </c>
      <c r="AB74" s="79">
        <f>'BASE FACTURACION 2025'!$F$3</f>
        <v>65164.677720000007</v>
      </c>
      <c r="AC74" s="79">
        <f t="shared" si="1"/>
        <v>122645.45276000001</v>
      </c>
    </row>
    <row r="75" spans="1:29" s="80" customFormat="1" ht="13.15">
      <c r="A75" s="64" t="s">
        <v>339</v>
      </c>
      <c r="B75" s="65" t="str">
        <f>VLOOKUP(A75,'CENTRO DE COSTOS'!A:D,4,FALSE)</f>
        <v>JOSE MAURICIO HERNANDEZ ROJAS</v>
      </c>
      <c r="C75" s="65" t="str">
        <f>VLOOKUP(A75,'CENTRO DE COSTOS'!A:D,2,FALSE)</f>
        <v>0004-0001</v>
      </c>
      <c r="D75" s="64">
        <v>23417</v>
      </c>
      <c r="E75" s="66" t="s">
        <v>586</v>
      </c>
      <c r="F75" s="67">
        <v>80822</v>
      </c>
      <c r="G75" s="68" t="s">
        <v>90</v>
      </c>
      <c r="H75" s="69" t="s">
        <v>91</v>
      </c>
      <c r="I75" s="67" t="s">
        <v>341</v>
      </c>
      <c r="J75" s="70" t="s">
        <v>587</v>
      </c>
      <c r="K75" s="67" t="s">
        <v>588</v>
      </c>
      <c r="L75" s="71" t="s">
        <v>95</v>
      </c>
      <c r="M75" s="72" t="s">
        <v>589</v>
      </c>
      <c r="N75" s="73">
        <v>45870</v>
      </c>
      <c r="O75" s="74">
        <v>45874</v>
      </c>
      <c r="P75" s="75" t="s">
        <v>97</v>
      </c>
      <c r="Q75" s="76" t="s">
        <v>97</v>
      </c>
      <c r="R75" s="64" t="s">
        <v>98</v>
      </c>
      <c r="S75" s="77" t="s">
        <v>590</v>
      </c>
      <c r="T75" s="74" t="s">
        <v>100</v>
      </c>
      <c r="U75" s="64" t="s">
        <v>591</v>
      </c>
      <c r="V75" s="70" t="s">
        <v>162</v>
      </c>
      <c r="W75" s="74" t="s">
        <v>103</v>
      </c>
      <c r="X75" s="68" t="s">
        <v>346</v>
      </c>
      <c r="Y75" s="64">
        <v>1</v>
      </c>
      <c r="Z75" s="78">
        <v>0</v>
      </c>
      <c r="AA75" s="79">
        <f>'BASE FACTURACION 2025'!$C$3</f>
        <v>122645.45276000001</v>
      </c>
      <c r="AB75" s="79">
        <f>'BASE FACTURACION 2025'!$F$3</f>
        <v>65164.677720000007</v>
      </c>
      <c r="AC75" s="79">
        <f t="shared" si="1"/>
        <v>122645.45276000001</v>
      </c>
    </row>
    <row r="76" spans="1:29" s="80" customFormat="1" ht="13.15">
      <c r="A76" s="64" t="s">
        <v>110</v>
      </c>
      <c r="B76" s="65" t="str">
        <f>VLOOKUP(A76,'CENTRO DE COSTOS'!A:D,4,FALSE)</f>
        <v>DIEGO FERNANDO HENAO CARDONA</v>
      </c>
      <c r="C76" s="65" t="str">
        <f>VLOOKUP(A76,'CENTRO DE COSTOS'!A:D,2,FALSE)</f>
        <v>0004-0003</v>
      </c>
      <c r="D76" s="64">
        <v>52835</v>
      </c>
      <c r="E76" s="66" t="s">
        <v>592</v>
      </c>
      <c r="F76" s="67">
        <v>80802</v>
      </c>
      <c r="G76" s="68" t="s">
        <v>90</v>
      </c>
      <c r="H76" s="69" t="s">
        <v>91</v>
      </c>
      <c r="I76" s="67" t="s">
        <v>112</v>
      </c>
      <c r="J76" s="70" t="s">
        <v>440</v>
      </c>
      <c r="K76" s="67" t="s">
        <v>593</v>
      </c>
      <c r="L76" s="71" t="s">
        <v>95</v>
      </c>
      <c r="M76" s="72" t="s">
        <v>594</v>
      </c>
      <c r="N76" s="73">
        <v>45870</v>
      </c>
      <c r="O76" s="74">
        <v>45874</v>
      </c>
      <c r="P76" s="75" t="s">
        <v>97</v>
      </c>
      <c r="Q76" s="76" t="s">
        <v>97</v>
      </c>
      <c r="R76" s="64" t="s">
        <v>98</v>
      </c>
      <c r="S76" s="77" t="s">
        <v>595</v>
      </c>
      <c r="T76" s="74" t="s">
        <v>100</v>
      </c>
      <c r="U76" s="64" t="s">
        <v>596</v>
      </c>
      <c r="V76" s="70" t="s">
        <v>102</v>
      </c>
      <c r="W76" s="74" t="s">
        <v>103</v>
      </c>
      <c r="X76" s="68" t="s">
        <v>120</v>
      </c>
      <c r="Y76" s="64">
        <v>1</v>
      </c>
      <c r="Z76" s="78">
        <v>0</v>
      </c>
      <c r="AA76" s="79">
        <f>'BASE FACTURACION 2025'!$C$3</f>
        <v>122645.45276000001</v>
      </c>
      <c r="AB76" s="79">
        <f>'BASE FACTURACION 2025'!$F$3</f>
        <v>65164.677720000007</v>
      </c>
      <c r="AC76" s="79">
        <f t="shared" si="1"/>
        <v>122645.45276000001</v>
      </c>
    </row>
    <row r="77" spans="1:29" s="80" customFormat="1" ht="13.15">
      <c r="A77" s="64" t="s">
        <v>391</v>
      </c>
      <c r="B77" s="65" t="str">
        <f>VLOOKUP(A77,'CENTRO DE COSTOS'!A:D,4,FALSE)</f>
        <v>WILLIAM ASDRUBAL ROZO ROZO</v>
      </c>
      <c r="C77" s="65" t="str">
        <f>VLOOKUP(A77,'CENTRO DE COSTOS'!A:D,2,FALSE)</f>
        <v>0004-0004</v>
      </c>
      <c r="D77" s="64">
        <v>11001</v>
      </c>
      <c r="E77" s="66" t="s">
        <v>597</v>
      </c>
      <c r="F77" s="67">
        <v>80774</v>
      </c>
      <c r="G77" s="68" t="s">
        <v>90</v>
      </c>
      <c r="H77" s="69" t="s">
        <v>91</v>
      </c>
      <c r="I77" s="67" t="s">
        <v>393</v>
      </c>
      <c r="J77" s="70" t="s">
        <v>391</v>
      </c>
      <c r="K77" s="67" t="s">
        <v>598</v>
      </c>
      <c r="L77" s="71" t="s">
        <v>95</v>
      </c>
      <c r="M77" s="72" t="s">
        <v>599</v>
      </c>
      <c r="N77" s="73">
        <v>45870</v>
      </c>
      <c r="O77" s="74">
        <v>45873</v>
      </c>
      <c r="P77" s="75" t="s">
        <v>97</v>
      </c>
      <c r="Q77" s="76" t="s">
        <v>97</v>
      </c>
      <c r="R77" s="64" t="s">
        <v>98</v>
      </c>
      <c r="S77" s="77" t="s">
        <v>600</v>
      </c>
      <c r="T77" s="74" t="s">
        <v>100</v>
      </c>
      <c r="U77" s="64" t="s">
        <v>601</v>
      </c>
      <c r="V77" s="70" t="s">
        <v>133</v>
      </c>
      <c r="W77" s="74" t="s">
        <v>103</v>
      </c>
      <c r="X77" s="68" t="s">
        <v>602</v>
      </c>
      <c r="Y77" s="64">
        <v>1</v>
      </c>
      <c r="Z77" s="78">
        <v>0</v>
      </c>
      <c r="AA77" s="79">
        <f>'BASE FACTURACION 2025'!$C$3</f>
        <v>122645.45276000001</v>
      </c>
      <c r="AB77" s="79">
        <f>'BASE FACTURACION 2025'!$F$3</f>
        <v>65164.677720000007</v>
      </c>
      <c r="AC77" s="79">
        <f t="shared" si="1"/>
        <v>122645.45276000001</v>
      </c>
    </row>
    <row r="78" spans="1:29" s="80" customFormat="1" ht="13.15">
      <c r="A78" s="64" t="s">
        <v>135</v>
      </c>
      <c r="B78" s="65" t="str">
        <f>VLOOKUP(A78,'CENTRO DE COSTOS'!A:D,4,FALSE)</f>
        <v>JUAN SEBASTIÁN RÍOS CASTRILLÓN</v>
      </c>
      <c r="C78" s="65" t="str">
        <f>VLOOKUP(A78,'CENTRO DE COSTOS'!A:D,2,FALSE)</f>
        <v>0004-0005</v>
      </c>
      <c r="D78" s="64">
        <v>5361</v>
      </c>
      <c r="E78" s="66" t="s">
        <v>603</v>
      </c>
      <c r="F78" s="67">
        <v>80769</v>
      </c>
      <c r="G78" s="68" t="s">
        <v>90</v>
      </c>
      <c r="H78" s="69" t="s">
        <v>91</v>
      </c>
      <c r="I78" s="67" t="s">
        <v>138</v>
      </c>
      <c r="J78" s="70" t="s">
        <v>604</v>
      </c>
      <c r="K78" s="67" t="s">
        <v>605</v>
      </c>
      <c r="L78" s="71" t="s">
        <v>95</v>
      </c>
      <c r="M78" s="72" t="s">
        <v>606</v>
      </c>
      <c r="N78" s="73">
        <v>45870</v>
      </c>
      <c r="O78" s="74">
        <v>45875</v>
      </c>
      <c r="P78" s="75" t="s">
        <v>97</v>
      </c>
      <c r="Q78" s="76" t="s">
        <v>97</v>
      </c>
      <c r="R78" s="64" t="s">
        <v>98</v>
      </c>
      <c r="S78" s="77" t="s">
        <v>607</v>
      </c>
      <c r="T78" s="74" t="s">
        <v>100</v>
      </c>
      <c r="U78" s="64" t="s">
        <v>608</v>
      </c>
      <c r="V78" s="70" t="s">
        <v>102</v>
      </c>
      <c r="W78" s="74" t="s">
        <v>103</v>
      </c>
      <c r="X78" s="68" t="s">
        <v>609</v>
      </c>
      <c r="Y78" s="64">
        <v>1</v>
      </c>
      <c r="Z78" s="78">
        <v>0</v>
      </c>
      <c r="AA78" s="79">
        <f>'BASE FACTURACION 2025'!$C$3</f>
        <v>122645.45276000001</v>
      </c>
      <c r="AB78" s="79">
        <f>'BASE FACTURACION 2025'!$F$3</f>
        <v>65164.677720000007</v>
      </c>
      <c r="AC78" s="79">
        <f t="shared" si="1"/>
        <v>122645.45276000001</v>
      </c>
    </row>
    <row r="79" spans="1:29" s="80" customFormat="1" ht="13.15">
      <c r="A79" s="64" t="s">
        <v>331</v>
      </c>
      <c r="B79" s="65" t="str">
        <f>VLOOKUP(A79,'CENTRO DE COSTOS'!A:D,4,FALSE)</f>
        <v>JOSE MAURICIO HERNANDEZ ROJAS</v>
      </c>
      <c r="C79" s="65" t="str">
        <f>VLOOKUP(A79,'CENTRO DE COSTOS'!A:D,2,FALSE)</f>
        <v>0004-0001</v>
      </c>
      <c r="D79" s="64">
        <v>70708</v>
      </c>
      <c r="E79" s="66" t="s">
        <v>610</v>
      </c>
      <c r="F79" s="67">
        <v>80805</v>
      </c>
      <c r="G79" s="68" t="s">
        <v>90</v>
      </c>
      <c r="H79" s="69" t="s">
        <v>91</v>
      </c>
      <c r="I79" s="67" t="s">
        <v>333</v>
      </c>
      <c r="J79" s="70" t="s">
        <v>611</v>
      </c>
      <c r="K79" s="67" t="s">
        <v>612</v>
      </c>
      <c r="L79" s="71" t="s">
        <v>95</v>
      </c>
      <c r="M79" s="72" t="s">
        <v>613</v>
      </c>
      <c r="N79" s="73">
        <v>45870</v>
      </c>
      <c r="O79" s="74">
        <v>45873</v>
      </c>
      <c r="P79" s="75" t="s">
        <v>97</v>
      </c>
      <c r="Q79" s="76" t="s">
        <v>97</v>
      </c>
      <c r="R79" s="64" t="s">
        <v>98</v>
      </c>
      <c r="S79" s="77" t="s">
        <v>614</v>
      </c>
      <c r="T79" s="74" t="s">
        <v>100</v>
      </c>
      <c r="U79" s="64" t="s">
        <v>615</v>
      </c>
      <c r="V79" s="70" t="s">
        <v>189</v>
      </c>
      <c r="W79" s="74" t="s">
        <v>103</v>
      </c>
      <c r="X79" s="68" t="s">
        <v>616</v>
      </c>
      <c r="Y79" s="64">
        <v>1</v>
      </c>
      <c r="Z79" s="78">
        <v>0</v>
      </c>
      <c r="AA79" s="79">
        <f>'BASE FACTURACION 2025'!$C$3</f>
        <v>122645.45276000001</v>
      </c>
      <c r="AB79" s="79">
        <f>'BASE FACTURACION 2025'!$F$3</f>
        <v>65164.677720000007</v>
      </c>
      <c r="AC79" s="79">
        <f t="shared" si="1"/>
        <v>122645.45276000001</v>
      </c>
    </row>
    <row r="80" spans="1:29" s="80" customFormat="1" ht="13.15">
      <c r="A80" s="64" t="s">
        <v>88</v>
      </c>
      <c r="B80" s="65" t="str">
        <f>VLOOKUP(A80,'CENTRO DE COSTOS'!A:D,4,FALSE)</f>
        <v>KEVIN ALEXIS CORZO BUSTOS</v>
      </c>
      <c r="C80" s="65" t="str">
        <f>VLOOKUP(A80,'CENTRO DE COSTOS'!A:D,2,FALSE)</f>
        <v>0004-0007</v>
      </c>
      <c r="D80" s="64">
        <v>41001</v>
      </c>
      <c r="E80" s="66" t="s">
        <v>617</v>
      </c>
      <c r="F80" s="67">
        <v>80793</v>
      </c>
      <c r="G80" s="68" t="s">
        <v>90</v>
      </c>
      <c r="H80" s="69" t="s">
        <v>91</v>
      </c>
      <c r="I80" s="67" t="s">
        <v>173</v>
      </c>
      <c r="J80" s="70" t="s">
        <v>88</v>
      </c>
      <c r="K80" s="67" t="s">
        <v>618</v>
      </c>
      <c r="L80" s="71" t="s">
        <v>95</v>
      </c>
      <c r="M80" s="72" t="s">
        <v>619</v>
      </c>
      <c r="N80" s="73">
        <v>45870</v>
      </c>
      <c r="O80" s="74">
        <v>45873</v>
      </c>
      <c r="P80" s="75" t="s">
        <v>97</v>
      </c>
      <c r="Q80" s="76" t="s">
        <v>97</v>
      </c>
      <c r="R80" s="64" t="s">
        <v>98</v>
      </c>
      <c r="S80" s="77" t="s">
        <v>620</v>
      </c>
      <c r="T80" s="74" t="s">
        <v>100</v>
      </c>
      <c r="U80" s="64" t="s">
        <v>621</v>
      </c>
      <c r="V80" s="70" t="s">
        <v>133</v>
      </c>
      <c r="W80" s="74" t="s">
        <v>103</v>
      </c>
      <c r="X80" s="68" t="s">
        <v>179</v>
      </c>
      <c r="Y80" s="64">
        <v>1</v>
      </c>
      <c r="Z80" s="78">
        <v>0</v>
      </c>
      <c r="AA80" s="79">
        <f>'BASE FACTURACION 2025'!$C$3</f>
        <v>122645.45276000001</v>
      </c>
      <c r="AB80" s="79">
        <f>'BASE FACTURACION 2025'!$F$3</f>
        <v>65164.677720000007</v>
      </c>
      <c r="AC80" s="79">
        <f t="shared" si="1"/>
        <v>122645.45276000001</v>
      </c>
    </row>
    <row r="81" spans="1:29" s="80" customFormat="1" ht="13.15">
      <c r="A81" s="64" t="s">
        <v>622</v>
      </c>
      <c r="B81" s="65" t="str">
        <f>VLOOKUP(A81,'CENTRO DE COSTOS'!A:D,4,FALSE)</f>
        <v>KEVIN ALEXIS CORZO BUSTOS</v>
      </c>
      <c r="C81" s="65" t="str">
        <f>VLOOKUP(A81,'CENTRO DE COSTOS'!A:D,2,FALSE)</f>
        <v>0004-0007</v>
      </c>
      <c r="D81" s="64">
        <v>73001</v>
      </c>
      <c r="E81" s="66" t="s">
        <v>623</v>
      </c>
      <c r="F81" s="67">
        <v>80821</v>
      </c>
      <c r="G81" s="68" t="s">
        <v>90</v>
      </c>
      <c r="H81" s="69" t="s">
        <v>91</v>
      </c>
      <c r="I81" s="67" t="s">
        <v>624</v>
      </c>
      <c r="J81" s="70" t="s">
        <v>622</v>
      </c>
      <c r="K81" s="67" t="s">
        <v>625</v>
      </c>
      <c r="L81" s="71" t="s">
        <v>95</v>
      </c>
      <c r="M81" s="72" t="s">
        <v>626</v>
      </c>
      <c r="N81" s="73">
        <v>45870</v>
      </c>
      <c r="O81" s="74">
        <v>45873</v>
      </c>
      <c r="P81" s="75" t="s">
        <v>97</v>
      </c>
      <c r="Q81" s="76" t="s">
        <v>97</v>
      </c>
      <c r="R81" s="64" t="s">
        <v>98</v>
      </c>
      <c r="S81" s="77" t="s">
        <v>627</v>
      </c>
      <c r="T81" s="74" t="s">
        <v>100</v>
      </c>
      <c r="U81" s="64" t="s">
        <v>628</v>
      </c>
      <c r="V81" s="70" t="s">
        <v>133</v>
      </c>
      <c r="W81" s="74" t="s">
        <v>103</v>
      </c>
      <c r="X81" s="68" t="s">
        <v>629</v>
      </c>
      <c r="Y81" s="64">
        <v>1</v>
      </c>
      <c r="Z81" s="78">
        <v>0</v>
      </c>
      <c r="AA81" s="79">
        <f>'BASE FACTURACION 2025'!$C$3</f>
        <v>122645.45276000001</v>
      </c>
      <c r="AB81" s="79">
        <f>'BASE FACTURACION 2025'!$F$3</f>
        <v>65164.677720000007</v>
      </c>
      <c r="AC81" s="79">
        <f t="shared" si="1"/>
        <v>122645.45276000001</v>
      </c>
    </row>
    <row r="82" spans="1:29" s="80" customFormat="1" ht="13.15">
      <c r="A82" s="64" t="s">
        <v>135</v>
      </c>
      <c r="B82" s="65" t="str">
        <f>VLOOKUP(A82,'CENTRO DE COSTOS'!A:D,4,FALSE)</f>
        <v>JUAN SEBASTIÁN RÍOS CASTRILLÓN</v>
      </c>
      <c r="C82" s="65" t="str">
        <f>VLOOKUP(A82,'CENTRO DE COSTOS'!A:D,2,FALSE)</f>
        <v>0004-0005</v>
      </c>
      <c r="D82" s="64">
        <v>5001</v>
      </c>
      <c r="E82" s="66" t="s">
        <v>630</v>
      </c>
      <c r="F82" s="67">
        <v>80856</v>
      </c>
      <c r="G82" s="68" t="s">
        <v>90</v>
      </c>
      <c r="H82" s="69" t="s">
        <v>137</v>
      </c>
      <c r="I82" s="67" t="s">
        <v>138</v>
      </c>
      <c r="J82" s="70" t="s">
        <v>135</v>
      </c>
      <c r="K82" s="67" t="s">
        <v>631</v>
      </c>
      <c r="L82" s="71" t="s">
        <v>95</v>
      </c>
      <c r="M82" s="72" t="s">
        <v>632</v>
      </c>
      <c r="N82" s="73">
        <v>45875</v>
      </c>
      <c r="O82" s="74">
        <v>45880</v>
      </c>
      <c r="P82" s="75" t="s">
        <v>141</v>
      </c>
      <c r="Q82" s="76" t="s">
        <v>633</v>
      </c>
      <c r="R82" s="64" t="s">
        <v>98</v>
      </c>
      <c r="S82" s="77" t="s">
        <v>634</v>
      </c>
      <c r="T82" s="74" t="s">
        <v>100</v>
      </c>
      <c r="U82" s="64" t="s">
        <v>635</v>
      </c>
      <c r="V82" s="70" t="s">
        <v>133</v>
      </c>
      <c r="W82" s="74" t="s">
        <v>103</v>
      </c>
      <c r="X82" s="68" t="s">
        <v>150</v>
      </c>
      <c r="Y82" s="64">
        <v>1</v>
      </c>
      <c r="Z82" s="78">
        <v>0</v>
      </c>
      <c r="AA82" s="79">
        <f>'BASE FACTURACION 2025'!$C$3</f>
        <v>122645.45276000001</v>
      </c>
      <c r="AB82" s="79">
        <f>'BASE FACTURACION 2025'!$F$3</f>
        <v>65164.677720000007</v>
      </c>
      <c r="AC82" s="79">
        <f t="shared" si="1"/>
        <v>122645.45276000001</v>
      </c>
    </row>
    <row r="83" spans="1:29" s="80" customFormat="1" ht="13.15">
      <c r="A83" s="64" t="s">
        <v>135</v>
      </c>
      <c r="B83" s="65" t="str">
        <f>VLOOKUP(A83,'CENTRO DE COSTOS'!A:D,4,FALSE)</f>
        <v>JUAN SEBASTIÁN RÍOS CASTRILLÓN</v>
      </c>
      <c r="C83" s="65" t="str">
        <f>VLOOKUP(A83,'CENTRO DE COSTOS'!A:D,2,FALSE)</f>
        <v>0004-0005</v>
      </c>
      <c r="D83" s="64">
        <v>5001</v>
      </c>
      <c r="E83" s="66" t="s">
        <v>636</v>
      </c>
      <c r="F83" s="67">
        <v>80857</v>
      </c>
      <c r="G83" s="68" t="s">
        <v>90</v>
      </c>
      <c r="H83" s="69" t="s">
        <v>137</v>
      </c>
      <c r="I83" s="67" t="s">
        <v>138</v>
      </c>
      <c r="J83" s="70" t="s">
        <v>135</v>
      </c>
      <c r="K83" s="67" t="s">
        <v>637</v>
      </c>
      <c r="L83" s="71" t="s">
        <v>95</v>
      </c>
      <c r="M83" s="72" t="s">
        <v>638</v>
      </c>
      <c r="N83" s="73">
        <v>45875</v>
      </c>
      <c r="O83" s="74">
        <v>45880</v>
      </c>
      <c r="P83" s="75" t="s">
        <v>141</v>
      </c>
      <c r="Q83" s="76" t="s">
        <v>633</v>
      </c>
      <c r="R83" s="64" t="s">
        <v>98</v>
      </c>
      <c r="S83" s="77" t="s">
        <v>634</v>
      </c>
      <c r="T83" s="74" t="s">
        <v>100</v>
      </c>
      <c r="U83" s="64" t="s">
        <v>639</v>
      </c>
      <c r="V83" s="70" t="s">
        <v>133</v>
      </c>
      <c r="W83" s="74" t="s">
        <v>103</v>
      </c>
      <c r="X83" s="68" t="s">
        <v>299</v>
      </c>
      <c r="Y83" s="64">
        <v>1</v>
      </c>
      <c r="Z83" s="78">
        <v>0</v>
      </c>
      <c r="AA83" s="79">
        <f>'BASE FACTURACION 2025'!$C$3</f>
        <v>122645.45276000001</v>
      </c>
      <c r="AB83" s="79">
        <f>'BASE FACTURACION 2025'!$F$3</f>
        <v>65164.677720000007</v>
      </c>
      <c r="AC83" s="79">
        <f t="shared" si="1"/>
        <v>122645.45276000001</v>
      </c>
    </row>
    <row r="84" spans="1:29" s="80" customFormat="1" ht="13.15">
      <c r="A84" s="64" t="s">
        <v>135</v>
      </c>
      <c r="B84" s="65" t="str">
        <f>VLOOKUP(A84,'CENTRO DE COSTOS'!A:D,4,FALSE)</f>
        <v>JUAN SEBASTIÁN RÍOS CASTRILLÓN</v>
      </c>
      <c r="C84" s="65" t="str">
        <f>VLOOKUP(A84,'CENTRO DE COSTOS'!A:D,2,FALSE)</f>
        <v>0004-0005</v>
      </c>
      <c r="D84" s="64">
        <v>5001</v>
      </c>
      <c r="E84" s="66" t="s">
        <v>640</v>
      </c>
      <c r="F84" s="67">
        <v>80858</v>
      </c>
      <c r="G84" s="68" t="s">
        <v>90</v>
      </c>
      <c r="H84" s="69" t="s">
        <v>137</v>
      </c>
      <c r="I84" s="67" t="s">
        <v>138</v>
      </c>
      <c r="J84" s="70" t="s">
        <v>135</v>
      </c>
      <c r="K84" s="67" t="s">
        <v>641</v>
      </c>
      <c r="L84" s="71" t="s">
        <v>95</v>
      </c>
      <c r="M84" s="72" t="s">
        <v>642</v>
      </c>
      <c r="N84" s="73">
        <v>45875</v>
      </c>
      <c r="O84" s="74">
        <v>45880</v>
      </c>
      <c r="P84" s="75" t="s">
        <v>141</v>
      </c>
      <c r="Q84" s="76" t="s">
        <v>633</v>
      </c>
      <c r="R84" s="64" t="s">
        <v>98</v>
      </c>
      <c r="S84" s="77" t="s">
        <v>634</v>
      </c>
      <c r="T84" s="74" t="s">
        <v>100</v>
      </c>
      <c r="U84" s="64" t="s">
        <v>643</v>
      </c>
      <c r="V84" s="70" t="s">
        <v>133</v>
      </c>
      <c r="W84" s="74" t="s">
        <v>103</v>
      </c>
      <c r="X84" s="68" t="s">
        <v>299</v>
      </c>
      <c r="Y84" s="64">
        <v>1</v>
      </c>
      <c r="Z84" s="78">
        <v>0</v>
      </c>
      <c r="AA84" s="79">
        <f>'BASE FACTURACION 2025'!$C$3</f>
        <v>122645.45276000001</v>
      </c>
      <c r="AB84" s="79">
        <f>'BASE FACTURACION 2025'!$F$3</f>
        <v>65164.677720000007</v>
      </c>
      <c r="AC84" s="79">
        <f t="shared" si="1"/>
        <v>122645.45276000001</v>
      </c>
    </row>
    <row r="85" spans="1:29" s="80" customFormat="1" ht="13.15">
      <c r="A85" s="64" t="s">
        <v>135</v>
      </c>
      <c r="B85" s="65" t="str">
        <f>VLOOKUP(A85,'CENTRO DE COSTOS'!A:D,4,FALSE)</f>
        <v>JUAN SEBASTIÁN RÍOS CASTRILLÓN</v>
      </c>
      <c r="C85" s="65" t="str">
        <f>VLOOKUP(A85,'CENTRO DE COSTOS'!A:D,2,FALSE)</f>
        <v>0004-0005</v>
      </c>
      <c r="D85" s="64">
        <v>5001</v>
      </c>
      <c r="E85" s="66" t="s">
        <v>644</v>
      </c>
      <c r="F85" s="67">
        <v>80859</v>
      </c>
      <c r="G85" s="68" t="s">
        <v>90</v>
      </c>
      <c r="H85" s="69" t="s">
        <v>137</v>
      </c>
      <c r="I85" s="67" t="s">
        <v>138</v>
      </c>
      <c r="J85" s="70" t="s">
        <v>135</v>
      </c>
      <c r="K85" s="67" t="s">
        <v>645</v>
      </c>
      <c r="L85" s="71" t="s">
        <v>95</v>
      </c>
      <c r="M85" s="72" t="s">
        <v>646</v>
      </c>
      <c r="N85" s="73">
        <v>45875</v>
      </c>
      <c r="O85" s="74">
        <v>45880</v>
      </c>
      <c r="P85" s="75" t="s">
        <v>141</v>
      </c>
      <c r="Q85" s="76" t="s">
        <v>633</v>
      </c>
      <c r="R85" s="64" t="s">
        <v>98</v>
      </c>
      <c r="S85" s="77" t="s">
        <v>634</v>
      </c>
      <c r="T85" s="74" t="s">
        <v>100</v>
      </c>
      <c r="U85" s="64" t="s">
        <v>647</v>
      </c>
      <c r="V85" s="70" t="s">
        <v>133</v>
      </c>
      <c r="W85" s="74" t="s">
        <v>103</v>
      </c>
      <c r="X85" s="68" t="s">
        <v>150</v>
      </c>
      <c r="Y85" s="64">
        <v>1</v>
      </c>
      <c r="Z85" s="78">
        <v>0</v>
      </c>
      <c r="AA85" s="79">
        <f>'BASE FACTURACION 2025'!$C$3</f>
        <v>122645.45276000001</v>
      </c>
      <c r="AB85" s="79">
        <f>'BASE FACTURACION 2025'!$F$3</f>
        <v>65164.677720000007</v>
      </c>
      <c r="AC85" s="79">
        <f t="shared" si="1"/>
        <v>122645.45276000001</v>
      </c>
    </row>
    <row r="86" spans="1:29" s="80" customFormat="1" ht="13.15">
      <c r="A86" s="64" t="s">
        <v>135</v>
      </c>
      <c r="B86" s="65" t="str">
        <f>VLOOKUP(A86,'CENTRO DE COSTOS'!A:D,4,FALSE)</f>
        <v>JUAN SEBASTIÁN RÍOS CASTRILLÓN</v>
      </c>
      <c r="C86" s="65" t="str">
        <f>VLOOKUP(A86,'CENTRO DE COSTOS'!A:D,2,FALSE)</f>
        <v>0004-0005</v>
      </c>
      <c r="D86" s="64">
        <v>5088</v>
      </c>
      <c r="E86" s="66" t="s">
        <v>648</v>
      </c>
      <c r="F86" s="67">
        <v>80853</v>
      </c>
      <c r="G86" s="68" t="s">
        <v>90</v>
      </c>
      <c r="H86" s="69" t="s">
        <v>137</v>
      </c>
      <c r="I86" s="67" t="s">
        <v>138</v>
      </c>
      <c r="J86" s="70" t="s">
        <v>152</v>
      </c>
      <c r="K86" s="67" t="s">
        <v>649</v>
      </c>
      <c r="L86" s="71" t="s">
        <v>95</v>
      </c>
      <c r="M86" s="72" t="s">
        <v>650</v>
      </c>
      <c r="N86" s="73">
        <v>45875</v>
      </c>
      <c r="O86" s="74">
        <v>45877</v>
      </c>
      <c r="P86" s="75" t="s">
        <v>141</v>
      </c>
      <c r="Q86" s="76" t="s">
        <v>633</v>
      </c>
      <c r="R86" s="64" t="s">
        <v>98</v>
      </c>
      <c r="S86" s="77" t="s">
        <v>651</v>
      </c>
      <c r="T86" s="74" t="s">
        <v>100</v>
      </c>
      <c r="U86" s="64" t="s">
        <v>652</v>
      </c>
      <c r="V86" s="70" t="s">
        <v>133</v>
      </c>
      <c r="W86" s="74" t="s">
        <v>103</v>
      </c>
      <c r="X86" s="68" t="s">
        <v>412</v>
      </c>
      <c r="Y86" s="64">
        <v>1</v>
      </c>
      <c r="Z86" s="78">
        <v>0</v>
      </c>
      <c r="AA86" s="79">
        <f>'BASE FACTURACION 2025'!$C$3</f>
        <v>122645.45276000001</v>
      </c>
      <c r="AB86" s="79">
        <f>'BASE FACTURACION 2025'!$F$3</f>
        <v>65164.677720000007</v>
      </c>
      <c r="AC86" s="79">
        <f t="shared" si="1"/>
        <v>122645.45276000001</v>
      </c>
    </row>
    <row r="87" spans="1:29" s="80" customFormat="1" ht="13.15">
      <c r="A87" s="64" t="s">
        <v>135</v>
      </c>
      <c r="B87" s="65" t="str">
        <f>VLOOKUP(A87,'CENTRO DE COSTOS'!A:D,4,FALSE)</f>
        <v>JUAN SEBASTIÁN RÍOS CASTRILLÓN</v>
      </c>
      <c r="C87" s="65" t="str">
        <f>VLOOKUP(A87,'CENTRO DE COSTOS'!A:D,2,FALSE)</f>
        <v>0004-0005</v>
      </c>
      <c r="D87" s="64">
        <v>5088</v>
      </c>
      <c r="E87" s="66" t="s">
        <v>653</v>
      </c>
      <c r="F87" s="67">
        <v>80854</v>
      </c>
      <c r="G87" s="68" t="s">
        <v>90</v>
      </c>
      <c r="H87" s="69" t="s">
        <v>137</v>
      </c>
      <c r="I87" s="67" t="s">
        <v>138</v>
      </c>
      <c r="J87" s="70" t="s">
        <v>152</v>
      </c>
      <c r="K87" s="67" t="s">
        <v>654</v>
      </c>
      <c r="L87" s="71" t="s">
        <v>95</v>
      </c>
      <c r="M87" s="72" t="s">
        <v>655</v>
      </c>
      <c r="N87" s="73">
        <v>45875</v>
      </c>
      <c r="O87" s="74">
        <v>45877</v>
      </c>
      <c r="P87" s="75" t="s">
        <v>141</v>
      </c>
      <c r="Q87" s="76" t="s">
        <v>633</v>
      </c>
      <c r="R87" s="64" t="s">
        <v>98</v>
      </c>
      <c r="S87" s="77" t="s">
        <v>651</v>
      </c>
      <c r="T87" s="74" t="s">
        <v>100</v>
      </c>
      <c r="U87" s="64" t="s">
        <v>656</v>
      </c>
      <c r="V87" s="70" t="s">
        <v>133</v>
      </c>
      <c r="W87" s="74" t="s">
        <v>103</v>
      </c>
      <c r="X87" s="68" t="s">
        <v>412</v>
      </c>
      <c r="Y87" s="64">
        <v>1</v>
      </c>
      <c r="Z87" s="78">
        <v>0</v>
      </c>
      <c r="AA87" s="79">
        <f>'BASE FACTURACION 2025'!$C$3</f>
        <v>122645.45276000001</v>
      </c>
      <c r="AB87" s="79">
        <f>'BASE FACTURACION 2025'!$F$3</f>
        <v>65164.677720000007</v>
      </c>
      <c r="AC87" s="79">
        <f t="shared" si="1"/>
        <v>122645.45276000001</v>
      </c>
    </row>
    <row r="88" spans="1:29" s="80" customFormat="1" ht="13.15">
      <c r="A88" s="64" t="s">
        <v>135</v>
      </c>
      <c r="B88" s="65" t="str">
        <f>VLOOKUP(A88,'CENTRO DE COSTOS'!A:D,4,FALSE)</f>
        <v>JUAN SEBASTIÁN RÍOS CASTRILLÓN</v>
      </c>
      <c r="C88" s="65" t="str">
        <f>VLOOKUP(A88,'CENTRO DE COSTOS'!A:D,2,FALSE)</f>
        <v>0004-0005</v>
      </c>
      <c r="D88" s="64">
        <v>5113</v>
      </c>
      <c r="E88" s="66" t="s">
        <v>657</v>
      </c>
      <c r="F88" s="67">
        <v>80848</v>
      </c>
      <c r="G88" s="68" t="s">
        <v>90</v>
      </c>
      <c r="H88" s="69" t="s">
        <v>137</v>
      </c>
      <c r="I88" s="67" t="s">
        <v>138</v>
      </c>
      <c r="J88" s="70" t="s">
        <v>658</v>
      </c>
      <c r="K88" s="67" t="s">
        <v>659</v>
      </c>
      <c r="L88" s="71" t="s">
        <v>95</v>
      </c>
      <c r="M88" s="72" t="s">
        <v>660</v>
      </c>
      <c r="N88" s="73">
        <v>45875</v>
      </c>
      <c r="O88" s="74">
        <v>45877</v>
      </c>
      <c r="P88" s="75" t="s">
        <v>141</v>
      </c>
      <c r="Q88" s="76" t="s">
        <v>633</v>
      </c>
      <c r="R88" s="64" t="s">
        <v>98</v>
      </c>
      <c r="S88" s="77" t="s">
        <v>651</v>
      </c>
      <c r="T88" s="74" t="s">
        <v>100</v>
      </c>
      <c r="U88" s="64" t="s">
        <v>661</v>
      </c>
      <c r="V88" s="70" t="s">
        <v>102</v>
      </c>
      <c r="W88" s="74" t="s">
        <v>103</v>
      </c>
      <c r="X88" s="68" t="s">
        <v>299</v>
      </c>
      <c r="Y88" s="64">
        <v>1</v>
      </c>
      <c r="Z88" s="78">
        <v>0</v>
      </c>
      <c r="AA88" s="79">
        <f>'BASE FACTURACION 2025'!$C$3</f>
        <v>122645.45276000001</v>
      </c>
      <c r="AB88" s="79">
        <f>'BASE FACTURACION 2025'!$F$3</f>
        <v>65164.677720000007</v>
      </c>
      <c r="AC88" s="79">
        <f t="shared" si="1"/>
        <v>122645.45276000001</v>
      </c>
    </row>
    <row r="89" spans="1:29" s="80" customFormat="1" ht="13.15">
      <c r="A89" s="64" t="s">
        <v>135</v>
      </c>
      <c r="B89" s="65" t="str">
        <f>VLOOKUP(A89,'CENTRO DE COSTOS'!A:D,4,FALSE)</f>
        <v>JUAN SEBASTIÁN RÍOS CASTRILLÓN</v>
      </c>
      <c r="C89" s="65" t="str">
        <f>VLOOKUP(A89,'CENTRO DE COSTOS'!A:D,2,FALSE)</f>
        <v>0004-0005</v>
      </c>
      <c r="D89" s="64">
        <v>5120</v>
      </c>
      <c r="E89" s="66" t="s">
        <v>662</v>
      </c>
      <c r="F89" s="67">
        <v>80849</v>
      </c>
      <c r="G89" s="68" t="s">
        <v>90</v>
      </c>
      <c r="H89" s="69" t="s">
        <v>137</v>
      </c>
      <c r="I89" s="67" t="s">
        <v>138</v>
      </c>
      <c r="J89" s="70" t="s">
        <v>663</v>
      </c>
      <c r="K89" s="67" t="s">
        <v>664</v>
      </c>
      <c r="L89" s="71" t="s">
        <v>95</v>
      </c>
      <c r="M89" s="72" t="s">
        <v>665</v>
      </c>
      <c r="N89" s="73">
        <v>45875</v>
      </c>
      <c r="O89" s="74">
        <v>45881</v>
      </c>
      <c r="P89" s="75" t="s">
        <v>141</v>
      </c>
      <c r="Q89" s="76" t="s">
        <v>633</v>
      </c>
      <c r="R89" s="64" t="s">
        <v>98</v>
      </c>
      <c r="S89" s="77" t="s">
        <v>666</v>
      </c>
      <c r="T89" s="74" t="s">
        <v>100</v>
      </c>
      <c r="U89" s="64" t="s">
        <v>667</v>
      </c>
      <c r="V89" s="70" t="s">
        <v>102</v>
      </c>
      <c r="W89" s="74" t="s">
        <v>103</v>
      </c>
      <c r="X89" s="68" t="s">
        <v>412</v>
      </c>
      <c r="Y89" s="64">
        <v>1</v>
      </c>
      <c r="Z89" s="78">
        <v>0</v>
      </c>
      <c r="AA89" s="79">
        <f>'BASE FACTURACION 2025'!$C$3</f>
        <v>122645.45276000001</v>
      </c>
      <c r="AB89" s="79">
        <f>'BASE FACTURACION 2025'!$F$3</f>
        <v>65164.677720000007</v>
      </c>
      <c r="AC89" s="79">
        <f t="shared" si="1"/>
        <v>122645.45276000001</v>
      </c>
    </row>
    <row r="90" spans="1:29" s="80" customFormat="1" ht="13.15">
      <c r="A90" s="64" t="s">
        <v>339</v>
      </c>
      <c r="B90" s="65" t="str">
        <f>VLOOKUP(A90,'CENTRO DE COSTOS'!A:D,4,FALSE)</f>
        <v>JOSE MAURICIO HERNANDEZ ROJAS</v>
      </c>
      <c r="C90" s="65" t="str">
        <f>VLOOKUP(A90,'CENTRO DE COSTOS'!A:D,2,FALSE)</f>
        <v>0004-0001</v>
      </c>
      <c r="D90" s="64">
        <v>5154</v>
      </c>
      <c r="E90" s="66" t="s">
        <v>668</v>
      </c>
      <c r="F90" s="67">
        <v>80840</v>
      </c>
      <c r="G90" s="68" t="s">
        <v>90</v>
      </c>
      <c r="H90" s="69" t="s">
        <v>137</v>
      </c>
      <c r="I90" s="67" t="s">
        <v>138</v>
      </c>
      <c r="J90" s="70" t="s">
        <v>669</v>
      </c>
      <c r="K90" s="67" t="s">
        <v>670</v>
      </c>
      <c r="L90" s="71" t="s">
        <v>95</v>
      </c>
      <c r="M90" s="72" t="s">
        <v>671</v>
      </c>
      <c r="N90" s="73">
        <v>45875</v>
      </c>
      <c r="O90" s="74">
        <v>45877</v>
      </c>
      <c r="P90" s="75" t="s">
        <v>141</v>
      </c>
      <c r="Q90" s="76" t="s">
        <v>633</v>
      </c>
      <c r="R90" s="64" t="s">
        <v>98</v>
      </c>
      <c r="S90" s="77" t="s">
        <v>651</v>
      </c>
      <c r="T90" s="74" t="s">
        <v>100</v>
      </c>
      <c r="U90" s="64" t="s">
        <v>672</v>
      </c>
      <c r="V90" s="70" t="s">
        <v>162</v>
      </c>
      <c r="W90" s="74" t="s">
        <v>103</v>
      </c>
      <c r="X90" s="68" t="s">
        <v>616</v>
      </c>
      <c r="Y90" s="64">
        <v>1</v>
      </c>
      <c r="Z90" s="78">
        <v>0</v>
      </c>
      <c r="AA90" s="79">
        <f>'BASE FACTURACION 2025'!$C$3</f>
        <v>122645.45276000001</v>
      </c>
      <c r="AB90" s="79">
        <f>'BASE FACTURACION 2025'!$F$3</f>
        <v>65164.677720000007</v>
      </c>
      <c r="AC90" s="79">
        <f t="shared" si="1"/>
        <v>122645.45276000001</v>
      </c>
    </row>
    <row r="91" spans="1:29" s="80" customFormat="1" ht="13.15">
      <c r="A91" s="64" t="s">
        <v>135</v>
      </c>
      <c r="B91" s="65" t="str">
        <f>VLOOKUP(A91,'CENTRO DE COSTOS'!A:D,4,FALSE)</f>
        <v>JUAN SEBASTIÁN RÍOS CASTRILLÓN</v>
      </c>
      <c r="C91" s="65" t="str">
        <f>VLOOKUP(A91,'CENTRO DE COSTOS'!A:D,2,FALSE)</f>
        <v>0004-0005</v>
      </c>
      <c r="D91" s="64">
        <v>5440</v>
      </c>
      <c r="E91" s="66" t="s">
        <v>673</v>
      </c>
      <c r="F91" s="67">
        <v>80855</v>
      </c>
      <c r="G91" s="68" t="s">
        <v>90</v>
      </c>
      <c r="H91" s="69" t="s">
        <v>137</v>
      </c>
      <c r="I91" s="67" t="s">
        <v>138</v>
      </c>
      <c r="J91" s="70" t="s">
        <v>674</v>
      </c>
      <c r="K91" s="67" t="s">
        <v>675</v>
      </c>
      <c r="L91" s="71" t="s">
        <v>95</v>
      </c>
      <c r="M91" s="72" t="s">
        <v>676</v>
      </c>
      <c r="N91" s="73">
        <v>45875</v>
      </c>
      <c r="O91" s="74">
        <v>45877</v>
      </c>
      <c r="P91" s="75" t="s">
        <v>141</v>
      </c>
      <c r="Q91" s="76" t="s">
        <v>633</v>
      </c>
      <c r="R91" s="64" t="s">
        <v>98</v>
      </c>
      <c r="S91" s="77" t="s">
        <v>651</v>
      </c>
      <c r="T91" s="74" t="s">
        <v>100</v>
      </c>
      <c r="U91" s="64" t="s">
        <v>677</v>
      </c>
      <c r="V91" s="70" t="s">
        <v>162</v>
      </c>
      <c r="W91" s="74" t="s">
        <v>103</v>
      </c>
      <c r="X91" s="68" t="s">
        <v>609</v>
      </c>
      <c r="Y91" s="64">
        <v>1</v>
      </c>
      <c r="Z91" s="78">
        <v>0</v>
      </c>
      <c r="AA91" s="79">
        <f>'BASE FACTURACION 2025'!$C$3</f>
        <v>122645.45276000001</v>
      </c>
      <c r="AB91" s="79">
        <f>'BASE FACTURACION 2025'!$F$3</f>
        <v>65164.677720000007</v>
      </c>
      <c r="AC91" s="79">
        <f t="shared" si="1"/>
        <v>122645.45276000001</v>
      </c>
    </row>
    <row r="92" spans="1:29" s="80" customFormat="1" ht="13.15">
      <c r="A92" s="64" t="s">
        <v>555</v>
      </c>
      <c r="B92" s="65" t="str">
        <f>VLOOKUP(A92,'CENTRO DE COSTOS'!A:D,4,FALSE)</f>
        <v>JUAN SEBASTIÁN RÍOS CASTRILLÓN</v>
      </c>
      <c r="C92" s="65" t="str">
        <f>VLOOKUP(A92,'CENTRO DE COSTOS'!A:D,2,FALSE)</f>
        <v>0004-0005</v>
      </c>
      <c r="D92" s="64">
        <v>5837</v>
      </c>
      <c r="E92" s="66" t="s">
        <v>678</v>
      </c>
      <c r="F92" s="67">
        <v>80844</v>
      </c>
      <c r="G92" s="68" t="s">
        <v>90</v>
      </c>
      <c r="H92" s="69" t="s">
        <v>137</v>
      </c>
      <c r="I92" s="67" t="s">
        <v>138</v>
      </c>
      <c r="J92" s="70" t="s">
        <v>679</v>
      </c>
      <c r="K92" s="67" t="s">
        <v>680</v>
      </c>
      <c r="L92" s="71" t="s">
        <v>95</v>
      </c>
      <c r="M92" s="72" t="s">
        <v>681</v>
      </c>
      <c r="N92" s="73">
        <v>45875</v>
      </c>
      <c r="O92" s="74">
        <v>45881</v>
      </c>
      <c r="P92" s="75" t="s">
        <v>141</v>
      </c>
      <c r="Q92" s="76" t="s">
        <v>633</v>
      </c>
      <c r="R92" s="64" t="s">
        <v>98</v>
      </c>
      <c r="S92" s="77" t="s">
        <v>682</v>
      </c>
      <c r="T92" s="74" t="s">
        <v>100</v>
      </c>
      <c r="U92" s="64" t="s">
        <v>683</v>
      </c>
      <c r="V92" s="70" t="s">
        <v>162</v>
      </c>
      <c r="W92" s="74" t="s">
        <v>103</v>
      </c>
      <c r="X92" s="68" t="s">
        <v>562</v>
      </c>
      <c r="Y92" s="64">
        <v>1</v>
      </c>
      <c r="Z92" s="78">
        <v>0</v>
      </c>
      <c r="AA92" s="79">
        <f>'BASE FACTURACION 2025'!$C$3</f>
        <v>122645.45276000001</v>
      </c>
      <c r="AB92" s="79">
        <f>'BASE FACTURACION 2025'!$F$3</f>
        <v>65164.677720000007</v>
      </c>
      <c r="AC92" s="79">
        <f t="shared" si="1"/>
        <v>122645.45276000001</v>
      </c>
    </row>
    <row r="93" spans="1:29" s="80" customFormat="1" ht="13.15">
      <c r="A93" s="64" t="s">
        <v>555</v>
      </c>
      <c r="B93" s="65" t="str">
        <f>VLOOKUP(A93,'CENTRO DE COSTOS'!A:D,4,FALSE)</f>
        <v>JUAN SEBASTIÁN RÍOS CASTRILLÓN</v>
      </c>
      <c r="C93" s="65" t="str">
        <f>VLOOKUP(A93,'CENTRO DE COSTOS'!A:D,2,FALSE)</f>
        <v>0004-0005</v>
      </c>
      <c r="D93" s="64">
        <v>5837</v>
      </c>
      <c r="E93" s="66" t="s">
        <v>684</v>
      </c>
      <c r="F93" s="67">
        <v>80845</v>
      </c>
      <c r="G93" s="68" t="s">
        <v>90</v>
      </c>
      <c r="H93" s="69" t="s">
        <v>137</v>
      </c>
      <c r="I93" s="67" t="s">
        <v>138</v>
      </c>
      <c r="J93" s="70" t="s">
        <v>679</v>
      </c>
      <c r="K93" s="67" t="s">
        <v>685</v>
      </c>
      <c r="L93" s="71" t="s">
        <v>95</v>
      </c>
      <c r="M93" s="72" t="s">
        <v>686</v>
      </c>
      <c r="N93" s="73">
        <v>45875</v>
      </c>
      <c r="O93" s="74">
        <v>45880</v>
      </c>
      <c r="P93" s="75" t="s">
        <v>141</v>
      </c>
      <c r="Q93" s="76" t="s">
        <v>633</v>
      </c>
      <c r="R93" s="64" t="s">
        <v>98</v>
      </c>
      <c r="S93" s="77" t="s">
        <v>634</v>
      </c>
      <c r="T93" s="74" t="s">
        <v>100</v>
      </c>
      <c r="U93" s="64" t="s">
        <v>687</v>
      </c>
      <c r="V93" s="70" t="s">
        <v>162</v>
      </c>
      <c r="W93" s="74" t="s">
        <v>103</v>
      </c>
      <c r="X93" s="68" t="s">
        <v>562</v>
      </c>
      <c r="Y93" s="64">
        <v>1</v>
      </c>
      <c r="Z93" s="78">
        <v>0</v>
      </c>
      <c r="AA93" s="79">
        <f>'BASE FACTURACION 2025'!$C$3</f>
        <v>122645.45276000001</v>
      </c>
      <c r="AB93" s="79">
        <f>'BASE FACTURACION 2025'!$F$3</f>
        <v>65164.677720000007</v>
      </c>
      <c r="AC93" s="79">
        <f t="shared" si="1"/>
        <v>122645.45276000001</v>
      </c>
    </row>
    <row r="94" spans="1:29" s="80" customFormat="1" ht="13.15">
      <c r="A94" s="64" t="s">
        <v>305</v>
      </c>
      <c r="B94" s="65" t="str">
        <f>VLOOKUP(A94,'CENTRO DE COSTOS'!A:D,4,FALSE)</f>
        <v>JOSE MAURICIO HERNANDEZ ROJAS</v>
      </c>
      <c r="C94" s="65" t="str">
        <f>VLOOKUP(A94,'CENTRO DE COSTOS'!A:D,2,FALSE)</f>
        <v>0004-0001</v>
      </c>
      <c r="D94" s="64">
        <v>8001</v>
      </c>
      <c r="E94" s="66" t="s">
        <v>688</v>
      </c>
      <c r="F94" s="67">
        <v>80826</v>
      </c>
      <c r="G94" s="68" t="s">
        <v>90</v>
      </c>
      <c r="H94" s="69" t="s">
        <v>137</v>
      </c>
      <c r="I94" s="67" t="s">
        <v>307</v>
      </c>
      <c r="J94" s="70" t="s">
        <v>305</v>
      </c>
      <c r="K94" s="67" t="s">
        <v>689</v>
      </c>
      <c r="L94" s="71" t="s">
        <v>95</v>
      </c>
      <c r="M94" s="72" t="s">
        <v>690</v>
      </c>
      <c r="N94" s="73">
        <v>45875</v>
      </c>
      <c r="O94" s="74">
        <v>45880</v>
      </c>
      <c r="P94" s="75" t="s">
        <v>141</v>
      </c>
      <c r="Q94" s="76" t="s">
        <v>633</v>
      </c>
      <c r="R94" s="64" t="s">
        <v>98</v>
      </c>
      <c r="S94" s="77" t="s">
        <v>691</v>
      </c>
      <c r="T94" s="74" t="s">
        <v>100</v>
      </c>
      <c r="U94" s="64" t="s">
        <v>692</v>
      </c>
      <c r="V94" s="70" t="s">
        <v>133</v>
      </c>
      <c r="W94" s="74" t="s">
        <v>103</v>
      </c>
      <c r="X94" s="68" t="s">
        <v>693</v>
      </c>
      <c r="Y94" s="64">
        <v>1</v>
      </c>
      <c r="Z94" s="78">
        <v>0</v>
      </c>
      <c r="AA94" s="79">
        <f>'BASE FACTURACION 2025'!$C$3</f>
        <v>122645.45276000001</v>
      </c>
      <c r="AB94" s="79">
        <f>'BASE FACTURACION 2025'!$F$3</f>
        <v>65164.677720000007</v>
      </c>
      <c r="AC94" s="79">
        <f t="shared" si="1"/>
        <v>122645.45276000001</v>
      </c>
    </row>
    <row r="95" spans="1:29" s="80" customFormat="1" ht="13.15">
      <c r="A95" s="64" t="s">
        <v>261</v>
      </c>
      <c r="B95" s="65" t="str">
        <f>VLOOKUP(A95,'CENTRO DE COSTOS'!A:D,4,FALSE)</f>
        <v>JOSE MAURICIO HERNANDEZ ROJAS</v>
      </c>
      <c r="C95" s="65" t="str">
        <f>VLOOKUP(A95,'CENTRO DE COSTOS'!A:D,2,FALSE)</f>
        <v>0004-0001</v>
      </c>
      <c r="D95" s="64">
        <v>13001</v>
      </c>
      <c r="E95" s="66" t="s">
        <v>694</v>
      </c>
      <c r="F95" s="67">
        <v>80839</v>
      </c>
      <c r="G95" s="68" t="s">
        <v>90</v>
      </c>
      <c r="H95" s="69" t="s">
        <v>137</v>
      </c>
      <c r="I95" s="67" t="s">
        <v>231</v>
      </c>
      <c r="J95" s="70" t="s">
        <v>261</v>
      </c>
      <c r="K95" s="67" t="s">
        <v>695</v>
      </c>
      <c r="L95" s="71" t="s">
        <v>95</v>
      </c>
      <c r="M95" s="72" t="s">
        <v>696</v>
      </c>
      <c r="N95" s="73">
        <v>45875</v>
      </c>
      <c r="O95" s="74">
        <v>45877</v>
      </c>
      <c r="P95" s="75" t="s">
        <v>141</v>
      </c>
      <c r="Q95" s="76" t="s">
        <v>633</v>
      </c>
      <c r="R95" s="64" t="s">
        <v>98</v>
      </c>
      <c r="S95" s="77" t="s">
        <v>651</v>
      </c>
      <c r="T95" s="74" t="s">
        <v>100</v>
      </c>
      <c r="U95" s="64" t="s">
        <v>697</v>
      </c>
      <c r="V95" s="70" t="s">
        <v>133</v>
      </c>
      <c r="W95" s="74" t="s">
        <v>103</v>
      </c>
      <c r="X95" s="68" t="s">
        <v>373</v>
      </c>
      <c r="Y95" s="64">
        <v>1</v>
      </c>
      <c r="Z95" s="78">
        <v>0</v>
      </c>
      <c r="AA95" s="79">
        <f>'BASE FACTURACION 2025'!$C$3</f>
        <v>122645.45276000001</v>
      </c>
      <c r="AB95" s="79">
        <f>'BASE FACTURACION 2025'!$F$3</f>
        <v>65164.677720000007</v>
      </c>
      <c r="AC95" s="79">
        <f t="shared" si="1"/>
        <v>122645.45276000001</v>
      </c>
    </row>
    <row r="96" spans="1:29" s="80" customFormat="1" ht="13.15">
      <c r="A96" s="64" t="s">
        <v>413</v>
      </c>
      <c r="B96" s="65" t="str">
        <f>VLOOKUP(A96,'CENTRO DE COSTOS'!A:D,4,FALSE)</f>
        <v>DIEGO FERNANDO HENAO CARDONA</v>
      </c>
      <c r="C96" s="65" t="str">
        <f>VLOOKUP(A96,'CENTRO DE COSTOS'!A:D,2,FALSE)</f>
        <v>0004-0002</v>
      </c>
      <c r="D96" s="64">
        <v>63190</v>
      </c>
      <c r="E96" s="66" t="s">
        <v>698</v>
      </c>
      <c r="F96" s="67">
        <v>80841</v>
      </c>
      <c r="G96" s="68" t="s">
        <v>90</v>
      </c>
      <c r="H96" s="69" t="s">
        <v>137</v>
      </c>
      <c r="I96" s="67" t="s">
        <v>506</v>
      </c>
      <c r="J96" s="70" t="s">
        <v>699</v>
      </c>
      <c r="K96" s="67" t="s">
        <v>700</v>
      </c>
      <c r="L96" s="71" t="s">
        <v>95</v>
      </c>
      <c r="M96" s="72" t="s">
        <v>701</v>
      </c>
      <c r="N96" s="73">
        <v>45875</v>
      </c>
      <c r="O96" s="74">
        <v>45880</v>
      </c>
      <c r="P96" s="75" t="s">
        <v>141</v>
      </c>
      <c r="Q96" s="76" t="s">
        <v>633</v>
      </c>
      <c r="R96" s="64" t="s">
        <v>98</v>
      </c>
      <c r="S96" s="77" t="s">
        <v>634</v>
      </c>
      <c r="T96" s="74" t="s">
        <v>100</v>
      </c>
      <c r="U96" s="64" t="s">
        <v>702</v>
      </c>
      <c r="V96" s="70" t="s">
        <v>162</v>
      </c>
      <c r="W96" s="74" t="s">
        <v>103</v>
      </c>
      <c r="X96" s="68" t="s">
        <v>512</v>
      </c>
      <c r="Y96" s="64">
        <v>1</v>
      </c>
      <c r="Z96" s="78">
        <v>0</v>
      </c>
      <c r="AA96" s="79">
        <f>'BASE FACTURACION 2025'!$C$3</f>
        <v>122645.45276000001</v>
      </c>
      <c r="AB96" s="79">
        <f>'BASE FACTURACION 2025'!$F$3</f>
        <v>65164.677720000007</v>
      </c>
      <c r="AC96" s="79">
        <f t="shared" si="1"/>
        <v>122645.45276000001</v>
      </c>
    </row>
    <row r="97" spans="1:29" s="80" customFormat="1" ht="13.15">
      <c r="A97" s="64" t="s">
        <v>413</v>
      </c>
      <c r="B97" s="65" t="str">
        <f>VLOOKUP(A97,'CENTRO DE COSTOS'!A:D,4,FALSE)</f>
        <v>DIEGO FERNANDO HENAO CARDONA</v>
      </c>
      <c r="C97" s="65" t="str">
        <f>VLOOKUP(A97,'CENTRO DE COSTOS'!A:D,2,FALSE)</f>
        <v>0004-0002</v>
      </c>
      <c r="D97" s="64">
        <v>66001</v>
      </c>
      <c r="E97" s="66" t="s">
        <v>703</v>
      </c>
      <c r="F97" s="67">
        <v>80851</v>
      </c>
      <c r="G97" s="68" t="s">
        <v>90</v>
      </c>
      <c r="H97" s="69" t="s">
        <v>137</v>
      </c>
      <c r="I97" s="67" t="s">
        <v>531</v>
      </c>
      <c r="J97" s="70" t="s">
        <v>413</v>
      </c>
      <c r="K97" s="67" t="s">
        <v>704</v>
      </c>
      <c r="L97" s="71" t="s">
        <v>95</v>
      </c>
      <c r="M97" s="72" t="s">
        <v>705</v>
      </c>
      <c r="N97" s="73">
        <v>45875</v>
      </c>
      <c r="O97" s="74">
        <v>45880</v>
      </c>
      <c r="P97" s="75" t="s">
        <v>141</v>
      </c>
      <c r="Q97" s="76" t="s">
        <v>633</v>
      </c>
      <c r="R97" s="64" t="s">
        <v>98</v>
      </c>
      <c r="S97" s="77" t="s">
        <v>706</v>
      </c>
      <c r="T97" s="74" t="s">
        <v>100</v>
      </c>
      <c r="U97" s="64" t="s">
        <v>707</v>
      </c>
      <c r="V97" s="70" t="s">
        <v>133</v>
      </c>
      <c r="W97" s="74" t="s">
        <v>103</v>
      </c>
      <c r="X97" s="68" t="s">
        <v>420</v>
      </c>
      <c r="Y97" s="64">
        <v>1</v>
      </c>
      <c r="Z97" s="78">
        <v>0</v>
      </c>
      <c r="AA97" s="79">
        <f>'BASE FACTURACION 2025'!$C$3</f>
        <v>122645.45276000001</v>
      </c>
      <c r="AB97" s="79">
        <f>'BASE FACTURACION 2025'!$F$3</f>
        <v>65164.677720000007</v>
      </c>
      <c r="AC97" s="79">
        <f t="shared" si="1"/>
        <v>122645.45276000001</v>
      </c>
    </row>
    <row r="98" spans="1:29" s="80" customFormat="1" ht="13.15">
      <c r="A98" s="64" t="s">
        <v>413</v>
      </c>
      <c r="B98" s="65" t="str">
        <f>VLOOKUP(A98,'CENTRO DE COSTOS'!A:D,4,FALSE)</f>
        <v>DIEGO FERNANDO HENAO CARDONA</v>
      </c>
      <c r="C98" s="65" t="str">
        <f>VLOOKUP(A98,'CENTRO DE COSTOS'!A:D,2,FALSE)</f>
        <v>0004-0002</v>
      </c>
      <c r="D98" s="64">
        <v>66170</v>
      </c>
      <c r="E98" s="66" t="s">
        <v>708</v>
      </c>
      <c r="F98" s="67">
        <v>80843</v>
      </c>
      <c r="G98" s="68" t="s">
        <v>90</v>
      </c>
      <c r="H98" s="69" t="s">
        <v>137</v>
      </c>
      <c r="I98" s="67" t="s">
        <v>531</v>
      </c>
      <c r="J98" s="70" t="s">
        <v>709</v>
      </c>
      <c r="K98" s="67" t="s">
        <v>710</v>
      </c>
      <c r="L98" s="71" t="s">
        <v>95</v>
      </c>
      <c r="M98" s="72" t="s">
        <v>711</v>
      </c>
      <c r="N98" s="73">
        <v>45875</v>
      </c>
      <c r="O98" s="74">
        <v>45880</v>
      </c>
      <c r="P98" s="75" t="s">
        <v>141</v>
      </c>
      <c r="Q98" s="76" t="s">
        <v>633</v>
      </c>
      <c r="R98" s="64" t="s">
        <v>98</v>
      </c>
      <c r="S98" s="77" t="s">
        <v>634</v>
      </c>
      <c r="T98" s="74" t="s">
        <v>100</v>
      </c>
      <c r="U98" s="64" t="s">
        <v>712</v>
      </c>
      <c r="V98" s="70" t="s">
        <v>133</v>
      </c>
      <c r="W98" s="74" t="s">
        <v>103</v>
      </c>
      <c r="X98" s="68" t="s">
        <v>420</v>
      </c>
      <c r="Y98" s="64">
        <v>1</v>
      </c>
      <c r="Z98" s="78">
        <v>0</v>
      </c>
      <c r="AA98" s="79">
        <f>'BASE FACTURACION 2025'!$C$3</f>
        <v>122645.45276000001</v>
      </c>
      <c r="AB98" s="79">
        <f>'BASE FACTURACION 2025'!$F$3</f>
        <v>65164.677720000007</v>
      </c>
      <c r="AC98" s="79">
        <f t="shared" si="1"/>
        <v>122645.45276000001</v>
      </c>
    </row>
    <row r="99" spans="1:29" s="80" customFormat="1" ht="13.15">
      <c r="A99" s="64" t="s">
        <v>229</v>
      </c>
      <c r="B99" s="65" t="str">
        <f>VLOOKUP(A99,'CENTRO DE COSTOS'!A:D,4,FALSE)</f>
        <v>MIGUEL JULIÁN HERNÁNDEZ GUARÍN</v>
      </c>
      <c r="C99" s="65" t="str">
        <f>VLOOKUP(A99,'CENTRO DE COSTOS'!A:D,2,FALSE)</f>
        <v>0004-0008</v>
      </c>
      <c r="D99" s="64">
        <v>68001</v>
      </c>
      <c r="E99" s="66" t="s">
        <v>713</v>
      </c>
      <c r="F99" s="67">
        <v>80833</v>
      </c>
      <c r="G99" s="68" t="s">
        <v>90</v>
      </c>
      <c r="H99" s="69" t="s">
        <v>137</v>
      </c>
      <c r="I99" s="67" t="s">
        <v>714</v>
      </c>
      <c r="J99" s="70" t="s">
        <v>229</v>
      </c>
      <c r="K99" s="67" t="s">
        <v>715</v>
      </c>
      <c r="L99" s="71" t="s">
        <v>95</v>
      </c>
      <c r="M99" s="72" t="s">
        <v>716</v>
      </c>
      <c r="N99" s="73">
        <v>45875</v>
      </c>
      <c r="O99" s="74">
        <v>45877</v>
      </c>
      <c r="P99" s="75" t="s">
        <v>141</v>
      </c>
      <c r="Q99" s="76" t="s">
        <v>633</v>
      </c>
      <c r="R99" s="64" t="s">
        <v>98</v>
      </c>
      <c r="S99" s="77" t="s">
        <v>651</v>
      </c>
      <c r="T99" s="74" t="s">
        <v>100</v>
      </c>
      <c r="U99" s="64" t="s">
        <v>717</v>
      </c>
      <c r="V99" s="70" t="s">
        <v>133</v>
      </c>
      <c r="W99" s="74" t="s">
        <v>103</v>
      </c>
      <c r="X99" s="68" t="s">
        <v>253</v>
      </c>
      <c r="Y99" s="64">
        <v>1</v>
      </c>
      <c r="Z99" s="78">
        <v>0</v>
      </c>
      <c r="AA99" s="79">
        <f>'BASE FACTURACION 2025'!$C$3</f>
        <v>122645.45276000001</v>
      </c>
      <c r="AB99" s="79">
        <f>'BASE FACTURACION 2025'!$F$3</f>
        <v>65164.677720000007</v>
      </c>
      <c r="AC99" s="79">
        <f t="shared" si="1"/>
        <v>122645.45276000001</v>
      </c>
    </row>
    <row r="100" spans="1:29" s="80" customFormat="1" ht="13.15">
      <c r="A100" s="64" t="s">
        <v>229</v>
      </c>
      <c r="B100" s="65" t="str">
        <f>VLOOKUP(A100,'CENTRO DE COSTOS'!A:D,4,FALSE)</f>
        <v>MIGUEL JULIÁN HERNÁNDEZ GUARÍN</v>
      </c>
      <c r="C100" s="65" t="str">
        <f>VLOOKUP(A100,'CENTRO DE COSTOS'!A:D,2,FALSE)</f>
        <v>0004-0008</v>
      </c>
      <c r="D100" s="64">
        <v>68001</v>
      </c>
      <c r="E100" s="66" t="s">
        <v>718</v>
      </c>
      <c r="F100" s="67">
        <v>80834</v>
      </c>
      <c r="G100" s="68" t="s">
        <v>90</v>
      </c>
      <c r="H100" s="69" t="s">
        <v>137</v>
      </c>
      <c r="I100" s="67" t="s">
        <v>714</v>
      </c>
      <c r="J100" s="70" t="s">
        <v>229</v>
      </c>
      <c r="K100" s="67" t="s">
        <v>719</v>
      </c>
      <c r="L100" s="71" t="s">
        <v>95</v>
      </c>
      <c r="M100" s="72" t="s">
        <v>720</v>
      </c>
      <c r="N100" s="73">
        <v>45875</v>
      </c>
      <c r="O100" s="74">
        <v>45877</v>
      </c>
      <c r="P100" s="75" t="s">
        <v>141</v>
      </c>
      <c r="Q100" s="76" t="s">
        <v>633</v>
      </c>
      <c r="R100" s="64" t="s">
        <v>98</v>
      </c>
      <c r="S100" s="77" t="s">
        <v>651</v>
      </c>
      <c r="T100" s="74" t="s">
        <v>100</v>
      </c>
      <c r="U100" s="64" t="s">
        <v>721</v>
      </c>
      <c r="V100" s="70" t="s">
        <v>133</v>
      </c>
      <c r="W100" s="74" t="s">
        <v>103</v>
      </c>
      <c r="X100" s="68" t="s">
        <v>253</v>
      </c>
      <c r="Y100" s="64">
        <v>1</v>
      </c>
      <c r="Z100" s="78">
        <v>0</v>
      </c>
      <c r="AA100" s="79">
        <f>'BASE FACTURACION 2025'!$C$3</f>
        <v>122645.45276000001</v>
      </c>
      <c r="AB100" s="79">
        <f>'BASE FACTURACION 2025'!$F$3</f>
        <v>65164.677720000007</v>
      </c>
      <c r="AC100" s="79">
        <f t="shared" si="1"/>
        <v>122645.45276000001</v>
      </c>
    </row>
    <row r="101" spans="1:29" s="80" customFormat="1" ht="13.15">
      <c r="A101" s="64" t="s">
        <v>229</v>
      </c>
      <c r="B101" s="65" t="str">
        <f>VLOOKUP(A101,'CENTRO DE COSTOS'!A:D,4,FALSE)</f>
        <v>MIGUEL JULIÁN HERNÁNDEZ GUARÍN</v>
      </c>
      <c r="C101" s="65" t="str">
        <f>VLOOKUP(A101,'CENTRO DE COSTOS'!A:D,2,FALSE)</f>
        <v>0004-0008</v>
      </c>
      <c r="D101" s="64">
        <v>68081</v>
      </c>
      <c r="E101" s="66" t="s">
        <v>722</v>
      </c>
      <c r="F101" s="67">
        <v>80825</v>
      </c>
      <c r="G101" s="68" t="s">
        <v>90</v>
      </c>
      <c r="H101" s="69" t="s">
        <v>137</v>
      </c>
      <c r="I101" s="67" t="s">
        <v>714</v>
      </c>
      <c r="J101" s="70" t="s">
        <v>723</v>
      </c>
      <c r="K101" s="67" t="s">
        <v>724</v>
      </c>
      <c r="L101" s="71" t="s">
        <v>95</v>
      </c>
      <c r="M101" s="72" t="s">
        <v>725</v>
      </c>
      <c r="N101" s="73">
        <v>45875</v>
      </c>
      <c r="O101" s="74">
        <v>45880</v>
      </c>
      <c r="P101" s="75" t="s">
        <v>141</v>
      </c>
      <c r="Q101" s="76" t="s">
        <v>633</v>
      </c>
      <c r="R101" s="64" t="s">
        <v>98</v>
      </c>
      <c r="S101" s="77" t="s">
        <v>706</v>
      </c>
      <c r="T101" s="74" t="s">
        <v>100</v>
      </c>
      <c r="U101" s="64" t="s">
        <v>726</v>
      </c>
      <c r="V101" s="70" t="s">
        <v>189</v>
      </c>
      <c r="W101" s="74" t="s">
        <v>103</v>
      </c>
      <c r="X101" s="68" t="s">
        <v>253</v>
      </c>
      <c r="Y101" s="64">
        <v>1</v>
      </c>
      <c r="Z101" s="78">
        <v>0</v>
      </c>
      <c r="AA101" s="79">
        <f>'BASE FACTURACION 2025'!$C$3</f>
        <v>122645.45276000001</v>
      </c>
      <c r="AB101" s="79">
        <f>'BASE FACTURACION 2025'!$F$3</f>
        <v>65164.677720000007</v>
      </c>
      <c r="AC101" s="79">
        <f t="shared" si="1"/>
        <v>122645.45276000001</v>
      </c>
    </row>
    <row r="102" spans="1:29" s="80" customFormat="1" ht="13.15">
      <c r="A102" s="64" t="s">
        <v>229</v>
      </c>
      <c r="B102" s="65" t="str">
        <f>VLOOKUP(A102,'CENTRO DE COSTOS'!A:D,4,FALSE)</f>
        <v>MIGUEL JULIÁN HERNÁNDEZ GUARÍN</v>
      </c>
      <c r="C102" s="65" t="str">
        <f>VLOOKUP(A102,'CENTRO DE COSTOS'!A:D,2,FALSE)</f>
        <v>0004-0008</v>
      </c>
      <c r="D102" s="64">
        <v>68307</v>
      </c>
      <c r="E102" s="66" t="s">
        <v>727</v>
      </c>
      <c r="F102" s="67">
        <v>80846</v>
      </c>
      <c r="G102" s="68" t="s">
        <v>90</v>
      </c>
      <c r="H102" s="69" t="s">
        <v>137</v>
      </c>
      <c r="I102" s="67" t="s">
        <v>714</v>
      </c>
      <c r="J102" s="70" t="s">
        <v>728</v>
      </c>
      <c r="K102" s="67" t="s">
        <v>729</v>
      </c>
      <c r="L102" s="71" t="s">
        <v>95</v>
      </c>
      <c r="M102" s="72" t="s">
        <v>730</v>
      </c>
      <c r="N102" s="73">
        <v>45875</v>
      </c>
      <c r="O102" s="74">
        <v>45877</v>
      </c>
      <c r="P102" s="75" t="s">
        <v>141</v>
      </c>
      <c r="Q102" s="76" t="s">
        <v>633</v>
      </c>
      <c r="R102" s="64" t="s">
        <v>98</v>
      </c>
      <c r="S102" s="77" t="s">
        <v>651</v>
      </c>
      <c r="T102" s="74" t="s">
        <v>100</v>
      </c>
      <c r="U102" s="64" t="s">
        <v>731</v>
      </c>
      <c r="V102" s="70" t="s">
        <v>133</v>
      </c>
      <c r="W102" s="74" t="s">
        <v>103</v>
      </c>
      <c r="X102" s="68" t="s">
        <v>732</v>
      </c>
      <c r="Y102" s="64">
        <v>1</v>
      </c>
      <c r="Z102" s="78">
        <v>0</v>
      </c>
      <c r="AA102" s="79">
        <f>'BASE FACTURACION 2025'!$C$3</f>
        <v>122645.45276000001</v>
      </c>
      <c r="AB102" s="79">
        <f>'BASE FACTURACION 2025'!$F$3</f>
        <v>65164.677720000007</v>
      </c>
      <c r="AC102" s="79">
        <f t="shared" si="1"/>
        <v>122645.45276000001</v>
      </c>
    </row>
    <row r="103" spans="1:29" s="80" customFormat="1" ht="13.15">
      <c r="A103" s="64" t="s">
        <v>229</v>
      </c>
      <c r="B103" s="65" t="str">
        <f>VLOOKUP(A103,'CENTRO DE COSTOS'!A:D,4,FALSE)</f>
        <v>MIGUEL JULIÁN HERNÁNDEZ GUARÍN</v>
      </c>
      <c r="C103" s="65" t="str">
        <f>VLOOKUP(A103,'CENTRO DE COSTOS'!A:D,2,FALSE)</f>
        <v>0004-0008</v>
      </c>
      <c r="D103" s="64">
        <v>68307</v>
      </c>
      <c r="E103" s="66" t="s">
        <v>733</v>
      </c>
      <c r="F103" s="67">
        <v>80847</v>
      </c>
      <c r="G103" s="68" t="s">
        <v>90</v>
      </c>
      <c r="H103" s="69" t="s">
        <v>137</v>
      </c>
      <c r="I103" s="67" t="s">
        <v>714</v>
      </c>
      <c r="J103" s="70" t="s">
        <v>728</v>
      </c>
      <c r="K103" s="67" t="s">
        <v>734</v>
      </c>
      <c r="L103" s="71" t="s">
        <v>95</v>
      </c>
      <c r="M103" s="72" t="s">
        <v>735</v>
      </c>
      <c r="N103" s="73">
        <v>45875</v>
      </c>
      <c r="O103" s="74">
        <v>45877</v>
      </c>
      <c r="P103" s="75" t="s">
        <v>141</v>
      </c>
      <c r="Q103" s="76" t="s">
        <v>633</v>
      </c>
      <c r="R103" s="64" t="s">
        <v>98</v>
      </c>
      <c r="S103" s="77" t="s">
        <v>651</v>
      </c>
      <c r="T103" s="74" t="s">
        <v>100</v>
      </c>
      <c r="U103" s="64" t="s">
        <v>736</v>
      </c>
      <c r="V103" s="70" t="s">
        <v>133</v>
      </c>
      <c r="W103" s="74" t="s">
        <v>103</v>
      </c>
      <c r="X103" s="68" t="s">
        <v>732</v>
      </c>
      <c r="Y103" s="64">
        <v>1</v>
      </c>
      <c r="Z103" s="78">
        <v>0</v>
      </c>
      <c r="AA103" s="79">
        <f>'BASE FACTURACION 2025'!$C$3</f>
        <v>122645.45276000001</v>
      </c>
      <c r="AB103" s="79">
        <f>'BASE FACTURACION 2025'!$F$3</f>
        <v>65164.677720000007</v>
      </c>
      <c r="AC103" s="79">
        <f t="shared" si="1"/>
        <v>122645.45276000001</v>
      </c>
    </row>
    <row r="104" spans="1:29" s="80" customFormat="1" ht="13.15">
      <c r="A104" s="64" t="s">
        <v>229</v>
      </c>
      <c r="B104" s="65" t="str">
        <f>VLOOKUP(A104,'CENTRO DE COSTOS'!A:D,4,FALSE)</f>
        <v>MIGUEL JULIÁN HERNÁNDEZ GUARÍN</v>
      </c>
      <c r="C104" s="65" t="str">
        <f>VLOOKUP(A104,'CENTRO DE COSTOS'!A:D,2,FALSE)</f>
        <v>0004-0008</v>
      </c>
      <c r="D104" s="64">
        <v>68547</v>
      </c>
      <c r="E104" s="66" t="s">
        <v>737</v>
      </c>
      <c r="F104" s="67">
        <v>80852</v>
      </c>
      <c r="G104" s="68" t="s">
        <v>90</v>
      </c>
      <c r="H104" s="69" t="s">
        <v>137</v>
      </c>
      <c r="I104" s="67" t="s">
        <v>714</v>
      </c>
      <c r="J104" s="70" t="s">
        <v>738</v>
      </c>
      <c r="K104" s="67" t="s">
        <v>739</v>
      </c>
      <c r="L104" s="71" t="s">
        <v>95</v>
      </c>
      <c r="M104" s="72" t="s">
        <v>740</v>
      </c>
      <c r="N104" s="73">
        <v>45875</v>
      </c>
      <c r="O104" s="74">
        <v>45877</v>
      </c>
      <c r="P104" s="75" t="s">
        <v>141</v>
      </c>
      <c r="Q104" s="76" t="s">
        <v>633</v>
      </c>
      <c r="R104" s="64" t="s">
        <v>98</v>
      </c>
      <c r="S104" s="77" t="s">
        <v>651</v>
      </c>
      <c r="T104" s="74" t="s">
        <v>100</v>
      </c>
      <c r="U104" s="64" t="s">
        <v>741</v>
      </c>
      <c r="V104" s="70" t="s">
        <v>162</v>
      </c>
      <c r="W104" s="74" t="s">
        <v>103</v>
      </c>
      <c r="X104" s="68" t="s">
        <v>742</v>
      </c>
      <c r="Y104" s="64">
        <v>1</v>
      </c>
      <c r="Z104" s="78">
        <v>0</v>
      </c>
      <c r="AA104" s="79">
        <f>'BASE FACTURACION 2025'!$C$3</f>
        <v>122645.45276000001</v>
      </c>
      <c r="AB104" s="79">
        <f>'BASE FACTURACION 2025'!$F$3</f>
        <v>65164.677720000007</v>
      </c>
      <c r="AC104" s="79">
        <f t="shared" si="1"/>
        <v>122645.45276000001</v>
      </c>
    </row>
    <row r="105" spans="1:29" s="80" customFormat="1" ht="13.15">
      <c r="A105" s="64" t="s">
        <v>622</v>
      </c>
      <c r="B105" s="65" t="str">
        <f>VLOOKUP(A105,'CENTRO DE COSTOS'!A:D,4,FALSE)</f>
        <v>KEVIN ALEXIS CORZO BUSTOS</v>
      </c>
      <c r="C105" s="65" t="str">
        <f>VLOOKUP(A105,'CENTRO DE COSTOS'!A:D,2,FALSE)</f>
        <v>0004-0007</v>
      </c>
      <c r="D105" s="64">
        <v>73001</v>
      </c>
      <c r="E105" s="66" t="s">
        <v>743</v>
      </c>
      <c r="F105" s="67">
        <v>80850</v>
      </c>
      <c r="G105" s="68" t="s">
        <v>90</v>
      </c>
      <c r="H105" s="69" t="s">
        <v>137</v>
      </c>
      <c r="I105" s="67" t="s">
        <v>624</v>
      </c>
      <c r="J105" s="70" t="s">
        <v>622</v>
      </c>
      <c r="K105" s="67" t="s">
        <v>744</v>
      </c>
      <c r="L105" s="71" t="s">
        <v>95</v>
      </c>
      <c r="M105" s="72" t="s">
        <v>745</v>
      </c>
      <c r="N105" s="73">
        <v>45875</v>
      </c>
      <c r="O105" s="74">
        <v>45877</v>
      </c>
      <c r="P105" s="75" t="s">
        <v>141</v>
      </c>
      <c r="Q105" s="76" t="s">
        <v>633</v>
      </c>
      <c r="R105" s="64" t="s">
        <v>98</v>
      </c>
      <c r="S105" s="77" t="s">
        <v>651</v>
      </c>
      <c r="T105" s="74" t="s">
        <v>100</v>
      </c>
      <c r="U105" s="64" t="s">
        <v>746</v>
      </c>
      <c r="V105" s="70" t="s">
        <v>133</v>
      </c>
      <c r="W105" s="74" t="s">
        <v>103</v>
      </c>
      <c r="X105" s="68" t="s">
        <v>629</v>
      </c>
      <c r="Y105" s="64">
        <v>1</v>
      </c>
      <c r="Z105" s="78">
        <v>0</v>
      </c>
      <c r="AA105" s="79">
        <f>'BASE FACTURACION 2025'!$C$3</f>
        <v>122645.45276000001</v>
      </c>
      <c r="AB105" s="79">
        <f>'BASE FACTURACION 2025'!$F$3</f>
        <v>65164.677720000007</v>
      </c>
      <c r="AC105" s="79">
        <f t="shared" si="1"/>
        <v>122645.45276000001</v>
      </c>
    </row>
    <row r="106" spans="1:29" s="80" customFormat="1" ht="13.15">
      <c r="A106" s="64" t="s">
        <v>180</v>
      </c>
      <c r="B106" s="65" t="str">
        <f>VLOOKUP(A106,'CENTRO DE COSTOS'!A:D,4,FALSE)</f>
        <v>DIEGO FERNANDO HENAO CARDONA</v>
      </c>
      <c r="C106" s="65" t="str">
        <f>VLOOKUP(A106,'CENTRO DE COSTOS'!A:D,2,FALSE)</f>
        <v>0004-0003</v>
      </c>
      <c r="D106" s="64">
        <v>76001</v>
      </c>
      <c r="E106" s="66" t="s">
        <v>747</v>
      </c>
      <c r="F106" s="67">
        <v>80835</v>
      </c>
      <c r="G106" s="68" t="s">
        <v>90</v>
      </c>
      <c r="H106" s="69" t="s">
        <v>137</v>
      </c>
      <c r="I106" s="67" t="s">
        <v>380</v>
      </c>
      <c r="J106" s="70" t="s">
        <v>180</v>
      </c>
      <c r="K106" s="67" t="s">
        <v>748</v>
      </c>
      <c r="L106" s="71" t="s">
        <v>95</v>
      </c>
      <c r="M106" s="72" t="s">
        <v>749</v>
      </c>
      <c r="N106" s="73">
        <v>45875</v>
      </c>
      <c r="O106" s="74">
        <v>45880</v>
      </c>
      <c r="P106" s="75" t="s">
        <v>141</v>
      </c>
      <c r="Q106" s="76" t="s">
        <v>633</v>
      </c>
      <c r="R106" s="64" t="s">
        <v>98</v>
      </c>
      <c r="S106" s="77" t="s">
        <v>634</v>
      </c>
      <c r="T106" s="74" t="s">
        <v>100</v>
      </c>
      <c r="U106" s="64" t="s">
        <v>750</v>
      </c>
      <c r="V106" s="70" t="s">
        <v>133</v>
      </c>
      <c r="W106" s="74" t="s">
        <v>103</v>
      </c>
      <c r="X106" s="68" t="s">
        <v>190</v>
      </c>
      <c r="Y106" s="64">
        <v>1</v>
      </c>
      <c r="Z106" s="78">
        <v>0</v>
      </c>
      <c r="AA106" s="79">
        <f>'BASE FACTURACION 2025'!$C$3</f>
        <v>122645.45276000001</v>
      </c>
      <c r="AB106" s="79">
        <f>'BASE FACTURACION 2025'!$F$3</f>
        <v>65164.677720000007</v>
      </c>
      <c r="AC106" s="79">
        <f t="shared" si="1"/>
        <v>122645.45276000001</v>
      </c>
    </row>
    <row r="107" spans="1:29" s="80" customFormat="1" ht="13.15">
      <c r="A107" s="64" t="s">
        <v>180</v>
      </c>
      <c r="B107" s="65" t="str">
        <f>VLOOKUP(A107,'CENTRO DE COSTOS'!A:D,4,FALSE)</f>
        <v>DIEGO FERNANDO HENAO CARDONA</v>
      </c>
      <c r="C107" s="65" t="str">
        <f>VLOOKUP(A107,'CENTRO DE COSTOS'!A:D,2,FALSE)</f>
        <v>0004-0003</v>
      </c>
      <c r="D107" s="64">
        <v>76001</v>
      </c>
      <c r="E107" s="66" t="s">
        <v>751</v>
      </c>
      <c r="F107" s="67">
        <v>80836</v>
      </c>
      <c r="G107" s="68" t="s">
        <v>90</v>
      </c>
      <c r="H107" s="69" t="s">
        <v>137</v>
      </c>
      <c r="I107" s="67" t="s">
        <v>380</v>
      </c>
      <c r="J107" s="70" t="s">
        <v>180</v>
      </c>
      <c r="K107" s="67" t="s">
        <v>752</v>
      </c>
      <c r="L107" s="71" t="s">
        <v>95</v>
      </c>
      <c r="M107" s="72" t="s">
        <v>753</v>
      </c>
      <c r="N107" s="73">
        <v>45875</v>
      </c>
      <c r="O107" s="74">
        <v>45880</v>
      </c>
      <c r="P107" s="75" t="s">
        <v>141</v>
      </c>
      <c r="Q107" s="76" t="s">
        <v>633</v>
      </c>
      <c r="R107" s="64" t="s">
        <v>98</v>
      </c>
      <c r="S107" s="77" t="s">
        <v>634</v>
      </c>
      <c r="T107" s="74" t="s">
        <v>100</v>
      </c>
      <c r="U107" s="64" t="s">
        <v>754</v>
      </c>
      <c r="V107" s="70" t="s">
        <v>133</v>
      </c>
      <c r="W107" s="74" t="s">
        <v>103</v>
      </c>
      <c r="X107" s="68" t="s">
        <v>456</v>
      </c>
      <c r="Y107" s="64">
        <v>1</v>
      </c>
      <c r="Z107" s="78">
        <v>0</v>
      </c>
      <c r="AA107" s="79">
        <f>'BASE FACTURACION 2025'!$C$3</f>
        <v>122645.45276000001</v>
      </c>
      <c r="AB107" s="79">
        <f>'BASE FACTURACION 2025'!$F$3</f>
        <v>65164.677720000007</v>
      </c>
      <c r="AC107" s="79">
        <f t="shared" si="1"/>
        <v>122645.45276000001</v>
      </c>
    </row>
    <row r="108" spans="1:29" s="80" customFormat="1" ht="13.15">
      <c r="A108" s="64" t="s">
        <v>180</v>
      </c>
      <c r="B108" s="65" t="str">
        <f>VLOOKUP(A108,'CENTRO DE COSTOS'!A:D,4,FALSE)</f>
        <v>DIEGO FERNANDO HENAO CARDONA</v>
      </c>
      <c r="C108" s="65" t="str">
        <f>VLOOKUP(A108,'CENTRO DE COSTOS'!A:D,2,FALSE)</f>
        <v>0004-0003</v>
      </c>
      <c r="D108" s="64">
        <v>76001</v>
      </c>
      <c r="E108" s="66" t="s">
        <v>755</v>
      </c>
      <c r="F108" s="67">
        <v>80837</v>
      </c>
      <c r="G108" s="68" t="s">
        <v>90</v>
      </c>
      <c r="H108" s="69" t="s">
        <v>137</v>
      </c>
      <c r="I108" s="67" t="s">
        <v>380</v>
      </c>
      <c r="J108" s="70" t="s">
        <v>180</v>
      </c>
      <c r="K108" s="67" t="s">
        <v>756</v>
      </c>
      <c r="L108" s="71" t="s">
        <v>95</v>
      </c>
      <c r="M108" s="72" t="s">
        <v>757</v>
      </c>
      <c r="N108" s="73">
        <v>45875</v>
      </c>
      <c r="O108" s="74">
        <v>45880</v>
      </c>
      <c r="P108" s="75" t="s">
        <v>141</v>
      </c>
      <c r="Q108" s="76" t="s">
        <v>633</v>
      </c>
      <c r="R108" s="64" t="s">
        <v>98</v>
      </c>
      <c r="S108" s="77" t="s">
        <v>634</v>
      </c>
      <c r="T108" s="74" t="s">
        <v>100</v>
      </c>
      <c r="U108" s="64" t="s">
        <v>758</v>
      </c>
      <c r="V108" s="70" t="s">
        <v>133</v>
      </c>
      <c r="W108" s="74" t="s">
        <v>103</v>
      </c>
      <c r="X108" s="68" t="s">
        <v>450</v>
      </c>
      <c r="Y108" s="64">
        <v>1</v>
      </c>
      <c r="Z108" s="78">
        <v>0</v>
      </c>
      <c r="AA108" s="79">
        <f>'BASE FACTURACION 2025'!$C$3</f>
        <v>122645.45276000001</v>
      </c>
      <c r="AB108" s="79">
        <f>'BASE FACTURACION 2025'!$F$3</f>
        <v>65164.677720000007</v>
      </c>
      <c r="AC108" s="79">
        <f t="shared" si="1"/>
        <v>122645.45276000001</v>
      </c>
    </row>
    <row r="109" spans="1:29" s="80" customFormat="1" ht="13.15">
      <c r="A109" s="64" t="s">
        <v>180</v>
      </c>
      <c r="B109" s="65" t="str">
        <f>VLOOKUP(A109,'CENTRO DE COSTOS'!A:D,4,FALSE)</f>
        <v>DIEGO FERNANDO HENAO CARDONA</v>
      </c>
      <c r="C109" s="65" t="str">
        <f>VLOOKUP(A109,'CENTRO DE COSTOS'!A:D,2,FALSE)</f>
        <v>0004-0003</v>
      </c>
      <c r="D109" s="64">
        <v>76001</v>
      </c>
      <c r="E109" s="66" t="s">
        <v>759</v>
      </c>
      <c r="F109" s="67">
        <v>80838</v>
      </c>
      <c r="G109" s="68" t="s">
        <v>90</v>
      </c>
      <c r="H109" s="69" t="s">
        <v>137</v>
      </c>
      <c r="I109" s="67" t="s">
        <v>380</v>
      </c>
      <c r="J109" s="70" t="s">
        <v>180</v>
      </c>
      <c r="K109" s="67" t="s">
        <v>760</v>
      </c>
      <c r="L109" s="71" t="s">
        <v>95</v>
      </c>
      <c r="M109" s="72" t="s">
        <v>761</v>
      </c>
      <c r="N109" s="73">
        <v>45875</v>
      </c>
      <c r="O109" s="74">
        <v>45880</v>
      </c>
      <c r="P109" s="75" t="s">
        <v>141</v>
      </c>
      <c r="Q109" s="76" t="s">
        <v>633</v>
      </c>
      <c r="R109" s="64" t="s">
        <v>98</v>
      </c>
      <c r="S109" s="77" t="s">
        <v>634</v>
      </c>
      <c r="T109" s="74" t="s">
        <v>100</v>
      </c>
      <c r="U109" s="64" t="s">
        <v>762</v>
      </c>
      <c r="V109" s="70" t="s">
        <v>133</v>
      </c>
      <c r="W109" s="74" t="s">
        <v>103</v>
      </c>
      <c r="X109" s="68" t="s">
        <v>438</v>
      </c>
      <c r="Y109" s="64">
        <v>1</v>
      </c>
      <c r="Z109" s="78">
        <v>0</v>
      </c>
      <c r="AA109" s="79">
        <f>'BASE FACTURACION 2025'!$C$3</f>
        <v>122645.45276000001</v>
      </c>
      <c r="AB109" s="79">
        <f>'BASE FACTURACION 2025'!$F$3</f>
        <v>65164.677720000007</v>
      </c>
      <c r="AC109" s="79">
        <f t="shared" si="1"/>
        <v>122645.45276000001</v>
      </c>
    </row>
    <row r="110" spans="1:29" s="80" customFormat="1" ht="13.15">
      <c r="A110" s="64" t="s">
        <v>126</v>
      </c>
      <c r="B110" s="65" t="str">
        <f>VLOOKUP(A110,'CENTRO DE COSTOS'!A:D,4,FALSE)</f>
        <v>KEVIN ALEXIS CORZO BUSTOS</v>
      </c>
      <c r="C110" s="65" t="str">
        <f>VLOOKUP(A110,'CENTRO DE COSTOS'!A:D,2,FALSE)</f>
        <v>0004-0007</v>
      </c>
      <c r="D110" s="64">
        <v>85001</v>
      </c>
      <c r="E110" s="66" t="s">
        <v>763</v>
      </c>
      <c r="F110" s="67">
        <v>80860</v>
      </c>
      <c r="G110" s="68" t="s">
        <v>90</v>
      </c>
      <c r="H110" s="69" t="s">
        <v>137</v>
      </c>
      <c r="I110" s="67" t="s">
        <v>128</v>
      </c>
      <c r="J110" s="70" t="s">
        <v>126</v>
      </c>
      <c r="K110" s="67" t="s">
        <v>764</v>
      </c>
      <c r="L110" s="71" t="s">
        <v>95</v>
      </c>
      <c r="M110" s="72" t="s">
        <v>765</v>
      </c>
      <c r="N110" s="73">
        <v>45875</v>
      </c>
      <c r="O110" s="74">
        <v>45877</v>
      </c>
      <c r="P110" s="75" t="s">
        <v>141</v>
      </c>
      <c r="Q110" s="76" t="s">
        <v>633</v>
      </c>
      <c r="R110" s="64" t="s">
        <v>98</v>
      </c>
      <c r="S110" s="77" t="s">
        <v>651</v>
      </c>
      <c r="T110" s="74" t="s">
        <v>100</v>
      </c>
      <c r="U110" s="64" t="s">
        <v>766</v>
      </c>
      <c r="V110" s="70" t="s">
        <v>133</v>
      </c>
      <c r="W110" s="74" t="s">
        <v>103</v>
      </c>
      <c r="X110" s="68" t="s">
        <v>134</v>
      </c>
      <c r="Y110" s="64">
        <v>1</v>
      </c>
      <c r="Z110" s="78">
        <v>0</v>
      </c>
      <c r="AA110" s="79">
        <f>'BASE FACTURACION 2025'!$C$3</f>
        <v>122645.45276000001</v>
      </c>
      <c r="AB110" s="79">
        <f>'BASE FACTURACION 2025'!$F$3</f>
        <v>65164.677720000007</v>
      </c>
      <c r="AC110" s="79">
        <f t="shared" si="1"/>
        <v>122645.45276000001</v>
      </c>
    </row>
    <row r="111" spans="1:29" s="80" customFormat="1" ht="13.15">
      <c r="A111" s="64" t="s">
        <v>391</v>
      </c>
      <c r="B111" s="65" t="str">
        <f>VLOOKUP(A111,'CENTRO DE COSTOS'!A:D,4,FALSE)</f>
        <v>WILLIAM ASDRUBAL ROZO ROZO</v>
      </c>
      <c r="C111" s="65" t="str">
        <f>VLOOKUP(A111,'CENTRO DE COSTOS'!A:D,2,FALSE)</f>
        <v>0004-0004</v>
      </c>
      <c r="D111" s="64">
        <v>11001</v>
      </c>
      <c r="E111" s="66" t="s">
        <v>767</v>
      </c>
      <c r="F111" s="67">
        <v>80827</v>
      </c>
      <c r="G111" s="68" t="s">
        <v>90</v>
      </c>
      <c r="H111" s="69" t="s">
        <v>137</v>
      </c>
      <c r="I111" s="67" t="s">
        <v>393</v>
      </c>
      <c r="J111" s="70" t="s">
        <v>391</v>
      </c>
      <c r="K111" s="67" t="s">
        <v>768</v>
      </c>
      <c r="L111" s="71" t="s">
        <v>95</v>
      </c>
      <c r="M111" s="72" t="s">
        <v>769</v>
      </c>
      <c r="N111" s="73">
        <v>45875</v>
      </c>
      <c r="O111" s="74">
        <v>45877</v>
      </c>
      <c r="P111" s="75" t="s">
        <v>141</v>
      </c>
      <c r="Q111" s="76" t="s">
        <v>633</v>
      </c>
      <c r="R111" s="64" t="s">
        <v>98</v>
      </c>
      <c r="S111" s="77" t="s">
        <v>651</v>
      </c>
      <c r="T111" s="74" t="s">
        <v>100</v>
      </c>
      <c r="U111" s="64" t="s">
        <v>770</v>
      </c>
      <c r="V111" s="70" t="s">
        <v>133</v>
      </c>
      <c r="W111" s="74" t="s">
        <v>103</v>
      </c>
      <c r="X111" s="68" t="s">
        <v>771</v>
      </c>
      <c r="Y111" s="64">
        <v>1</v>
      </c>
      <c r="Z111" s="78">
        <v>0</v>
      </c>
      <c r="AA111" s="79">
        <f>'BASE FACTURACION 2025'!$C$3</f>
        <v>122645.45276000001</v>
      </c>
      <c r="AB111" s="79">
        <f>'BASE FACTURACION 2025'!$F$3</f>
        <v>65164.677720000007</v>
      </c>
      <c r="AC111" s="79">
        <f t="shared" si="1"/>
        <v>122645.45276000001</v>
      </c>
    </row>
    <row r="112" spans="1:29" s="80" customFormat="1" ht="13.15">
      <c r="A112" s="64" t="s">
        <v>391</v>
      </c>
      <c r="B112" s="65" t="str">
        <f>VLOOKUP(A112,'CENTRO DE COSTOS'!A:D,4,FALSE)</f>
        <v>WILLIAM ASDRUBAL ROZO ROZO</v>
      </c>
      <c r="C112" s="65" t="str">
        <f>VLOOKUP(A112,'CENTRO DE COSTOS'!A:D,2,FALSE)</f>
        <v>0004-0004</v>
      </c>
      <c r="D112" s="64">
        <v>11001</v>
      </c>
      <c r="E112" s="66" t="s">
        <v>772</v>
      </c>
      <c r="F112" s="67">
        <v>80828</v>
      </c>
      <c r="G112" s="68" t="s">
        <v>90</v>
      </c>
      <c r="H112" s="69" t="s">
        <v>137</v>
      </c>
      <c r="I112" s="67" t="s">
        <v>393</v>
      </c>
      <c r="J112" s="70" t="s">
        <v>391</v>
      </c>
      <c r="K112" s="67" t="s">
        <v>773</v>
      </c>
      <c r="L112" s="71" t="s">
        <v>95</v>
      </c>
      <c r="M112" s="72" t="s">
        <v>774</v>
      </c>
      <c r="N112" s="73">
        <v>45875</v>
      </c>
      <c r="O112" s="74">
        <v>45880</v>
      </c>
      <c r="P112" s="75" t="s">
        <v>141</v>
      </c>
      <c r="Q112" s="76" t="s">
        <v>633</v>
      </c>
      <c r="R112" s="64" t="s">
        <v>98</v>
      </c>
      <c r="S112" s="77" t="s">
        <v>634</v>
      </c>
      <c r="T112" s="74" t="s">
        <v>100</v>
      </c>
      <c r="U112" s="64" t="s">
        <v>775</v>
      </c>
      <c r="V112" s="70" t="s">
        <v>133</v>
      </c>
      <c r="W112" s="74" t="s">
        <v>103</v>
      </c>
      <c r="X112" s="68" t="s">
        <v>776</v>
      </c>
      <c r="Y112" s="64">
        <v>1</v>
      </c>
      <c r="Z112" s="78">
        <v>0</v>
      </c>
      <c r="AA112" s="79">
        <f>'BASE FACTURACION 2025'!$C$3</f>
        <v>122645.45276000001</v>
      </c>
      <c r="AB112" s="79">
        <f>'BASE FACTURACION 2025'!$F$3</f>
        <v>65164.677720000007</v>
      </c>
      <c r="AC112" s="79">
        <f t="shared" si="1"/>
        <v>122645.45276000001</v>
      </c>
    </row>
    <row r="113" spans="1:29" s="80" customFormat="1" ht="13.15">
      <c r="A113" s="64" t="s">
        <v>391</v>
      </c>
      <c r="B113" s="65" t="str">
        <f>VLOOKUP(A113,'CENTRO DE COSTOS'!A:D,4,FALSE)</f>
        <v>WILLIAM ASDRUBAL ROZO ROZO</v>
      </c>
      <c r="C113" s="65" t="str">
        <f>VLOOKUP(A113,'CENTRO DE COSTOS'!A:D,2,FALSE)</f>
        <v>0004-0004</v>
      </c>
      <c r="D113" s="64">
        <v>11001</v>
      </c>
      <c r="E113" s="66" t="s">
        <v>777</v>
      </c>
      <c r="F113" s="67">
        <v>80829</v>
      </c>
      <c r="G113" s="68" t="s">
        <v>90</v>
      </c>
      <c r="H113" s="69" t="s">
        <v>137</v>
      </c>
      <c r="I113" s="67" t="s">
        <v>393</v>
      </c>
      <c r="J113" s="70" t="s">
        <v>391</v>
      </c>
      <c r="K113" s="67" t="s">
        <v>778</v>
      </c>
      <c r="L113" s="71" t="s">
        <v>95</v>
      </c>
      <c r="M113" s="72" t="s">
        <v>779</v>
      </c>
      <c r="N113" s="73">
        <v>45875</v>
      </c>
      <c r="O113" s="74">
        <v>45880</v>
      </c>
      <c r="P113" s="75" t="s">
        <v>141</v>
      </c>
      <c r="Q113" s="76" t="s">
        <v>633</v>
      </c>
      <c r="R113" s="64" t="s">
        <v>98</v>
      </c>
      <c r="S113" s="77" t="s">
        <v>634</v>
      </c>
      <c r="T113" s="74" t="s">
        <v>100</v>
      </c>
      <c r="U113" s="64" t="s">
        <v>780</v>
      </c>
      <c r="V113" s="70" t="s">
        <v>133</v>
      </c>
      <c r="W113" s="74" t="s">
        <v>103</v>
      </c>
      <c r="X113" s="68" t="s">
        <v>781</v>
      </c>
      <c r="Y113" s="64">
        <v>1</v>
      </c>
      <c r="Z113" s="78">
        <v>0</v>
      </c>
      <c r="AA113" s="79">
        <f>'BASE FACTURACION 2025'!$C$3</f>
        <v>122645.45276000001</v>
      </c>
      <c r="AB113" s="79">
        <f>'BASE FACTURACION 2025'!$F$3</f>
        <v>65164.677720000007</v>
      </c>
      <c r="AC113" s="79">
        <f t="shared" si="1"/>
        <v>122645.45276000001</v>
      </c>
    </row>
    <row r="114" spans="1:29" s="80" customFormat="1" ht="13.15">
      <c r="A114" s="64" t="s">
        <v>391</v>
      </c>
      <c r="B114" s="65" t="str">
        <f>VLOOKUP(A114,'CENTRO DE COSTOS'!A:D,4,FALSE)</f>
        <v>WILLIAM ASDRUBAL ROZO ROZO</v>
      </c>
      <c r="C114" s="65" t="str">
        <f>VLOOKUP(A114,'CENTRO DE COSTOS'!A:D,2,FALSE)</f>
        <v>0004-0004</v>
      </c>
      <c r="D114" s="64">
        <v>11001</v>
      </c>
      <c r="E114" s="66" t="s">
        <v>782</v>
      </c>
      <c r="F114" s="67">
        <v>80830</v>
      </c>
      <c r="G114" s="68" t="s">
        <v>90</v>
      </c>
      <c r="H114" s="69" t="s">
        <v>137</v>
      </c>
      <c r="I114" s="67" t="s">
        <v>393</v>
      </c>
      <c r="J114" s="70" t="s">
        <v>391</v>
      </c>
      <c r="K114" s="67" t="s">
        <v>783</v>
      </c>
      <c r="L114" s="71" t="s">
        <v>95</v>
      </c>
      <c r="M114" s="72" t="s">
        <v>784</v>
      </c>
      <c r="N114" s="73">
        <v>45875</v>
      </c>
      <c r="O114" s="74">
        <v>45877</v>
      </c>
      <c r="P114" s="75" t="s">
        <v>141</v>
      </c>
      <c r="Q114" s="76" t="s">
        <v>633</v>
      </c>
      <c r="R114" s="64" t="s">
        <v>98</v>
      </c>
      <c r="S114" s="77" t="s">
        <v>651</v>
      </c>
      <c r="T114" s="74" t="s">
        <v>100</v>
      </c>
      <c r="U114" s="64" t="s">
        <v>785</v>
      </c>
      <c r="V114" s="70" t="s">
        <v>133</v>
      </c>
      <c r="W114" s="74" t="s">
        <v>103</v>
      </c>
      <c r="X114" s="68" t="s">
        <v>602</v>
      </c>
      <c r="Y114" s="64">
        <v>1</v>
      </c>
      <c r="Z114" s="78">
        <v>0</v>
      </c>
      <c r="AA114" s="79">
        <f>'BASE FACTURACION 2025'!$C$3</f>
        <v>122645.45276000001</v>
      </c>
      <c r="AB114" s="79">
        <f>'BASE FACTURACION 2025'!$F$3</f>
        <v>65164.677720000007</v>
      </c>
      <c r="AC114" s="79">
        <f t="shared" si="1"/>
        <v>122645.45276000001</v>
      </c>
    </row>
    <row r="115" spans="1:29" s="80" customFormat="1" ht="13.15">
      <c r="A115" s="64" t="s">
        <v>391</v>
      </c>
      <c r="B115" s="65" t="str">
        <f>VLOOKUP(A115,'CENTRO DE COSTOS'!A:D,4,FALSE)</f>
        <v>WILLIAM ASDRUBAL ROZO ROZO</v>
      </c>
      <c r="C115" s="65" t="str">
        <f>VLOOKUP(A115,'CENTRO DE COSTOS'!A:D,2,FALSE)</f>
        <v>0004-0004</v>
      </c>
      <c r="D115" s="64">
        <v>11001</v>
      </c>
      <c r="E115" s="66" t="s">
        <v>786</v>
      </c>
      <c r="F115" s="67">
        <v>80831</v>
      </c>
      <c r="G115" s="68" t="s">
        <v>90</v>
      </c>
      <c r="H115" s="69" t="s">
        <v>137</v>
      </c>
      <c r="I115" s="67" t="s">
        <v>393</v>
      </c>
      <c r="J115" s="70" t="s">
        <v>391</v>
      </c>
      <c r="K115" s="67" t="s">
        <v>787</v>
      </c>
      <c r="L115" s="71" t="s">
        <v>95</v>
      </c>
      <c r="M115" s="72" t="s">
        <v>788</v>
      </c>
      <c r="N115" s="73">
        <v>45875</v>
      </c>
      <c r="O115" s="74">
        <v>45877</v>
      </c>
      <c r="P115" s="75" t="s">
        <v>141</v>
      </c>
      <c r="Q115" s="76" t="s">
        <v>633</v>
      </c>
      <c r="R115" s="64" t="s">
        <v>98</v>
      </c>
      <c r="S115" s="77" t="s">
        <v>651</v>
      </c>
      <c r="T115" s="74" t="s">
        <v>100</v>
      </c>
      <c r="U115" s="64" t="s">
        <v>789</v>
      </c>
      <c r="V115" s="70" t="s">
        <v>133</v>
      </c>
      <c r="W115" s="74" t="s">
        <v>103</v>
      </c>
      <c r="X115" s="68" t="s">
        <v>771</v>
      </c>
      <c r="Y115" s="64">
        <v>1</v>
      </c>
      <c r="Z115" s="78">
        <v>0</v>
      </c>
      <c r="AA115" s="79">
        <f>'BASE FACTURACION 2025'!$C$3</f>
        <v>122645.45276000001</v>
      </c>
      <c r="AB115" s="79">
        <f>'BASE FACTURACION 2025'!$F$3</f>
        <v>65164.677720000007</v>
      </c>
      <c r="AC115" s="79">
        <f t="shared" si="1"/>
        <v>122645.45276000001</v>
      </c>
    </row>
    <row r="116" spans="1:29" s="80" customFormat="1" ht="13.15">
      <c r="A116" s="64" t="s">
        <v>391</v>
      </c>
      <c r="B116" s="65" t="str">
        <f>VLOOKUP(A116,'CENTRO DE COSTOS'!A:D,4,FALSE)</f>
        <v>WILLIAM ASDRUBAL ROZO ROZO</v>
      </c>
      <c r="C116" s="65" t="str">
        <f>VLOOKUP(A116,'CENTRO DE COSTOS'!A:D,2,FALSE)</f>
        <v>0004-0004</v>
      </c>
      <c r="D116" s="64">
        <v>11001</v>
      </c>
      <c r="E116" s="66" t="s">
        <v>790</v>
      </c>
      <c r="F116" s="67">
        <v>80832</v>
      </c>
      <c r="G116" s="68" t="s">
        <v>90</v>
      </c>
      <c r="H116" s="69" t="s">
        <v>137</v>
      </c>
      <c r="I116" s="67" t="s">
        <v>393</v>
      </c>
      <c r="J116" s="70" t="s">
        <v>391</v>
      </c>
      <c r="K116" s="67" t="s">
        <v>791</v>
      </c>
      <c r="L116" s="71" t="s">
        <v>95</v>
      </c>
      <c r="M116" s="72" t="s">
        <v>792</v>
      </c>
      <c r="N116" s="73">
        <v>45875</v>
      </c>
      <c r="O116" s="74">
        <v>45880</v>
      </c>
      <c r="P116" s="75" t="s">
        <v>141</v>
      </c>
      <c r="Q116" s="76" t="s">
        <v>633</v>
      </c>
      <c r="R116" s="64" t="s">
        <v>98</v>
      </c>
      <c r="S116" s="77" t="s">
        <v>634</v>
      </c>
      <c r="T116" s="74" t="s">
        <v>100</v>
      </c>
      <c r="U116" s="64" t="s">
        <v>793</v>
      </c>
      <c r="V116" s="70" t="s">
        <v>133</v>
      </c>
      <c r="W116" s="74" t="s">
        <v>103</v>
      </c>
      <c r="X116" s="68" t="s">
        <v>771</v>
      </c>
      <c r="Y116" s="64">
        <v>1</v>
      </c>
      <c r="Z116" s="78">
        <v>0</v>
      </c>
      <c r="AA116" s="79">
        <f>'BASE FACTURACION 2025'!$C$3</f>
        <v>122645.45276000001</v>
      </c>
      <c r="AB116" s="79">
        <f>'BASE FACTURACION 2025'!$F$3</f>
        <v>65164.677720000007</v>
      </c>
      <c r="AC116" s="79">
        <f t="shared" si="1"/>
        <v>122645.45276000001</v>
      </c>
    </row>
    <row r="117" spans="1:29" s="80" customFormat="1" ht="13.15">
      <c r="A117" s="64" t="s">
        <v>126</v>
      </c>
      <c r="B117" s="65" t="str">
        <f>VLOOKUP(A117,'CENTRO DE COSTOS'!A:D,4,FALSE)</f>
        <v>KEVIN ALEXIS CORZO BUSTOS</v>
      </c>
      <c r="C117" s="65" t="str">
        <f>VLOOKUP(A117,'CENTRO DE COSTOS'!A:D,2,FALSE)</f>
        <v>0004-0007</v>
      </c>
      <c r="D117" s="64">
        <v>85230</v>
      </c>
      <c r="E117" s="66" t="s">
        <v>794</v>
      </c>
      <c r="F117" s="67">
        <v>80903</v>
      </c>
      <c r="G117" s="68" t="s">
        <v>90</v>
      </c>
      <c r="H117" s="69" t="s">
        <v>91</v>
      </c>
      <c r="I117" s="67" t="s">
        <v>128</v>
      </c>
      <c r="J117" s="70" t="s">
        <v>795</v>
      </c>
      <c r="K117" s="67" t="s">
        <v>796</v>
      </c>
      <c r="L117" s="71" t="s">
        <v>95</v>
      </c>
      <c r="M117" s="72" t="s">
        <v>797</v>
      </c>
      <c r="N117" s="73">
        <v>45875</v>
      </c>
      <c r="O117" s="74">
        <v>45888</v>
      </c>
      <c r="P117" s="75" t="s">
        <v>97</v>
      </c>
      <c r="Q117" s="76" t="s">
        <v>97</v>
      </c>
      <c r="R117" s="64" t="s">
        <v>98</v>
      </c>
      <c r="S117" s="77" t="s">
        <v>798</v>
      </c>
      <c r="T117" s="74" t="s">
        <v>100</v>
      </c>
      <c r="U117" s="64" t="s">
        <v>799</v>
      </c>
      <c r="V117" s="70" t="s">
        <v>118</v>
      </c>
      <c r="W117" s="74" t="s">
        <v>237</v>
      </c>
      <c r="X117" s="68" t="s">
        <v>134</v>
      </c>
      <c r="Y117" s="64">
        <v>1</v>
      </c>
      <c r="Z117" s="78">
        <v>0</v>
      </c>
      <c r="AA117" s="79">
        <f>'BASE FACTURACION 2025'!$C$3</f>
        <v>122645.45276000001</v>
      </c>
      <c r="AB117" s="79">
        <f>'BASE FACTURACION 2025'!$F$3</f>
        <v>65164.677720000007</v>
      </c>
      <c r="AC117" s="79">
        <f t="shared" si="1"/>
        <v>122645.45276000001</v>
      </c>
    </row>
    <row r="118" spans="1:29" s="80" customFormat="1" ht="13.15">
      <c r="A118" s="64" t="s">
        <v>305</v>
      </c>
      <c r="B118" s="65" t="str">
        <f>VLOOKUP(A118,'CENTRO DE COSTOS'!A:D,4,FALSE)</f>
        <v>JOSE MAURICIO HERNANDEZ ROJAS</v>
      </c>
      <c r="C118" s="65" t="str">
        <f>VLOOKUP(A118,'CENTRO DE COSTOS'!A:D,2,FALSE)</f>
        <v>0004-0001</v>
      </c>
      <c r="D118" s="64">
        <v>8560</v>
      </c>
      <c r="E118" s="66" t="s">
        <v>800</v>
      </c>
      <c r="F118" s="67">
        <v>80910</v>
      </c>
      <c r="G118" s="68" t="s">
        <v>90</v>
      </c>
      <c r="H118" s="69" t="s">
        <v>91</v>
      </c>
      <c r="I118" s="67" t="s">
        <v>307</v>
      </c>
      <c r="J118" s="70" t="s">
        <v>801</v>
      </c>
      <c r="K118" s="67" t="s">
        <v>802</v>
      </c>
      <c r="L118" s="71" t="s">
        <v>95</v>
      </c>
      <c r="M118" s="72" t="s">
        <v>803</v>
      </c>
      <c r="N118" s="73">
        <v>45875</v>
      </c>
      <c r="O118" s="74">
        <v>45877</v>
      </c>
      <c r="P118" s="75" t="s">
        <v>97</v>
      </c>
      <c r="Q118" s="76" t="s">
        <v>97</v>
      </c>
      <c r="R118" s="64" t="s">
        <v>98</v>
      </c>
      <c r="S118" s="77" t="s">
        <v>804</v>
      </c>
      <c r="T118" s="74" t="s">
        <v>100</v>
      </c>
      <c r="U118" s="64" t="s">
        <v>805</v>
      </c>
      <c r="V118" s="70" t="s">
        <v>162</v>
      </c>
      <c r="W118" s="74" t="s">
        <v>103</v>
      </c>
      <c r="X118" s="68" t="s">
        <v>806</v>
      </c>
      <c r="Y118" s="64">
        <v>1</v>
      </c>
      <c r="Z118" s="78">
        <v>0</v>
      </c>
      <c r="AA118" s="79">
        <f>'BASE FACTURACION 2025'!$C$3</f>
        <v>122645.45276000001</v>
      </c>
      <c r="AB118" s="79">
        <f>'BASE FACTURACION 2025'!$F$3</f>
        <v>65164.677720000007</v>
      </c>
      <c r="AC118" s="79">
        <f t="shared" si="1"/>
        <v>122645.45276000001</v>
      </c>
    </row>
    <row r="119" spans="1:29" s="80" customFormat="1" ht="13.15">
      <c r="A119" s="64" t="s">
        <v>245</v>
      </c>
      <c r="B119" s="65" t="str">
        <f>VLOOKUP(A119,'CENTRO DE COSTOS'!A:D,4,FALSE)</f>
        <v>MIGUEL JULIÁN HERNÁNDEZ GUARÍN</v>
      </c>
      <c r="C119" s="65" t="str">
        <f>VLOOKUP(A119,'CENTRO DE COSTOS'!A:D,2,FALSE)</f>
        <v>0004-0008</v>
      </c>
      <c r="D119" s="64">
        <v>54874</v>
      </c>
      <c r="E119" s="66" t="s">
        <v>807</v>
      </c>
      <c r="F119" s="67">
        <v>80921</v>
      </c>
      <c r="G119" s="68" t="s">
        <v>90</v>
      </c>
      <c r="H119" s="69" t="s">
        <v>91</v>
      </c>
      <c r="I119" s="67" t="s">
        <v>247</v>
      </c>
      <c r="J119" s="70" t="s">
        <v>808</v>
      </c>
      <c r="K119" s="67" t="s">
        <v>809</v>
      </c>
      <c r="L119" s="71" t="s">
        <v>95</v>
      </c>
      <c r="M119" s="72" t="s">
        <v>810</v>
      </c>
      <c r="N119" s="73">
        <v>45875</v>
      </c>
      <c r="O119" s="74">
        <v>45880</v>
      </c>
      <c r="P119" s="75" t="s">
        <v>97</v>
      </c>
      <c r="Q119" s="76" t="s">
        <v>97</v>
      </c>
      <c r="R119" s="64" t="s">
        <v>98</v>
      </c>
      <c r="S119" s="77" t="s">
        <v>811</v>
      </c>
      <c r="T119" s="74" t="s">
        <v>100</v>
      </c>
      <c r="U119" s="64" t="s">
        <v>812</v>
      </c>
      <c r="V119" s="70" t="s">
        <v>133</v>
      </c>
      <c r="W119" s="74" t="s">
        <v>103</v>
      </c>
      <c r="X119" s="68" t="s">
        <v>325</v>
      </c>
      <c r="Y119" s="64">
        <v>1</v>
      </c>
      <c r="Z119" s="78">
        <v>0</v>
      </c>
      <c r="AA119" s="79">
        <f>'BASE FACTURACION 2025'!$C$3</f>
        <v>122645.45276000001</v>
      </c>
      <c r="AB119" s="79">
        <f>'BASE FACTURACION 2025'!$F$3</f>
        <v>65164.677720000007</v>
      </c>
      <c r="AC119" s="79">
        <f t="shared" si="1"/>
        <v>122645.45276000001</v>
      </c>
    </row>
    <row r="120" spans="1:29" s="80" customFormat="1" ht="13.15">
      <c r="A120" s="64" t="s">
        <v>88</v>
      </c>
      <c r="B120" s="65" t="str">
        <f>VLOOKUP(A120,'CENTRO DE COSTOS'!A:D,4,FALSE)</f>
        <v>KEVIN ALEXIS CORZO BUSTOS</v>
      </c>
      <c r="C120" s="65" t="str">
        <f>VLOOKUP(A120,'CENTRO DE COSTOS'!A:D,2,FALSE)</f>
        <v>0004-0007</v>
      </c>
      <c r="D120" s="64">
        <v>18247</v>
      </c>
      <c r="E120" s="66" t="s">
        <v>813</v>
      </c>
      <c r="F120" s="67">
        <v>80884</v>
      </c>
      <c r="G120" s="68" t="s">
        <v>90</v>
      </c>
      <c r="H120" s="69" t="s">
        <v>91</v>
      </c>
      <c r="I120" s="67" t="s">
        <v>92</v>
      </c>
      <c r="J120" s="70" t="s">
        <v>814</v>
      </c>
      <c r="K120" s="67" t="s">
        <v>815</v>
      </c>
      <c r="L120" s="71" t="s">
        <v>95</v>
      </c>
      <c r="M120" s="72" t="s">
        <v>816</v>
      </c>
      <c r="N120" s="73">
        <v>45875</v>
      </c>
      <c r="O120" s="74">
        <v>45880</v>
      </c>
      <c r="P120" s="75" t="s">
        <v>97</v>
      </c>
      <c r="Q120" s="76" t="s">
        <v>97</v>
      </c>
      <c r="R120" s="64" t="s">
        <v>98</v>
      </c>
      <c r="S120" s="77" t="s">
        <v>817</v>
      </c>
      <c r="T120" s="74" t="s">
        <v>100</v>
      </c>
      <c r="U120" s="64" t="s">
        <v>818</v>
      </c>
      <c r="V120" s="70" t="s">
        <v>102</v>
      </c>
      <c r="W120" s="74" t="s">
        <v>103</v>
      </c>
      <c r="X120" s="68" t="s">
        <v>244</v>
      </c>
      <c r="Y120" s="64">
        <v>1</v>
      </c>
      <c r="Z120" s="78">
        <v>0</v>
      </c>
      <c r="AA120" s="79">
        <f>'BASE FACTURACION 2025'!$C$3</f>
        <v>122645.45276000001</v>
      </c>
      <c r="AB120" s="79">
        <f>'BASE FACTURACION 2025'!$F$3</f>
        <v>65164.677720000007</v>
      </c>
      <c r="AC120" s="79">
        <f t="shared" si="1"/>
        <v>122645.45276000001</v>
      </c>
    </row>
    <row r="121" spans="1:29" s="80" customFormat="1" ht="13.15">
      <c r="A121" s="64" t="s">
        <v>163</v>
      </c>
      <c r="B121" s="65" t="str">
        <f>VLOOKUP(A121,'CENTRO DE COSTOS'!A:D,4,FALSE)</f>
        <v>MIGUEL JULIÁN HERNÁNDEZ GUARÍN</v>
      </c>
      <c r="C121" s="65" t="str">
        <f>VLOOKUP(A121,'CENTRO DE COSTOS'!A:D,2,FALSE)</f>
        <v>0004-0008</v>
      </c>
      <c r="D121" s="64">
        <v>15299</v>
      </c>
      <c r="E121" s="66" t="s">
        <v>819</v>
      </c>
      <c r="F121" s="67">
        <v>80886</v>
      </c>
      <c r="G121" s="68" t="s">
        <v>90</v>
      </c>
      <c r="H121" s="69" t="s">
        <v>91</v>
      </c>
      <c r="I121" s="67" t="s">
        <v>165</v>
      </c>
      <c r="J121" s="70" t="s">
        <v>820</v>
      </c>
      <c r="K121" s="67" t="s">
        <v>821</v>
      </c>
      <c r="L121" s="71" t="s">
        <v>95</v>
      </c>
      <c r="M121" s="72" t="s">
        <v>822</v>
      </c>
      <c r="N121" s="73">
        <v>45875</v>
      </c>
      <c r="O121" s="74">
        <v>45881</v>
      </c>
      <c r="P121" s="75" t="s">
        <v>97</v>
      </c>
      <c r="Q121" s="76" t="s">
        <v>97</v>
      </c>
      <c r="R121" s="64" t="s">
        <v>98</v>
      </c>
      <c r="S121" s="77" t="s">
        <v>823</v>
      </c>
      <c r="T121" s="74" t="s">
        <v>100</v>
      </c>
      <c r="U121" s="64" t="s">
        <v>824</v>
      </c>
      <c r="V121" s="70" t="s">
        <v>189</v>
      </c>
      <c r="W121" s="74" t="s">
        <v>103</v>
      </c>
      <c r="X121" s="68" t="s">
        <v>171</v>
      </c>
      <c r="Y121" s="64">
        <v>1</v>
      </c>
      <c r="Z121" s="78">
        <v>0</v>
      </c>
      <c r="AA121" s="79">
        <f>'BASE FACTURACION 2025'!$C$3</f>
        <v>122645.45276000001</v>
      </c>
      <c r="AB121" s="79">
        <f>'BASE FACTURACION 2025'!$F$3</f>
        <v>65164.677720000007</v>
      </c>
      <c r="AC121" s="79">
        <f t="shared" si="1"/>
        <v>122645.45276000001</v>
      </c>
    </row>
    <row r="122" spans="1:29" s="80" customFormat="1" ht="13.15">
      <c r="A122" s="64" t="s">
        <v>220</v>
      </c>
      <c r="B122" s="65" t="str">
        <f>VLOOKUP(A122,'CENTRO DE COSTOS'!A:D,4,FALSE)</f>
        <v>KEVIN ALEXIS CORZO BUSTOS</v>
      </c>
      <c r="C122" s="65" t="str">
        <f>VLOOKUP(A122,'CENTRO DE COSTOS'!A:D,2,FALSE)</f>
        <v>0004-0007</v>
      </c>
      <c r="D122" s="64">
        <v>50006</v>
      </c>
      <c r="E122" s="66" t="s">
        <v>825</v>
      </c>
      <c r="F122" s="67">
        <v>80861</v>
      </c>
      <c r="G122" s="68" t="s">
        <v>90</v>
      </c>
      <c r="H122" s="69" t="s">
        <v>91</v>
      </c>
      <c r="I122" s="67" t="s">
        <v>222</v>
      </c>
      <c r="J122" s="70" t="s">
        <v>826</v>
      </c>
      <c r="K122" s="67" t="s">
        <v>827</v>
      </c>
      <c r="L122" s="71" t="s">
        <v>95</v>
      </c>
      <c r="M122" s="72" t="s">
        <v>828</v>
      </c>
      <c r="N122" s="73">
        <v>45875</v>
      </c>
      <c r="O122" s="81">
        <v>45884</v>
      </c>
      <c r="P122" s="75" t="s">
        <v>97</v>
      </c>
      <c r="Q122" s="76" t="s">
        <v>97</v>
      </c>
      <c r="R122" s="64" t="s">
        <v>98</v>
      </c>
      <c r="S122" s="77" t="s">
        <v>829</v>
      </c>
      <c r="T122" s="74" t="s">
        <v>100</v>
      </c>
      <c r="U122" s="64" t="s">
        <v>830</v>
      </c>
      <c r="V122" s="70" t="s">
        <v>162</v>
      </c>
      <c r="W122" s="74" t="s">
        <v>103</v>
      </c>
      <c r="X122" s="68" t="s">
        <v>831</v>
      </c>
      <c r="Y122" s="64">
        <v>1</v>
      </c>
      <c r="Z122" s="78">
        <v>0</v>
      </c>
      <c r="AA122" s="79">
        <f>'BASE FACTURACION 2025'!$C$3</f>
        <v>122645.45276000001</v>
      </c>
      <c r="AB122" s="79">
        <f>'BASE FACTURACION 2025'!$F$3</f>
        <v>65164.677720000007</v>
      </c>
      <c r="AC122" s="79">
        <f t="shared" si="1"/>
        <v>122645.45276000001</v>
      </c>
    </row>
    <row r="123" spans="1:29" s="80" customFormat="1" ht="13.15">
      <c r="A123" s="64" t="s">
        <v>229</v>
      </c>
      <c r="B123" s="65" t="str">
        <f>VLOOKUP(A123,'CENTRO DE COSTOS'!A:D,4,FALSE)</f>
        <v>MIGUEL JULIÁN HERNÁNDEZ GUARÍN</v>
      </c>
      <c r="C123" s="65" t="str">
        <f>VLOOKUP(A123,'CENTRO DE COSTOS'!A:D,2,FALSE)</f>
        <v>0004-0008</v>
      </c>
      <c r="D123" s="64">
        <v>68755</v>
      </c>
      <c r="E123" s="66" t="s">
        <v>832</v>
      </c>
      <c r="F123" s="67">
        <v>80916</v>
      </c>
      <c r="G123" s="68" t="s">
        <v>90</v>
      </c>
      <c r="H123" s="69" t="s">
        <v>91</v>
      </c>
      <c r="I123" s="67" t="s">
        <v>714</v>
      </c>
      <c r="J123" s="70" t="s">
        <v>833</v>
      </c>
      <c r="K123" s="67" t="s">
        <v>834</v>
      </c>
      <c r="L123" s="71" t="s">
        <v>95</v>
      </c>
      <c r="M123" s="72" t="s">
        <v>835</v>
      </c>
      <c r="N123" s="73">
        <v>45875</v>
      </c>
      <c r="O123" s="74">
        <v>45880</v>
      </c>
      <c r="P123" s="75" t="s">
        <v>97</v>
      </c>
      <c r="Q123" s="76" t="s">
        <v>97</v>
      </c>
      <c r="R123" s="64" t="s">
        <v>98</v>
      </c>
      <c r="S123" s="77" t="s">
        <v>836</v>
      </c>
      <c r="T123" s="74" t="s">
        <v>100</v>
      </c>
      <c r="U123" s="64" t="s">
        <v>837</v>
      </c>
      <c r="V123" s="70" t="s">
        <v>189</v>
      </c>
      <c r="W123" s="74" t="s">
        <v>103</v>
      </c>
      <c r="X123" s="68" t="s">
        <v>838</v>
      </c>
      <c r="Y123" s="64">
        <v>1</v>
      </c>
      <c r="Z123" s="78">
        <v>0</v>
      </c>
      <c r="AA123" s="79">
        <f>'BASE FACTURACION 2025'!$C$3</f>
        <v>122645.45276000001</v>
      </c>
      <c r="AB123" s="79">
        <f>'BASE FACTURACION 2025'!$F$3</f>
        <v>65164.677720000007</v>
      </c>
      <c r="AC123" s="79">
        <f t="shared" si="1"/>
        <v>122645.45276000001</v>
      </c>
    </row>
    <row r="124" spans="1:29" s="80" customFormat="1" ht="13.15">
      <c r="A124" s="64" t="s">
        <v>229</v>
      </c>
      <c r="B124" s="65" t="str">
        <f>VLOOKUP(A124,'CENTRO DE COSTOS'!A:D,4,FALSE)</f>
        <v>MIGUEL JULIÁN HERNÁNDEZ GUARÍN</v>
      </c>
      <c r="C124" s="65" t="str">
        <f>VLOOKUP(A124,'CENTRO DE COSTOS'!A:D,2,FALSE)</f>
        <v>0004-0008</v>
      </c>
      <c r="D124" s="64">
        <v>68276</v>
      </c>
      <c r="E124" s="66" t="s">
        <v>839</v>
      </c>
      <c r="F124" s="67">
        <v>80885</v>
      </c>
      <c r="G124" s="68" t="s">
        <v>90</v>
      </c>
      <c r="H124" s="69" t="s">
        <v>91</v>
      </c>
      <c r="I124" s="67" t="s">
        <v>714</v>
      </c>
      <c r="J124" s="70" t="s">
        <v>840</v>
      </c>
      <c r="K124" s="67" t="s">
        <v>841</v>
      </c>
      <c r="L124" s="71" t="s">
        <v>95</v>
      </c>
      <c r="M124" s="72" t="s">
        <v>842</v>
      </c>
      <c r="N124" s="73">
        <v>45875</v>
      </c>
      <c r="O124" s="74">
        <v>45877</v>
      </c>
      <c r="P124" s="75" t="s">
        <v>97</v>
      </c>
      <c r="Q124" s="76" t="s">
        <v>97</v>
      </c>
      <c r="R124" s="64" t="s">
        <v>98</v>
      </c>
      <c r="S124" s="77" t="s">
        <v>843</v>
      </c>
      <c r="T124" s="74" t="s">
        <v>100</v>
      </c>
      <c r="U124" s="64" t="s">
        <v>844</v>
      </c>
      <c r="V124" s="70" t="s">
        <v>133</v>
      </c>
      <c r="W124" s="74" t="s">
        <v>103</v>
      </c>
      <c r="X124" s="68" t="s">
        <v>845</v>
      </c>
      <c r="Y124" s="64">
        <v>1</v>
      </c>
      <c r="Z124" s="78">
        <v>0</v>
      </c>
      <c r="AA124" s="79">
        <f>'BASE FACTURACION 2025'!$C$3</f>
        <v>122645.45276000001</v>
      </c>
      <c r="AB124" s="79">
        <f>'BASE FACTURACION 2025'!$F$3</f>
        <v>65164.677720000007</v>
      </c>
      <c r="AC124" s="79">
        <f t="shared" si="1"/>
        <v>122645.45276000001</v>
      </c>
    </row>
    <row r="125" spans="1:29" s="80" customFormat="1" ht="13.15">
      <c r="A125" s="64" t="s">
        <v>245</v>
      </c>
      <c r="B125" s="65" t="str">
        <f>VLOOKUP(A125,'CENTRO DE COSTOS'!A:D,4,FALSE)</f>
        <v>MIGUEL JULIÁN HERNÁNDEZ GUARÍN</v>
      </c>
      <c r="C125" s="65" t="str">
        <f>VLOOKUP(A125,'CENTRO DE COSTOS'!A:D,2,FALSE)</f>
        <v>0004-0008</v>
      </c>
      <c r="D125" s="64">
        <v>54001</v>
      </c>
      <c r="E125" s="66" t="s">
        <v>846</v>
      </c>
      <c r="F125" s="67">
        <v>80879</v>
      </c>
      <c r="G125" s="68" t="s">
        <v>90</v>
      </c>
      <c r="H125" s="69" t="s">
        <v>91</v>
      </c>
      <c r="I125" s="67" t="s">
        <v>247</v>
      </c>
      <c r="J125" s="70" t="s">
        <v>245</v>
      </c>
      <c r="K125" s="67" t="s">
        <v>847</v>
      </c>
      <c r="L125" s="71" t="s">
        <v>95</v>
      </c>
      <c r="M125" s="72" t="s">
        <v>848</v>
      </c>
      <c r="N125" s="73">
        <v>45875</v>
      </c>
      <c r="O125" s="74">
        <v>45877</v>
      </c>
      <c r="P125" s="75" t="s">
        <v>97</v>
      </c>
      <c r="Q125" s="76" t="s">
        <v>97</v>
      </c>
      <c r="R125" s="64" t="s">
        <v>98</v>
      </c>
      <c r="S125" s="77" t="s">
        <v>849</v>
      </c>
      <c r="T125" s="74" t="s">
        <v>100</v>
      </c>
      <c r="U125" s="64" t="s">
        <v>850</v>
      </c>
      <c r="V125" s="70" t="s">
        <v>133</v>
      </c>
      <c r="W125" s="74" t="s">
        <v>103</v>
      </c>
      <c r="X125" s="68" t="s">
        <v>325</v>
      </c>
      <c r="Y125" s="64">
        <v>1</v>
      </c>
      <c r="Z125" s="78">
        <v>0</v>
      </c>
      <c r="AA125" s="79">
        <f>'BASE FACTURACION 2025'!$C$3</f>
        <v>122645.45276000001</v>
      </c>
      <c r="AB125" s="79">
        <f>'BASE FACTURACION 2025'!$F$3</f>
        <v>65164.677720000007</v>
      </c>
      <c r="AC125" s="79">
        <f t="shared" si="1"/>
        <v>122645.45276000001</v>
      </c>
    </row>
    <row r="126" spans="1:29" s="80" customFormat="1" ht="13.15">
      <c r="A126" s="64" t="s">
        <v>622</v>
      </c>
      <c r="B126" s="65" t="str">
        <f>VLOOKUP(A126,'CENTRO DE COSTOS'!A:D,4,FALSE)</f>
        <v>KEVIN ALEXIS CORZO BUSTOS</v>
      </c>
      <c r="C126" s="65" t="str">
        <f>VLOOKUP(A126,'CENTRO DE COSTOS'!A:D,2,FALSE)</f>
        <v>0004-0007</v>
      </c>
      <c r="D126" s="64">
        <v>73001</v>
      </c>
      <c r="E126" s="66" t="s">
        <v>851</v>
      </c>
      <c r="F126" s="67">
        <v>80887</v>
      </c>
      <c r="G126" s="68" t="s">
        <v>90</v>
      </c>
      <c r="H126" s="69" t="s">
        <v>91</v>
      </c>
      <c r="I126" s="67" t="s">
        <v>624</v>
      </c>
      <c r="J126" s="70" t="s">
        <v>622</v>
      </c>
      <c r="K126" s="67" t="s">
        <v>852</v>
      </c>
      <c r="L126" s="71" t="s">
        <v>95</v>
      </c>
      <c r="M126" s="72" t="s">
        <v>853</v>
      </c>
      <c r="N126" s="73">
        <v>45875</v>
      </c>
      <c r="O126" s="74">
        <v>45877</v>
      </c>
      <c r="P126" s="75" t="s">
        <v>97</v>
      </c>
      <c r="Q126" s="76" t="s">
        <v>97</v>
      </c>
      <c r="R126" s="64" t="s">
        <v>98</v>
      </c>
      <c r="S126" s="77" t="s">
        <v>854</v>
      </c>
      <c r="T126" s="74" t="s">
        <v>100</v>
      </c>
      <c r="U126" s="64" t="s">
        <v>855</v>
      </c>
      <c r="V126" s="70" t="s">
        <v>133</v>
      </c>
      <c r="W126" s="74" t="s">
        <v>103</v>
      </c>
      <c r="X126" s="68" t="s">
        <v>856</v>
      </c>
      <c r="Y126" s="64">
        <v>1</v>
      </c>
      <c r="Z126" s="78">
        <v>0</v>
      </c>
      <c r="AA126" s="79">
        <f>'BASE FACTURACION 2025'!$C$3</f>
        <v>122645.45276000001</v>
      </c>
      <c r="AB126" s="79">
        <f>'BASE FACTURACION 2025'!$F$3</f>
        <v>65164.677720000007</v>
      </c>
      <c r="AC126" s="79">
        <f t="shared" si="1"/>
        <v>122645.45276000001</v>
      </c>
    </row>
    <row r="127" spans="1:29" s="80" customFormat="1" ht="13.15">
      <c r="A127" s="64" t="s">
        <v>622</v>
      </c>
      <c r="B127" s="65" t="str">
        <f>VLOOKUP(A127,'CENTRO DE COSTOS'!A:D,4,FALSE)</f>
        <v>KEVIN ALEXIS CORZO BUSTOS</v>
      </c>
      <c r="C127" s="65" t="str">
        <f>VLOOKUP(A127,'CENTRO DE COSTOS'!A:D,2,FALSE)</f>
        <v>0004-0007</v>
      </c>
      <c r="D127" s="64">
        <v>73001</v>
      </c>
      <c r="E127" s="66" t="s">
        <v>857</v>
      </c>
      <c r="F127" s="67">
        <v>80890</v>
      </c>
      <c r="G127" s="68" t="s">
        <v>90</v>
      </c>
      <c r="H127" s="69" t="s">
        <v>91</v>
      </c>
      <c r="I127" s="67" t="s">
        <v>624</v>
      </c>
      <c r="J127" s="70" t="s">
        <v>622</v>
      </c>
      <c r="K127" s="67" t="s">
        <v>858</v>
      </c>
      <c r="L127" s="71" t="s">
        <v>95</v>
      </c>
      <c r="M127" s="72" t="s">
        <v>859</v>
      </c>
      <c r="N127" s="73">
        <v>45875</v>
      </c>
      <c r="O127" s="74">
        <v>45880</v>
      </c>
      <c r="P127" s="75" t="s">
        <v>97</v>
      </c>
      <c r="Q127" s="76" t="s">
        <v>97</v>
      </c>
      <c r="R127" s="64" t="s">
        <v>98</v>
      </c>
      <c r="S127" s="77" t="s">
        <v>860</v>
      </c>
      <c r="T127" s="74" t="s">
        <v>100</v>
      </c>
      <c r="U127" s="64" t="s">
        <v>861</v>
      </c>
      <c r="V127" s="70" t="s">
        <v>133</v>
      </c>
      <c r="W127" s="74" t="s">
        <v>103</v>
      </c>
      <c r="X127" s="68" t="s">
        <v>856</v>
      </c>
      <c r="Y127" s="64">
        <v>1</v>
      </c>
      <c r="Z127" s="78">
        <v>0</v>
      </c>
      <c r="AA127" s="79">
        <f>'BASE FACTURACION 2025'!$C$3</f>
        <v>122645.45276000001</v>
      </c>
      <c r="AB127" s="79">
        <f>'BASE FACTURACION 2025'!$F$3</f>
        <v>65164.677720000007</v>
      </c>
      <c r="AC127" s="79">
        <f t="shared" si="1"/>
        <v>122645.45276000001</v>
      </c>
    </row>
    <row r="128" spans="1:29" s="80" customFormat="1" ht="13.15">
      <c r="A128" s="64" t="s">
        <v>126</v>
      </c>
      <c r="B128" s="65" t="str">
        <f>VLOOKUP(A128,'CENTRO DE COSTOS'!A:D,4,FALSE)</f>
        <v>KEVIN ALEXIS CORZO BUSTOS</v>
      </c>
      <c r="C128" s="65" t="str">
        <f>VLOOKUP(A128,'CENTRO DE COSTOS'!A:D,2,FALSE)</f>
        <v>0004-0007</v>
      </c>
      <c r="D128" s="64">
        <v>85250</v>
      </c>
      <c r="E128" s="66" t="s">
        <v>862</v>
      </c>
      <c r="F128" s="67">
        <v>80905</v>
      </c>
      <c r="G128" s="68" t="s">
        <v>90</v>
      </c>
      <c r="H128" s="69" t="s">
        <v>91</v>
      </c>
      <c r="I128" s="67" t="s">
        <v>128</v>
      </c>
      <c r="J128" s="70" t="s">
        <v>863</v>
      </c>
      <c r="K128" s="67" t="s">
        <v>864</v>
      </c>
      <c r="L128" s="71" t="s">
        <v>95</v>
      </c>
      <c r="M128" s="72" t="s">
        <v>865</v>
      </c>
      <c r="N128" s="73">
        <v>45875</v>
      </c>
      <c r="O128" s="74">
        <v>45880</v>
      </c>
      <c r="P128" s="75" t="s">
        <v>97</v>
      </c>
      <c r="Q128" s="76" t="s">
        <v>97</v>
      </c>
      <c r="R128" s="64" t="s">
        <v>98</v>
      </c>
      <c r="S128" s="77" t="s">
        <v>866</v>
      </c>
      <c r="T128" s="74" t="s">
        <v>100</v>
      </c>
      <c r="U128" s="64" t="s">
        <v>867</v>
      </c>
      <c r="V128" s="70" t="s">
        <v>162</v>
      </c>
      <c r="W128" s="74" t="s">
        <v>103</v>
      </c>
      <c r="X128" s="68" t="s">
        <v>134</v>
      </c>
      <c r="Y128" s="64">
        <v>1</v>
      </c>
      <c r="Z128" s="78">
        <v>0</v>
      </c>
      <c r="AA128" s="79">
        <f>'BASE FACTURACION 2025'!$C$3</f>
        <v>122645.45276000001</v>
      </c>
      <c r="AB128" s="79">
        <f>'BASE FACTURACION 2025'!$F$3</f>
        <v>65164.677720000007</v>
      </c>
      <c r="AC128" s="79">
        <f t="shared" si="1"/>
        <v>122645.45276000001</v>
      </c>
    </row>
    <row r="129" spans="1:29" s="80" customFormat="1" ht="13.15">
      <c r="A129" s="64" t="s">
        <v>359</v>
      </c>
      <c r="B129" s="65" t="str">
        <f>VLOOKUP(A129,'CENTRO DE COSTOS'!A:D,4,FALSE)</f>
        <v>JOSE MAURICIO HERNANDEZ ROJAS</v>
      </c>
      <c r="C129" s="65" t="str">
        <f>VLOOKUP(A129,'CENTRO DE COSTOS'!A:D,2,FALSE)</f>
        <v>0004-0001</v>
      </c>
      <c r="D129" s="64">
        <v>20011</v>
      </c>
      <c r="E129" s="66" t="s">
        <v>868</v>
      </c>
      <c r="F129" s="67">
        <v>80925</v>
      </c>
      <c r="G129" s="68" t="s">
        <v>90</v>
      </c>
      <c r="H129" s="69" t="s">
        <v>91</v>
      </c>
      <c r="I129" s="67" t="s">
        <v>361</v>
      </c>
      <c r="J129" s="70" t="s">
        <v>362</v>
      </c>
      <c r="K129" s="67" t="s">
        <v>869</v>
      </c>
      <c r="L129" s="71" t="s">
        <v>95</v>
      </c>
      <c r="M129" s="72" t="s">
        <v>870</v>
      </c>
      <c r="N129" s="73">
        <v>45875</v>
      </c>
      <c r="O129" s="74">
        <v>45877</v>
      </c>
      <c r="P129" s="75" t="s">
        <v>97</v>
      </c>
      <c r="Q129" s="76" t="s">
        <v>97</v>
      </c>
      <c r="R129" s="64" t="s">
        <v>98</v>
      </c>
      <c r="S129" s="77" t="s">
        <v>871</v>
      </c>
      <c r="T129" s="74" t="s">
        <v>100</v>
      </c>
      <c r="U129" s="64" t="s">
        <v>872</v>
      </c>
      <c r="V129" s="70" t="s">
        <v>102</v>
      </c>
      <c r="W129" s="74" t="s">
        <v>103</v>
      </c>
      <c r="X129" s="68" t="s">
        <v>873</v>
      </c>
      <c r="Y129" s="64">
        <v>1</v>
      </c>
      <c r="Z129" s="78">
        <v>0</v>
      </c>
      <c r="AA129" s="79">
        <f>'BASE FACTURACION 2025'!$C$3</f>
        <v>122645.45276000001</v>
      </c>
      <c r="AB129" s="79">
        <f>'BASE FACTURACION 2025'!$F$3</f>
        <v>65164.677720000007</v>
      </c>
      <c r="AC129" s="79">
        <f t="shared" si="1"/>
        <v>122645.45276000001</v>
      </c>
    </row>
    <row r="130" spans="1:29" s="80" customFormat="1" ht="13.15">
      <c r="A130" s="64" t="s">
        <v>229</v>
      </c>
      <c r="B130" s="65" t="str">
        <f>VLOOKUP(A130,'CENTRO DE COSTOS'!A:D,4,FALSE)</f>
        <v>MIGUEL JULIÁN HERNÁNDEZ GUARÍN</v>
      </c>
      <c r="C130" s="65" t="str">
        <f>VLOOKUP(A130,'CENTRO DE COSTOS'!A:D,2,FALSE)</f>
        <v>0004-0008</v>
      </c>
      <c r="D130" s="64">
        <v>68547</v>
      </c>
      <c r="E130" s="66" t="s">
        <v>874</v>
      </c>
      <c r="F130" s="67">
        <v>80908</v>
      </c>
      <c r="G130" s="68" t="s">
        <v>90</v>
      </c>
      <c r="H130" s="69" t="s">
        <v>91</v>
      </c>
      <c r="I130" s="67" t="s">
        <v>714</v>
      </c>
      <c r="J130" s="70" t="s">
        <v>738</v>
      </c>
      <c r="K130" s="67" t="s">
        <v>875</v>
      </c>
      <c r="L130" s="71" t="s">
        <v>95</v>
      </c>
      <c r="M130" s="72" t="s">
        <v>876</v>
      </c>
      <c r="N130" s="73">
        <v>45875</v>
      </c>
      <c r="O130" s="74">
        <v>45877</v>
      </c>
      <c r="P130" s="75" t="s">
        <v>97</v>
      </c>
      <c r="Q130" s="76" t="s">
        <v>97</v>
      </c>
      <c r="R130" s="64" t="s">
        <v>98</v>
      </c>
      <c r="S130" s="77" t="s">
        <v>877</v>
      </c>
      <c r="T130" s="74" t="s">
        <v>100</v>
      </c>
      <c r="U130" s="64" t="s">
        <v>878</v>
      </c>
      <c r="V130" s="70" t="s">
        <v>162</v>
      </c>
      <c r="W130" s="74" t="s">
        <v>103</v>
      </c>
      <c r="X130" s="68" t="s">
        <v>742</v>
      </c>
      <c r="Y130" s="64">
        <v>1</v>
      </c>
      <c r="Z130" s="78">
        <v>0</v>
      </c>
      <c r="AA130" s="79">
        <f>'BASE FACTURACION 2025'!$C$3</f>
        <v>122645.45276000001</v>
      </c>
      <c r="AB130" s="79">
        <f>'BASE FACTURACION 2025'!$F$3</f>
        <v>65164.677720000007</v>
      </c>
      <c r="AC130" s="79">
        <f t="shared" si="1"/>
        <v>122645.45276000001</v>
      </c>
    </row>
    <row r="131" spans="1:29" s="80" customFormat="1" ht="13.15">
      <c r="A131" s="64" t="s">
        <v>339</v>
      </c>
      <c r="B131" s="65" t="str">
        <f>VLOOKUP(A131,'CENTRO DE COSTOS'!A:D,4,FALSE)</f>
        <v>JOSE MAURICIO HERNANDEZ ROJAS</v>
      </c>
      <c r="C131" s="65" t="str">
        <f>VLOOKUP(A131,'CENTRO DE COSTOS'!A:D,2,FALSE)</f>
        <v>0004-0001</v>
      </c>
      <c r="D131" s="64">
        <v>23001</v>
      </c>
      <c r="E131" s="66" t="s">
        <v>879</v>
      </c>
      <c r="F131" s="67">
        <v>80897</v>
      </c>
      <c r="G131" s="68" t="s">
        <v>90</v>
      </c>
      <c r="H131" s="69" t="s">
        <v>91</v>
      </c>
      <c r="I131" s="67" t="s">
        <v>341</v>
      </c>
      <c r="J131" s="70" t="s">
        <v>339</v>
      </c>
      <c r="K131" s="67" t="s">
        <v>880</v>
      </c>
      <c r="L131" s="71" t="s">
        <v>95</v>
      </c>
      <c r="M131" s="72" t="s">
        <v>881</v>
      </c>
      <c r="N131" s="73">
        <v>45875</v>
      </c>
      <c r="O131" s="74">
        <v>45877</v>
      </c>
      <c r="P131" s="75" t="s">
        <v>97</v>
      </c>
      <c r="Q131" s="76" t="s">
        <v>97</v>
      </c>
      <c r="R131" s="64" t="s">
        <v>98</v>
      </c>
      <c r="S131" s="77" t="s">
        <v>882</v>
      </c>
      <c r="T131" s="74" t="s">
        <v>100</v>
      </c>
      <c r="U131" s="64" t="s">
        <v>883</v>
      </c>
      <c r="V131" s="70" t="s">
        <v>133</v>
      </c>
      <c r="W131" s="74" t="s">
        <v>103</v>
      </c>
      <c r="X131" s="68" t="s">
        <v>346</v>
      </c>
      <c r="Y131" s="64">
        <v>1</v>
      </c>
      <c r="Z131" s="78">
        <v>0</v>
      </c>
      <c r="AA131" s="79">
        <f>'BASE FACTURACION 2025'!$C$3</f>
        <v>122645.45276000001</v>
      </c>
      <c r="AB131" s="79">
        <f>'BASE FACTURACION 2025'!$F$3</f>
        <v>65164.677720000007</v>
      </c>
      <c r="AC131" s="79">
        <f t="shared" ref="AC131:AC194" si="2">AA131*Y131+AB131*Z131</f>
        <v>122645.45276000001</v>
      </c>
    </row>
    <row r="132" spans="1:29" s="80" customFormat="1" ht="13.15">
      <c r="A132" s="64" t="s">
        <v>339</v>
      </c>
      <c r="B132" s="65" t="str">
        <f>VLOOKUP(A132,'CENTRO DE COSTOS'!A:D,4,FALSE)</f>
        <v>JOSE MAURICIO HERNANDEZ ROJAS</v>
      </c>
      <c r="C132" s="65" t="str">
        <f>VLOOKUP(A132,'CENTRO DE COSTOS'!A:D,2,FALSE)</f>
        <v>0004-0001</v>
      </c>
      <c r="D132" s="64">
        <v>23001</v>
      </c>
      <c r="E132" s="66" t="s">
        <v>884</v>
      </c>
      <c r="F132" s="67">
        <v>80898</v>
      </c>
      <c r="G132" s="68" t="s">
        <v>90</v>
      </c>
      <c r="H132" s="69" t="s">
        <v>91</v>
      </c>
      <c r="I132" s="67" t="s">
        <v>341</v>
      </c>
      <c r="J132" s="70" t="s">
        <v>339</v>
      </c>
      <c r="K132" s="67" t="s">
        <v>885</v>
      </c>
      <c r="L132" s="71" t="s">
        <v>95</v>
      </c>
      <c r="M132" s="72" t="s">
        <v>886</v>
      </c>
      <c r="N132" s="73">
        <v>45875</v>
      </c>
      <c r="O132" s="74">
        <v>45877</v>
      </c>
      <c r="P132" s="75" t="s">
        <v>97</v>
      </c>
      <c r="Q132" s="76" t="s">
        <v>97</v>
      </c>
      <c r="R132" s="64" t="s">
        <v>98</v>
      </c>
      <c r="S132" s="77" t="s">
        <v>887</v>
      </c>
      <c r="T132" s="74" t="s">
        <v>100</v>
      </c>
      <c r="U132" s="64" t="s">
        <v>888</v>
      </c>
      <c r="V132" s="70" t="s">
        <v>133</v>
      </c>
      <c r="W132" s="74" t="s">
        <v>103</v>
      </c>
      <c r="X132" s="68" t="s">
        <v>346</v>
      </c>
      <c r="Y132" s="64">
        <v>1</v>
      </c>
      <c r="Z132" s="78">
        <v>0</v>
      </c>
      <c r="AA132" s="79">
        <f>'BASE FACTURACION 2025'!$C$3</f>
        <v>122645.45276000001</v>
      </c>
      <c r="AB132" s="79">
        <f>'BASE FACTURACION 2025'!$F$3</f>
        <v>65164.677720000007</v>
      </c>
      <c r="AC132" s="79">
        <f t="shared" si="2"/>
        <v>122645.45276000001</v>
      </c>
    </row>
    <row r="133" spans="1:29" s="80" customFormat="1" ht="13.15">
      <c r="A133" s="64" t="s">
        <v>339</v>
      </c>
      <c r="B133" s="65" t="str">
        <f>VLOOKUP(A133,'CENTRO DE COSTOS'!A:D,4,FALSE)</f>
        <v>JOSE MAURICIO HERNANDEZ ROJAS</v>
      </c>
      <c r="C133" s="65" t="str">
        <f>VLOOKUP(A133,'CENTRO DE COSTOS'!A:D,2,FALSE)</f>
        <v>0004-0001</v>
      </c>
      <c r="D133" s="64">
        <v>23001</v>
      </c>
      <c r="E133" s="66" t="s">
        <v>889</v>
      </c>
      <c r="F133" s="67">
        <v>80899</v>
      </c>
      <c r="G133" s="68" t="s">
        <v>90</v>
      </c>
      <c r="H133" s="69" t="s">
        <v>91</v>
      </c>
      <c r="I133" s="67" t="s">
        <v>341</v>
      </c>
      <c r="J133" s="70" t="s">
        <v>339</v>
      </c>
      <c r="K133" s="67" t="s">
        <v>890</v>
      </c>
      <c r="L133" s="71" t="s">
        <v>95</v>
      </c>
      <c r="M133" s="72" t="s">
        <v>891</v>
      </c>
      <c r="N133" s="73">
        <v>45875</v>
      </c>
      <c r="O133" s="74">
        <v>45877</v>
      </c>
      <c r="P133" s="75" t="s">
        <v>97</v>
      </c>
      <c r="Q133" s="76" t="s">
        <v>97</v>
      </c>
      <c r="R133" s="64" t="s">
        <v>98</v>
      </c>
      <c r="S133" s="77" t="s">
        <v>892</v>
      </c>
      <c r="T133" s="74" t="s">
        <v>100</v>
      </c>
      <c r="U133" s="64" t="s">
        <v>893</v>
      </c>
      <c r="V133" s="70" t="s">
        <v>133</v>
      </c>
      <c r="W133" s="74" t="s">
        <v>103</v>
      </c>
      <c r="X133" s="68" t="s">
        <v>346</v>
      </c>
      <c r="Y133" s="64">
        <v>1</v>
      </c>
      <c r="Z133" s="78">
        <v>0</v>
      </c>
      <c r="AA133" s="79">
        <f>'BASE FACTURACION 2025'!$C$3</f>
        <v>122645.45276000001</v>
      </c>
      <c r="AB133" s="79">
        <f>'BASE FACTURACION 2025'!$F$3</f>
        <v>65164.677720000007</v>
      </c>
      <c r="AC133" s="79">
        <f t="shared" si="2"/>
        <v>122645.45276000001</v>
      </c>
    </row>
    <row r="134" spans="1:29" s="80" customFormat="1" ht="13.15">
      <c r="A134" s="64" t="s">
        <v>245</v>
      </c>
      <c r="B134" s="65" t="str">
        <f>VLOOKUP(A134,'CENTRO DE COSTOS'!A:D,4,FALSE)</f>
        <v>MIGUEL JULIÁN HERNÁNDEZ GUARÍN</v>
      </c>
      <c r="C134" s="65" t="str">
        <f>VLOOKUP(A134,'CENTRO DE COSTOS'!A:D,2,FALSE)</f>
        <v>0004-0008</v>
      </c>
      <c r="D134" s="64">
        <v>54001</v>
      </c>
      <c r="E134" s="66" t="s">
        <v>894</v>
      </c>
      <c r="F134" s="67">
        <v>80880</v>
      </c>
      <c r="G134" s="68" t="s">
        <v>90</v>
      </c>
      <c r="H134" s="69" t="s">
        <v>91</v>
      </c>
      <c r="I134" s="67" t="s">
        <v>247</v>
      </c>
      <c r="J134" s="70" t="s">
        <v>245</v>
      </c>
      <c r="K134" s="67" t="s">
        <v>895</v>
      </c>
      <c r="L134" s="71" t="s">
        <v>95</v>
      </c>
      <c r="M134" s="72" t="s">
        <v>896</v>
      </c>
      <c r="N134" s="73">
        <v>45875</v>
      </c>
      <c r="O134" s="74">
        <v>45877</v>
      </c>
      <c r="P134" s="75" t="s">
        <v>97</v>
      </c>
      <c r="Q134" s="76" t="s">
        <v>97</v>
      </c>
      <c r="R134" s="64" t="s">
        <v>98</v>
      </c>
      <c r="S134" s="77" t="s">
        <v>897</v>
      </c>
      <c r="T134" s="74" t="s">
        <v>100</v>
      </c>
      <c r="U134" s="64" t="s">
        <v>898</v>
      </c>
      <c r="V134" s="70" t="s">
        <v>133</v>
      </c>
      <c r="W134" s="74" t="s">
        <v>103</v>
      </c>
      <c r="X134" s="68" t="s">
        <v>319</v>
      </c>
      <c r="Y134" s="64">
        <v>1</v>
      </c>
      <c r="Z134" s="78">
        <v>0</v>
      </c>
      <c r="AA134" s="79">
        <f>'BASE FACTURACION 2025'!$C$3</f>
        <v>122645.45276000001</v>
      </c>
      <c r="AB134" s="79">
        <f>'BASE FACTURACION 2025'!$F$3</f>
        <v>65164.677720000007</v>
      </c>
      <c r="AC134" s="79">
        <f t="shared" si="2"/>
        <v>122645.45276000001</v>
      </c>
    </row>
    <row r="135" spans="1:29" s="80" customFormat="1" ht="13.15">
      <c r="A135" s="64" t="s">
        <v>229</v>
      </c>
      <c r="B135" s="65" t="str">
        <f>VLOOKUP(A135,'CENTRO DE COSTOS'!A:D,4,FALSE)</f>
        <v>MIGUEL JULIÁN HERNÁNDEZ GUARÍN</v>
      </c>
      <c r="C135" s="65" t="str">
        <f>VLOOKUP(A135,'CENTRO DE COSTOS'!A:D,2,FALSE)</f>
        <v>0004-0008</v>
      </c>
      <c r="D135" s="64">
        <v>68001</v>
      </c>
      <c r="E135" s="66" t="s">
        <v>899</v>
      </c>
      <c r="F135" s="67">
        <v>80867</v>
      </c>
      <c r="G135" s="68" t="s">
        <v>90</v>
      </c>
      <c r="H135" s="69" t="s">
        <v>91</v>
      </c>
      <c r="I135" s="67" t="s">
        <v>714</v>
      </c>
      <c r="J135" s="70" t="s">
        <v>229</v>
      </c>
      <c r="K135" s="67" t="s">
        <v>900</v>
      </c>
      <c r="L135" s="71" t="s">
        <v>95</v>
      </c>
      <c r="M135" s="72" t="s">
        <v>901</v>
      </c>
      <c r="N135" s="73">
        <v>45875</v>
      </c>
      <c r="O135" s="74">
        <v>45877</v>
      </c>
      <c r="P135" s="75" t="s">
        <v>97</v>
      </c>
      <c r="Q135" s="76" t="s">
        <v>97</v>
      </c>
      <c r="R135" s="64" t="s">
        <v>98</v>
      </c>
      <c r="S135" s="77" t="s">
        <v>902</v>
      </c>
      <c r="T135" s="74" t="s">
        <v>100</v>
      </c>
      <c r="U135" s="64" t="s">
        <v>903</v>
      </c>
      <c r="V135" s="70" t="s">
        <v>133</v>
      </c>
      <c r="W135" s="74" t="s">
        <v>103</v>
      </c>
      <c r="X135" s="68" t="s">
        <v>904</v>
      </c>
      <c r="Y135" s="64">
        <v>1</v>
      </c>
      <c r="Z135" s="78">
        <v>0</v>
      </c>
      <c r="AA135" s="79">
        <f>'BASE FACTURACION 2025'!$C$3</f>
        <v>122645.45276000001</v>
      </c>
      <c r="AB135" s="79">
        <f>'BASE FACTURACION 2025'!$F$3</f>
        <v>65164.677720000007</v>
      </c>
      <c r="AC135" s="79">
        <f t="shared" si="2"/>
        <v>122645.45276000001</v>
      </c>
    </row>
    <row r="136" spans="1:29" s="80" customFormat="1" ht="13.15">
      <c r="A136" s="64" t="s">
        <v>220</v>
      </c>
      <c r="B136" s="65" t="str">
        <f>VLOOKUP(A136,'CENTRO DE COSTOS'!A:D,4,FALSE)</f>
        <v>KEVIN ALEXIS CORZO BUSTOS</v>
      </c>
      <c r="C136" s="65" t="str">
        <f>VLOOKUP(A136,'CENTRO DE COSTOS'!A:D,2,FALSE)</f>
        <v>0004-0007</v>
      </c>
      <c r="D136" s="64">
        <v>50223</v>
      </c>
      <c r="E136" s="66" t="s">
        <v>905</v>
      </c>
      <c r="F136" s="67">
        <v>80878</v>
      </c>
      <c r="G136" s="68" t="s">
        <v>90</v>
      </c>
      <c r="H136" s="69" t="s">
        <v>91</v>
      </c>
      <c r="I136" s="67" t="s">
        <v>222</v>
      </c>
      <c r="J136" s="70" t="s">
        <v>906</v>
      </c>
      <c r="K136" s="67" t="s">
        <v>907</v>
      </c>
      <c r="L136" s="71" t="s">
        <v>95</v>
      </c>
      <c r="M136" s="72" t="s">
        <v>908</v>
      </c>
      <c r="N136" s="73">
        <v>45875</v>
      </c>
      <c r="O136" s="74">
        <v>45877</v>
      </c>
      <c r="P136" s="75" t="s">
        <v>97</v>
      </c>
      <c r="Q136" s="76" t="s">
        <v>97</v>
      </c>
      <c r="R136" s="64" t="s">
        <v>98</v>
      </c>
      <c r="S136" s="77" t="s">
        <v>909</v>
      </c>
      <c r="T136" s="74" t="s">
        <v>100</v>
      </c>
      <c r="U136" s="64" t="s">
        <v>910</v>
      </c>
      <c r="V136" s="70" t="s">
        <v>162</v>
      </c>
      <c r="W136" s="74" t="s">
        <v>103</v>
      </c>
      <c r="X136" s="68" t="s">
        <v>228</v>
      </c>
      <c r="Y136" s="64">
        <v>1</v>
      </c>
      <c r="Z136" s="78">
        <v>0</v>
      </c>
      <c r="AA136" s="79">
        <f>'BASE FACTURACION 2025'!$C$3</f>
        <v>122645.45276000001</v>
      </c>
      <c r="AB136" s="79">
        <f>'BASE FACTURACION 2025'!$F$3</f>
        <v>65164.677720000007</v>
      </c>
      <c r="AC136" s="79">
        <f t="shared" si="2"/>
        <v>122645.45276000001</v>
      </c>
    </row>
    <row r="137" spans="1:29" s="80" customFormat="1" ht="13.15">
      <c r="A137" s="64" t="s">
        <v>391</v>
      </c>
      <c r="B137" s="65" t="str">
        <f>VLOOKUP(A137,'CENTRO DE COSTOS'!A:D,4,FALSE)</f>
        <v>WILLIAM ASDRUBAL ROZO ROZO</v>
      </c>
      <c r="C137" s="65" t="str">
        <f>VLOOKUP(A137,'CENTRO DE COSTOS'!A:D,2,FALSE)</f>
        <v>0004-0004</v>
      </c>
      <c r="D137" s="64">
        <v>25899</v>
      </c>
      <c r="E137" s="66" t="s">
        <v>911</v>
      </c>
      <c r="F137" s="67">
        <v>80924</v>
      </c>
      <c r="G137" s="68" t="s">
        <v>90</v>
      </c>
      <c r="H137" s="69" t="s">
        <v>91</v>
      </c>
      <c r="I137" s="67" t="s">
        <v>393</v>
      </c>
      <c r="J137" s="70" t="s">
        <v>912</v>
      </c>
      <c r="K137" s="67" t="s">
        <v>913</v>
      </c>
      <c r="L137" s="71" t="s">
        <v>95</v>
      </c>
      <c r="M137" s="72" t="s">
        <v>914</v>
      </c>
      <c r="N137" s="73">
        <v>45875</v>
      </c>
      <c r="O137" s="74">
        <v>45880</v>
      </c>
      <c r="P137" s="75" t="s">
        <v>97</v>
      </c>
      <c r="Q137" s="76" t="s">
        <v>97</v>
      </c>
      <c r="R137" s="64" t="s">
        <v>98</v>
      </c>
      <c r="S137" s="77" t="s">
        <v>915</v>
      </c>
      <c r="T137" s="74" t="s">
        <v>100</v>
      </c>
      <c r="U137" s="64" t="s">
        <v>916</v>
      </c>
      <c r="V137" s="70" t="s">
        <v>162</v>
      </c>
      <c r="W137" s="74" t="s">
        <v>103</v>
      </c>
      <c r="X137" s="68" t="s">
        <v>917</v>
      </c>
      <c r="Y137" s="64">
        <v>1</v>
      </c>
      <c r="Z137" s="78">
        <v>0</v>
      </c>
      <c r="AA137" s="79">
        <f>'BASE FACTURACION 2025'!$C$3</f>
        <v>122645.45276000001</v>
      </c>
      <c r="AB137" s="79">
        <f>'BASE FACTURACION 2025'!$F$3</f>
        <v>65164.677720000007</v>
      </c>
      <c r="AC137" s="79">
        <f t="shared" si="2"/>
        <v>122645.45276000001</v>
      </c>
    </row>
    <row r="138" spans="1:29" s="80" customFormat="1" ht="13.15">
      <c r="A138" s="64" t="s">
        <v>391</v>
      </c>
      <c r="B138" s="65" t="str">
        <f>VLOOKUP(A138,'CENTRO DE COSTOS'!A:D,4,FALSE)</f>
        <v>WILLIAM ASDRUBAL ROZO ROZO</v>
      </c>
      <c r="C138" s="65" t="str">
        <f>VLOOKUP(A138,'CENTRO DE COSTOS'!A:D,2,FALSE)</f>
        <v>0004-0004</v>
      </c>
      <c r="D138" s="64">
        <v>25436</v>
      </c>
      <c r="E138" s="66" t="s">
        <v>918</v>
      </c>
      <c r="F138" s="67">
        <v>80900</v>
      </c>
      <c r="G138" s="68" t="s">
        <v>90</v>
      </c>
      <c r="H138" s="69" t="s">
        <v>91</v>
      </c>
      <c r="I138" s="67" t="s">
        <v>393</v>
      </c>
      <c r="J138" s="70" t="s">
        <v>919</v>
      </c>
      <c r="K138" s="67" t="s">
        <v>920</v>
      </c>
      <c r="L138" s="71" t="s">
        <v>95</v>
      </c>
      <c r="M138" s="72" t="s">
        <v>921</v>
      </c>
      <c r="N138" s="73">
        <v>45875</v>
      </c>
      <c r="O138" s="74">
        <v>45880</v>
      </c>
      <c r="P138" s="75" t="s">
        <v>97</v>
      </c>
      <c r="Q138" s="76" t="s">
        <v>97</v>
      </c>
      <c r="R138" s="64" t="s">
        <v>98</v>
      </c>
      <c r="S138" s="77" t="s">
        <v>922</v>
      </c>
      <c r="T138" s="74" t="s">
        <v>100</v>
      </c>
      <c r="U138" s="64" t="s">
        <v>923</v>
      </c>
      <c r="V138" s="70" t="s">
        <v>189</v>
      </c>
      <c r="W138" s="74" t="s">
        <v>103</v>
      </c>
      <c r="X138" s="68" t="s">
        <v>431</v>
      </c>
      <c r="Y138" s="64">
        <v>1</v>
      </c>
      <c r="Z138" s="78">
        <v>0</v>
      </c>
      <c r="AA138" s="79">
        <f>'BASE FACTURACION 2025'!$C$3</f>
        <v>122645.45276000001</v>
      </c>
      <c r="AB138" s="79">
        <f>'BASE FACTURACION 2025'!$F$3</f>
        <v>65164.677720000007</v>
      </c>
      <c r="AC138" s="79">
        <f t="shared" si="2"/>
        <v>122645.45276000001</v>
      </c>
    </row>
    <row r="139" spans="1:29" s="80" customFormat="1" ht="13.15">
      <c r="A139" s="64" t="s">
        <v>391</v>
      </c>
      <c r="B139" s="65" t="str">
        <f>VLOOKUP(A139,'CENTRO DE COSTOS'!A:D,4,FALSE)</f>
        <v>WILLIAM ASDRUBAL ROZO ROZO</v>
      </c>
      <c r="C139" s="65" t="str">
        <f>VLOOKUP(A139,'CENTRO DE COSTOS'!A:D,2,FALSE)</f>
        <v>0004-0004</v>
      </c>
      <c r="D139" s="64">
        <v>25843</v>
      </c>
      <c r="E139" s="66" t="s">
        <v>924</v>
      </c>
      <c r="F139" s="67">
        <v>80920</v>
      </c>
      <c r="G139" s="68" t="s">
        <v>90</v>
      </c>
      <c r="H139" s="69" t="s">
        <v>91</v>
      </c>
      <c r="I139" s="67" t="s">
        <v>393</v>
      </c>
      <c r="J139" s="70" t="s">
        <v>925</v>
      </c>
      <c r="K139" s="67" t="s">
        <v>926</v>
      </c>
      <c r="L139" s="71" t="s">
        <v>95</v>
      </c>
      <c r="M139" s="72" t="s">
        <v>927</v>
      </c>
      <c r="N139" s="73">
        <v>45875</v>
      </c>
      <c r="O139" s="74">
        <v>45880</v>
      </c>
      <c r="P139" s="75" t="s">
        <v>97</v>
      </c>
      <c r="Q139" s="76" t="s">
        <v>97</v>
      </c>
      <c r="R139" s="64" t="s">
        <v>98</v>
      </c>
      <c r="S139" s="77" t="s">
        <v>928</v>
      </c>
      <c r="T139" s="74" t="s">
        <v>100</v>
      </c>
      <c r="U139" s="64" t="s">
        <v>929</v>
      </c>
      <c r="V139" s="70" t="s">
        <v>162</v>
      </c>
      <c r="W139" s="74" t="s">
        <v>103</v>
      </c>
      <c r="X139" s="68" t="s">
        <v>917</v>
      </c>
      <c r="Y139" s="64">
        <v>1</v>
      </c>
      <c r="Z139" s="78">
        <v>0</v>
      </c>
      <c r="AA139" s="79">
        <f>'BASE FACTURACION 2025'!$C$3</f>
        <v>122645.45276000001</v>
      </c>
      <c r="AB139" s="79">
        <f>'BASE FACTURACION 2025'!$F$3</f>
        <v>65164.677720000007</v>
      </c>
      <c r="AC139" s="79">
        <f t="shared" si="2"/>
        <v>122645.45276000001</v>
      </c>
    </row>
    <row r="140" spans="1:29" s="80" customFormat="1" ht="13.15">
      <c r="A140" s="64" t="s">
        <v>229</v>
      </c>
      <c r="B140" s="65" t="str">
        <f>VLOOKUP(A140,'CENTRO DE COSTOS'!A:D,4,FALSE)</f>
        <v>MIGUEL JULIÁN HERNÁNDEZ GUARÍN</v>
      </c>
      <c r="C140" s="65" t="str">
        <f>VLOOKUP(A140,'CENTRO DE COSTOS'!A:D,2,FALSE)</f>
        <v>0004-0008</v>
      </c>
      <c r="D140" s="64">
        <v>68500</v>
      </c>
      <c r="E140" s="66" t="s">
        <v>930</v>
      </c>
      <c r="F140" s="67">
        <v>80902</v>
      </c>
      <c r="G140" s="68" t="s">
        <v>90</v>
      </c>
      <c r="H140" s="69" t="s">
        <v>91</v>
      </c>
      <c r="I140" s="67" t="s">
        <v>714</v>
      </c>
      <c r="J140" s="70" t="s">
        <v>931</v>
      </c>
      <c r="K140" s="67" t="s">
        <v>932</v>
      </c>
      <c r="L140" s="71" t="s">
        <v>95</v>
      </c>
      <c r="M140" s="72" t="s">
        <v>933</v>
      </c>
      <c r="N140" s="73">
        <v>45875</v>
      </c>
      <c r="O140" s="74">
        <v>45881</v>
      </c>
      <c r="P140" s="75" t="s">
        <v>97</v>
      </c>
      <c r="Q140" s="76" t="s">
        <v>97</v>
      </c>
      <c r="R140" s="64" t="s">
        <v>98</v>
      </c>
      <c r="S140" s="77" t="s">
        <v>934</v>
      </c>
      <c r="T140" s="74" t="s">
        <v>100</v>
      </c>
      <c r="U140" s="64" t="s">
        <v>935</v>
      </c>
      <c r="V140" s="70" t="s">
        <v>189</v>
      </c>
      <c r="W140" s="74" t="s">
        <v>103</v>
      </c>
      <c r="X140" s="68" t="s">
        <v>838</v>
      </c>
      <c r="Y140" s="64">
        <v>1</v>
      </c>
      <c r="Z140" s="78">
        <v>0</v>
      </c>
      <c r="AA140" s="79">
        <f>'BASE FACTURACION 2025'!$C$3</f>
        <v>122645.45276000001</v>
      </c>
      <c r="AB140" s="79">
        <f>'BASE FACTURACION 2025'!$F$3</f>
        <v>65164.677720000007</v>
      </c>
      <c r="AC140" s="79">
        <f t="shared" si="2"/>
        <v>122645.45276000001</v>
      </c>
    </row>
    <row r="141" spans="1:29" s="80" customFormat="1" ht="13.15">
      <c r="A141" s="64" t="s">
        <v>180</v>
      </c>
      <c r="B141" s="65" t="str">
        <f>VLOOKUP(A141,'CENTRO DE COSTOS'!A:D,4,FALSE)</f>
        <v>DIEGO FERNANDO HENAO CARDONA</v>
      </c>
      <c r="C141" s="65" t="str">
        <f>VLOOKUP(A141,'CENTRO DE COSTOS'!A:D,2,FALSE)</f>
        <v>0004-0003</v>
      </c>
      <c r="D141" s="64">
        <v>76001</v>
      </c>
      <c r="E141" s="66" t="s">
        <v>936</v>
      </c>
      <c r="F141" s="67">
        <v>80871</v>
      </c>
      <c r="G141" s="68" t="s">
        <v>90</v>
      </c>
      <c r="H141" s="69" t="s">
        <v>91</v>
      </c>
      <c r="I141" s="67" t="s">
        <v>380</v>
      </c>
      <c r="J141" s="70" t="s">
        <v>180</v>
      </c>
      <c r="K141" s="67" t="s">
        <v>937</v>
      </c>
      <c r="L141" s="71" t="s">
        <v>95</v>
      </c>
      <c r="M141" s="72" t="s">
        <v>938</v>
      </c>
      <c r="N141" s="73">
        <v>45875</v>
      </c>
      <c r="O141" s="74">
        <v>45877</v>
      </c>
      <c r="P141" s="75" t="s">
        <v>97</v>
      </c>
      <c r="Q141" s="76" t="s">
        <v>97</v>
      </c>
      <c r="R141" s="64" t="s">
        <v>98</v>
      </c>
      <c r="S141" s="77" t="s">
        <v>939</v>
      </c>
      <c r="T141" s="74" t="s">
        <v>100</v>
      </c>
      <c r="U141" s="64" t="s">
        <v>940</v>
      </c>
      <c r="V141" s="70" t="s">
        <v>133</v>
      </c>
      <c r="W141" s="74" t="s">
        <v>103</v>
      </c>
      <c r="X141" s="68" t="s">
        <v>450</v>
      </c>
      <c r="Y141" s="64">
        <v>1</v>
      </c>
      <c r="Z141" s="78">
        <v>0</v>
      </c>
      <c r="AA141" s="79">
        <f>'BASE FACTURACION 2025'!$C$3</f>
        <v>122645.45276000001</v>
      </c>
      <c r="AB141" s="79">
        <f>'BASE FACTURACION 2025'!$F$3</f>
        <v>65164.677720000007</v>
      </c>
      <c r="AC141" s="79">
        <f t="shared" si="2"/>
        <v>122645.45276000001</v>
      </c>
    </row>
    <row r="142" spans="1:29" s="80" customFormat="1" ht="13.15">
      <c r="A142" s="64" t="s">
        <v>135</v>
      </c>
      <c r="B142" s="65" t="str">
        <f>VLOOKUP(A142,'CENTRO DE COSTOS'!A:D,4,FALSE)</f>
        <v>JUAN SEBASTIÁN RÍOS CASTRILLÓN</v>
      </c>
      <c r="C142" s="65" t="str">
        <f>VLOOKUP(A142,'CENTRO DE COSTOS'!A:D,2,FALSE)</f>
        <v>0004-0005</v>
      </c>
      <c r="D142" s="64">
        <v>5686</v>
      </c>
      <c r="E142" s="66" t="s">
        <v>941</v>
      </c>
      <c r="F142" s="67">
        <v>80883</v>
      </c>
      <c r="G142" s="68" t="s">
        <v>90</v>
      </c>
      <c r="H142" s="69" t="s">
        <v>91</v>
      </c>
      <c r="I142" s="67" t="s">
        <v>138</v>
      </c>
      <c r="J142" s="70" t="s">
        <v>942</v>
      </c>
      <c r="K142" s="67" t="s">
        <v>943</v>
      </c>
      <c r="L142" s="71" t="s">
        <v>95</v>
      </c>
      <c r="M142" s="72" t="s">
        <v>944</v>
      </c>
      <c r="N142" s="73">
        <v>45875</v>
      </c>
      <c r="O142" s="74">
        <v>45880</v>
      </c>
      <c r="P142" s="75" t="s">
        <v>97</v>
      </c>
      <c r="Q142" s="76" t="s">
        <v>97</v>
      </c>
      <c r="R142" s="64" t="s">
        <v>98</v>
      </c>
      <c r="S142" s="77" t="s">
        <v>945</v>
      </c>
      <c r="T142" s="74" t="s">
        <v>100</v>
      </c>
      <c r="U142" s="64" t="s">
        <v>946</v>
      </c>
      <c r="V142" s="70" t="s">
        <v>162</v>
      </c>
      <c r="W142" s="74" t="s">
        <v>103</v>
      </c>
      <c r="X142" s="68" t="s">
        <v>609</v>
      </c>
      <c r="Y142" s="64">
        <v>1</v>
      </c>
      <c r="Z142" s="78">
        <v>0</v>
      </c>
      <c r="AA142" s="79">
        <f>'BASE FACTURACION 2025'!$C$3</f>
        <v>122645.45276000001</v>
      </c>
      <c r="AB142" s="79">
        <f>'BASE FACTURACION 2025'!$F$3</f>
        <v>65164.677720000007</v>
      </c>
      <c r="AC142" s="79">
        <f t="shared" si="2"/>
        <v>122645.45276000001</v>
      </c>
    </row>
    <row r="143" spans="1:29" s="80" customFormat="1" ht="13.15">
      <c r="A143" s="64" t="s">
        <v>180</v>
      </c>
      <c r="B143" s="65" t="str">
        <f>VLOOKUP(A143,'CENTRO DE COSTOS'!A:D,4,FALSE)</f>
        <v>DIEGO FERNANDO HENAO CARDONA</v>
      </c>
      <c r="C143" s="65" t="str">
        <f>VLOOKUP(A143,'CENTRO DE COSTOS'!A:D,2,FALSE)</f>
        <v>0004-0003</v>
      </c>
      <c r="D143" s="64">
        <v>76001</v>
      </c>
      <c r="E143" s="66" t="s">
        <v>947</v>
      </c>
      <c r="F143" s="67">
        <v>80872</v>
      </c>
      <c r="G143" s="68" t="s">
        <v>90</v>
      </c>
      <c r="H143" s="69" t="s">
        <v>91</v>
      </c>
      <c r="I143" s="67" t="s">
        <v>380</v>
      </c>
      <c r="J143" s="70" t="s">
        <v>180</v>
      </c>
      <c r="K143" s="67" t="s">
        <v>948</v>
      </c>
      <c r="L143" s="71" t="s">
        <v>95</v>
      </c>
      <c r="M143" s="72" t="s">
        <v>949</v>
      </c>
      <c r="N143" s="73">
        <v>45875</v>
      </c>
      <c r="O143" s="74">
        <v>45877</v>
      </c>
      <c r="P143" s="75" t="s">
        <v>97</v>
      </c>
      <c r="Q143" s="76" t="s">
        <v>97</v>
      </c>
      <c r="R143" s="64" t="s">
        <v>98</v>
      </c>
      <c r="S143" s="77" t="s">
        <v>950</v>
      </c>
      <c r="T143" s="74" t="s">
        <v>100</v>
      </c>
      <c r="U143" s="64" t="s">
        <v>951</v>
      </c>
      <c r="V143" s="70" t="s">
        <v>133</v>
      </c>
      <c r="W143" s="74" t="s">
        <v>103</v>
      </c>
      <c r="X143" s="68" t="s">
        <v>438</v>
      </c>
      <c r="Y143" s="64">
        <v>1</v>
      </c>
      <c r="Z143" s="78">
        <v>0</v>
      </c>
      <c r="AA143" s="79">
        <f>'BASE FACTURACION 2025'!$C$3</f>
        <v>122645.45276000001</v>
      </c>
      <c r="AB143" s="79">
        <f>'BASE FACTURACION 2025'!$F$3</f>
        <v>65164.677720000007</v>
      </c>
      <c r="AC143" s="79">
        <f t="shared" si="2"/>
        <v>122645.45276000001</v>
      </c>
    </row>
    <row r="144" spans="1:29" s="80" customFormat="1" ht="13.15">
      <c r="A144" s="64" t="s">
        <v>163</v>
      </c>
      <c r="B144" s="65" t="str">
        <f>VLOOKUP(A144,'CENTRO DE COSTOS'!A:D,4,FALSE)</f>
        <v>MIGUEL JULIÁN HERNÁNDEZ GUARÍN</v>
      </c>
      <c r="C144" s="65" t="str">
        <f>VLOOKUP(A144,'CENTRO DE COSTOS'!A:D,2,FALSE)</f>
        <v>0004-0008</v>
      </c>
      <c r="D144" s="64">
        <v>15776</v>
      </c>
      <c r="E144" s="66" t="s">
        <v>952</v>
      </c>
      <c r="F144" s="67">
        <v>80912</v>
      </c>
      <c r="G144" s="68" t="s">
        <v>90</v>
      </c>
      <c r="H144" s="69" t="s">
        <v>91</v>
      </c>
      <c r="I144" s="67" t="s">
        <v>165</v>
      </c>
      <c r="J144" s="70" t="s">
        <v>953</v>
      </c>
      <c r="K144" s="67" t="s">
        <v>954</v>
      </c>
      <c r="L144" s="71" t="s">
        <v>95</v>
      </c>
      <c r="M144" s="72" t="s">
        <v>955</v>
      </c>
      <c r="N144" s="73">
        <v>45875</v>
      </c>
      <c r="O144" s="74">
        <v>45881</v>
      </c>
      <c r="P144" s="75" t="s">
        <v>97</v>
      </c>
      <c r="Q144" s="76" t="s">
        <v>97</v>
      </c>
      <c r="R144" s="64" t="s">
        <v>98</v>
      </c>
      <c r="S144" s="77" t="s">
        <v>956</v>
      </c>
      <c r="T144" s="74" t="s">
        <v>100</v>
      </c>
      <c r="U144" s="64" t="s">
        <v>957</v>
      </c>
      <c r="V144" s="70" t="s">
        <v>162</v>
      </c>
      <c r="W144" s="74" t="s">
        <v>103</v>
      </c>
      <c r="X144" s="68" t="s">
        <v>548</v>
      </c>
      <c r="Y144" s="64">
        <v>1</v>
      </c>
      <c r="Z144" s="78">
        <v>0</v>
      </c>
      <c r="AA144" s="79">
        <f>'BASE FACTURACION 2025'!$C$3</f>
        <v>122645.45276000001</v>
      </c>
      <c r="AB144" s="79">
        <f>'BASE FACTURACION 2025'!$F$3</f>
        <v>65164.677720000007</v>
      </c>
      <c r="AC144" s="79">
        <f t="shared" si="2"/>
        <v>122645.45276000001</v>
      </c>
    </row>
    <row r="145" spans="1:29" s="80" customFormat="1" ht="13.15">
      <c r="A145" s="64" t="s">
        <v>339</v>
      </c>
      <c r="B145" s="65" t="str">
        <f>VLOOKUP(A145,'CENTRO DE COSTOS'!A:D,4,FALSE)</f>
        <v>JOSE MAURICIO HERNANDEZ ROJAS</v>
      </c>
      <c r="C145" s="65" t="str">
        <f>VLOOKUP(A145,'CENTRO DE COSTOS'!A:D,2,FALSE)</f>
        <v>0004-0001</v>
      </c>
      <c r="D145" s="64">
        <v>5154</v>
      </c>
      <c r="E145" s="66" t="s">
        <v>958</v>
      </c>
      <c r="F145" s="67">
        <v>80876</v>
      </c>
      <c r="G145" s="68" t="s">
        <v>90</v>
      </c>
      <c r="H145" s="69" t="s">
        <v>91</v>
      </c>
      <c r="I145" s="67" t="s">
        <v>138</v>
      </c>
      <c r="J145" s="70" t="s">
        <v>669</v>
      </c>
      <c r="K145" s="67" t="s">
        <v>959</v>
      </c>
      <c r="L145" s="71" t="s">
        <v>95</v>
      </c>
      <c r="M145" s="72" t="s">
        <v>960</v>
      </c>
      <c r="N145" s="73">
        <v>45875</v>
      </c>
      <c r="O145" s="74">
        <v>45877</v>
      </c>
      <c r="P145" s="75" t="s">
        <v>97</v>
      </c>
      <c r="Q145" s="76" t="s">
        <v>97</v>
      </c>
      <c r="R145" s="64" t="s">
        <v>98</v>
      </c>
      <c r="S145" s="77" t="s">
        <v>961</v>
      </c>
      <c r="T145" s="74" t="s">
        <v>100</v>
      </c>
      <c r="U145" s="64" t="s">
        <v>962</v>
      </c>
      <c r="V145" s="70" t="s">
        <v>162</v>
      </c>
      <c r="W145" s="74" t="s">
        <v>103</v>
      </c>
      <c r="X145" s="68" t="s">
        <v>616</v>
      </c>
      <c r="Y145" s="64">
        <v>1</v>
      </c>
      <c r="Z145" s="78">
        <v>0</v>
      </c>
      <c r="AA145" s="79">
        <f>'BASE FACTURACION 2025'!$C$3</f>
        <v>122645.45276000001</v>
      </c>
      <c r="AB145" s="79">
        <f>'BASE FACTURACION 2025'!$F$3</f>
        <v>65164.677720000007</v>
      </c>
      <c r="AC145" s="79">
        <f t="shared" si="2"/>
        <v>122645.45276000001</v>
      </c>
    </row>
    <row r="146" spans="1:29" s="80" customFormat="1" ht="13.15">
      <c r="A146" s="64" t="s">
        <v>88</v>
      </c>
      <c r="B146" s="65" t="str">
        <f>VLOOKUP(A146,'CENTRO DE COSTOS'!A:D,4,FALSE)</f>
        <v>KEVIN ALEXIS CORZO BUSTOS</v>
      </c>
      <c r="C146" s="65" t="str">
        <f>VLOOKUP(A146,'CENTRO DE COSTOS'!A:D,2,FALSE)</f>
        <v>0004-0007</v>
      </c>
      <c r="D146" s="64">
        <v>41020</v>
      </c>
      <c r="E146" s="66" t="s">
        <v>963</v>
      </c>
      <c r="F146" s="67">
        <v>80864</v>
      </c>
      <c r="G146" s="68" t="s">
        <v>90</v>
      </c>
      <c r="H146" s="69" t="s">
        <v>91</v>
      </c>
      <c r="I146" s="67" t="s">
        <v>173</v>
      </c>
      <c r="J146" s="70" t="s">
        <v>964</v>
      </c>
      <c r="K146" s="67" t="s">
        <v>965</v>
      </c>
      <c r="L146" s="71" t="s">
        <v>95</v>
      </c>
      <c r="M146" s="72" t="s">
        <v>966</v>
      </c>
      <c r="N146" s="73">
        <v>45875</v>
      </c>
      <c r="O146" s="74">
        <v>45877</v>
      </c>
      <c r="P146" s="75" t="s">
        <v>97</v>
      </c>
      <c r="Q146" s="76" t="s">
        <v>97</v>
      </c>
      <c r="R146" s="64" t="s">
        <v>98</v>
      </c>
      <c r="S146" s="77" t="s">
        <v>967</v>
      </c>
      <c r="T146" s="74" t="s">
        <v>100</v>
      </c>
      <c r="U146" s="64" t="s">
        <v>968</v>
      </c>
      <c r="V146" s="70" t="s">
        <v>162</v>
      </c>
      <c r="W146" s="74" t="s">
        <v>103</v>
      </c>
      <c r="X146" s="68" t="s">
        <v>104</v>
      </c>
      <c r="Y146" s="64">
        <v>1</v>
      </c>
      <c r="Z146" s="78">
        <v>0</v>
      </c>
      <c r="AA146" s="79">
        <f>'BASE FACTURACION 2025'!$C$3</f>
        <v>122645.45276000001</v>
      </c>
      <c r="AB146" s="79">
        <f>'BASE FACTURACION 2025'!$F$3</f>
        <v>65164.677720000007</v>
      </c>
      <c r="AC146" s="79">
        <f t="shared" si="2"/>
        <v>122645.45276000001</v>
      </c>
    </row>
    <row r="147" spans="1:29" s="80" customFormat="1" ht="13.15">
      <c r="A147" s="64" t="s">
        <v>163</v>
      </c>
      <c r="B147" s="65" t="str">
        <f>VLOOKUP(A147,'CENTRO DE COSTOS'!A:D,4,FALSE)</f>
        <v>MIGUEL JULIÁN HERNÁNDEZ GUARÍN</v>
      </c>
      <c r="C147" s="65" t="str">
        <f>VLOOKUP(A147,'CENTRO DE COSTOS'!A:D,2,FALSE)</f>
        <v>0004-0008</v>
      </c>
      <c r="D147" s="64">
        <v>15367</v>
      </c>
      <c r="E147" s="66" t="s">
        <v>969</v>
      </c>
      <c r="F147" s="67">
        <v>80894</v>
      </c>
      <c r="G147" s="68" t="s">
        <v>90</v>
      </c>
      <c r="H147" s="69" t="s">
        <v>91</v>
      </c>
      <c r="I147" s="67" t="s">
        <v>165</v>
      </c>
      <c r="J147" s="70" t="s">
        <v>970</v>
      </c>
      <c r="K147" s="67" t="s">
        <v>971</v>
      </c>
      <c r="L147" s="71" t="s">
        <v>95</v>
      </c>
      <c r="M147" s="72" t="s">
        <v>972</v>
      </c>
      <c r="N147" s="73">
        <v>45875</v>
      </c>
      <c r="O147" s="74">
        <v>45880</v>
      </c>
      <c r="P147" s="75" t="s">
        <v>97</v>
      </c>
      <c r="Q147" s="76" t="s">
        <v>97</v>
      </c>
      <c r="R147" s="64" t="s">
        <v>98</v>
      </c>
      <c r="S147" s="77" t="s">
        <v>973</v>
      </c>
      <c r="T147" s="74" t="s">
        <v>100</v>
      </c>
      <c r="U147" s="64" t="s">
        <v>974</v>
      </c>
      <c r="V147" s="70" t="s">
        <v>162</v>
      </c>
      <c r="W147" s="74" t="s">
        <v>103</v>
      </c>
      <c r="X147" s="68" t="s">
        <v>171</v>
      </c>
      <c r="Y147" s="64">
        <v>1</v>
      </c>
      <c r="Z147" s="78">
        <v>0</v>
      </c>
      <c r="AA147" s="79">
        <f>'BASE FACTURACION 2025'!$C$3</f>
        <v>122645.45276000001</v>
      </c>
      <c r="AB147" s="79">
        <f>'BASE FACTURACION 2025'!$F$3</f>
        <v>65164.677720000007</v>
      </c>
      <c r="AC147" s="79">
        <f t="shared" si="2"/>
        <v>122645.45276000001</v>
      </c>
    </row>
    <row r="148" spans="1:29" s="80" customFormat="1" ht="13.15">
      <c r="A148" s="64" t="s">
        <v>305</v>
      </c>
      <c r="B148" s="65" t="str">
        <f>VLOOKUP(A148,'CENTRO DE COSTOS'!A:D,4,FALSE)</f>
        <v>JOSE MAURICIO HERNANDEZ ROJAS</v>
      </c>
      <c r="C148" s="65" t="str">
        <f>VLOOKUP(A148,'CENTRO DE COSTOS'!A:D,2,FALSE)</f>
        <v>0004-0001</v>
      </c>
      <c r="D148" s="64">
        <v>8758</v>
      </c>
      <c r="E148" s="66" t="s">
        <v>975</v>
      </c>
      <c r="F148" s="67">
        <v>80917</v>
      </c>
      <c r="G148" s="68" t="s">
        <v>90</v>
      </c>
      <c r="H148" s="69" t="s">
        <v>91</v>
      </c>
      <c r="I148" s="67" t="s">
        <v>307</v>
      </c>
      <c r="J148" s="70" t="s">
        <v>976</v>
      </c>
      <c r="K148" s="67" t="s">
        <v>977</v>
      </c>
      <c r="L148" s="71" t="s">
        <v>95</v>
      </c>
      <c r="M148" s="72" t="s">
        <v>978</v>
      </c>
      <c r="N148" s="73">
        <v>45875</v>
      </c>
      <c r="O148" s="74">
        <v>45880</v>
      </c>
      <c r="P148" s="75" t="s">
        <v>97</v>
      </c>
      <c r="Q148" s="76" t="s">
        <v>97</v>
      </c>
      <c r="R148" s="64" t="s">
        <v>98</v>
      </c>
      <c r="S148" s="77" t="s">
        <v>979</v>
      </c>
      <c r="T148" s="74" t="s">
        <v>100</v>
      </c>
      <c r="U148" s="64" t="s">
        <v>980</v>
      </c>
      <c r="V148" s="70" t="s">
        <v>133</v>
      </c>
      <c r="W148" s="74" t="s">
        <v>103</v>
      </c>
      <c r="X148" s="68" t="s">
        <v>981</v>
      </c>
      <c r="Y148" s="64">
        <v>1</v>
      </c>
      <c r="Z148" s="78">
        <v>0</v>
      </c>
      <c r="AA148" s="79">
        <f>'BASE FACTURACION 2025'!$C$3</f>
        <v>122645.45276000001</v>
      </c>
      <c r="AB148" s="79">
        <f>'BASE FACTURACION 2025'!$F$3</f>
        <v>65164.677720000007</v>
      </c>
      <c r="AC148" s="79">
        <f t="shared" si="2"/>
        <v>122645.45276000001</v>
      </c>
    </row>
    <row r="149" spans="1:29" s="80" customFormat="1" ht="13.15">
      <c r="A149" s="64" t="s">
        <v>622</v>
      </c>
      <c r="B149" s="65" t="str">
        <f>VLOOKUP(A149,'CENTRO DE COSTOS'!A:D,4,FALSE)</f>
        <v>KEVIN ALEXIS CORZO BUSTOS</v>
      </c>
      <c r="C149" s="65" t="str">
        <f>VLOOKUP(A149,'CENTRO DE COSTOS'!A:D,2,FALSE)</f>
        <v>0004-0007</v>
      </c>
      <c r="D149" s="64">
        <v>73001</v>
      </c>
      <c r="E149" s="66" t="s">
        <v>982</v>
      </c>
      <c r="F149" s="67">
        <v>80888</v>
      </c>
      <c r="G149" s="68" t="s">
        <v>90</v>
      </c>
      <c r="H149" s="69" t="s">
        <v>91</v>
      </c>
      <c r="I149" s="67" t="s">
        <v>624</v>
      </c>
      <c r="J149" s="70" t="s">
        <v>622</v>
      </c>
      <c r="K149" s="67" t="s">
        <v>983</v>
      </c>
      <c r="L149" s="71" t="s">
        <v>95</v>
      </c>
      <c r="M149" s="72" t="s">
        <v>984</v>
      </c>
      <c r="N149" s="73">
        <v>45875</v>
      </c>
      <c r="O149" s="74">
        <v>45880</v>
      </c>
      <c r="P149" s="75" t="s">
        <v>97</v>
      </c>
      <c r="Q149" s="76" t="s">
        <v>97</v>
      </c>
      <c r="R149" s="64" t="s">
        <v>98</v>
      </c>
      <c r="S149" s="77" t="s">
        <v>985</v>
      </c>
      <c r="T149" s="74" t="s">
        <v>100</v>
      </c>
      <c r="U149" s="64" t="s">
        <v>986</v>
      </c>
      <c r="V149" s="70" t="s">
        <v>133</v>
      </c>
      <c r="W149" s="74" t="s">
        <v>103</v>
      </c>
      <c r="X149" s="68" t="s">
        <v>856</v>
      </c>
      <c r="Y149" s="64">
        <v>1</v>
      </c>
      <c r="Z149" s="78">
        <v>0</v>
      </c>
      <c r="AA149" s="79">
        <f>'BASE FACTURACION 2025'!$C$3</f>
        <v>122645.45276000001</v>
      </c>
      <c r="AB149" s="79">
        <f>'BASE FACTURACION 2025'!$F$3</f>
        <v>65164.677720000007</v>
      </c>
      <c r="AC149" s="79">
        <f t="shared" si="2"/>
        <v>122645.45276000001</v>
      </c>
    </row>
    <row r="150" spans="1:29" s="80" customFormat="1" ht="13.15">
      <c r="A150" s="64" t="s">
        <v>261</v>
      </c>
      <c r="B150" s="65" t="str">
        <f>VLOOKUP(A150,'CENTRO DE COSTOS'!A:D,4,FALSE)</f>
        <v>JOSE MAURICIO HERNANDEZ ROJAS</v>
      </c>
      <c r="C150" s="65" t="str">
        <f>VLOOKUP(A150,'CENTRO DE COSTOS'!A:D,2,FALSE)</f>
        <v>0004-0001</v>
      </c>
      <c r="D150" s="64">
        <v>13001</v>
      </c>
      <c r="E150" s="66" t="s">
        <v>987</v>
      </c>
      <c r="F150" s="67">
        <v>80875</v>
      </c>
      <c r="G150" s="68" t="s">
        <v>90</v>
      </c>
      <c r="H150" s="69" t="s">
        <v>91</v>
      </c>
      <c r="I150" s="67" t="s">
        <v>231</v>
      </c>
      <c r="J150" s="70" t="s">
        <v>261</v>
      </c>
      <c r="K150" s="67" t="s">
        <v>988</v>
      </c>
      <c r="L150" s="71" t="s">
        <v>95</v>
      </c>
      <c r="M150" s="72" t="s">
        <v>989</v>
      </c>
      <c r="N150" s="73">
        <v>45875</v>
      </c>
      <c r="O150" s="74">
        <v>45882</v>
      </c>
      <c r="P150" s="75" t="s">
        <v>97</v>
      </c>
      <c r="Q150" s="76" t="s">
        <v>97</v>
      </c>
      <c r="R150" s="64" t="s">
        <v>98</v>
      </c>
      <c r="S150" s="77" t="s">
        <v>990</v>
      </c>
      <c r="T150" s="74" t="s">
        <v>100</v>
      </c>
      <c r="U150" s="64" t="s">
        <v>991</v>
      </c>
      <c r="V150" s="70" t="s">
        <v>133</v>
      </c>
      <c r="W150" s="74" t="s">
        <v>103</v>
      </c>
      <c r="X150" s="68" t="s">
        <v>373</v>
      </c>
      <c r="Y150" s="64">
        <v>1</v>
      </c>
      <c r="Z150" s="78">
        <v>0</v>
      </c>
      <c r="AA150" s="79">
        <f>'BASE FACTURACION 2025'!$C$3</f>
        <v>122645.45276000001</v>
      </c>
      <c r="AB150" s="79">
        <f>'BASE FACTURACION 2025'!$F$3</f>
        <v>65164.677720000007</v>
      </c>
      <c r="AC150" s="79">
        <f t="shared" si="2"/>
        <v>122645.45276000001</v>
      </c>
    </row>
    <row r="151" spans="1:29" s="80" customFormat="1" ht="13.15">
      <c r="A151" s="64" t="s">
        <v>622</v>
      </c>
      <c r="B151" s="65" t="str">
        <f>VLOOKUP(A151,'CENTRO DE COSTOS'!A:D,4,FALSE)</f>
        <v>KEVIN ALEXIS CORZO BUSTOS</v>
      </c>
      <c r="C151" s="65" t="str">
        <f>VLOOKUP(A151,'CENTRO DE COSTOS'!A:D,2,FALSE)</f>
        <v>0004-0007</v>
      </c>
      <c r="D151" s="64">
        <v>73001</v>
      </c>
      <c r="E151" s="66" t="s">
        <v>992</v>
      </c>
      <c r="F151" s="67">
        <v>80889</v>
      </c>
      <c r="G151" s="68" t="s">
        <v>90</v>
      </c>
      <c r="H151" s="69" t="s">
        <v>91</v>
      </c>
      <c r="I151" s="67" t="s">
        <v>624</v>
      </c>
      <c r="J151" s="70" t="s">
        <v>622</v>
      </c>
      <c r="K151" s="67" t="s">
        <v>993</v>
      </c>
      <c r="L151" s="71" t="s">
        <v>95</v>
      </c>
      <c r="M151" s="72" t="s">
        <v>994</v>
      </c>
      <c r="N151" s="73">
        <v>45875</v>
      </c>
      <c r="O151" s="74">
        <v>45880</v>
      </c>
      <c r="P151" s="75" t="s">
        <v>97</v>
      </c>
      <c r="Q151" s="76" t="s">
        <v>97</v>
      </c>
      <c r="R151" s="64" t="s">
        <v>98</v>
      </c>
      <c r="S151" s="77" t="s">
        <v>995</v>
      </c>
      <c r="T151" s="74" t="s">
        <v>100</v>
      </c>
      <c r="U151" s="64" t="s">
        <v>996</v>
      </c>
      <c r="V151" s="70" t="s">
        <v>133</v>
      </c>
      <c r="W151" s="74" t="s">
        <v>103</v>
      </c>
      <c r="X151" s="68" t="s">
        <v>629</v>
      </c>
      <c r="Y151" s="64">
        <v>1</v>
      </c>
      <c r="Z151" s="78">
        <v>0</v>
      </c>
      <c r="AA151" s="79">
        <f>'BASE FACTURACION 2025'!$C$3</f>
        <v>122645.45276000001</v>
      </c>
      <c r="AB151" s="79">
        <f>'BASE FACTURACION 2025'!$F$3</f>
        <v>65164.677720000007</v>
      </c>
      <c r="AC151" s="79">
        <f t="shared" si="2"/>
        <v>122645.45276000001</v>
      </c>
    </row>
    <row r="152" spans="1:29" s="80" customFormat="1" ht="13.15">
      <c r="A152" s="64" t="s">
        <v>229</v>
      </c>
      <c r="B152" s="65" t="str">
        <f>VLOOKUP(A152,'CENTRO DE COSTOS'!A:D,4,FALSE)</f>
        <v>MIGUEL JULIÁN HERNÁNDEZ GUARÍN</v>
      </c>
      <c r="C152" s="65" t="str">
        <f>VLOOKUP(A152,'CENTRO DE COSTOS'!A:D,2,FALSE)</f>
        <v>0004-0008</v>
      </c>
      <c r="D152" s="64">
        <v>68547</v>
      </c>
      <c r="E152" s="66" t="s">
        <v>997</v>
      </c>
      <c r="F152" s="67">
        <v>80909</v>
      </c>
      <c r="G152" s="68" t="s">
        <v>90</v>
      </c>
      <c r="H152" s="69" t="s">
        <v>91</v>
      </c>
      <c r="I152" s="67" t="s">
        <v>714</v>
      </c>
      <c r="J152" s="70" t="s">
        <v>738</v>
      </c>
      <c r="K152" s="67" t="s">
        <v>998</v>
      </c>
      <c r="L152" s="71" t="s">
        <v>95</v>
      </c>
      <c r="M152" s="72" t="s">
        <v>999</v>
      </c>
      <c r="N152" s="73">
        <v>45875</v>
      </c>
      <c r="O152" s="74">
        <v>45880</v>
      </c>
      <c r="P152" s="75" t="s">
        <v>97</v>
      </c>
      <c r="Q152" s="76" t="s">
        <v>97</v>
      </c>
      <c r="R152" s="64" t="s">
        <v>98</v>
      </c>
      <c r="S152" s="77" t="s">
        <v>1000</v>
      </c>
      <c r="T152" s="74" t="s">
        <v>100</v>
      </c>
      <c r="U152" s="64" t="s">
        <v>1001</v>
      </c>
      <c r="V152" s="70" t="s">
        <v>162</v>
      </c>
      <c r="W152" s="74" t="s">
        <v>103</v>
      </c>
      <c r="X152" s="68" t="s">
        <v>742</v>
      </c>
      <c r="Y152" s="64">
        <v>1</v>
      </c>
      <c r="Z152" s="78">
        <v>0</v>
      </c>
      <c r="AA152" s="79">
        <f>'BASE FACTURACION 2025'!$C$3</f>
        <v>122645.45276000001</v>
      </c>
      <c r="AB152" s="79">
        <f>'BASE FACTURACION 2025'!$F$3</f>
        <v>65164.677720000007</v>
      </c>
      <c r="AC152" s="79">
        <f t="shared" si="2"/>
        <v>122645.45276000001</v>
      </c>
    </row>
    <row r="153" spans="1:29" s="80" customFormat="1" ht="13.15">
      <c r="A153" s="64" t="s">
        <v>391</v>
      </c>
      <c r="B153" s="65" t="str">
        <f>VLOOKUP(A153,'CENTRO DE COSTOS'!A:D,4,FALSE)</f>
        <v>WILLIAM ASDRUBAL ROZO ROZO</v>
      </c>
      <c r="C153" s="65" t="str">
        <f>VLOOKUP(A153,'CENTRO DE COSTOS'!A:D,2,FALSE)</f>
        <v>0004-0004</v>
      </c>
      <c r="D153" s="64">
        <v>11001</v>
      </c>
      <c r="E153" s="66" t="s">
        <v>1002</v>
      </c>
      <c r="F153" s="67">
        <v>80866</v>
      </c>
      <c r="G153" s="68" t="s">
        <v>90</v>
      </c>
      <c r="H153" s="69" t="s">
        <v>91</v>
      </c>
      <c r="I153" s="67" t="s">
        <v>393</v>
      </c>
      <c r="J153" s="70" t="s">
        <v>391</v>
      </c>
      <c r="K153" s="67" t="s">
        <v>1003</v>
      </c>
      <c r="L153" s="71" t="s">
        <v>95</v>
      </c>
      <c r="M153" s="72" t="s">
        <v>1004</v>
      </c>
      <c r="N153" s="73">
        <v>45875</v>
      </c>
      <c r="O153" s="74">
        <v>45880</v>
      </c>
      <c r="P153" s="75" t="s">
        <v>97</v>
      </c>
      <c r="Q153" s="76" t="s">
        <v>97</v>
      </c>
      <c r="R153" s="64" t="s">
        <v>98</v>
      </c>
      <c r="S153" s="77" t="s">
        <v>1005</v>
      </c>
      <c r="T153" s="74" t="s">
        <v>100</v>
      </c>
      <c r="U153" s="64" t="s">
        <v>1006</v>
      </c>
      <c r="V153" s="70" t="s">
        <v>133</v>
      </c>
      <c r="W153" s="74" t="s">
        <v>103</v>
      </c>
      <c r="X153" s="68" t="s">
        <v>771</v>
      </c>
      <c r="Y153" s="64">
        <v>1</v>
      </c>
      <c r="Z153" s="78">
        <v>0</v>
      </c>
      <c r="AA153" s="79">
        <f>'BASE FACTURACION 2025'!$C$3</f>
        <v>122645.45276000001</v>
      </c>
      <c r="AB153" s="79">
        <f>'BASE FACTURACION 2025'!$F$3</f>
        <v>65164.677720000007</v>
      </c>
      <c r="AC153" s="79">
        <f t="shared" si="2"/>
        <v>122645.45276000001</v>
      </c>
    </row>
    <row r="154" spans="1:29" s="80" customFormat="1" ht="13.15">
      <c r="A154" s="64" t="s">
        <v>180</v>
      </c>
      <c r="B154" s="65" t="str">
        <f>VLOOKUP(A154,'CENTRO DE COSTOS'!A:D,4,FALSE)</f>
        <v>DIEGO FERNANDO HENAO CARDONA</v>
      </c>
      <c r="C154" s="65" t="str">
        <f>VLOOKUP(A154,'CENTRO DE COSTOS'!A:D,2,FALSE)</f>
        <v>0004-0003</v>
      </c>
      <c r="D154" s="64">
        <v>19455</v>
      </c>
      <c r="E154" s="66" t="s">
        <v>1007</v>
      </c>
      <c r="F154" s="67">
        <v>80895</v>
      </c>
      <c r="G154" s="68" t="s">
        <v>90</v>
      </c>
      <c r="H154" s="69" t="s">
        <v>91</v>
      </c>
      <c r="I154" s="67" t="s">
        <v>183</v>
      </c>
      <c r="J154" s="70" t="s">
        <v>1008</v>
      </c>
      <c r="K154" s="67" t="s">
        <v>1009</v>
      </c>
      <c r="L154" s="71" t="s">
        <v>95</v>
      </c>
      <c r="M154" s="72" t="s">
        <v>1010</v>
      </c>
      <c r="N154" s="73">
        <v>45875</v>
      </c>
      <c r="O154" s="74">
        <v>45877</v>
      </c>
      <c r="P154" s="75" t="s">
        <v>97</v>
      </c>
      <c r="Q154" s="76" t="s">
        <v>97</v>
      </c>
      <c r="R154" s="64" t="s">
        <v>98</v>
      </c>
      <c r="S154" s="77" t="s">
        <v>1011</v>
      </c>
      <c r="T154" s="74" t="s">
        <v>100</v>
      </c>
      <c r="U154" s="64" t="s">
        <v>1012</v>
      </c>
      <c r="V154" s="70" t="s">
        <v>189</v>
      </c>
      <c r="W154" s="74" t="s">
        <v>103</v>
      </c>
      <c r="X154" s="68" t="s">
        <v>190</v>
      </c>
      <c r="Y154" s="64">
        <v>1</v>
      </c>
      <c r="Z154" s="78">
        <v>0</v>
      </c>
      <c r="AA154" s="79">
        <f>'BASE FACTURACION 2025'!$C$3</f>
        <v>122645.45276000001</v>
      </c>
      <c r="AB154" s="79">
        <f>'BASE FACTURACION 2025'!$F$3</f>
        <v>65164.677720000007</v>
      </c>
      <c r="AC154" s="79">
        <f t="shared" si="2"/>
        <v>122645.45276000001</v>
      </c>
    </row>
    <row r="155" spans="1:29" s="80" customFormat="1" ht="13.15">
      <c r="A155" s="64" t="s">
        <v>413</v>
      </c>
      <c r="B155" s="65" t="str">
        <f>VLOOKUP(A155,'CENTRO DE COSTOS'!A:D,4,FALSE)</f>
        <v>DIEGO FERNANDO HENAO CARDONA</v>
      </c>
      <c r="C155" s="65" t="str">
        <f>VLOOKUP(A155,'CENTRO DE COSTOS'!A:D,2,FALSE)</f>
        <v>0004-0002</v>
      </c>
      <c r="D155" s="64">
        <v>76020</v>
      </c>
      <c r="E155" s="66" t="s">
        <v>1013</v>
      </c>
      <c r="F155" s="67">
        <v>80863</v>
      </c>
      <c r="G155" s="68" t="s">
        <v>90</v>
      </c>
      <c r="H155" s="69" t="s">
        <v>91</v>
      </c>
      <c r="I155" s="67" t="s">
        <v>380</v>
      </c>
      <c r="J155" s="70" t="s">
        <v>1014</v>
      </c>
      <c r="K155" s="67" t="s">
        <v>1015</v>
      </c>
      <c r="L155" s="71" t="s">
        <v>95</v>
      </c>
      <c r="M155" s="72" t="s">
        <v>1016</v>
      </c>
      <c r="N155" s="73">
        <v>45875</v>
      </c>
      <c r="O155" s="74">
        <v>45880</v>
      </c>
      <c r="P155" s="75" t="s">
        <v>97</v>
      </c>
      <c r="Q155" s="76" t="s">
        <v>97</v>
      </c>
      <c r="R155" s="64" t="s">
        <v>98</v>
      </c>
      <c r="S155" s="77" t="s">
        <v>1017</v>
      </c>
      <c r="T155" s="74" t="s">
        <v>100</v>
      </c>
      <c r="U155" s="64" t="s">
        <v>1018</v>
      </c>
      <c r="V155" s="70" t="s">
        <v>162</v>
      </c>
      <c r="W155" s="74" t="s">
        <v>103</v>
      </c>
      <c r="X155" s="68" t="s">
        <v>469</v>
      </c>
      <c r="Y155" s="64">
        <v>1</v>
      </c>
      <c r="Z155" s="78">
        <v>0</v>
      </c>
      <c r="AA155" s="79">
        <f>'BASE FACTURACION 2025'!$C$3</f>
        <v>122645.45276000001</v>
      </c>
      <c r="AB155" s="79">
        <f>'BASE FACTURACION 2025'!$F$3</f>
        <v>65164.677720000007</v>
      </c>
      <c r="AC155" s="79">
        <f t="shared" si="2"/>
        <v>122645.45276000001</v>
      </c>
    </row>
    <row r="156" spans="1:29" s="80" customFormat="1" ht="13.15">
      <c r="A156" s="64" t="s">
        <v>110</v>
      </c>
      <c r="B156" s="65" t="str">
        <f>VLOOKUP(A156,'CENTRO DE COSTOS'!A:D,4,FALSE)</f>
        <v>DIEGO FERNANDO HENAO CARDONA</v>
      </c>
      <c r="C156" s="65" t="str">
        <f>VLOOKUP(A156,'CENTRO DE COSTOS'!A:D,2,FALSE)</f>
        <v>0004-0003</v>
      </c>
      <c r="D156" s="64">
        <v>52110</v>
      </c>
      <c r="E156" s="66" t="s">
        <v>1019</v>
      </c>
      <c r="F156" s="67">
        <v>80869</v>
      </c>
      <c r="G156" s="68" t="s">
        <v>90</v>
      </c>
      <c r="H156" s="69" t="s">
        <v>91</v>
      </c>
      <c r="I156" s="67" t="s">
        <v>112</v>
      </c>
      <c r="J156" s="70" t="s">
        <v>1020</v>
      </c>
      <c r="K156" s="67" t="s">
        <v>1021</v>
      </c>
      <c r="L156" s="71" t="s">
        <v>95</v>
      </c>
      <c r="M156" s="72" t="s">
        <v>1022</v>
      </c>
      <c r="N156" s="73">
        <v>45875</v>
      </c>
      <c r="O156" s="74">
        <v>45877</v>
      </c>
      <c r="P156" s="75" t="s">
        <v>97</v>
      </c>
      <c r="Q156" s="76" t="s">
        <v>97</v>
      </c>
      <c r="R156" s="64" t="s">
        <v>98</v>
      </c>
      <c r="S156" s="77" t="s">
        <v>1023</v>
      </c>
      <c r="T156" s="74" t="s">
        <v>100</v>
      </c>
      <c r="U156" s="64" t="s">
        <v>1024</v>
      </c>
      <c r="V156" s="70" t="s">
        <v>162</v>
      </c>
      <c r="W156" s="74" t="s">
        <v>103</v>
      </c>
      <c r="X156" s="68" t="s">
        <v>120</v>
      </c>
      <c r="Y156" s="64">
        <v>1</v>
      </c>
      <c r="Z156" s="78">
        <v>0</v>
      </c>
      <c r="AA156" s="79">
        <f>'BASE FACTURACION 2025'!$C$3</f>
        <v>122645.45276000001</v>
      </c>
      <c r="AB156" s="79">
        <f>'BASE FACTURACION 2025'!$F$3</f>
        <v>65164.677720000007</v>
      </c>
      <c r="AC156" s="79">
        <f t="shared" si="2"/>
        <v>122645.45276000001</v>
      </c>
    </row>
    <row r="157" spans="1:29" s="80" customFormat="1" ht="13.15">
      <c r="A157" s="64" t="s">
        <v>391</v>
      </c>
      <c r="B157" s="65" t="str">
        <f>VLOOKUP(A157,'CENTRO DE COSTOS'!A:D,4,FALSE)</f>
        <v>WILLIAM ASDRUBAL ROZO ROZO</v>
      </c>
      <c r="C157" s="65" t="str">
        <f>VLOOKUP(A157,'CENTRO DE COSTOS'!A:D,2,FALSE)</f>
        <v>0004-0004</v>
      </c>
      <c r="D157" s="64">
        <v>25754</v>
      </c>
      <c r="E157" s="66" t="s">
        <v>1025</v>
      </c>
      <c r="F157" s="67">
        <v>80915</v>
      </c>
      <c r="G157" s="68" t="s">
        <v>90</v>
      </c>
      <c r="H157" s="69" t="s">
        <v>91</v>
      </c>
      <c r="I157" s="67" t="s">
        <v>393</v>
      </c>
      <c r="J157" s="70" t="s">
        <v>1026</v>
      </c>
      <c r="K157" s="67" t="s">
        <v>1027</v>
      </c>
      <c r="L157" s="71" t="s">
        <v>95</v>
      </c>
      <c r="M157" s="72" t="s">
        <v>1028</v>
      </c>
      <c r="N157" s="73">
        <v>45875</v>
      </c>
      <c r="O157" s="74">
        <v>45877</v>
      </c>
      <c r="P157" s="75" t="s">
        <v>97</v>
      </c>
      <c r="Q157" s="76" t="s">
        <v>97</v>
      </c>
      <c r="R157" s="64" t="s">
        <v>98</v>
      </c>
      <c r="S157" s="77" t="s">
        <v>1029</v>
      </c>
      <c r="T157" s="74" t="s">
        <v>100</v>
      </c>
      <c r="U157" s="64" t="s">
        <v>1030</v>
      </c>
      <c r="V157" s="70" t="s">
        <v>133</v>
      </c>
      <c r="W157" s="74" t="s">
        <v>103</v>
      </c>
      <c r="X157" s="68" t="s">
        <v>781</v>
      </c>
      <c r="Y157" s="64">
        <v>1</v>
      </c>
      <c r="Z157" s="78">
        <v>0</v>
      </c>
      <c r="AA157" s="79">
        <f>'BASE FACTURACION 2025'!$C$3</f>
        <v>122645.45276000001</v>
      </c>
      <c r="AB157" s="79">
        <f>'BASE FACTURACION 2025'!$F$3</f>
        <v>65164.677720000007</v>
      </c>
      <c r="AC157" s="79">
        <f t="shared" si="2"/>
        <v>122645.45276000001</v>
      </c>
    </row>
    <row r="158" spans="1:29" s="80" customFormat="1" ht="13.15">
      <c r="A158" s="64" t="s">
        <v>163</v>
      </c>
      <c r="B158" s="65" t="str">
        <f>VLOOKUP(A158,'CENTRO DE COSTOS'!A:D,4,FALSE)</f>
        <v>MIGUEL JULIÁN HERNÁNDEZ GUARÍN</v>
      </c>
      <c r="C158" s="65" t="str">
        <f>VLOOKUP(A158,'CENTRO DE COSTOS'!A:D,2,FALSE)</f>
        <v>0004-0008</v>
      </c>
      <c r="D158" s="64">
        <v>15001</v>
      </c>
      <c r="E158" s="66" t="s">
        <v>1031</v>
      </c>
      <c r="F158" s="67">
        <v>80918</v>
      </c>
      <c r="G158" s="68" t="s">
        <v>90</v>
      </c>
      <c r="H158" s="69" t="s">
        <v>91</v>
      </c>
      <c r="I158" s="67" t="s">
        <v>165</v>
      </c>
      <c r="J158" s="70" t="s">
        <v>163</v>
      </c>
      <c r="K158" s="67" t="s">
        <v>1032</v>
      </c>
      <c r="L158" s="71" t="s">
        <v>95</v>
      </c>
      <c r="M158" s="72" t="s">
        <v>1033</v>
      </c>
      <c r="N158" s="73">
        <v>45875</v>
      </c>
      <c r="O158" s="74">
        <v>45880</v>
      </c>
      <c r="P158" s="75" t="s">
        <v>97</v>
      </c>
      <c r="Q158" s="76" t="s">
        <v>97</v>
      </c>
      <c r="R158" s="64" t="s">
        <v>98</v>
      </c>
      <c r="S158" s="77" t="s">
        <v>1034</v>
      </c>
      <c r="T158" s="74" t="s">
        <v>100</v>
      </c>
      <c r="U158" s="64" t="s">
        <v>1035</v>
      </c>
      <c r="V158" s="70" t="s">
        <v>133</v>
      </c>
      <c r="W158" s="74" t="s">
        <v>103</v>
      </c>
      <c r="X158" s="68" t="s">
        <v>1036</v>
      </c>
      <c r="Y158" s="64">
        <v>1</v>
      </c>
      <c r="Z158" s="78">
        <v>0</v>
      </c>
      <c r="AA158" s="79">
        <f>'BASE FACTURACION 2025'!$C$3</f>
        <v>122645.45276000001</v>
      </c>
      <c r="AB158" s="79">
        <f>'BASE FACTURACION 2025'!$F$3</f>
        <v>65164.677720000007</v>
      </c>
      <c r="AC158" s="79">
        <f t="shared" si="2"/>
        <v>122645.45276000001</v>
      </c>
    </row>
    <row r="159" spans="1:29" s="80" customFormat="1" ht="13.15">
      <c r="A159" s="64" t="s">
        <v>229</v>
      </c>
      <c r="B159" s="65" t="str">
        <f>VLOOKUP(A159,'CENTRO DE COSTOS'!A:D,4,FALSE)</f>
        <v>MIGUEL JULIÁN HERNÁNDEZ GUARÍN</v>
      </c>
      <c r="C159" s="65" t="str">
        <f>VLOOKUP(A159,'CENTRO DE COSTOS'!A:D,2,FALSE)</f>
        <v>0004-0008</v>
      </c>
      <c r="D159" s="64">
        <v>68001</v>
      </c>
      <c r="E159" s="66" t="s">
        <v>1037</v>
      </c>
      <c r="F159" s="67">
        <v>80868</v>
      </c>
      <c r="G159" s="68" t="s">
        <v>90</v>
      </c>
      <c r="H159" s="69" t="s">
        <v>91</v>
      </c>
      <c r="I159" s="67" t="s">
        <v>714</v>
      </c>
      <c r="J159" s="70" t="s">
        <v>229</v>
      </c>
      <c r="K159" s="67" t="s">
        <v>1038</v>
      </c>
      <c r="L159" s="71" t="s">
        <v>95</v>
      </c>
      <c r="M159" s="72" t="s">
        <v>1039</v>
      </c>
      <c r="N159" s="73">
        <v>45875</v>
      </c>
      <c r="O159" s="74">
        <v>45877</v>
      </c>
      <c r="P159" s="75" t="s">
        <v>97</v>
      </c>
      <c r="Q159" s="76" t="s">
        <v>97</v>
      </c>
      <c r="R159" s="64" t="s">
        <v>98</v>
      </c>
      <c r="S159" s="77" t="s">
        <v>1040</v>
      </c>
      <c r="T159" s="74" t="s">
        <v>100</v>
      </c>
      <c r="U159" s="64" t="s">
        <v>1041</v>
      </c>
      <c r="V159" s="70" t="s">
        <v>133</v>
      </c>
      <c r="W159" s="74" t="s">
        <v>103</v>
      </c>
      <c r="X159" s="68" t="s">
        <v>358</v>
      </c>
      <c r="Y159" s="64">
        <v>1</v>
      </c>
      <c r="Z159" s="78">
        <v>0</v>
      </c>
      <c r="AA159" s="79">
        <f>'BASE FACTURACION 2025'!$C$3</f>
        <v>122645.45276000001</v>
      </c>
      <c r="AB159" s="79">
        <f>'BASE FACTURACION 2025'!$F$3</f>
        <v>65164.677720000007</v>
      </c>
      <c r="AC159" s="79">
        <f t="shared" si="2"/>
        <v>122645.45276000001</v>
      </c>
    </row>
    <row r="160" spans="1:29" s="80" customFormat="1" ht="13.15">
      <c r="A160" s="64" t="s">
        <v>339</v>
      </c>
      <c r="B160" s="65" t="str">
        <f>VLOOKUP(A160,'CENTRO DE COSTOS'!A:D,4,FALSE)</f>
        <v>JOSE MAURICIO HERNANDEZ ROJAS</v>
      </c>
      <c r="C160" s="65" t="str">
        <f>VLOOKUP(A160,'CENTRO DE COSTOS'!A:D,2,FALSE)</f>
        <v>0004-0001</v>
      </c>
      <c r="D160" s="64">
        <v>23464</v>
      </c>
      <c r="E160" s="66" t="s">
        <v>1042</v>
      </c>
      <c r="F160" s="67">
        <v>80896</v>
      </c>
      <c r="G160" s="68" t="s">
        <v>90</v>
      </c>
      <c r="H160" s="69" t="s">
        <v>91</v>
      </c>
      <c r="I160" s="67" t="s">
        <v>341</v>
      </c>
      <c r="J160" s="70" t="s">
        <v>1043</v>
      </c>
      <c r="K160" s="67" t="s">
        <v>1044</v>
      </c>
      <c r="L160" s="71" t="s">
        <v>95</v>
      </c>
      <c r="M160" s="72" t="s">
        <v>1045</v>
      </c>
      <c r="N160" s="73">
        <v>45875</v>
      </c>
      <c r="O160" s="74">
        <v>45880</v>
      </c>
      <c r="P160" s="75" t="s">
        <v>97</v>
      </c>
      <c r="Q160" s="76" t="s">
        <v>97</v>
      </c>
      <c r="R160" s="64" t="s">
        <v>98</v>
      </c>
      <c r="S160" s="77" t="s">
        <v>1046</v>
      </c>
      <c r="T160" s="74" t="s">
        <v>100</v>
      </c>
      <c r="U160" s="64" t="s">
        <v>1047</v>
      </c>
      <c r="V160" s="70" t="s">
        <v>162</v>
      </c>
      <c r="W160" s="74" t="s">
        <v>103</v>
      </c>
      <c r="X160" s="68" t="s">
        <v>616</v>
      </c>
      <c r="Y160" s="64">
        <v>1</v>
      </c>
      <c r="Z160" s="78">
        <v>0</v>
      </c>
      <c r="AA160" s="79">
        <f>'BASE FACTURACION 2025'!$C$3</f>
        <v>122645.45276000001</v>
      </c>
      <c r="AB160" s="79">
        <f>'BASE FACTURACION 2025'!$F$3</f>
        <v>65164.677720000007</v>
      </c>
      <c r="AC160" s="79">
        <f t="shared" si="2"/>
        <v>122645.45276000001</v>
      </c>
    </row>
    <row r="161" spans="1:29" s="80" customFormat="1" ht="13.15">
      <c r="A161" s="64" t="s">
        <v>88</v>
      </c>
      <c r="B161" s="65" t="str">
        <f>VLOOKUP(A161,'CENTRO DE COSTOS'!A:D,4,FALSE)</f>
        <v>KEVIN ALEXIS CORZO BUSTOS</v>
      </c>
      <c r="C161" s="65" t="str">
        <f>VLOOKUP(A161,'CENTRO DE COSTOS'!A:D,2,FALSE)</f>
        <v>0004-0007</v>
      </c>
      <c r="D161" s="64">
        <v>41001</v>
      </c>
      <c r="E161" s="66" t="s">
        <v>1048</v>
      </c>
      <c r="F161" s="67">
        <v>80901</v>
      </c>
      <c r="G161" s="68" t="s">
        <v>90</v>
      </c>
      <c r="H161" s="69" t="s">
        <v>91</v>
      </c>
      <c r="I161" s="67" t="s">
        <v>173</v>
      </c>
      <c r="J161" s="70" t="s">
        <v>88</v>
      </c>
      <c r="K161" s="67" t="s">
        <v>1049</v>
      </c>
      <c r="L161" s="71" t="s">
        <v>95</v>
      </c>
      <c r="M161" s="72" t="s">
        <v>1050</v>
      </c>
      <c r="N161" s="73">
        <v>45875</v>
      </c>
      <c r="O161" s="74">
        <v>45877</v>
      </c>
      <c r="P161" s="75" t="s">
        <v>97</v>
      </c>
      <c r="Q161" s="76" t="s">
        <v>97</v>
      </c>
      <c r="R161" s="64" t="s">
        <v>98</v>
      </c>
      <c r="S161" s="77" t="s">
        <v>1051</v>
      </c>
      <c r="T161" s="74" t="s">
        <v>100</v>
      </c>
      <c r="U161" s="64" t="s">
        <v>1052</v>
      </c>
      <c r="V161" s="70" t="s">
        <v>133</v>
      </c>
      <c r="W161" s="74" t="s">
        <v>103</v>
      </c>
      <c r="X161" s="68" t="s">
        <v>179</v>
      </c>
      <c r="Y161" s="64">
        <v>1</v>
      </c>
      <c r="Z161" s="78">
        <v>0</v>
      </c>
      <c r="AA161" s="79">
        <f>'BASE FACTURACION 2025'!$C$3</f>
        <v>122645.45276000001</v>
      </c>
      <c r="AB161" s="79">
        <f>'BASE FACTURACION 2025'!$F$3</f>
        <v>65164.677720000007</v>
      </c>
      <c r="AC161" s="79">
        <f t="shared" si="2"/>
        <v>122645.45276000001</v>
      </c>
    </row>
    <row r="162" spans="1:29" s="80" customFormat="1" ht="13.15">
      <c r="A162" s="64" t="s">
        <v>180</v>
      </c>
      <c r="B162" s="65" t="str">
        <f>VLOOKUP(A162,'CENTRO DE COSTOS'!A:D,4,FALSE)</f>
        <v>DIEGO FERNANDO HENAO CARDONA</v>
      </c>
      <c r="C162" s="65" t="str">
        <f>VLOOKUP(A162,'CENTRO DE COSTOS'!A:D,2,FALSE)</f>
        <v>0004-0003</v>
      </c>
      <c r="D162" s="64">
        <v>19845</v>
      </c>
      <c r="E162" s="66" t="s">
        <v>1053</v>
      </c>
      <c r="F162" s="67">
        <v>80922</v>
      </c>
      <c r="G162" s="68" t="s">
        <v>90</v>
      </c>
      <c r="H162" s="69" t="s">
        <v>91</v>
      </c>
      <c r="I162" s="67" t="s">
        <v>183</v>
      </c>
      <c r="J162" s="70" t="s">
        <v>433</v>
      </c>
      <c r="K162" s="67" t="s">
        <v>1054</v>
      </c>
      <c r="L162" s="71" t="s">
        <v>95</v>
      </c>
      <c r="M162" s="72" t="s">
        <v>1055</v>
      </c>
      <c r="N162" s="73">
        <v>45875</v>
      </c>
      <c r="O162" s="74">
        <v>45882</v>
      </c>
      <c r="P162" s="75" t="s">
        <v>97</v>
      </c>
      <c r="Q162" s="76" t="s">
        <v>97</v>
      </c>
      <c r="R162" s="64" t="s">
        <v>98</v>
      </c>
      <c r="S162" s="77" t="s">
        <v>1056</v>
      </c>
      <c r="T162" s="74" t="s">
        <v>100</v>
      </c>
      <c r="U162" s="64" t="s">
        <v>1057</v>
      </c>
      <c r="V162" s="70" t="s">
        <v>102</v>
      </c>
      <c r="W162" s="74" t="s">
        <v>103</v>
      </c>
      <c r="X162" s="68" t="s">
        <v>456</v>
      </c>
      <c r="Y162" s="64">
        <v>1</v>
      </c>
      <c r="Z162" s="78">
        <v>0</v>
      </c>
      <c r="AA162" s="79">
        <f>'BASE FACTURACION 2025'!$C$3</f>
        <v>122645.45276000001</v>
      </c>
      <c r="AB162" s="79">
        <f>'BASE FACTURACION 2025'!$F$3</f>
        <v>65164.677720000007</v>
      </c>
      <c r="AC162" s="79">
        <f t="shared" si="2"/>
        <v>122645.45276000001</v>
      </c>
    </row>
    <row r="163" spans="1:29" s="80" customFormat="1" ht="13.15">
      <c r="A163" s="64" t="s">
        <v>413</v>
      </c>
      <c r="B163" s="65" t="str">
        <f>VLOOKUP(A163,'CENTRO DE COSTOS'!A:D,4,FALSE)</f>
        <v>DIEGO FERNANDO HENAO CARDONA</v>
      </c>
      <c r="C163" s="65" t="str">
        <f>VLOOKUP(A163,'CENTRO DE COSTOS'!A:D,2,FALSE)</f>
        <v>0004-0002</v>
      </c>
      <c r="D163" s="64">
        <v>66001</v>
      </c>
      <c r="E163" s="66" t="s">
        <v>1058</v>
      </c>
      <c r="F163" s="67">
        <v>80907</v>
      </c>
      <c r="G163" s="68" t="s">
        <v>90</v>
      </c>
      <c r="H163" s="69" t="s">
        <v>91</v>
      </c>
      <c r="I163" s="67" t="s">
        <v>531</v>
      </c>
      <c r="J163" s="70" t="s">
        <v>413</v>
      </c>
      <c r="K163" s="67" t="s">
        <v>1059</v>
      </c>
      <c r="L163" s="71" t="s">
        <v>95</v>
      </c>
      <c r="M163" s="72" t="s">
        <v>1060</v>
      </c>
      <c r="N163" s="73">
        <v>45875</v>
      </c>
      <c r="O163" s="74">
        <v>45877</v>
      </c>
      <c r="P163" s="75" t="s">
        <v>97</v>
      </c>
      <c r="Q163" s="76" t="s">
        <v>97</v>
      </c>
      <c r="R163" s="64" t="s">
        <v>98</v>
      </c>
      <c r="S163" s="77" t="s">
        <v>1061</v>
      </c>
      <c r="T163" s="74" t="s">
        <v>100</v>
      </c>
      <c r="U163" s="64" t="s">
        <v>1062</v>
      </c>
      <c r="V163" s="70" t="s">
        <v>133</v>
      </c>
      <c r="W163" s="74" t="s">
        <v>103</v>
      </c>
      <c r="X163" s="68" t="s">
        <v>420</v>
      </c>
      <c r="Y163" s="64">
        <v>1</v>
      </c>
      <c r="Z163" s="78">
        <v>0</v>
      </c>
      <c r="AA163" s="79">
        <f>'BASE FACTURACION 2025'!$C$3</f>
        <v>122645.45276000001</v>
      </c>
      <c r="AB163" s="79">
        <f>'BASE FACTURACION 2025'!$F$3</f>
        <v>65164.677720000007</v>
      </c>
      <c r="AC163" s="79">
        <f t="shared" si="2"/>
        <v>122645.45276000001</v>
      </c>
    </row>
    <row r="164" spans="1:29" s="80" customFormat="1" ht="13.15">
      <c r="A164" s="64" t="s">
        <v>261</v>
      </c>
      <c r="B164" s="65" t="str">
        <f>VLOOKUP(A164,'CENTRO DE COSTOS'!A:D,4,FALSE)</f>
        <v>JOSE MAURICIO HERNANDEZ ROJAS</v>
      </c>
      <c r="C164" s="65" t="str">
        <f>VLOOKUP(A164,'CENTRO DE COSTOS'!A:D,2,FALSE)</f>
        <v>0004-0001</v>
      </c>
      <c r="D164" s="64">
        <v>13657</v>
      </c>
      <c r="E164" s="66" t="s">
        <v>1063</v>
      </c>
      <c r="F164" s="67">
        <v>80914</v>
      </c>
      <c r="G164" s="68" t="s">
        <v>90</v>
      </c>
      <c r="H164" s="69" t="s">
        <v>91</v>
      </c>
      <c r="I164" s="67" t="s">
        <v>231</v>
      </c>
      <c r="J164" s="70" t="s">
        <v>1064</v>
      </c>
      <c r="K164" s="67" t="s">
        <v>1065</v>
      </c>
      <c r="L164" s="71" t="s">
        <v>95</v>
      </c>
      <c r="M164" s="72" t="s">
        <v>1066</v>
      </c>
      <c r="N164" s="73">
        <v>45875</v>
      </c>
      <c r="O164" s="74">
        <v>45880</v>
      </c>
      <c r="P164" s="75" t="s">
        <v>97</v>
      </c>
      <c r="Q164" s="76" t="s">
        <v>97</v>
      </c>
      <c r="R164" s="64" t="s">
        <v>98</v>
      </c>
      <c r="S164" s="77" t="s">
        <v>1067</v>
      </c>
      <c r="T164" s="74" t="s">
        <v>100</v>
      </c>
      <c r="U164" s="64" t="s">
        <v>1068</v>
      </c>
      <c r="V164" s="70" t="s">
        <v>162</v>
      </c>
      <c r="W164" s="74" t="s">
        <v>103</v>
      </c>
      <c r="X164" s="68" t="s">
        <v>373</v>
      </c>
      <c r="Y164" s="64">
        <v>1</v>
      </c>
      <c r="Z164" s="78">
        <v>0</v>
      </c>
      <c r="AA164" s="79">
        <f>'BASE FACTURACION 2025'!$C$3</f>
        <v>122645.45276000001</v>
      </c>
      <c r="AB164" s="79">
        <f>'BASE FACTURACION 2025'!$F$3</f>
        <v>65164.677720000007</v>
      </c>
      <c r="AC164" s="79">
        <f t="shared" si="2"/>
        <v>122645.45276000001</v>
      </c>
    </row>
    <row r="165" spans="1:29" s="80" customFormat="1" ht="13.15">
      <c r="A165" s="64" t="s">
        <v>229</v>
      </c>
      <c r="B165" s="65" t="str">
        <f>VLOOKUP(A165,'CENTRO DE COSTOS'!A:D,4,FALSE)</f>
        <v>MIGUEL JULIÁN HERNÁNDEZ GUARÍN</v>
      </c>
      <c r="C165" s="65" t="str">
        <f>VLOOKUP(A165,'CENTRO DE COSTOS'!A:D,2,FALSE)</f>
        <v>0004-0008</v>
      </c>
      <c r="D165" s="64">
        <v>68132</v>
      </c>
      <c r="E165" s="66" t="s">
        <v>1069</v>
      </c>
      <c r="F165" s="67">
        <v>80873</v>
      </c>
      <c r="G165" s="68" t="s">
        <v>90</v>
      </c>
      <c r="H165" s="69" t="s">
        <v>91</v>
      </c>
      <c r="I165" s="67" t="s">
        <v>714</v>
      </c>
      <c r="J165" s="70" t="s">
        <v>1070</v>
      </c>
      <c r="K165" s="67" t="s">
        <v>1071</v>
      </c>
      <c r="L165" s="71" t="s">
        <v>95</v>
      </c>
      <c r="M165" s="72" t="s">
        <v>1072</v>
      </c>
      <c r="N165" s="73">
        <v>45875</v>
      </c>
      <c r="O165" s="74">
        <v>45881</v>
      </c>
      <c r="P165" s="75" t="s">
        <v>97</v>
      </c>
      <c r="Q165" s="76" t="s">
        <v>97</v>
      </c>
      <c r="R165" s="64" t="s">
        <v>98</v>
      </c>
      <c r="S165" s="77" t="s">
        <v>1073</v>
      </c>
      <c r="T165" s="74" t="s">
        <v>100</v>
      </c>
      <c r="U165" s="64" t="s">
        <v>1074</v>
      </c>
      <c r="V165" s="70" t="s">
        <v>189</v>
      </c>
      <c r="W165" s="74" t="s">
        <v>103</v>
      </c>
      <c r="X165" s="68" t="s">
        <v>732</v>
      </c>
      <c r="Y165" s="64">
        <v>1</v>
      </c>
      <c r="Z165" s="78">
        <v>0</v>
      </c>
      <c r="AA165" s="79">
        <f>'BASE FACTURACION 2025'!$C$3</f>
        <v>122645.45276000001</v>
      </c>
      <c r="AB165" s="79">
        <f>'BASE FACTURACION 2025'!$F$3</f>
        <v>65164.677720000007</v>
      </c>
      <c r="AC165" s="79">
        <f t="shared" si="2"/>
        <v>122645.45276000001</v>
      </c>
    </row>
    <row r="166" spans="1:29" s="80" customFormat="1" ht="13.15">
      <c r="A166" s="64" t="s">
        <v>163</v>
      </c>
      <c r="B166" s="65" t="str">
        <f>VLOOKUP(A166,'CENTRO DE COSTOS'!A:D,4,FALSE)</f>
        <v>MIGUEL JULIÁN HERNÁNDEZ GUARÍN</v>
      </c>
      <c r="C166" s="65" t="str">
        <f>VLOOKUP(A166,'CENTRO DE COSTOS'!A:D,2,FALSE)</f>
        <v>0004-0008</v>
      </c>
      <c r="D166" s="64">
        <v>15238</v>
      </c>
      <c r="E166" s="66" t="s">
        <v>1075</v>
      </c>
      <c r="F166" s="67">
        <v>80881</v>
      </c>
      <c r="G166" s="68" t="s">
        <v>90</v>
      </c>
      <c r="H166" s="69" t="s">
        <v>91</v>
      </c>
      <c r="I166" s="67" t="s">
        <v>165</v>
      </c>
      <c r="J166" s="70" t="s">
        <v>543</v>
      </c>
      <c r="K166" s="67" t="s">
        <v>1076</v>
      </c>
      <c r="L166" s="71" t="s">
        <v>95</v>
      </c>
      <c r="M166" s="72" t="s">
        <v>1077</v>
      </c>
      <c r="N166" s="73">
        <v>45875</v>
      </c>
      <c r="O166" s="74">
        <v>45877</v>
      </c>
      <c r="P166" s="75" t="s">
        <v>97</v>
      </c>
      <c r="Q166" s="76" t="s">
        <v>97</v>
      </c>
      <c r="R166" s="64" t="s">
        <v>98</v>
      </c>
      <c r="S166" s="77" t="s">
        <v>1078</v>
      </c>
      <c r="T166" s="74" t="s">
        <v>100</v>
      </c>
      <c r="U166" s="64" t="s">
        <v>1079</v>
      </c>
      <c r="V166" s="70" t="s">
        <v>162</v>
      </c>
      <c r="W166" s="74" t="s">
        <v>103</v>
      </c>
      <c r="X166" s="68" t="s">
        <v>171</v>
      </c>
      <c r="Y166" s="64">
        <v>1</v>
      </c>
      <c r="Z166" s="78">
        <v>0</v>
      </c>
      <c r="AA166" s="79">
        <f>'BASE FACTURACION 2025'!$C$3</f>
        <v>122645.45276000001</v>
      </c>
      <c r="AB166" s="79">
        <f>'BASE FACTURACION 2025'!$F$3</f>
        <v>65164.677720000007</v>
      </c>
      <c r="AC166" s="79">
        <f t="shared" si="2"/>
        <v>122645.45276000001</v>
      </c>
    </row>
    <row r="167" spans="1:29" s="80" customFormat="1" ht="13.15">
      <c r="A167" s="64" t="s">
        <v>229</v>
      </c>
      <c r="B167" s="65" t="str">
        <f>VLOOKUP(A167,'CENTRO DE COSTOS'!A:D,4,FALSE)</f>
        <v>MIGUEL JULIÁN HERNÁNDEZ GUARÍN</v>
      </c>
      <c r="C167" s="65" t="str">
        <f>VLOOKUP(A167,'CENTRO DE COSTOS'!A:D,2,FALSE)</f>
        <v>0004-0008</v>
      </c>
      <c r="D167" s="64">
        <v>68169</v>
      </c>
      <c r="E167" s="66" t="s">
        <v>1080</v>
      </c>
      <c r="F167" s="67">
        <v>80877</v>
      </c>
      <c r="G167" s="68" t="s">
        <v>90</v>
      </c>
      <c r="H167" s="69" t="s">
        <v>91</v>
      </c>
      <c r="I167" s="67" t="s">
        <v>714</v>
      </c>
      <c r="J167" s="70" t="s">
        <v>1081</v>
      </c>
      <c r="K167" s="67" t="s">
        <v>1082</v>
      </c>
      <c r="L167" s="71" t="s">
        <v>95</v>
      </c>
      <c r="M167" s="72" t="s">
        <v>1083</v>
      </c>
      <c r="N167" s="73">
        <v>45875</v>
      </c>
      <c r="O167" s="74">
        <v>45880</v>
      </c>
      <c r="P167" s="75" t="s">
        <v>97</v>
      </c>
      <c r="Q167" s="76" t="s">
        <v>97</v>
      </c>
      <c r="R167" s="64" t="s">
        <v>98</v>
      </c>
      <c r="S167" s="77" t="s">
        <v>1084</v>
      </c>
      <c r="T167" s="74" t="s">
        <v>100</v>
      </c>
      <c r="U167" s="64" t="s">
        <v>1085</v>
      </c>
      <c r="V167" s="70" t="s">
        <v>162</v>
      </c>
      <c r="W167" s="74" t="s">
        <v>103</v>
      </c>
      <c r="X167" s="68" t="s">
        <v>732</v>
      </c>
      <c r="Y167" s="64">
        <v>1</v>
      </c>
      <c r="Z167" s="78">
        <v>0</v>
      </c>
      <c r="AA167" s="79">
        <f>'BASE FACTURACION 2025'!$C$3</f>
        <v>122645.45276000001</v>
      </c>
      <c r="AB167" s="79">
        <f>'BASE FACTURACION 2025'!$F$3</f>
        <v>65164.677720000007</v>
      </c>
      <c r="AC167" s="79">
        <f t="shared" si="2"/>
        <v>122645.45276000001</v>
      </c>
    </row>
    <row r="168" spans="1:29" s="80" customFormat="1" ht="13.15">
      <c r="A168" s="64" t="s">
        <v>413</v>
      </c>
      <c r="B168" s="65" t="str">
        <f>VLOOKUP(A168,'CENTRO DE COSTOS'!A:D,4,FALSE)</f>
        <v>DIEGO FERNANDO HENAO CARDONA</v>
      </c>
      <c r="C168" s="65" t="str">
        <f>VLOOKUP(A168,'CENTRO DE COSTOS'!A:D,2,FALSE)</f>
        <v>0004-0002</v>
      </c>
      <c r="D168" s="64">
        <v>66383</v>
      </c>
      <c r="E168" s="66" t="s">
        <v>1086</v>
      </c>
      <c r="F168" s="67">
        <v>80892</v>
      </c>
      <c r="G168" s="68" t="s">
        <v>90</v>
      </c>
      <c r="H168" s="69" t="s">
        <v>91</v>
      </c>
      <c r="I168" s="67" t="s">
        <v>531</v>
      </c>
      <c r="J168" s="70" t="s">
        <v>1087</v>
      </c>
      <c r="K168" s="67" t="s">
        <v>1088</v>
      </c>
      <c r="L168" s="71" t="s">
        <v>95</v>
      </c>
      <c r="M168" s="72" t="s">
        <v>1089</v>
      </c>
      <c r="N168" s="73">
        <v>45875</v>
      </c>
      <c r="O168" s="74">
        <v>45877</v>
      </c>
      <c r="P168" s="75" t="s">
        <v>97</v>
      </c>
      <c r="Q168" s="76" t="s">
        <v>97</v>
      </c>
      <c r="R168" s="64" t="s">
        <v>98</v>
      </c>
      <c r="S168" s="77" t="s">
        <v>1090</v>
      </c>
      <c r="T168" s="74" t="s">
        <v>100</v>
      </c>
      <c r="U168" s="64" t="s">
        <v>1091</v>
      </c>
      <c r="V168" s="70" t="s">
        <v>162</v>
      </c>
      <c r="W168" s="74" t="s">
        <v>103</v>
      </c>
      <c r="X168" s="68" t="s">
        <v>469</v>
      </c>
      <c r="Y168" s="64">
        <v>1</v>
      </c>
      <c r="Z168" s="78">
        <v>0</v>
      </c>
      <c r="AA168" s="79">
        <f>'BASE FACTURACION 2025'!$C$3</f>
        <v>122645.45276000001</v>
      </c>
      <c r="AB168" s="79">
        <f>'BASE FACTURACION 2025'!$F$3</f>
        <v>65164.677720000007</v>
      </c>
      <c r="AC168" s="79">
        <f t="shared" si="2"/>
        <v>122645.45276000001</v>
      </c>
    </row>
    <row r="169" spans="1:29" s="80" customFormat="1" ht="13.15">
      <c r="A169" s="64" t="s">
        <v>126</v>
      </c>
      <c r="B169" s="65" t="str">
        <f>VLOOKUP(A169,'CENTRO DE COSTOS'!A:D,4,FALSE)</f>
        <v>KEVIN ALEXIS CORZO BUSTOS</v>
      </c>
      <c r="C169" s="65" t="str">
        <f>VLOOKUP(A169,'CENTRO DE COSTOS'!A:D,2,FALSE)</f>
        <v>0004-0007</v>
      </c>
      <c r="D169" s="64">
        <v>85010</v>
      </c>
      <c r="E169" s="66" t="s">
        <v>1092</v>
      </c>
      <c r="F169" s="67">
        <v>80862</v>
      </c>
      <c r="G169" s="68" t="s">
        <v>90</v>
      </c>
      <c r="H169" s="69" t="s">
        <v>91</v>
      </c>
      <c r="I169" s="67" t="s">
        <v>128</v>
      </c>
      <c r="J169" s="70" t="s">
        <v>1093</v>
      </c>
      <c r="K169" s="67" t="s">
        <v>1094</v>
      </c>
      <c r="L169" s="71" t="s">
        <v>95</v>
      </c>
      <c r="M169" s="72" t="s">
        <v>1095</v>
      </c>
      <c r="N169" s="73">
        <v>45875</v>
      </c>
      <c r="O169" s="74">
        <v>45881</v>
      </c>
      <c r="P169" s="75" t="s">
        <v>97</v>
      </c>
      <c r="Q169" s="76" t="s">
        <v>97</v>
      </c>
      <c r="R169" s="64" t="s">
        <v>98</v>
      </c>
      <c r="S169" s="77" t="s">
        <v>1096</v>
      </c>
      <c r="T169" s="74" t="s">
        <v>100</v>
      </c>
      <c r="U169" s="64" t="s">
        <v>1097</v>
      </c>
      <c r="V169" s="70" t="s">
        <v>162</v>
      </c>
      <c r="W169" s="74" t="s">
        <v>103</v>
      </c>
      <c r="X169" s="68" t="s">
        <v>134</v>
      </c>
      <c r="Y169" s="64">
        <v>1</v>
      </c>
      <c r="Z169" s="78">
        <v>0</v>
      </c>
      <c r="AA169" s="79">
        <f>'BASE FACTURACION 2025'!$C$3</f>
        <v>122645.45276000001</v>
      </c>
      <c r="AB169" s="79">
        <f>'BASE FACTURACION 2025'!$F$3</f>
        <v>65164.677720000007</v>
      </c>
      <c r="AC169" s="79">
        <f t="shared" si="2"/>
        <v>122645.45276000001</v>
      </c>
    </row>
    <row r="170" spans="1:29" s="80" customFormat="1" ht="13.15">
      <c r="A170" s="64" t="s">
        <v>163</v>
      </c>
      <c r="B170" s="65" t="str">
        <f>VLOOKUP(A170,'CENTRO DE COSTOS'!A:D,4,FALSE)</f>
        <v>MIGUEL JULIÁN HERNÁNDEZ GUARÍN</v>
      </c>
      <c r="C170" s="65" t="str">
        <f>VLOOKUP(A170,'CENTRO DE COSTOS'!A:D,2,FALSE)</f>
        <v>0004-0008</v>
      </c>
      <c r="D170" s="64">
        <v>15238</v>
      </c>
      <c r="E170" s="66" t="s">
        <v>1098</v>
      </c>
      <c r="F170" s="67">
        <v>80882</v>
      </c>
      <c r="G170" s="68" t="s">
        <v>90</v>
      </c>
      <c r="H170" s="69" t="s">
        <v>91</v>
      </c>
      <c r="I170" s="67" t="s">
        <v>165</v>
      </c>
      <c r="J170" s="70" t="s">
        <v>543</v>
      </c>
      <c r="K170" s="67" t="s">
        <v>1099</v>
      </c>
      <c r="L170" s="71" t="s">
        <v>95</v>
      </c>
      <c r="M170" s="72" t="s">
        <v>1100</v>
      </c>
      <c r="N170" s="73">
        <v>45875</v>
      </c>
      <c r="O170" s="74">
        <v>45883</v>
      </c>
      <c r="P170" s="75" t="s">
        <v>97</v>
      </c>
      <c r="Q170" s="76" t="s">
        <v>97</v>
      </c>
      <c r="R170" s="64" t="s">
        <v>98</v>
      </c>
      <c r="S170" s="77" t="s">
        <v>1101</v>
      </c>
      <c r="T170" s="74" t="s">
        <v>100</v>
      </c>
      <c r="U170" s="64" t="s">
        <v>1102</v>
      </c>
      <c r="V170" s="70" t="s">
        <v>162</v>
      </c>
      <c r="W170" s="74" t="s">
        <v>103</v>
      </c>
      <c r="X170" s="68" t="s">
        <v>838</v>
      </c>
      <c r="Y170" s="64">
        <v>1</v>
      </c>
      <c r="Z170" s="78">
        <v>0</v>
      </c>
      <c r="AA170" s="79">
        <f>'BASE FACTURACION 2025'!$C$3</f>
        <v>122645.45276000001</v>
      </c>
      <c r="AB170" s="79">
        <f>'BASE FACTURACION 2025'!$F$3</f>
        <v>65164.677720000007</v>
      </c>
      <c r="AC170" s="79">
        <f t="shared" si="2"/>
        <v>122645.45276000001</v>
      </c>
    </row>
    <row r="171" spans="1:29" s="80" customFormat="1" ht="13.15">
      <c r="A171" s="64" t="s">
        <v>163</v>
      </c>
      <c r="B171" s="65" t="str">
        <f>VLOOKUP(A171,'CENTRO DE COSTOS'!A:D,4,FALSE)</f>
        <v>MIGUEL JULIÁN HERNÁNDEZ GUARÍN</v>
      </c>
      <c r="C171" s="65" t="str">
        <f>VLOOKUP(A171,'CENTRO DE COSTOS'!A:D,2,FALSE)</f>
        <v>0004-0008</v>
      </c>
      <c r="D171" s="64">
        <v>15696</v>
      </c>
      <c r="E171" s="66" t="s">
        <v>1103</v>
      </c>
      <c r="F171" s="67">
        <v>80874</v>
      </c>
      <c r="G171" s="68" t="s">
        <v>90</v>
      </c>
      <c r="H171" s="69" t="s">
        <v>91</v>
      </c>
      <c r="I171" s="67" t="s">
        <v>165</v>
      </c>
      <c r="J171" s="70" t="s">
        <v>1104</v>
      </c>
      <c r="K171" s="67" t="s">
        <v>1105</v>
      </c>
      <c r="L171" s="71" t="s">
        <v>95</v>
      </c>
      <c r="M171" s="72" t="s">
        <v>1106</v>
      </c>
      <c r="N171" s="73">
        <v>45875</v>
      </c>
      <c r="O171" s="74">
        <v>45884</v>
      </c>
      <c r="P171" s="75" t="s">
        <v>97</v>
      </c>
      <c r="Q171" s="76" t="s">
        <v>97</v>
      </c>
      <c r="R171" s="64" t="s">
        <v>98</v>
      </c>
      <c r="S171" s="77" t="s">
        <v>1107</v>
      </c>
      <c r="T171" s="74" t="s">
        <v>100</v>
      </c>
      <c r="U171" s="64" t="s">
        <v>1108</v>
      </c>
      <c r="V171" s="70" t="s">
        <v>162</v>
      </c>
      <c r="W171" s="74" t="s">
        <v>103</v>
      </c>
      <c r="X171" s="68" t="s">
        <v>1036</v>
      </c>
      <c r="Y171" s="64">
        <v>1</v>
      </c>
      <c r="Z171" s="78">
        <v>0</v>
      </c>
      <c r="AA171" s="79">
        <f>'BASE FACTURACION 2025'!$C$3</f>
        <v>122645.45276000001</v>
      </c>
      <c r="AB171" s="79">
        <f>'BASE FACTURACION 2025'!$F$3</f>
        <v>65164.677720000007</v>
      </c>
      <c r="AC171" s="79">
        <f t="shared" si="2"/>
        <v>122645.45276000001</v>
      </c>
    </row>
    <row r="172" spans="1:29" s="80" customFormat="1" ht="13.15">
      <c r="A172" s="64" t="s">
        <v>339</v>
      </c>
      <c r="B172" s="65" t="str">
        <f>VLOOKUP(A172,'CENTRO DE COSTOS'!A:D,4,FALSE)</f>
        <v>JOSE MAURICIO HERNANDEZ ROJAS</v>
      </c>
      <c r="C172" s="65" t="str">
        <f>VLOOKUP(A172,'CENTRO DE COSTOS'!A:D,2,FALSE)</f>
        <v>0004-0001</v>
      </c>
      <c r="D172" s="64">
        <v>23580</v>
      </c>
      <c r="E172" s="66" t="s">
        <v>1109</v>
      </c>
      <c r="F172" s="67">
        <v>80911</v>
      </c>
      <c r="G172" s="68" t="s">
        <v>90</v>
      </c>
      <c r="H172" s="69" t="s">
        <v>91</v>
      </c>
      <c r="I172" s="67" t="s">
        <v>341</v>
      </c>
      <c r="J172" s="70" t="s">
        <v>1110</v>
      </c>
      <c r="K172" s="67" t="s">
        <v>1111</v>
      </c>
      <c r="L172" s="71" t="s">
        <v>95</v>
      </c>
      <c r="M172" s="72" t="s">
        <v>1112</v>
      </c>
      <c r="N172" s="73">
        <v>45875</v>
      </c>
      <c r="O172" s="74">
        <v>45883</v>
      </c>
      <c r="P172" s="75" t="s">
        <v>97</v>
      </c>
      <c r="Q172" s="76" t="s">
        <v>97</v>
      </c>
      <c r="R172" s="64" t="s">
        <v>98</v>
      </c>
      <c r="S172" s="77" t="s">
        <v>1113</v>
      </c>
      <c r="T172" s="74" t="s">
        <v>100</v>
      </c>
      <c r="U172" s="64" t="s">
        <v>1114</v>
      </c>
      <c r="V172" s="70" t="s">
        <v>102</v>
      </c>
      <c r="W172" s="74" t="s">
        <v>103</v>
      </c>
      <c r="X172" s="68" t="s">
        <v>1115</v>
      </c>
      <c r="Y172" s="64">
        <v>1</v>
      </c>
      <c r="Z172" s="78">
        <v>0</v>
      </c>
      <c r="AA172" s="79">
        <f>'BASE FACTURACION 2025'!$C$3</f>
        <v>122645.45276000001</v>
      </c>
      <c r="AB172" s="79">
        <f>'BASE FACTURACION 2025'!$F$3</f>
        <v>65164.677720000007</v>
      </c>
      <c r="AC172" s="79">
        <f t="shared" si="2"/>
        <v>122645.45276000001</v>
      </c>
    </row>
    <row r="173" spans="1:29" s="80" customFormat="1" ht="13.15">
      <c r="A173" s="64" t="s">
        <v>305</v>
      </c>
      <c r="B173" s="65" t="str">
        <f>VLOOKUP(A173,'CENTRO DE COSTOS'!A:D,4,FALSE)</f>
        <v>JOSE MAURICIO HERNANDEZ ROJAS</v>
      </c>
      <c r="C173" s="65" t="str">
        <f>VLOOKUP(A173,'CENTRO DE COSTOS'!A:D,2,FALSE)</f>
        <v>0004-0001</v>
      </c>
      <c r="D173" s="64">
        <v>8001</v>
      </c>
      <c r="E173" s="66" t="s">
        <v>1116</v>
      </c>
      <c r="F173" s="67">
        <v>80865</v>
      </c>
      <c r="G173" s="68" t="s">
        <v>90</v>
      </c>
      <c r="H173" s="69" t="s">
        <v>91</v>
      </c>
      <c r="I173" s="67" t="s">
        <v>307</v>
      </c>
      <c r="J173" s="70" t="s">
        <v>305</v>
      </c>
      <c r="K173" s="67" t="s">
        <v>1117</v>
      </c>
      <c r="L173" s="71" t="s">
        <v>95</v>
      </c>
      <c r="M173" s="72" t="s">
        <v>1118</v>
      </c>
      <c r="N173" s="73">
        <v>45875</v>
      </c>
      <c r="O173" s="74">
        <v>45877</v>
      </c>
      <c r="P173" s="75" t="s">
        <v>97</v>
      </c>
      <c r="Q173" s="76" t="s">
        <v>97</v>
      </c>
      <c r="R173" s="64" t="s">
        <v>98</v>
      </c>
      <c r="S173" s="77" t="s">
        <v>1119</v>
      </c>
      <c r="T173" s="74" t="s">
        <v>100</v>
      </c>
      <c r="U173" s="64" t="s">
        <v>1120</v>
      </c>
      <c r="V173" s="70" t="s">
        <v>133</v>
      </c>
      <c r="W173" s="74" t="s">
        <v>103</v>
      </c>
      <c r="X173" s="68" t="s">
        <v>693</v>
      </c>
      <c r="Y173" s="64">
        <v>1</v>
      </c>
      <c r="Z173" s="78">
        <v>0</v>
      </c>
      <c r="AA173" s="79">
        <f>'BASE FACTURACION 2025'!$C$3</f>
        <v>122645.45276000001</v>
      </c>
      <c r="AB173" s="79">
        <f>'BASE FACTURACION 2025'!$F$3</f>
        <v>65164.677720000007</v>
      </c>
      <c r="AC173" s="79">
        <f t="shared" si="2"/>
        <v>122645.45276000001</v>
      </c>
    </row>
    <row r="174" spans="1:29" s="80" customFormat="1" ht="13.15">
      <c r="A174" s="64" t="s">
        <v>229</v>
      </c>
      <c r="B174" s="65" t="str">
        <f>VLOOKUP(A174,'CENTRO DE COSTOS'!A:D,4,FALSE)</f>
        <v>MIGUEL JULIÁN HERNÁNDEZ GUARÍN</v>
      </c>
      <c r="C174" s="65" t="str">
        <f>VLOOKUP(A174,'CENTRO DE COSTOS'!A:D,2,FALSE)</f>
        <v>0004-0008</v>
      </c>
      <c r="D174" s="64">
        <v>68895</v>
      </c>
      <c r="E174" s="66" t="s">
        <v>1121</v>
      </c>
      <c r="F174" s="67">
        <v>80820</v>
      </c>
      <c r="G174" s="68" t="s">
        <v>90</v>
      </c>
      <c r="H174" s="69" t="s">
        <v>1122</v>
      </c>
      <c r="I174" s="67" t="s">
        <v>714</v>
      </c>
      <c r="J174" s="70" t="s">
        <v>1123</v>
      </c>
      <c r="K174" s="67" t="s">
        <v>1124</v>
      </c>
      <c r="L174" s="71" t="s">
        <v>95</v>
      </c>
      <c r="M174" s="72" t="s">
        <v>1125</v>
      </c>
      <c r="N174" s="73">
        <v>45875</v>
      </c>
      <c r="O174" s="74">
        <v>45877</v>
      </c>
      <c r="P174" s="75" t="s">
        <v>97</v>
      </c>
      <c r="Q174" s="76" t="s">
        <v>97</v>
      </c>
      <c r="R174" s="64" t="s">
        <v>98</v>
      </c>
      <c r="S174" s="77" t="s">
        <v>1126</v>
      </c>
      <c r="T174" s="74" t="s">
        <v>100</v>
      </c>
      <c r="U174" s="64" t="s">
        <v>1127</v>
      </c>
      <c r="V174" s="70" t="s">
        <v>189</v>
      </c>
      <c r="W174" s="74" t="s">
        <v>103</v>
      </c>
      <c r="X174" s="68" t="s">
        <v>1128</v>
      </c>
      <c r="Y174" s="64">
        <v>1</v>
      </c>
      <c r="Z174" s="78">
        <v>0</v>
      </c>
      <c r="AA174" s="79">
        <f>'BASE FACTURACION 2025'!$C$3</f>
        <v>122645.45276000001</v>
      </c>
      <c r="AB174" s="79">
        <f>'BASE FACTURACION 2025'!$F$3</f>
        <v>65164.677720000007</v>
      </c>
      <c r="AC174" s="79">
        <f t="shared" si="2"/>
        <v>122645.45276000001</v>
      </c>
    </row>
    <row r="175" spans="1:29" s="80" customFormat="1" ht="13.15">
      <c r="A175" s="64" t="s">
        <v>163</v>
      </c>
      <c r="B175" s="65" t="str">
        <f>VLOOKUP(A175,'CENTRO DE COSTOS'!A:D,4,FALSE)</f>
        <v>MIGUEL JULIÁN HERNÁNDEZ GUARÍN</v>
      </c>
      <c r="C175" s="65" t="str">
        <f>VLOOKUP(A175,'CENTRO DE COSTOS'!A:D,2,FALSE)</f>
        <v>0004-0008</v>
      </c>
      <c r="D175" s="64">
        <v>15176</v>
      </c>
      <c r="E175" s="66" t="s">
        <v>1129</v>
      </c>
      <c r="F175" s="67">
        <v>80726</v>
      </c>
      <c r="G175" s="68" t="s">
        <v>90</v>
      </c>
      <c r="H175" s="69" t="s">
        <v>1122</v>
      </c>
      <c r="I175" s="67" t="s">
        <v>165</v>
      </c>
      <c r="J175" s="70" t="s">
        <v>1130</v>
      </c>
      <c r="K175" s="67" t="s">
        <v>1131</v>
      </c>
      <c r="L175" s="71" t="s">
        <v>95</v>
      </c>
      <c r="M175" s="72" t="s">
        <v>1132</v>
      </c>
      <c r="N175" s="73">
        <v>45875</v>
      </c>
      <c r="O175" s="74">
        <v>45881</v>
      </c>
      <c r="P175" s="75" t="s">
        <v>97</v>
      </c>
      <c r="Q175" s="76" t="s">
        <v>97</v>
      </c>
      <c r="R175" s="64" t="s">
        <v>98</v>
      </c>
      <c r="S175" s="77" t="s">
        <v>1133</v>
      </c>
      <c r="T175" s="74" t="s">
        <v>100</v>
      </c>
      <c r="U175" s="64" t="s">
        <v>1134</v>
      </c>
      <c r="V175" s="70" t="s">
        <v>189</v>
      </c>
      <c r="W175" s="74" t="s">
        <v>103</v>
      </c>
      <c r="X175" s="68" t="s">
        <v>548</v>
      </c>
      <c r="Y175" s="64">
        <v>1</v>
      </c>
      <c r="Z175" s="78">
        <v>0</v>
      </c>
      <c r="AA175" s="79">
        <f>'BASE FACTURACION 2025'!$C$3</f>
        <v>122645.45276000001</v>
      </c>
      <c r="AB175" s="79">
        <f>'BASE FACTURACION 2025'!$F$3</f>
        <v>65164.677720000007</v>
      </c>
      <c r="AC175" s="79">
        <f t="shared" si="2"/>
        <v>122645.45276000001</v>
      </c>
    </row>
    <row r="176" spans="1:29" s="80" customFormat="1" ht="13.15">
      <c r="A176" s="64" t="s">
        <v>399</v>
      </c>
      <c r="B176" s="65" t="str">
        <f>VLOOKUP(A176,'CENTRO DE COSTOS'!A:D,4,FALSE)</f>
        <v>DIEGO FERNANDO HENAO CARDONA</v>
      </c>
      <c r="C176" s="65" t="str">
        <f>VLOOKUP(A176,'CENTRO DE COSTOS'!A:D,2,FALSE)</f>
        <v>0004-0002</v>
      </c>
      <c r="D176" s="64">
        <v>17873</v>
      </c>
      <c r="E176" s="66" t="s">
        <v>1135</v>
      </c>
      <c r="F176" s="67">
        <v>80811</v>
      </c>
      <c r="G176" s="68" t="s">
        <v>90</v>
      </c>
      <c r="H176" s="69" t="s">
        <v>1122</v>
      </c>
      <c r="I176" s="67" t="s">
        <v>401</v>
      </c>
      <c r="J176" s="70" t="s">
        <v>1136</v>
      </c>
      <c r="K176" s="67" t="s">
        <v>1137</v>
      </c>
      <c r="L176" s="71" t="s">
        <v>95</v>
      </c>
      <c r="M176" s="72" t="s">
        <v>1138</v>
      </c>
      <c r="N176" s="73">
        <v>45875</v>
      </c>
      <c r="O176" s="74">
        <v>45877</v>
      </c>
      <c r="P176" s="75" t="s">
        <v>97</v>
      </c>
      <c r="Q176" s="76" t="s">
        <v>97</v>
      </c>
      <c r="R176" s="64" t="s">
        <v>98</v>
      </c>
      <c r="S176" s="77" t="s">
        <v>1139</v>
      </c>
      <c r="T176" s="74" t="s">
        <v>100</v>
      </c>
      <c r="U176" s="64" t="s">
        <v>1140</v>
      </c>
      <c r="V176" s="70" t="s">
        <v>133</v>
      </c>
      <c r="W176" s="74" t="s">
        <v>103</v>
      </c>
      <c r="X176" s="68" t="s">
        <v>406</v>
      </c>
      <c r="Y176" s="64">
        <v>1</v>
      </c>
      <c r="Z176" s="78">
        <v>0</v>
      </c>
      <c r="AA176" s="79">
        <f>'BASE FACTURACION 2025'!$C$3</f>
        <v>122645.45276000001</v>
      </c>
      <c r="AB176" s="79">
        <f>'BASE FACTURACION 2025'!$F$3</f>
        <v>65164.677720000007</v>
      </c>
      <c r="AC176" s="79">
        <f t="shared" si="2"/>
        <v>122645.45276000001</v>
      </c>
    </row>
    <row r="177" spans="1:29" s="80" customFormat="1" ht="13.15">
      <c r="A177" s="64" t="s">
        <v>245</v>
      </c>
      <c r="B177" s="65" t="str">
        <f>VLOOKUP(A177,'CENTRO DE COSTOS'!A:D,4,FALSE)</f>
        <v>MIGUEL JULIÁN HERNÁNDEZ GUARÍN</v>
      </c>
      <c r="C177" s="65" t="str">
        <f>VLOOKUP(A177,'CENTRO DE COSTOS'!A:D,2,FALSE)</f>
        <v>0004-0008</v>
      </c>
      <c r="D177" s="64">
        <v>54001</v>
      </c>
      <c r="E177" s="66" t="s">
        <v>1141</v>
      </c>
      <c r="F177" s="67">
        <v>80943</v>
      </c>
      <c r="G177" s="68" t="s">
        <v>90</v>
      </c>
      <c r="H177" s="69" t="s">
        <v>91</v>
      </c>
      <c r="I177" s="67" t="s">
        <v>247</v>
      </c>
      <c r="J177" s="70" t="s">
        <v>245</v>
      </c>
      <c r="K177" s="67" t="s">
        <v>1142</v>
      </c>
      <c r="L177" s="71" t="s">
        <v>95</v>
      </c>
      <c r="M177" s="72" t="s">
        <v>1143</v>
      </c>
      <c r="N177" s="73">
        <v>45880</v>
      </c>
      <c r="O177" s="74">
        <v>45881</v>
      </c>
      <c r="P177" s="75" t="s">
        <v>97</v>
      </c>
      <c r="Q177" s="76" t="s">
        <v>97</v>
      </c>
      <c r="R177" s="64" t="s">
        <v>98</v>
      </c>
      <c r="S177" s="77" t="s">
        <v>1144</v>
      </c>
      <c r="T177" s="74" t="s">
        <v>100</v>
      </c>
      <c r="U177" s="64" t="s">
        <v>1145</v>
      </c>
      <c r="V177" s="70" t="s">
        <v>133</v>
      </c>
      <c r="W177" s="74" t="s">
        <v>103</v>
      </c>
      <c r="X177" s="68" t="s">
        <v>352</v>
      </c>
      <c r="Y177" s="64">
        <v>1</v>
      </c>
      <c r="Z177" s="78">
        <v>0</v>
      </c>
      <c r="AA177" s="79">
        <f>'BASE FACTURACION 2025'!$C$3</f>
        <v>122645.45276000001</v>
      </c>
      <c r="AB177" s="79">
        <f>'BASE FACTURACION 2025'!$F$3</f>
        <v>65164.677720000007</v>
      </c>
      <c r="AC177" s="79">
        <f t="shared" si="2"/>
        <v>122645.45276000001</v>
      </c>
    </row>
    <row r="178" spans="1:29" s="80" customFormat="1" ht="13.15">
      <c r="A178" s="64" t="s">
        <v>359</v>
      </c>
      <c r="B178" s="65" t="str">
        <f>VLOOKUP(A178,'CENTRO DE COSTOS'!A:D,4,FALSE)</f>
        <v>JOSE MAURICIO HERNANDEZ ROJAS</v>
      </c>
      <c r="C178" s="65" t="str">
        <f>VLOOKUP(A178,'CENTRO DE COSTOS'!A:D,2,FALSE)</f>
        <v>0004-0001</v>
      </c>
      <c r="D178" s="64">
        <v>20001</v>
      </c>
      <c r="E178" s="66" t="s">
        <v>1146</v>
      </c>
      <c r="F178" s="67">
        <v>80974</v>
      </c>
      <c r="G178" s="68" t="s">
        <v>90</v>
      </c>
      <c r="H178" s="69" t="s">
        <v>91</v>
      </c>
      <c r="I178" s="67" t="s">
        <v>361</v>
      </c>
      <c r="J178" s="70" t="s">
        <v>359</v>
      </c>
      <c r="K178" s="67" t="s">
        <v>1147</v>
      </c>
      <c r="L178" s="71" t="s">
        <v>95</v>
      </c>
      <c r="M178" s="72" t="s">
        <v>1148</v>
      </c>
      <c r="N178" s="73">
        <v>45880</v>
      </c>
      <c r="O178" s="74">
        <v>45882</v>
      </c>
      <c r="P178" s="75" t="s">
        <v>97</v>
      </c>
      <c r="Q178" s="76" t="s">
        <v>97</v>
      </c>
      <c r="R178" s="64" t="s">
        <v>98</v>
      </c>
      <c r="S178" s="77" t="s">
        <v>1149</v>
      </c>
      <c r="T178" s="74" t="s">
        <v>100</v>
      </c>
      <c r="U178" s="64" t="s">
        <v>1150</v>
      </c>
      <c r="V178" s="70" t="s">
        <v>133</v>
      </c>
      <c r="W178" s="74" t="s">
        <v>103</v>
      </c>
      <c r="X178" s="68" t="s">
        <v>873</v>
      </c>
      <c r="Y178" s="64">
        <v>1</v>
      </c>
      <c r="Z178" s="78">
        <v>0</v>
      </c>
      <c r="AA178" s="79">
        <f>'BASE FACTURACION 2025'!$C$3</f>
        <v>122645.45276000001</v>
      </c>
      <c r="AB178" s="79">
        <f>'BASE FACTURACION 2025'!$F$3</f>
        <v>65164.677720000007</v>
      </c>
      <c r="AC178" s="79">
        <f t="shared" si="2"/>
        <v>122645.45276000001</v>
      </c>
    </row>
    <row r="179" spans="1:29" s="80" customFormat="1" ht="13.15">
      <c r="A179" s="64" t="s">
        <v>163</v>
      </c>
      <c r="B179" s="65" t="str">
        <f>VLOOKUP(A179,'CENTRO DE COSTOS'!A:D,4,FALSE)</f>
        <v>MIGUEL JULIÁN HERNÁNDEZ GUARÍN</v>
      </c>
      <c r="C179" s="65" t="str">
        <f>VLOOKUP(A179,'CENTRO DE COSTOS'!A:D,2,FALSE)</f>
        <v>0004-0008</v>
      </c>
      <c r="D179" s="64">
        <v>15723</v>
      </c>
      <c r="E179" s="66" t="s">
        <v>1151</v>
      </c>
      <c r="F179" s="67">
        <v>80975</v>
      </c>
      <c r="G179" s="68" t="s">
        <v>90</v>
      </c>
      <c r="H179" s="69" t="s">
        <v>91</v>
      </c>
      <c r="I179" s="67" t="s">
        <v>165</v>
      </c>
      <c r="J179" s="70" t="s">
        <v>1152</v>
      </c>
      <c r="K179" s="67" t="s">
        <v>1153</v>
      </c>
      <c r="L179" s="71" t="s">
        <v>95</v>
      </c>
      <c r="M179" s="72" t="s">
        <v>1154</v>
      </c>
      <c r="N179" s="73">
        <v>45880</v>
      </c>
      <c r="O179" s="74">
        <v>45883</v>
      </c>
      <c r="P179" s="75" t="s">
        <v>97</v>
      </c>
      <c r="Q179" s="76" t="s">
        <v>97</v>
      </c>
      <c r="R179" s="64" t="s">
        <v>98</v>
      </c>
      <c r="S179" s="77" t="s">
        <v>1155</v>
      </c>
      <c r="T179" s="74" t="s">
        <v>100</v>
      </c>
      <c r="U179" s="64" t="s">
        <v>1156</v>
      </c>
      <c r="V179" s="70" t="s">
        <v>189</v>
      </c>
      <c r="W179" s="74" t="s">
        <v>103</v>
      </c>
      <c r="X179" s="68" t="s">
        <v>171</v>
      </c>
      <c r="Y179" s="64">
        <v>1</v>
      </c>
      <c r="Z179" s="78">
        <v>0</v>
      </c>
      <c r="AA179" s="79">
        <f>'BASE FACTURACION 2025'!$C$3</f>
        <v>122645.45276000001</v>
      </c>
      <c r="AB179" s="79">
        <f>'BASE FACTURACION 2025'!$F$3</f>
        <v>65164.677720000007</v>
      </c>
      <c r="AC179" s="79">
        <f t="shared" si="2"/>
        <v>122645.45276000001</v>
      </c>
    </row>
    <row r="180" spans="1:29" s="80" customFormat="1" ht="13.15">
      <c r="A180" s="64" t="s">
        <v>163</v>
      </c>
      <c r="B180" s="65" t="str">
        <f>VLOOKUP(A180,'CENTRO DE COSTOS'!A:D,4,FALSE)</f>
        <v>MIGUEL JULIÁN HERNÁNDEZ GUARÍN</v>
      </c>
      <c r="C180" s="65" t="str">
        <f>VLOOKUP(A180,'CENTRO DE COSTOS'!A:D,2,FALSE)</f>
        <v>0004-0008</v>
      </c>
      <c r="D180" s="64">
        <v>15759</v>
      </c>
      <c r="E180" s="66" t="s">
        <v>1157</v>
      </c>
      <c r="F180" s="67">
        <v>80969</v>
      </c>
      <c r="G180" s="68" t="s">
        <v>90</v>
      </c>
      <c r="H180" s="69" t="s">
        <v>91</v>
      </c>
      <c r="I180" s="67" t="s">
        <v>165</v>
      </c>
      <c r="J180" s="70" t="s">
        <v>282</v>
      </c>
      <c r="K180" s="67" t="s">
        <v>1158</v>
      </c>
      <c r="L180" s="71" t="s">
        <v>95</v>
      </c>
      <c r="M180" s="72" t="s">
        <v>1159</v>
      </c>
      <c r="N180" s="73">
        <v>45880</v>
      </c>
      <c r="O180" s="74">
        <v>45882</v>
      </c>
      <c r="P180" s="75" t="s">
        <v>97</v>
      </c>
      <c r="Q180" s="76" t="s">
        <v>97</v>
      </c>
      <c r="R180" s="64" t="s">
        <v>98</v>
      </c>
      <c r="S180" s="77" t="s">
        <v>1160</v>
      </c>
      <c r="T180" s="74" t="s">
        <v>100</v>
      </c>
      <c r="U180" s="64" t="s">
        <v>1161</v>
      </c>
      <c r="V180" s="70" t="s">
        <v>162</v>
      </c>
      <c r="W180" s="74" t="s">
        <v>103</v>
      </c>
      <c r="X180" s="68" t="s">
        <v>838</v>
      </c>
      <c r="Y180" s="64">
        <v>1</v>
      </c>
      <c r="Z180" s="78">
        <v>0</v>
      </c>
      <c r="AA180" s="79">
        <f>'BASE FACTURACION 2025'!$C$3</f>
        <v>122645.45276000001</v>
      </c>
      <c r="AB180" s="79">
        <f>'BASE FACTURACION 2025'!$F$3</f>
        <v>65164.677720000007</v>
      </c>
      <c r="AC180" s="79">
        <f t="shared" si="2"/>
        <v>122645.45276000001</v>
      </c>
    </row>
    <row r="181" spans="1:29" s="80" customFormat="1" ht="13.15">
      <c r="A181" s="64" t="s">
        <v>331</v>
      </c>
      <c r="B181" s="65" t="str">
        <f>VLOOKUP(A181,'CENTRO DE COSTOS'!A:D,4,FALSE)</f>
        <v>JOSE MAURICIO HERNANDEZ ROJAS</v>
      </c>
      <c r="C181" s="65" t="str">
        <f>VLOOKUP(A181,'CENTRO DE COSTOS'!A:D,2,FALSE)</f>
        <v>0004-0001</v>
      </c>
      <c r="D181" s="64">
        <v>70001</v>
      </c>
      <c r="E181" s="66" t="s">
        <v>1162</v>
      </c>
      <c r="F181" s="67">
        <v>80966</v>
      </c>
      <c r="G181" s="68" t="s">
        <v>90</v>
      </c>
      <c r="H181" s="69" t="s">
        <v>91</v>
      </c>
      <c r="I181" s="67" t="s">
        <v>333</v>
      </c>
      <c r="J181" s="70" t="s">
        <v>331</v>
      </c>
      <c r="K181" s="67" t="s">
        <v>1163</v>
      </c>
      <c r="L181" s="71" t="s">
        <v>95</v>
      </c>
      <c r="M181" s="72" t="s">
        <v>1164</v>
      </c>
      <c r="N181" s="73">
        <v>45880</v>
      </c>
      <c r="O181" s="74">
        <v>45882</v>
      </c>
      <c r="P181" s="75" t="s">
        <v>97</v>
      </c>
      <c r="Q181" s="76" t="s">
        <v>97</v>
      </c>
      <c r="R181" s="64" t="s">
        <v>98</v>
      </c>
      <c r="S181" s="77" t="s">
        <v>1165</v>
      </c>
      <c r="T181" s="74" t="s">
        <v>100</v>
      </c>
      <c r="U181" s="64" t="s">
        <v>1166</v>
      </c>
      <c r="V181" s="70" t="s">
        <v>133</v>
      </c>
      <c r="W181" s="74" t="s">
        <v>103</v>
      </c>
      <c r="X181" s="68" t="s">
        <v>338</v>
      </c>
      <c r="Y181" s="64">
        <v>1</v>
      </c>
      <c r="Z181" s="78">
        <v>0</v>
      </c>
      <c r="AA181" s="79">
        <f>'BASE FACTURACION 2025'!$C$3</f>
        <v>122645.45276000001</v>
      </c>
      <c r="AB181" s="79">
        <f>'BASE FACTURACION 2025'!$F$3</f>
        <v>65164.677720000007</v>
      </c>
      <c r="AC181" s="79">
        <f t="shared" si="2"/>
        <v>122645.45276000001</v>
      </c>
    </row>
    <row r="182" spans="1:29" s="80" customFormat="1" ht="13.15">
      <c r="A182" s="64" t="s">
        <v>245</v>
      </c>
      <c r="B182" s="65" t="str">
        <f>VLOOKUP(A182,'CENTRO DE COSTOS'!A:D,4,FALSE)</f>
        <v>MIGUEL JULIÁN HERNÁNDEZ GUARÍN</v>
      </c>
      <c r="C182" s="65" t="str">
        <f>VLOOKUP(A182,'CENTRO DE COSTOS'!A:D,2,FALSE)</f>
        <v>0004-0008</v>
      </c>
      <c r="D182" s="64">
        <v>54874</v>
      </c>
      <c r="E182" s="66" t="s">
        <v>1167</v>
      </c>
      <c r="F182" s="67">
        <v>80980</v>
      </c>
      <c r="G182" s="68" t="s">
        <v>90</v>
      </c>
      <c r="H182" s="69" t="s">
        <v>91</v>
      </c>
      <c r="I182" s="67" t="s">
        <v>247</v>
      </c>
      <c r="J182" s="70" t="s">
        <v>808</v>
      </c>
      <c r="K182" s="67" t="s">
        <v>1168</v>
      </c>
      <c r="L182" s="71" t="s">
        <v>95</v>
      </c>
      <c r="M182" s="72" t="s">
        <v>1169</v>
      </c>
      <c r="N182" s="73">
        <v>45880</v>
      </c>
      <c r="O182" s="74">
        <v>45881</v>
      </c>
      <c r="P182" s="75" t="s">
        <v>97</v>
      </c>
      <c r="Q182" s="76" t="s">
        <v>97</v>
      </c>
      <c r="R182" s="64" t="s">
        <v>98</v>
      </c>
      <c r="S182" s="77" t="s">
        <v>1170</v>
      </c>
      <c r="T182" s="74" t="s">
        <v>100</v>
      </c>
      <c r="U182" s="64" t="s">
        <v>1171</v>
      </c>
      <c r="V182" s="70" t="s">
        <v>133</v>
      </c>
      <c r="W182" s="74" t="s">
        <v>103</v>
      </c>
      <c r="X182" s="68" t="s">
        <v>325</v>
      </c>
      <c r="Y182" s="64">
        <v>1</v>
      </c>
      <c r="Z182" s="78">
        <v>0</v>
      </c>
      <c r="AA182" s="79">
        <f>'BASE FACTURACION 2025'!$C$3</f>
        <v>122645.45276000001</v>
      </c>
      <c r="AB182" s="79">
        <f>'BASE FACTURACION 2025'!$F$3</f>
        <v>65164.677720000007</v>
      </c>
      <c r="AC182" s="79">
        <f t="shared" si="2"/>
        <v>122645.45276000001</v>
      </c>
    </row>
    <row r="183" spans="1:29" s="80" customFormat="1" ht="13.15">
      <c r="A183" s="64" t="s">
        <v>305</v>
      </c>
      <c r="B183" s="65" t="str">
        <f>VLOOKUP(A183,'CENTRO DE COSTOS'!A:D,4,FALSE)</f>
        <v>JOSE MAURICIO HERNANDEZ ROJAS</v>
      </c>
      <c r="C183" s="65" t="str">
        <f>VLOOKUP(A183,'CENTRO DE COSTOS'!A:D,2,FALSE)</f>
        <v>0004-0001</v>
      </c>
      <c r="D183" s="64">
        <v>8141</v>
      </c>
      <c r="E183" s="66" t="s">
        <v>1172</v>
      </c>
      <c r="F183" s="67">
        <v>80938</v>
      </c>
      <c r="G183" s="68" t="s">
        <v>90</v>
      </c>
      <c r="H183" s="69" t="s">
        <v>91</v>
      </c>
      <c r="I183" s="67" t="s">
        <v>307</v>
      </c>
      <c r="J183" s="70" t="s">
        <v>1173</v>
      </c>
      <c r="K183" s="67" t="s">
        <v>1174</v>
      </c>
      <c r="L183" s="71" t="s">
        <v>95</v>
      </c>
      <c r="M183" s="72" t="s">
        <v>1175</v>
      </c>
      <c r="N183" s="73">
        <v>45880</v>
      </c>
      <c r="O183" s="74">
        <v>45881</v>
      </c>
      <c r="P183" s="75" t="s">
        <v>97</v>
      </c>
      <c r="Q183" s="76" t="s">
        <v>97</v>
      </c>
      <c r="R183" s="64" t="s">
        <v>98</v>
      </c>
      <c r="S183" s="77" t="s">
        <v>1176</v>
      </c>
      <c r="T183" s="74" t="s">
        <v>100</v>
      </c>
      <c r="U183" s="64" t="s">
        <v>1177</v>
      </c>
      <c r="V183" s="70" t="s">
        <v>162</v>
      </c>
      <c r="W183" s="74" t="s">
        <v>103</v>
      </c>
      <c r="X183" s="68" t="s">
        <v>693</v>
      </c>
      <c r="Y183" s="64">
        <v>1</v>
      </c>
      <c r="Z183" s="78">
        <v>0</v>
      </c>
      <c r="AA183" s="79">
        <f>'BASE FACTURACION 2025'!$C$3</f>
        <v>122645.45276000001</v>
      </c>
      <c r="AB183" s="79">
        <f>'BASE FACTURACION 2025'!$F$3</f>
        <v>65164.677720000007</v>
      </c>
      <c r="AC183" s="79">
        <f t="shared" si="2"/>
        <v>122645.45276000001</v>
      </c>
    </row>
    <row r="184" spans="1:29" s="80" customFormat="1" ht="13.15">
      <c r="A184" s="64" t="s">
        <v>220</v>
      </c>
      <c r="B184" s="65" t="str">
        <f>VLOOKUP(A184,'CENTRO DE COSTOS'!A:D,4,FALSE)</f>
        <v>KEVIN ALEXIS CORZO BUSTOS</v>
      </c>
      <c r="C184" s="65" t="str">
        <f>VLOOKUP(A184,'CENTRO DE COSTOS'!A:D,2,FALSE)</f>
        <v>0004-0007</v>
      </c>
      <c r="D184" s="64">
        <v>50001</v>
      </c>
      <c r="E184" s="66" t="s">
        <v>1178</v>
      </c>
      <c r="F184" s="67">
        <v>80983</v>
      </c>
      <c r="G184" s="68" t="s">
        <v>90</v>
      </c>
      <c r="H184" s="69" t="s">
        <v>91</v>
      </c>
      <c r="I184" s="67" t="s">
        <v>222</v>
      </c>
      <c r="J184" s="70" t="s">
        <v>220</v>
      </c>
      <c r="K184" s="67" t="s">
        <v>1179</v>
      </c>
      <c r="L184" s="71" t="s">
        <v>95</v>
      </c>
      <c r="M184" s="72" t="s">
        <v>1180</v>
      </c>
      <c r="N184" s="73">
        <v>45880</v>
      </c>
      <c r="O184" s="74">
        <v>45882</v>
      </c>
      <c r="P184" s="75" t="s">
        <v>97</v>
      </c>
      <c r="Q184" s="76" t="s">
        <v>97</v>
      </c>
      <c r="R184" s="64" t="s">
        <v>98</v>
      </c>
      <c r="S184" s="77" t="s">
        <v>1181</v>
      </c>
      <c r="T184" s="74" t="s">
        <v>100</v>
      </c>
      <c r="U184" s="64" t="s">
        <v>1182</v>
      </c>
      <c r="V184" s="70" t="s">
        <v>133</v>
      </c>
      <c r="W184" s="74" t="s">
        <v>103</v>
      </c>
      <c r="X184" s="68" t="s">
        <v>831</v>
      </c>
      <c r="Y184" s="64">
        <v>1</v>
      </c>
      <c r="Z184" s="78">
        <v>0</v>
      </c>
      <c r="AA184" s="79">
        <f>'BASE FACTURACION 2025'!$C$3</f>
        <v>122645.45276000001</v>
      </c>
      <c r="AB184" s="79">
        <f>'BASE FACTURACION 2025'!$F$3</f>
        <v>65164.677720000007</v>
      </c>
      <c r="AC184" s="79">
        <f t="shared" si="2"/>
        <v>122645.45276000001</v>
      </c>
    </row>
    <row r="185" spans="1:29" s="80" customFormat="1" ht="13.15">
      <c r="A185" s="64" t="s">
        <v>245</v>
      </c>
      <c r="B185" s="65" t="str">
        <f>VLOOKUP(A185,'CENTRO DE COSTOS'!A:D,4,FALSE)</f>
        <v>MIGUEL JULIÁN HERNÁNDEZ GUARÍN</v>
      </c>
      <c r="C185" s="65" t="str">
        <f>VLOOKUP(A185,'CENTRO DE COSTOS'!A:D,2,FALSE)</f>
        <v>0004-0008</v>
      </c>
      <c r="D185" s="64">
        <v>54405</v>
      </c>
      <c r="E185" s="66" t="s">
        <v>1183</v>
      </c>
      <c r="F185" s="67">
        <v>80947</v>
      </c>
      <c r="G185" s="68" t="s">
        <v>90</v>
      </c>
      <c r="H185" s="69" t="s">
        <v>91</v>
      </c>
      <c r="I185" s="67" t="s">
        <v>247</v>
      </c>
      <c r="J185" s="70" t="s">
        <v>471</v>
      </c>
      <c r="K185" s="67" t="s">
        <v>1184</v>
      </c>
      <c r="L185" s="71" t="s">
        <v>95</v>
      </c>
      <c r="M185" s="72" t="s">
        <v>1185</v>
      </c>
      <c r="N185" s="73">
        <v>45880</v>
      </c>
      <c r="O185" s="74">
        <v>45881</v>
      </c>
      <c r="P185" s="75" t="s">
        <v>97</v>
      </c>
      <c r="Q185" s="76" t="s">
        <v>97</v>
      </c>
      <c r="R185" s="64" t="s">
        <v>98</v>
      </c>
      <c r="S185" s="77" t="s">
        <v>1186</v>
      </c>
      <c r="T185" s="74" t="s">
        <v>100</v>
      </c>
      <c r="U185" s="64" t="s">
        <v>1187</v>
      </c>
      <c r="V185" s="70" t="s">
        <v>133</v>
      </c>
      <c r="W185" s="74" t="s">
        <v>103</v>
      </c>
      <c r="X185" s="68" t="s">
        <v>325</v>
      </c>
      <c r="Y185" s="64">
        <v>1</v>
      </c>
      <c r="Z185" s="78">
        <v>0</v>
      </c>
      <c r="AA185" s="79">
        <f>'BASE FACTURACION 2025'!$C$3</f>
        <v>122645.45276000001</v>
      </c>
      <c r="AB185" s="79">
        <f>'BASE FACTURACION 2025'!$F$3</f>
        <v>65164.677720000007</v>
      </c>
      <c r="AC185" s="79">
        <f t="shared" si="2"/>
        <v>122645.45276000001</v>
      </c>
    </row>
    <row r="186" spans="1:29" s="80" customFormat="1" ht="13.15">
      <c r="A186" s="64" t="s">
        <v>331</v>
      </c>
      <c r="B186" s="65" t="str">
        <f>VLOOKUP(A186,'CENTRO DE COSTOS'!A:D,4,FALSE)</f>
        <v>JOSE MAURICIO HERNANDEZ ROJAS</v>
      </c>
      <c r="C186" s="65" t="str">
        <f>VLOOKUP(A186,'CENTRO DE COSTOS'!A:D,2,FALSE)</f>
        <v>0004-0001</v>
      </c>
      <c r="D186" s="64">
        <v>70001</v>
      </c>
      <c r="E186" s="66" t="s">
        <v>1188</v>
      </c>
      <c r="F186" s="67">
        <v>80967</v>
      </c>
      <c r="G186" s="68" t="s">
        <v>90</v>
      </c>
      <c r="H186" s="69" t="s">
        <v>91</v>
      </c>
      <c r="I186" s="67" t="s">
        <v>333</v>
      </c>
      <c r="J186" s="70" t="s">
        <v>331</v>
      </c>
      <c r="K186" s="67" t="s">
        <v>1189</v>
      </c>
      <c r="L186" s="71" t="s">
        <v>95</v>
      </c>
      <c r="M186" s="72" t="s">
        <v>1190</v>
      </c>
      <c r="N186" s="73">
        <v>45880</v>
      </c>
      <c r="O186" s="74">
        <v>45881</v>
      </c>
      <c r="P186" s="75" t="s">
        <v>97</v>
      </c>
      <c r="Q186" s="76" t="s">
        <v>97</v>
      </c>
      <c r="R186" s="64" t="s">
        <v>98</v>
      </c>
      <c r="S186" s="77" t="s">
        <v>1191</v>
      </c>
      <c r="T186" s="74" t="s">
        <v>100</v>
      </c>
      <c r="U186" s="64" t="s">
        <v>1192</v>
      </c>
      <c r="V186" s="70" t="s">
        <v>133</v>
      </c>
      <c r="W186" s="74" t="s">
        <v>103</v>
      </c>
      <c r="X186" s="68" t="s">
        <v>338</v>
      </c>
      <c r="Y186" s="64">
        <v>1</v>
      </c>
      <c r="Z186" s="78">
        <v>0</v>
      </c>
      <c r="AA186" s="79">
        <f>'BASE FACTURACION 2025'!$C$3</f>
        <v>122645.45276000001</v>
      </c>
      <c r="AB186" s="79">
        <f>'BASE FACTURACION 2025'!$F$3</f>
        <v>65164.677720000007</v>
      </c>
      <c r="AC186" s="79">
        <f t="shared" si="2"/>
        <v>122645.45276000001</v>
      </c>
    </row>
    <row r="187" spans="1:29" s="80" customFormat="1" ht="13.15">
      <c r="A187" s="64" t="s">
        <v>220</v>
      </c>
      <c r="B187" s="65" t="str">
        <f>VLOOKUP(A187,'CENTRO DE COSTOS'!A:D,4,FALSE)</f>
        <v>KEVIN ALEXIS CORZO BUSTOS</v>
      </c>
      <c r="C187" s="65" t="str">
        <f>VLOOKUP(A187,'CENTRO DE COSTOS'!A:D,2,FALSE)</f>
        <v>0004-0007</v>
      </c>
      <c r="D187" s="64">
        <v>50001</v>
      </c>
      <c r="E187" s="66" t="s">
        <v>1193</v>
      </c>
      <c r="F187" s="67">
        <v>80982</v>
      </c>
      <c r="G187" s="68" t="s">
        <v>90</v>
      </c>
      <c r="H187" s="69" t="s">
        <v>91</v>
      </c>
      <c r="I187" s="67" t="s">
        <v>222</v>
      </c>
      <c r="J187" s="70" t="s">
        <v>220</v>
      </c>
      <c r="K187" s="67" t="s">
        <v>1194</v>
      </c>
      <c r="L187" s="71" t="s">
        <v>95</v>
      </c>
      <c r="M187" s="72" t="s">
        <v>1195</v>
      </c>
      <c r="N187" s="73">
        <v>45880</v>
      </c>
      <c r="O187" s="74">
        <v>45882</v>
      </c>
      <c r="P187" s="75" t="s">
        <v>97</v>
      </c>
      <c r="Q187" s="76" t="s">
        <v>97</v>
      </c>
      <c r="R187" s="64" t="s">
        <v>98</v>
      </c>
      <c r="S187" s="77" t="s">
        <v>1196</v>
      </c>
      <c r="T187" s="74" t="s">
        <v>100</v>
      </c>
      <c r="U187" s="64" t="s">
        <v>1197</v>
      </c>
      <c r="V187" s="70" t="s">
        <v>133</v>
      </c>
      <c r="W187" s="74" t="s">
        <v>103</v>
      </c>
      <c r="X187" s="68" t="s">
        <v>831</v>
      </c>
      <c r="Y187" s="64">
        <v>1</v>
      </c>
      <c r="Z187" s="78">
        <v>0</v>
      </c>
      <c r="AA187" s="79">
        <f>'BASE FACTURACION 2025'!$C$3</f>
        <v>122645.45276000001</v>
      </c>
      <c r="AB187" s="79">
        <f>'BASE FACTURACION 2025'!$F$3</f>
        <v>65164.677720000007</v>
      </c>
      <c r="AC187" s="79">
        <f t="shared" si="2"/>
        <v>122645.45276000001</v>
      </c>
    </row>
    <row r="188" spans="1:29" s="80" customFormat="1" ht="13.15">
      <c r="A188" s="64" t="s">
        <v>391</v>
      </c>
      <c r="B188" s="65" t="str">
        <f>VLOOKUP(A188,'CENTRO DE COSTOS'!A:D,4,FALSE)</f>
        <v>WILLIAM ASDRUBAL ROZO ROZO</v>
      </c>
      <c r="C188" s="65" t="str">
        <f>VLOOKUP(A188,'CENTRO DE COSTOS'!A:D,2,FALSE)</f>
        <v>0004-0004</v>
      </c>
      <c r="D188" s="64">
        <v>25843</v>
      </c>
      <c r="E188" s="66" t="s">
        <v>1198</v>
      </c>
      <c r="F188" s="67">
        <v>80979</v>
      </c>
      <c r="G188" s="68" t="s">
        <v>90</v>
      </c>
      <c r="H188" s="69" t="s">
        <v>91</v>
      </c>
      <c r="I188" s="67" t="s">
        <v>393</v>
      </c>
      <c r="J188" s="70" t="s">
        <v>925</v>
      </c>
      <c r="K188" s="67" t="s">
        <v>1199</v>
      </c>
      <c r="L188" s="71" t="s">
        <v>95</v>
      </c>
      <c r="M188" s="72" t="s">
        <v>1200</v>
      </c>
      <c r="N188" s="73">
        <v>45880</v>
      </c>
      <c r="O188" s="74">
        <v>45881</v>
      </c>
      <c r="P188" s="75" t="s">
        <v>97</v>
      </c>
      <c r="Q188" s="76" t="s">
        <v>97</v>
      </c>
      <c r="R188" s="64" t="s">
        <v>98</v>
      </c>
      <c r="S188" s="77" t="s">
        <v>1201</v>
      </c>
      <c r="T188" s="74" t="s">
        <v>100</v>
      </c>
      <c r="U188" s="64" t="s">
        <v>1202</v>
      </c>
      <c r="V188" s="70" t="s">
        <v>162</v>
      </c>
      <c r="W188" s="74" t="s">
        <v>103</v>
      </c>
      <c r="X188" s="68" t="s">
        <v>463</v>
      </c>
      <c r="Y188" s="64">
        <v>1</v>
      </c>
      <c r="Z188" s="78">
        <v>0</v>
      </c>
      <c r="AA188" s="79">
        <f>'BASE FACTURACION 2025'!$C$3</f>
        <v>122645.45276000001</v>
      </c>
      <c r="AB188" s="79">
        <f>'BASE FACTURACION 2025'!$F$3</f>
        <v>65164.677720000007</v>
      </c>
      <c r="AC188" s="79">
        <f t="shared" si="2"/>
        <v>122645.45276000001</v>
      </c>
    </row>
    <row r="189" spans="1:29" s="80" customFormat="1" ht="13.15">
      <c r="A189" s="64" t="s">
        <v>135</v>
      </c>
      <c r="B189" s="65" t="str">
        <f>VLOOKUP(A189,'CENTRO DE COSTOS'!A:D,4,FALSE)</f>
        <v>JUAN SEBASTIÁN RÍOS CASTRILLÓN</v>
      </c>
      <c r="C189" s="65" t="str">
        <f>VLOOKUP(A189,'CENTRO DE COSTOS'!A:D,2,FALSE)</f>
        <v>0004-0005</v>
      </c>
      <c r="D189" s="64">
        <v>5001</v>
      </c>
      <c r="E189" s="66" t="s">
        <v>1203</v>
      </c>
      <c r="F189" s="67">
        <v>80984</v>
      </c>
      <c r="G189" s="68" t="s">
        <v>90</v>
      </c>
      <c r="H189" s="69" t="s">
        <v>91</v>
      </c>
      <c r="I189" s="67" t="s">
        <v>138</v>
      </c>
      <c r="J189" s="70" t="s">
        <v>135</v>
      </c>
      <c r="K189" s="67" t="s">
        <v>1204</v>
      </c>
      <c r="L189" s="71" t="s">
        <v>95</v>
      </c>
      <c r="M189" s="72" t="s">
        <v>1205</v>
      </c>
      <c r="N189" s="73">
        <v>45880</v>
      </c>
      <c r="O189" s="74">
        <v>45882</v>
      </c>
      <c r="P189" s="75" t="s">
        <v>97</v>
      </c>
      <c r="Q189" s="76" t="s">
        <v>97</v>
      </c>
      <c r="R189" s="64" t="s">
        <v>98</v>
      </c>
      <c r="S189" s="77" t="s">
        <v>1206</v>
      </c>
      <c r="T189" s="74" t="s">
        <v>100</v>
      </c>
      <c r="U189" s="64" t="s">
        <v>1207</v>
      </c>
      <c r="V189" s="70" t="s">
        <v>133</v>
      </c>
      <c r="W189" s="74" t="s">
        <v>103</v>
      </c>
      <c r="X189" s="68" t="s">
        <v>1208</v>
      </c>
      <c r="Y189" s="64">
        <v>1</v>
      </c>
      <c r="Z189" s="78">
        <v>0</v>
      </c>
      <c r="AA189" s="79">
        <f>'BASE FACTURACION 2025'!$C$3</f>
        <v>122645.45276000001</v>
      </c>
      <c r="AB189" s="79">
        <f>'BASE FACTURACION 2025'!$F$3</f>
        <v>65164.677720000007</v>
      </c>
      <c r="AC189" s="79">
        <f t="shared" si="2"/>
        <v>122645.45276000001</v>
      </c>
    </row>
    <row r="190" spans="1:29" s="80" customFormat="1" ht="13.15">
      <c r="A190" s="64" t="s">
        <v>110</v>
      </c>
      <c r="B190" s="65" t="str">
        <f>VLOOKUP(A190,'CENTRO DE COSTOS'!A:D,4,FALSE)</f>
        <v>DIEGO FERNANDO HENAO CARDONA</v>
      </c>
      <c r="C190" s="65" t="str">
        <f>VLOOKUP(A190,'CENTRO DE COSTOS'!A:D,2,FALSE)</f>
        <v>0004-0003</v>
      </c>
      <c r="D190" s="64">
        <v>52079</v>
      </c>
      <c r="E190" s="66" t="s">
        <v>1209</v>
      </c>
      <c r="F190" s="67">
        <v>80928</v>
      </c>
      <c r="G190" s="68" t="s">
        <v>90</v>
      </c>
      <c r="H190" s="69" t="s">
        <v>91</v>
      </c>
      <c r="I190" s="67" t="s">
        <v>112</v>
      </c>
      <c r="J190" s="70" t="s">
        <v>1210</v>
      </c>
      <c r="K190" s="67" t="s">
        <v>1211</v>
      </c>
      <c r="L190" s="71" t="s">
        <v>95</v>
      </c>
      <c r="M190" s="72" t="s">
        <v>1212</v>
      </c>
      <c r="N190" s="73">
        <v>45880</v>
      </c>
      <c r="O190" s="74">
        <v>45883</v>
      </c>
      <c r="P190" s="75" t="s">
        <v>97</v>
      </c>
      <c r="Q190" s="76" t="s">
        <v>97</v>
      </c>
      <c r="R190" s="64" t="s">
        <v>98</v>
      </c>
      <c r="S190" s="77" t="s">
        <v>1213</v>
      </c>
      <c r="T190" s="74" t="s">
        <v>100</v>
      </c>
      <c r="U190" s="64" t="s">
        <v>1214</v>
      </c>
      <c r="V190" s="70" t="s">
        <v>102</v>
      </c>
      <c r="W190" s="74" t="s">
        <v>103</v>
      </c>
      <c r="X190" s="68" t="s">
        <v>120</v>
      </c>
      <c r="Y190" s="64">
        <v>1</v>
      </c>
      <c r="Z190" s="78">
        <v>0</v>
      </c>
      <c r="AA190" s="79">
        <f>'BASE FACTURACION 2025'!$C$3</f>
        <v>122645.45276000001</v>
      </c>
      <c r="AB190" s="79">
        <f>'BASE FACTURACION 2025'!$F$3</f>
        <v>65164.677720000007</v>
      </c>
      <c r="AC190" s="79">
        <f t="shared" si="2"/>
        <v>122645.45276000001</v>
      </c>
    </row>
    <row r="191" spans="1:29" s="80" customFormat="1" ht="13.15">
      <c r="A191" s="64" t="s">
        <v>180</v>
      </c>
      <c r="B191" s="65" t="str">
        <f>VLOOKUP(A191,'CENTRO DE COSTOS'!A:D,4,FALSE)</f>
        <v>DIEGO FERNANDO HENAO CARDONA</v>
      </c>
      <c r="C191" s="65" t="str">
        <f>VLOOKUP(A191,'CENTRO DE COSTOS'!A:D,2,FALSE)</f>
        <v>0004-0003</v>
      </c>
      <c r="D191" s="64">
        <v>76275</v>
      </c>
      <c r="E191" s="66" t="s">
        <v>1215</v>
      </c>
      <c r="F191" s="67">
        <v>80944</v>
      </c>
      <c r="G191" s="68" t="s">
        <v>90</v>
      </c>
      <c r="H191" s="69" t="s">
        <v>91</v>
      </c>
      <c r="I191" s="67" t="s">
        <v>380</v>
      </c>
      <c r="J191" s="70" t="s">
        <v>1216</v>
      </c>
      <c r="K191" s="67" t="s">
        <v>1217</v>
      </c>
      <c r="L191" s="71" t="s">
        <v>95</v>
      </c>
      <c r="M191" s="72" t="s">
        <v>1218</v>
      </c>
      <c r="N191" s="73">
        <v>45880</v>
      </c>
      <c r="O191" s="74">
        <v>45883</v>
      </c>
      <c r="P191" s="75" t="s">
        <v>97</v>
      </c>
      <c r="Q191" s="76" t="s">
        <v>97</v>
      </c>
      <c r="R191" s="64" t="s">
        <v>98</v>
      </c>
      <c r="S191" s="77" t="s">
        <v>1219</v>
      </c>
      <c r="T191" s="74" t="s">
        <v>100</v>
      </c>
      <c r="U191" s="64" t="s">
        <v>1220</v>
      </c>
      <c r="V191" s="70" t="s">
        <v>162</v>
      </c>
      <c r="W191" s="74" t="s">
        <v>103</v>
      </c>
      <c r="X191" s="68" t="s">
        <v>1221</v>
      </c>
      <c r="Y191" s="64">
        <v>1</v>
      </c>
      <c r="Z191" s="78">
        <v>0</v>
      </c>
      <c r="AA191" s="79">
        <f>'BASE FACTURACION 2025'!$C$3</f>
        <v>122645.45276000001</v>
      </c>
      <c r="AB191" s="79">
        <f>'BASE FACTURACION 2025'!$F$3</f>
        <v>65164.677720000007</v>
      </c>
      <c r="AC191" s="79">
        <f t="shared" si="2"/>
        <v>122645.45276000001</v>
      </c>
    </row>
    <row r="192" spans="1:29" s="80" customFormat="1" ht="13.15">
      <c r="A192" s="64" t="s">
        <v>391</v>
      </c>
      <c r="B192" s="65" t="str">
        <f>VLOOKUP(A192,'CENTRO DE COSTOS'!A:D,4,FALSE)</f>
        <v>WILLIAM ASDRUBAL ROZO ROZO</v>
      </c>
      <c r="C192" s="65" t="str">
        <f>VLOOKUP(A192,'CENTRO DE COSTOS'!A:D,2,FALSE)</f>
        <v>0004-0004</v>
      </c>
      <c r="D192" s="64">
        <v>25899</v>
      </c>
      <c r="E192" s="66" t="s">
        <v>1222</v>
      </c>
      <c r="F192" s="67">
        <v>80989</v>
      </c>
      <c r="G192" s="68" t="s">
        <v>90</v>
      </c>
      <c r="H192" s="69" t="s">
        <v>91</v>
      </c>
      <c r="I192" s="67" t="s">
        <v>393</v>
      </c>
      <c r="J192" s="70" t="s">
        <v>912</v>
      </c>
      <c r="K192" s="67" t="s">
        <v>1223</v>
      </c>
      <c r="L192" s="71" t="s">
        <v>95</v>
      </c>
      <c r="M192" s="72" t="s">
        <v>1224</v>
      </c>
      <c r="N192" s="73">
        <v>45880</v>
      </c>
      <c r="O192" s="74">
        <v>45883</v>
      </c>
      <c r="P192" s="75" t="s">
        <v>97</v>
      </c>
      <c r="Q192" s="76" t="s">
        <v>97</v>
      </c>
      <c r="R192" s="64" t="s">
        <v>98</v>
      </c>
      <c r="S192" s="77" t="s">
        <v>1225</v>
      </c>
      <c r="T192" s="74" t="s">
        <v>100</v>
      </c>
      <c r="U192" s="64" t="s">
        <v>1226</v>
      </c>
      <c r="V192" s="70" t="s">
        <v>162</v>
      </c>
      <c r="W192" s="74" t="s">
        <v>103</v>
      </c>
      <c r="X192" s="68" t="s">
        <v>431</v>
      </c>
      <c r="Y192" s="64">
        <v>1</v>
      </c>
      <c r="Z192" s="78">
        <v>0</v>
      </c>
      <c r="AA192" s="79">
        <f>'BASE FACTURACION 2025'!$C$3</f>
        <v>122645.45276000001</v>
      </c>
      <c r="AB192" s="79">
        <f>'BASE FACTURACION 2025'!$F$3</f>
        <v>65164.677720000007</v>
      </c>
      <c r="AC192" s="79">
        <f t="shared" si="2"/>
        <v>122645.45276000001</v>
      </c>
    </row>
    <row r="193" spans="1:29" s="80" customFormat="1" ht="13.15">
      <c r="A193" s="64" t="s">
        <v>391</v>
      </c>
      <c r="B193" s="65" t="str">
        <f>VLOOKUP(A193,'CENTRO DE COSTOS'!A:D,4,FALSE)</f>
        <v>WILLIAM ASDRUBAL ROZO ROZO</v>
      </c>
      <c r="C193" s="65" t="str">
        <f>VLOOKUP(A193,'CENTRO DE COSTOS'!A:D,2,FALSE)</f>
        <v>0004-0004</v>
      </c>
      <c r="D193" s="64">
        <v>11001</v>
      </c>
      <c r="E193" s="66" t="s">
        <v>1227</v>
      </c>
      <c r="F193" s="67">
        <v>80933</v>
      </c>
      <c r="G193" s="68" t="s">
        <v>90</v>
      </c>
      <c r="H193" s="69" t="s">
        <v>182</v>
      </c>
      <c r="I193" s="67" t="s">
        <v>393</v>
      </c>
      <c r="J193" s="70" t="s">
        <v>391</v>
      </c>
      <c r="K193" s="67" t="s">
        <v>1228</v>
      </c>
      <c r="L193" s="71" t="s">
        <v>95</v>
      </c>
      <c r="M193" s="72" t="s">
        <v>1229</v>
      </c>
      <c r="N193" s="73">
        <v>45880</v>
      </c>
      <c r="O193" s="74">
        <v>45881</v>
      </c>
      <c r="P193" s="75" t="s">
        <v>97</v>
      </c>
      <c r="Q193" s="76" t="s">
        <v>97</v>
      </c>
      <c r="R193" s="64" t="s">
        <v>98</v>
      </c>
      <c r="S193" s="77" t="s">
        <v>1230</v>
      </c>
      <c r="T193" s="74" t="s">
        <v>100</v>
      </c>
      <c r="U193" s="64" t="s">
        <v>1231</v>
      </c>
      <c r="V193" s="70" t="s">
        <v>133</v>
      </c>
      <c r="W193" s="74" t="s">
        <v>103</v>
      </c>
      <c r="X193" s="68" t="s">
        <v>431</v>
      </c>
      <c r="Y193" s="64">
        <v>1</v>
      </c>
      <c r="Z193" s="78">
        <v>0</v>
      </c>
      <c r="AA193" s="79">
        <f>'BASE FACTURACION 2025'!$C$3</f>
        <v>122645.45276000001</v>
      </c>
      <c r="AB193" s="79">
        <f>'BASE FACTURACION 2025'!$F$3</f>
        <v>65164.677720000007</v>
      </c>
      <c r="AC193" s="79">
        <f t="shared" si="2"/>
        <v>122645.45276000001</v>
      </c>
    </row>
    <row r="194" spans="1:29" s="80" customFormat="1" ht="13.15">
      <c r="A194" s="64" t="s">
        <v>110</v>
      </c>
      <c r="B194" s="65" t="str">
        <f>VLOOKUP(A194,'CENTRO DE COSTOS'!A:D,4,FALSE)</f>
        <v>DIEGO FERNANDO HENAO CARDONA</v>
      </c>
      <c r="C194" s="65" t="str">
        <f>VLOOKUP(A194,'CENTRO DE COSTOS'!A:D,2,FALSE)</f>
        <v>0004-0003</v>
      </c>
      <c r="D194" s="64">
        <v>52621</v>
      </c>
      <c r="E194" s="66" t="s">
        <v>1232</v>
      </c>
      <c r="F194" s="67">
        <v>80963</v>
      </c>
      <c r="G194" s="68" t="s">
        <v>90</v>
      </c>
      <c r="H194" s="69" t="s">
        <v>91</v>
      </c>
      <c r="I194" s="67" t="s">
        <v>112</v>
      </c>
      <c r="J194" s="70" t="s">
        <v>198</v>
      </c>
      <c r="K194" s="67" t="s">
        <v>1233</v>
      </c>
      <c r="L194" s="71" t="s">
        <v>95</v>
      </c>
      <c r="M194" s="72" t="s">
        <v>1234</v>
      </c>
      <c r="N194" s="73">
        <v>45880</v>
      </c>
      <c r="O194" s="74">
        <v>45881</v>
      </c>
      <c r="P194" s="75" t="s">
        <v>97</v>
      </c>
      <c r="Q194" s="76" t="s">
        <v>97</v>
      </c>
      <c r="R194" s="64" t="s">
        <v>98</v>
      </c>
      <c r="S194" s="77" t="s">
        <v>1235</v>
      </c>
      <c r="T194" s="74" t="s">
        <v>100</v>
      </c>
      <c r="U194" s="64" t="s">
        <v>1236</v>
      </c>
      <c r="V194" s="70" t="s">
        <v>118</v>
      </c>
      <c r="W194" s="74" t="s">
        <v>119</v>
      </c>
      <c r="X194" s="68" t="s">
        <v>120</v>
      </c>
      <c r="Y194" s="64">
        <v>1</v>
      </c>
      <c r="Z194" s="78">
        <v>0</v>
      </c>
      <c r="AA194" s="79">
        <f>'BASE FACTURACION 2025'!$C$3</f>
        <v>122645.45276000001</v>
      </c>
      <c r="AB194" s="79">
        <f>'BASE FACTURACION 2025'!$F$3</f>
        <v>65164.677720000007</v>
      </c>
      <c r="AC194" s="79">
        <f t="shared" si="2"/>
        <v>122645.45276000001</v>
      </c>
    </row>
    <row r="195" spans="1:29" s="80" customFormat="1" ht="13.15">
      <c r="A195" s="64" t="s">
        <v>555</v>
      </c>
      <c r="B195" s="65" t="str">
        <f>VLOOKUP(A195,'CENTRO DE COSTOS'!A:D,4,FALSE)</f>
        <v>JUAN SEBASTIÁN RÍOS CASTRILLÓN</v>
      </c>
      <c r="C195" s="65" t="str">
        <f>VLOOKUP(A195,'CENTRO DE COSTOS'!A:D,2,FALSE)</f>
        <v>0004-0005</v>
      </c>
      <c r="D195" s="64">
        <v>5665</v>
      </c>
      <c r="E195" s="66" t="s">
        <v>1237</v>
      </c>
      <c r="F195" s="67">
        <v>80961</v>
      </c>
      <c r="G195" s="68" t="s">
        <v>90</v>
      </c>
      <c r="H195" s="69" t="s">
        <v>91</v>
      </c>
      <c r="I195" s="67" t="s">
        <v>138</v>
      </c>
      <c r="J195" s="70" t="s">
        <v>1238</v>
      </c>
      <c r="K195" s="67" t="s">
        <v>1239</v>
      </c>
      <c r="L195" s="71" t="s">
        <v>95</v>
      </c>
      <c r="M195" s="72" t="s">
        <v>1240</v>
      </c>
      <c r="N195" s="73">
        <v>45880</v>
      </c>
      <c r="O195" s="74">
        <v>45889</v>
      </c>
      <c r="P195" s="75" t="s">
        <v>97</v>
      </c>
      <c r="Q195" s="76" t="s">
        <v>97</v>
      </c>
      <c r="R195" s="64" t="s">
        <v>98</v>
      </c>
      <c r="S195" s="77" t="s">
        <v>1241</v>
      </c>
      <c r="T195" s="74" t="s">
        <v>100</v>
      </c>
      <c r="U195" s="64" t="s">
        <v>1242</v>
      </c>
      <c r="V195" s="70" t="s">
        <v>189</v>
      </c>
      <c r="W195" s="74" t="s">
        <v>103</v>
      </c>
      <c r="X195" s="68" t="s">
        <v>562</v>
      </c>
      <c r="Y195" s="64">
        <v>1</v>
      </c>
      <c r="Z195" s="78">
        <v>0</v>
      </c>
      <c r="AA195" s="79">
        <f>'BASE FACTURACION 2025'!$C$3</f>
        <v>122645.45276000001</v>
      </c>
      <c r="AB195" s="79">
        <f>'BASE FACTURACION 2025'!$F$3</f>
        <v>65164.677720000007</v>
      </c>
      <c r="AC195" s="79">
        <f t="shared" ref="AC195:AC258" si="3">AA195*Y195+AB195*Z195</f>
        <v>122645.45276000001</v>
      </c>
    </row>
    <row r="196" spans="1:29" s="80" customFormat="1" ht="13.15">
      <c r="A196" s="64" t="s">
        <v>135</v>
      </c>
      <c r="B196" s="65" t="str">
        <f>VLOOKUP(A196,'CENTRO DE COSTOS'!A:D,4,FALSE)</f>
        <v>JUAN SEBASTIÁN RÍOS CASTRILLÓN</v>
      </c>
      <c r="C196" s="65" t="str">
        <f>VLOOKUP(A196,'CENTRO DE COSTOS'!A:D,2,FALSE)</f>
        <v>0004-0005</v>
      </c>
      <c r="D196" s="64">
        <v>5001</v>
      </c>
      <c r="E196" s="66" t="s">
        <v>1243</v>
      </c>
      <c r="F196" s="67">
        <v>80987</v>
      </c>
      <c r="G196" s="68" t="s">
        <v>90</v>
      </c>
      <c r="H196" s="69" t="s">
        <v>91</v>
      </c>
      <c r="I196" s="67" t="s">
        <v>138</v>
      </c>
      <c r="J196" s="70" t="s">
        <v>135</v>
      </c>
      <c r="K196" s="67" t="s">
        <v>1244</v>
      </c>
      <c r="L196" s="71" t="s">
        <v>95</v>
      </c>
      <c r="M196" s="72" t="s">
        <v>1245</v>
      </c>
      <c r="N196" s="73">
        <v>45880</v>
      </c>
      <c r="O196" s="74">
        <v>45882</v>
      </c>
      <c r="P196" s="75" t="s">
        <v>97</v>
      </c>
      <c r="Q196" s="76" t="s">
        <v>97</v>
      </c>
      <c r="R196" s="64" t="s">
        <v>98</v>
      </c>
      <c r="S196" s="77" t="s">
        <v>1246</v>
      </c>
      <c r="T196" s="74" t="s">
        <v>100</v>
      </c>
      <c r="U196" s="64" t="s">
        <v>1247</v>
      </c>
      <c r="V196" s="70" t="s">
        <v>133</v>
      </c>
      <c r="W196" s="74" t="s">
        <v>103</v>
      </c>
      <c r="X196" s="68" t="s">
        <v>1208</v>
      </c>
      <c r="Y196" s="64">
        <v>1</v>
      </c>
      <c r="Z196" s="78">
        <v>0</v>
      </c>
      <c r="AA196" s="79">
        <f>'BASE FACTURACION 2025'!$C$3</f>
        <v>122645.45276000001</v>
      </c>
      <c r="AB196" s="79">
        <f>'BASE FACTURACION 2025'!$F$3</f>
        <v>65164.677720000007</v>
      </c>
      <c r="AC196" s="79">
        <f t="shared" si="3"/>
        <v>122645.45276000001</v>
      </c>
    </row>
    <row r="197" spans="1:29" s="80" customFormat="1" ht="15" customHeight="1">
      <c r="A197" s="64" t="s">
        <v>180</v>
      </c>
      <c r="B197" s="65" t="str">
        <f>VLOOKUP(A197,'CENTRO DE COSTOS'!A:D,4,FALSE)</f>
        <v>DIEGO FERNANDO HENAO CARDONA</v>
      </c>
      <c r="C197" s="65" t="str">
        <f>VLOOKUP(A197,'CENTRO DE COSTOS'!A:D,2,FALSE)</f>
        <v>0004-0003</v>
      </c>
      <c r="D197" s="64">
        <v>19001</v>
      </c>
      <c r="E197" s="66" t="s">
        <v>1248</v>
      </c>
      <c r="F197" s="67">
        <v>80960</v>
      </c>
      <c r="G197" s="68" t="s">
        <v>90</v>
      </c>
      <c r="H197" s="69" t="s">
        <v>91</v>
      </c>
      <c r="I197" s="67" t="s">
        <v>183</v>
      </c>
      <c r="J197" s="70" t="s">
        <v>1249</v>
      </c>
      <c r="K197" s="67" t="s">
        <v>1250</v>
      </c>
      <c r="L197" s="71" t="s">
        <v>95</v>
      </c>
      <c r="M197" s="72" t="s">
        <v>1251</v>
      </c>
      <c r="N197" s="73">
        <v>45880</v>
      </c>
      <c r="O197" s="74">
        <v>45882</v>
      </c>
      <c r="P197" s="75" t="s">
        <v>97</v>
      </c>
      <c r="Q197" s="76" t="s">
        <v>97</v>
      </c>
      <c r="R197" s="64" t="s">
        <v>98</v>
      </c>
      <c r="S197" s="77" t="s">
        <v>1252</v>
      </c>
      <c r="T197" s="74" t="s">
        <v>100</v>
      </c>
      <c r="U197" s="64" t="s">
        <v>1253</v>
      </c>
      <c r="V197" s="70" t="s">
        <v>189</v>
      </c>
      <c r="W197" s="74" t="s">
        <v>103</v>
      </c>
      <c r="X197" s="68" t="s">
        <v>260</v>
      </c>
      <c r="Y197" s="64">
        <v>1</v>
      </c>
      <c r="Z197" s="78">
        <v>0</v>
      </c>
      <c r="AA197" s="79">
        <f>'BASE FACTURACION 2025'!$C$3</f>
        <v>122645.45276000001</v>
      </c>
      <c r="AB197" s="79">
        <f>'BASE FACTURACION 2025'!$F$3</f>
        <v>65164.677720000007</v>
      </c>
      <c r="AC197" s="79">
        <f t="shared" si="3"/>
        <v>122645.45276000001</v>
      </c>
    </row>
    <row r="198" spans="1:29" s="80" customFormat="1" ht="15" customHeight="1">
      <c r="A198" s="64" t="s">
        <v>391</v>
      </c>
      <c r="B198" s="65" t="str">
        <f>VLOOKUP(A198,'CENTRO DE COSTOS'!A:D,4,FALSE)</f>
        <v>WILLIAM ASDRUBAL ROZO ROZO</v>
      </c>
      <c r="C198" s="65" t="str">
        <f>VLOOKUP(A198,'CENTRO DE COSTOS'!A:D,2,FALSE)</f>
        <v>0004-0004</v>
      </c>
      <c r="D198" s="64">
        <v>25488</v>
      </c>
      <c r="E198" s="66" t="s">
        <v>1254</v>
      </c>
      <c r="F198" s="67">
        <v>80929</v>
      </c>
      <c r="G198" s="68" t="s">
        <v>90</v>
      </c>
      <c r="H198" s="69" t="s">
        <v>91</v>
      </c>
      <c r="I198" s="67" t="s">
        <v>393</v>
      </c>
      <c r="J198" s="70" t="s">
        <v>1255</v>
      </c>
      <c r="K198" s="67" t="s">
        <v>1256</v>
      </c>
      <c r="L198" s="71" t="s">
        <v>95</v>
      </c>
      <c r="M198" s="72" t="s">
        <v>1257</v>
      </c>
      <c r="N198" s="73">
        <v>45880</v>
      </c>
      <c r="O198" s="74">
        <v>45881</v>
      </c>
      <c r="P198" s="75" t="s">
        <v>97</v>
      </c>
      <c r="Q198" s="76" t="s">
        <v>97</v>
      </c>
      <c r="R198" s="82" t="s">
        <v>98</v>
      </c>
      <c r="S198" s="77" t="s">
        <v>1258</v>
      </c>
      <c r="T198" s="74" t="s">
        <v>100</v>
      </c>
      <c r="U198" s="64" t="s">
        <v>1259</v>
      </c>
      <c r="V198" s="70" t="s">
        <v>189</v>
      </c>
      <c r="W198" s="74" t="s">
        <v>103</v>
      </c>
      <c r="X198" s="68" t="s">
        <v>781</v>
      </c>
      <c r="Y198" s="64">
        <v>1</v>
      </c>
      <c r="Z198" s="78">
        <v>0</v>
      </c>
      <c r="AA198" s="79">
        <f>'BASE FACTURACION 2025'!$C$3</f>
        <v>122645.45276000001</v>
      </c>
      <c r="AB198" s="79">
        <f>'BASE FACTURACION 2025'!$F$3</f>
        <v>65164.677720000007</v>
      </c>
      <c r="AC198" s="79">
        <f t="shared" si="3"/>
        <v>122645.45276000001</v>
      </c>
    </row>
    <row r="199" spans="1:29" s="80" customFormat="1" ht="15" customHeight="1">
      <c r="A199" s="64" t="s">
        <v>135</v>
      </c>
      <c r="B199" s="65" t="str">
        <f>VLOOKUP(A199,'CENTRO DE COSTOS'!A:D,4,FALSE)</f>
        <v>JUAN SEBASTIÁN RÍOS CASTRILLÓN</v>
      </c>
      <c r="C199" s="65" t="str">
        <f>VLOOKUP(A199,'CENTRO DE COSTOS'!A:D,2,FALSE)</f>
        <v>0004-0005</v>
      </c>
      <c r="D199" s="64">
        <v>5148</v>
      </c>
      <c r="E199" s="66" t="s">
        <v>1260</v>
      </c>
      <c r="F199" s="67">
        <v>80981</v>
      </c>
      <c r="G199" s="68" t="s">
        <v>90</v>
      </c>
      <c r="H199" s="69" t="s">
        <v>91</v>
      </c>
      <c r="I199" s="67" t="s">
        <v>138</v>
      </c>
      <c r="J199" s="70" t="s">
        <v>1261</v>
      </c>
      <c r="K199" s="67" t="s">
        <v>1262</v>
      </c>
      <c r="L199" s="71" t="s">
        <v>95</v>
      </c>
      <c r="M199" s="72" t="s">
        <v>1263</v>
      </c>
      <c r="N199" s="73">
        <v>45880</v>
      </c>
      <c r="O199" s="74">
        <v>45882</v>
      </c>
      <c r="P199" s="75" t="s">
        <v>97</v>
      </c>
      <c r="Q199" s="76" t="s">
        <v>97</v>
      </c>
      <c r="R199" s="64" t="s">
        <v>98</v>
      </c>
      <c r="S199" s="77" t="s">
        <v>1264</v>
      </c>
      <c r="T199" s="74" t="s">
        <v>100</v>
      </c>
      <c r="U199" s="64" t="s">
        <v>1265</v>
      </c>
      <c r="V199" s="70" t="s">
        <v>162</v>
      </c>
      <c r="W199" s="74" t="s">
        <v>103</v>
      </c>
      <c r="X199" s="68" t="s">
        <v>299</v>
      </c>
      <c r="Y199" s="64">
        <v>1</v>
      </c>
      <c r="Z199" s="78">
        <v>0</v>
      </c>
      <c r="AA199" s="79">
        <f>'BASE FACTURACION 2025'!$C$3</f>
        <v>122645.45276000001</v>
      </c>
      <c r="AB199" s="79">
        <f>'BASE FACTURACION 2025'!$F$3</f>
        <v>65164.677720000007</v>
      </c>
      <c r="AC199" s="79">
        <f t="shared" si="3"/>
        <v>122645.45276000001</v>
      </c>
    </row>
    <row r="200" spans="1:29" s="80" customFormat="1" ht="15" customHeight="1">
      <c r="A200" s="64" t="s">
        <v>555</v>
      </c>
      <c r="B200" s="65" t="str">
        <f>VLOOKUP(A200,'CENTRO DE COSTOS'!A:D,4,FALSE)</f>
        <v>JUAN SEBASTIÁN RÍOS CASTRILLÓN</v>
      </c>
      <c r="C200" s="65" t="str">
        <f>VLOOKUP(A200,'CENTRO DE COSTOS'!A:D,2,FALSE)</f>
        <v>0004-0005</v>
      </c>
      <c r="D200" s="64">
        <v>27077</v>
      </c>
      <c r="E200" s="66" t="s">
        <v>1266</v>
      </c>
      <c r="F200" s="67">
        <v>80971</v>
      </c>
      <c r="G200" s="68" t="s">
        <v>90</v>
      </c>
      <c r="H200" s="69" t="s">
        <v>91</v>
      </c>
      <c r="I200" s="67" t="s">
        <v>1267</v>
      </c>
      <c r="J200" s="70" t="s">
        <v>1268</v>
      </c>
      <c r="K200" s="67" t="s">
        <v>1269</v>
      </c>
      <c r="L200" s="71" t="s">
        <v>95</v>
      </c>
      <c r="M200" s="72" t="s">
        <v>1270</v>
      </c>
      <c r="N200" s="73">
        <v>45880</v>
      </c>
      <c r="O200" s="74">
        <v>45890</v>
      </c>
      <c r="P200" s="75" t="s">
        <v>97</v>
      </c>
      <c r="Q200" s="76" t="s">
        <v>97</v>
      </c>
      <c r="R200" s="64" t="s">
        <v>98</v>
      </c>
      <c r="S200" s="77" t="s">
        <v>1271</v>
      </c>
      <c r="T200" s="74" t="s">
        <v>100</v>
      </c>
      <c r="U200" s="64" t="s">
        <v>1272</v>
      </c>
      <c r="V200" s="70" t="s">
        <v>118</v>
      </c>
      <c r="W200" s="74" t="s">
        <v>1273</v>
      </c>
      <c r="X200" s="68" t="s">
        <v>1274</v>
      </c>
      <c r="Y200" s="64">
        <v>1</v>
      </c>
      <c r="Z200" s="78">
        <v>0</v>
      </c>
      <c r="AA200" s="79">
        <f>'BASE FACTURACION 2025'!$C$3</f>
        <v>122645.45276000001</v>
      </c>
      <c r="AB200" s="79">
        <f>'BASE FACTURACION 2025'!$F$3</f>
        <v>65164.677720000007</v>
      </c>
      <c r="AC200" s="79">
        <f t="shared" si="3"/>
        <v>122645.45276000001</v>
      </c>
    </row>
    <row r="201" spans="1:29" s="80" customFormat="1" ht="15" customHeight="1">
      <c r="A201" s="64" t="s">
        <v>135</v>
      </c>
      <c r="B201" s="65" t="str">
        <f>VLOOKUP(A201,'CENTRO DE COSTOS'!A:D,4,FALSE)</f>
        <v>JUAN SEBASTIÁN RÍOS CASTRILLÓN</v>
      </c>
      <c r="C201" s="65" t="str">
        <f>VLOOKUP(A201,'CENTRO DE COSTOS'!A:D,2,FALSE)</f>
        <v>0004-0005</v>
      </c>
      <c r="D201" s="64">
        <v>5667</v>
      </c>
      <c r="E201" s="66" t="s">
        <v>1275</v>
      </c>
      <c r="F201" s="67">
        <v>80962</v>
      </c>
      <c r="G201" s="68" t="s">
        <v>90</v>
      </c>
      <c r="H201" s="69" t="s">
        <v>91</v>
      </c>
      <c r="I201" s="67" t="s">
        <v>138</v>
      </c>
      <c r="J201" s="70" t="s">
        <v>1276</v>
      </c>
      <c r="K201" s="67" t="s">
        <v>1277</v>
      </c>
      <c r="L201" s="71" t="s">
        <v>95</v>
      </c>
      <c r="M201" s="72" t="s">
        <v>1278</v>
      </c>
      <c r="N201" s="73">
        <v>45880</v>
      </c>
      <c r="O201" s="74">
        <v>45882</v>
      </c>
      <c r="P201" s="75" t="s">
        <v>97</v>
      </c>
      <c r="Q201" s="76" t="s">
        <v>97</v>
      </c>
      <c r="R201" s="64" t="s">
        <v>98</v>
      </c>
      <c r="S201" s="77" t="s">
        <v>1279</v>
      </c>
      <c r="T201" s="74" t="s">
        <v>100</v>
      </c>
      <c r="U201" s="64" t="s">
        <v>1280</v>
      </c>
      <c r="V201" s="70" t="s">
        <v>189</v>
      </c>
      <c r="W201" s="74" t="s">
        <v>103</v>
      </c>
      <c r="X201" s="68" t="s">
        <v>609</v>
      </c>
      <c r="Y201" s="64">
        <v>1</v>
      </c>
      <c r="Z201" s="78">
        <v>0</v>
      </c>
      <c r="AA201" s="79">
        <f>'BASE FACTURACION 2025'!$C$3</f>
        <v>122645.45276000001</v>
      </c>
      <c r="AB201" s="79">
        <f>'BASE FACTURACION 2025'!$F$3</f>
        <v>65164.677720000007</v>
      </c>
      <c r="AC201" s="79">
        <f t="shared" si="3"/>
        <v>122645.45276000001</v>
      </c>
    </row>
    <row r="202" spans="1:29" s="80" customFormat="1" ht="15" customHeight="1">
      <c r="A202" s="64" t="s">
        <v>180</v>
      </c>
      <c r="B202" s="65" t="str">
        <f>VLOOKUP(A202,'CENTRO DE COSTOS'!A:D,4,FALSE)</f>
        <v>DIEGO FERNANDO HENAO CARDONA</v>
      </c>
      <c r="C202" s="65" t="str">
        <f>VLOOKUP(A202,'CENTRO DE COSTOS'!A:D,2,FALSE)</f>
        <v>0004-0003</v>
      </c>
      <c r="D202" s="64">
        <v>76520</v>
      </c>
      <c r="E202" s="66" t="s">
        <v>1281</v>
      </c>
      <c r="F202" s="67">
        <v>80952</v>
      </c>
      <c r="G202" s="68" t="s">
        <v>90</v>
      </c>
      <c r="H202" s="69" t="s">
        <v>91</v>
      </c>
      <c r="I202" s="67" t="s">
        <v>380</v>
      </c>
      <c r="J202" s="70" t="s">
        <v>1282</v>
      </c>
      <c r="K202" s="67" t="s">
        <v>1283</v>
      </c>
      <c r="L202" s="71" t="s">
        <v>95</v>
      </c>
      <c r="M202" s="72" t="s">
        <v>1284</v>
      </c>
      <c r="N202" s="73">
        <v>45880</v>
      </c>
      <c r="O202" s="74">
        <v>45881</v>
      </c>
      <c r="P202" s="75" t="s">
        <v>97</v>
      </c>
      <c r="Q202" s="76" t="s">
        <v>97</v>
      </c>
      <c r="R202" s="64" t="s">
        <v>98</v>
      </c>
      <c r="S202" s="77" t="s">
        <v>1285</v>
      </c>
      <c r="T202" s="74" t="s">
        <v>100</v>
      </c>
      <c r="U202" s="64" t="s">
        <v>1286</v>
      </c>
      <c r="V202" s="70" t="s">
        <v>133</v>
      </c>
      <c r="W202" s="74" t="s">
        <v>103</v>
      </c>
      <c r="X202" s="68" t="s">
        <v>1287</v>
      </c>
      <c r="Y202" s="64">
        <v>1</v>
      </c>
      <c r="Z202" s="78">
        <v>0</v>
      </c>
      <c r="AA202" s="79">
        <f>'BASE FACTURACION 2025'!$C$3</f>
        <v>122645.45276000001</v>
      </c>
      <c r="AB202" s="79">
        <f>'BASE FACTURACION 2025'!$F$3</f>
        <v>65164.677720000007</v>
      </c>
      <c r="AC202" s="79">
        <f t="shared" si="3"/>
        <v>122645.45276000001</v>
      </c>
    </row>
    <row r="203" spans="1:29" s="80" customFormat="1" ht="15" customHeight="1">
      <c r="A203" s="64" t="s">
        <v>110</v>
      </c>
      <c r="B203" s="65" t="str">
        <f>VLOOKUP(A203,'CENTRO DE COSTOS'!A:D,4,FALSE)</f>
        <v>DIEGO FERNANDO HENAO CARDONA</v>
      </c>
      <c r="C203" s="65" t="str">
        <f>VLOOKUP(A203,'CENTRO DE COSTOS'!A:D,2,FALSE)</f>
        <v>0004-0003</v>
      </c>
      <c r="D203" s="64">
        <v>52001</v>
      </c>
      <c r="E203" s="66" t="s">
        <v>1288</v>
      </c>
      <c r="F203" s="67">
        <v>80957</v>
      </c>
      <c r="G203" s="68" t="s">
        <v>90</v>
      </c>
      <c r="H203" s="69" t="s">
        <v>182</v>
      </c>
      <c r="I203" s="67" t="s">
        <v>112</v>
      </c>
      <c r="J203" s="70" t="s">
        <v>110</v>
      </c>
      <c r="K203" s="67" t="s">
        <v>1289</v>
      </c>
      <c r="L203" s="71" t="s">
        <v>95</v>
      </c>
      <c r="M203" s="72" t="s">
        <v>1290</v>
      </c>
      <c r="N203" s="73">
        <v>45880</v>
      </c>
      <c r="O203" s="74">
        <v>45882</v>
      </c>
      <c r="P203" s="75" t="s">
        <v>97</v>
      </c>
      <c r="Q203" s="76" t="s">
        <v>97</v>
      </c>
      <c r="R203" s="64" t="s">
        <v>98</v>
      </c>
      <c r="S203" s="77" t="s">
        <v>1291</v>
      </c>
      <c r="T203" s="74" t="s">
        <v>100</v>
      </c>
      <c r="U203" s="64" t="s">
        <v>1292</v>
      </c>
      <c r="V203" s="70" t="s">
        <v>133</v>
      </c>
      <c r="W203" s="74" t="s">
        <v>103</v>
      </c>
      <c r="X203" s="68" t="s">
        <v>1293</v>
      </c>
      <c r="Y203" s="64">
        <v>1</v>
      </c>
      <c r="Z203" s="78">
        <v>0</v>
      </c>
      <c r="AA203" s="79">
        <f>'BASE FACTURACION 2025'!$C$3</f>
        <v>122645.45276000001</v>
      </c>
      <c r="AB203" s="79">
        <f>'BASE FACTURACION 2025'!$F$3</f>
        <v>65164.677720000007</v>
      </c>
      <c r="AC203" s="79">
        <f t="shared" si="3"/>
        <v>122645.45276000001</v>
      </c>
    </row>
    <row r="204" spans="1:29" s="80" customFormat="1" ht="15" customHeight="1">
      <c r="A204" s="64" t="s">
        <v>135</v>
      </c>
      <c r="B204" s="65" t="str">
        <f>VLOOKUP(A204,'CENTRO DE COSTOS'!A:D,4,FALSE)</f>
        <v>JUAN SEBASTIÁN RÍOS CASTRILLÓN</v>
      </c>
      <c r="C204" s="65" t="str">
        <f>VLOOKUP(A204,'CENTRO DE COSTOS'!A:D,2,FALSE)</f>
        <v>0004-0005</v>
      </c>
      <c r="D204" s="64">
        <v>5591</v>
      </c>
      <c r="E204" s="66" t="s">
        <v>1294</v>
      </c>
      <c r="F204" s="67">
        <v>80970</v>
      </c>
      <c r="G204" s="68" t="s">
        <v>90</v>
      </c>
      <c r="H204" s="69" t="s">
        <v>182</v>
      </c>
      <c r="I204" s="67" t="s">
        <v>138</v>
      </c>
      <c r="J204" s="70" t="s">
        <v>1295</v>
      </c>
      <c r="K204" s="67" t="s">
        <v>1296</v>
      </c>
      <c r="L204" s="71" t="s">
        <v>95</v>
      </c>
      <c r="M204" s="72" t="s">
        <v>1297</v>
      </c>
      <c r="N204" s="73">
        <v>45880</v>
      </c>
      <c r="O204" s="74">
        <v>45881</v>
      </c>
      <c r="P204" s="75" t="s">
        <v>97</v>
      </c>
      <c r="Q204" s="76" t="s">
        <v>97</v>
      </c>
      <c r="R204" s="64" t="s">
        <v>98</v>
      </c>
      <c r="S204" s="77" t="s">
        <v>1298</v>
      </c>
      <c r="T204" s="74" t="s">
        <v>100</v>
      </c>
      <c r="U204" s="64" t="s">
        <v>1299</v>
      </c>
      <c r="V204" s="70" t="s">
        <v>102</v>
      </c>
      <c r="W204" s="74" t="s">
        <v>103</v>
      </c>
      <c r="X204" s="68" t="s">
        <v>150</v>
      </c>
      <c r="Y204" s="64">
        <v>1</v>
      </c>
      <c r="Z204" s="78">
        <v>0</v>
      </c>
      <c r="AA204" s="79">
        <f>'BASE FACTURACION 2025'!$C$3</f>
        <v>122645.45276000001</v>
      </c>
      <c r="AB204" s="79">
        <f>'BASE FACTURACION 2025'!$F$3</f>
        <v>65164.677720000007</v>
      </c>
      <c r="AC204" s="79">
        <f t="shared" si="3"/>
        <v>122645.45276000001</v>
      </c>
    </row>
    <row r="205" spans="1:29" s="80" customFormat="1" ht="15" customHeight="1">
      <c r="A205" s="64" t="s">
        <v>245</v>
      </c>
      <c r="B205" s="65" t="str">
        <f>VLOOKUP(A205,'CENTRO DE COSTOS'!A:D,4,FALSE)</f>
        <v>MIGUEL JULIÁN HERNÁNDEZ GUARÍN</v>
      </c>
      <c r="C205" s="65" t="str">
        <f>VLOOKUP(A205,'CENTRO DE COSTOS'!A:D,2,FALSE)</f>
        <v>0004-0008</v>
      </c>
      <c r="D205" s="64">
        <v>54001</v>
      </c>
      <c r="E205" s="66" t="s">
        <v>1300</v>
      </c>
      <c r="F205" s="67">
        <v>80942</v>
      </c>
      <c r="G205" s="68" t="s">
        <v>90</v>
      </c>
      <c r="H205" s="69" t="s">
        <v>91</v>
      </c>
      <c r="I205" s="67" t="s">
        <v>247</v>
      </c>
      <c r="J205" s="70" t="s">
        <v>245</v>
      </c>
      <c r="K205" s="67" t="s">
        <v>1301</v>
      </c>
      <c r="L205" s="71" t="s">
        <v>95</v>
      </c>
      <c r="M205" s="72" t="s">
        <v>1302</v>
      </c>
      <c r="N205" s="73">
        <v>45880</v>
      </c>
      <c r="O205" s="74">
        <v>45883</v>
      </c>
      <c r="P205" s="75" t="s">
        <v>97</v>
      </c>
      <c r="Q205" s="76" t="s">
        <v>97</v>
      </c>
      <c r="R205" s="64" t="s">
        <v>98</v>
      </c>
      <c r="S205" s="77" t="s">
        <v>1303</v>
      </c>
      <c r="T205" s="74" t="s">
        <v>100</v>
      </c>
      <c r="U205" s="64" t="s">
        <v>1304</v>
      </c>
      <c r="V205" s="70" t="s">
        <v>133</v>
      </c>
      <c r="W205" s="74" t="s">
        <v>103</v>
      </c>
      <c r="X205" s="68" t="s">
        <v>325</v>
      </c>
      <c r="Y205" s="64">
        <v>1</v>
      </c>
      <c r="Z205" s="78">
        <v>0</v>
      </c>
      <c r="AA205" s="79">
        <f>'BASE FACTURACION 2025'!$C$3</f>
        <v>122645.45276000001</v>
      </c>
      <c r="AB205" s="79">
        <f>'BASE FACTURACION 2025'!$F$3</f>
        <v>65164.677720000007</v>
      </c>
      <c r="AC205" s="79">
        <f t="shared" si="3"/>
        <v>122645.45276000001</v>
      </c>
    </row>
    <row r="206" spans="1:29" s="80" customFormat="1" ht="15" customHeight="1">
      <c r="A206" s="64" t="s">
        <v>163</v>
      </c>
      <c r="B206" s="65" t="str">
        <f>VLOOKUP(A206,'CENTRO DE COSTOS'!A:D,4,FALSE)</f>
        <v>MIGUEL JULIÁN HERNÁNDEZ GUARÍN</v>
      </c>
      <c r="C206" s="65" t="str">
        <f>VLOOKUP(A206,'CENTRO DE COSTOS'!A:D,2,FALSE)</f>
        <v>0004-0008</v>
      </c>
      <c r="D206" s="64">
        <v>15774</v>
      </c>
      <c r="E206" s="66" t="s">
        <v>1305</v>
      </c>
      <c r="F206" s="67">
        <v>80976</v>
      </c>
      <c r="G206" s="68" t="s">
        <v>90</v>
      </c>
      <c r="H206" s="69" t="s">
        <v>91</v>
      </c>
      <c r="I206" s="67" t="s">
        <v>165</v>
      </c>
      <c r="J206" s="70" t="s">
        <v>1306</v>
      </c>
      <c r="K206" s="67" t="s">
        <v>1307</v>
      </c>
      <c r="L206" s="71" t="s">
        <v>95</v>
      </c>
      <c r="M206" s="72" t="s">
        <v>1308</v>
      </c>
      <c r="N206" s="73">
        <v>45880</v>
      </c>
      <c r="O206" s="74">
        <v>45882</v>
      </c>
      <c r="P206" s="75" t="s">
        <v>97</v>
      </c>
      <c r="Q206" s="76" t="s">
        <v>97</v>
      </c>
      <c r="R206" s="64" t="s">
        <v>98</v>
      </c>
      <c r="S206" s="77" t="s">
        <v>1309</v>
      </c>
      <c r="T206" s="74" t="s">
        <v>100</v>
      </c>
      <c r="U206" s="64" t="s">
        <v>1310</v>
      </c>
      <c r="V206" s="70" t="s">
        <v>189</v>
      </c>
      <c r="W206" s="74" t="s">
        <v>103</v>
      </c>
      <c r="X206" s="68" t="s">
        <v>1311</v>
      </c>
      <c r="Y206" s="64">
        <v>1</v>
      </c>
      <c r="Z206" s="78">
        <v>0</v>
      </c>
      <c r="AA206" s="79">
        <f>'BASE FACTURACION 2025'!$C$3</f>
        <v>122645.45276000001</v>
      </c>
      <c r="AB206" s="79">
        <f>'BASE FACTURACION 2025'!$F$3</f>
        <v>65164.677720000007</v>
      </c>
      <c r="AC206" s="79">
        <f t="shared" si="3"/>
        <v>122645.45276000001</v>
      </c>
    </row>
    <row r="207" spans="1:29" s="80" customFormat="1" ht="15" customHeight="1">
      <c r="A207" s="64" t="s">
        <v>391</v>
      </c>
      <c r="B207" s="65" t="str">
        <f>VLOOKUP(A207,'CENTRO DE COSTOS'!A:D,4,FALSE)</f>
        <v>WILLIAM ASDRUBAL ROZO ROZO</v>
      </c>
      <c r="C207" s="65" t="str">
        <f>VLOOKUP(A207,'CENTRO DE COSTOS'!A:D,2,FALSE)</f>
        <v>0004-0004</v>
      </c>
      <c r="D207" s="64">
        <v>11001</v>
      </c>
      <c r="E207" s="66" t="s">
        <v>1312</v>
      </c>
      <c r="F207" s="67">
        <v>80932</v>
      </c>
      <c r="G207" s="68" t="s">
        <v>90</v>
      </c>
      <c r="H207" s="69" t="s">
        <v>91</v>
      </c>
      <c r="I207" s="67" t="s">
        <v>393</v>
      </c>
      <c r="J207" s="70" t="s">
        <v>391</v>
      </c>
      <c r="K207" s="67" t="s">
        <v>1313</v>
      </c>
      <c r="L207" s="71" t="s">
        <v>95</v>
      </c>
      <c r="M207" s="72" t="s">
        <v>1314</v>
      </c>
      <c r="N207" s="73">
        <v>45880</v>
      </c>
      <c r="O207" s="74">
        <v>45881</v>
      </c>
      <c r="P207" s="75" t="s">
        <v>97</v>
      </c>
      <c r="Q207" s="76" t="s">
        <v>97</v>
      </c>
      <c r="R207" s="64" t="s">
        <v>98</v>
      </c>
      <c r="S207" s="77" t="s">
        <v>1315</v>
      </c>
      <c r="T207" s="74" t="s">
        <v>100</v>
      </c>
      <c r="U207" s="64" t="s">
        <v>1316</v>
      </c>
      <c r="V207" s="70" t="s">
        <v>133</v>
      </c>
      <c r="W207" s="74" t="s">
        <v>103</v>
      </c>
      <c r="X207" s="68" t="s">
        <v>602</v>
      </c>
      <c r="Y207" s="64">
        <v>1</v>
      </c>
      <c r="Z207" s="78">
        <v>0</v>
      </c>
      <c r="AA207" s="79">
        <f>'BASE FACTURACION 2025'!$C$3</f>
        <v>122645.45276000001</v>
      </c>
      <c r="AB207" s="79">
        <f>'BASE FACTURACION 2025'!$F$3</f>
        <v>65164.677720000007</v>
      </c>
      <c r="AC207" s="79">
        <f t="shared" si="3"/>
        <v>122645.45276000001</v>
      </c>
    </row>
    <row r="208" spans="1:29" s="80" customFormat="1" ht="15" customHeight="1">
      <c r="A208" s="64" t="s">
        <v>180</v>
      </c>
      <c r="B208" s="65" t="str">
        <f>VLOOKUP(A208,'CENTRO DE COSTOS'!A:D,4,FALSE)</f>
        <v>DIEGO FERNANDO HENAO CARDONA</v>
      </c>
      <c r="C208" s="65" t="str">
        <f>VLOOKUP(A208,'CENTRO DE COSTOS'!A:D,2,FALSE)</f>
        <v>0004-0003</v>
      </c>
      <c r="D208" s="64">
        <v>76001</v>
      </c>
      <c r="E208" s="66" t="s">
        <v>1317</v>
      </c>
      <c r="F208" s="67">
        <v>80937</v>
      </c>
      <c r="G208" s="68" t="s">
        <v>90</v>
      </c>
      <c r="H208" s="69" t="s">
        <v>91</v>
      </c>
      <c r="I208" s="67" t="s">
        <v>380</v>
      </c>
      <c r="J208" s="70" t="s">
        <v>180</v>
      </c>
      <c r="K208" s="67" t="s">
        <v>1318</v>
      </c>
      <c r="L208" s="71" t="s">
        <v>95</v>
      </c>
      <c r="M208" s="72" t="s">
        <v>1319</v>
      </c>
      <c r="N208" s="73">
        <v>45880</v>
      </c>
      <c r="O208" s="74">
        <v>45882</v>
      </c>
      <c r="P208" s="75" t="s">
        <v>97</v>
      </c>
      <c r="Q208" s="76" t="s">
        <v>97</v>
      </c>
      <c r="R208" s="64" t="s">
        <v>98</v>
      </c>
      <c r="S208" s="77" t="s">
        <v>1320</v>
      </c>
      <c r="T208" s="74" t="s">
        <v>100</v>
      </c>
      <c r="U208" s="64" t="s">
        <v>1321</v>
      </c>
      <c r="V208" s="70" t="s">
        <v>133</v>
      </c>
      <c r="W208" s="74" t="s">
        <v>103</v>
      </c>
      <c r="X208" s="68" t="s">
        <v>1322</v>
      </c>
      <c r="Y208" s="64">
        <v>1</v>
      </c>
      <c r="Z208" s="78">
        <v>0</v>
      </c>
      <c r="AA208" s="79">
        <f>'BASE FACTURACION 2025'!$C$3</f>
        <v>122645.45276000001</v>
      </c>
      <c r="AB208" s="79">
        <f>'BASE FACTURACION 2025'!$F$3</f>
        <v>65164.677720000007</v>
      </c>
      <c r="AC208" s="79">
        <f t="shared" si="3"/>
        <v>122645.45276000001</v>
      </c>
    </row>
    <row r="209" spans="1:29" s="80" customFormat="1" ht="15" customHeight="1">
      <c r="A209" s="64" t="s">
        <v>163</v>
      </c>
      <c r="B209" s="65" t="str">
        <f>VLOOKUP(A209,'CENTRO DE COSTOS'!A:D,4,FALSE)</f>
        <v>MIGUEL JULIÁN HERNÁNDEZ GUARÍN</v>
      </c>
      <c r="C209" s="65" t="str">
        <f>VLOOKUP(A209,'CENTRO DE COSTOS'!A:D,2,FALSE)</f>
        <v>0004-0008</v>
      </c>
      <c r="D209" s="64">
        <v>15407</v>
      </c>
      <c r="E209" s="66" t="s">
        <v>1323</v>
      </c>
      <c r="F209" s="67">
        <v>80978</v>
      </c>
      <c r="G209" s="68" t="s">
        <v>90</v>
      </c>
      <c r="H209" s="69" t="s">
        <v>91</v>
      </c>
      <c r="I209" s="67" t="s">
        <v>165</v>
      </c>
      <c r="J209" s="70" t="s">
        <v>1324</v>
      </c>
      <c r="K209" s="67" t="s">
        <v>1325</v>
      </c>
      <c r="L209" s="71" t="s">
        <v>95</v>
      </c>
      <c r="M209" s="72" t="s">
        <v>1326</v>
      </c>
      <c r="N209" s="73">
        <v>45880</v>
      </c>
      <c r="O209" s="74">
        <v>45882</v>
      </c>
      <c r="P209" s="75" t="s">
        <v>97</v>
      </c>
      <c r="Q209" s="76" t="s">
        <v>97</v>
      </c>
      <c r="R209" s="64" t="s">
        <v>98</v>
      </c>
      <c r="S209" s="77" t="s">
        <v>1327</v>
      </c>
      <c r="T209" s="74" t="s">
        <v>100</v>
      </c>
      <c r="U209" s="64" t="s">
        <v>1328</v>
      </c>
      <c r="V209" s="70" t="s">
        <v>162</v>
      </c>
      <c r="W209" s="74" t="s">
        <v>103</v>
      </c>
      <c r="X209" s="68" t="s">
        <v>1036</v>
      </c>
      <c r="Y209" s="64">
        <v>1</v>
      </c>
      <c r="Z209" s="78">
        <v>0</v>
      </c>
      <c r="AA209" s="79">
        <f>'BASE FACTURACION 2025'!$C$3</f>
        <v>122645.45276000001</v>
      </c>
      <c r="AB209" s="79">
        <f>'BASE FACTURACION 2025'!$F$3</f>
        <v>65164.677720000007</v>
      </c>
      <c r="AC209" s="79">
        <f t="shared" si="3"/>
        <v>122645.45276000001</v>
      </c>
    </row>
    <row r="210" spans="1:29" s="80" customFormat="1" ht="15" customHeight="1">
      <c r="A210" s="64" t="s">
        <v>180</v>
      </c>
      <c r="B210" s="65" t="str">
        <f>VLOOKUP(A210,'CENTRO DE COSTOS'!A:D,4,FALSE)</f>
        <v>DIEGO FERNANDO HENAO CARDONA</v>
      </c>
      <c r="C210" s="65" t="str">
        <f>VLOOKUP(A210,'CENTRO DE COSTOS'!A:D,2,FALSE)</f>
        <v>0004-0003</v>
      </c>
      <c r="D210" s="64">
        <v>76001</v>
      </c>
      <c r="E210" s="66" t="s">
        <v>1329</v>
      </c>
      <c r="F210" s="67">
        <v>80936</v>
      </c>
      <c r="G210" s="68" t="s">
        <v>90</v>
      </c>
      <c r="H210" s="69" t="s">
        <v>91</v>
      </c>
      <c r="I210" s="67" t="s">
        <v>380</v>
      </c>
      <c r="J210" s="70" t="s">
        <v>180</v>
      </c>
      <c r="K210" s="67" t="s">
        <v>1330</v>
      </c>
      <c r="L210" s="71" t="s">
        <v>95</v>
      </c>
      <c r="M210" s="72" t="s">
        <v>1331</v>
      </c>
      <c r="N210" s="73">
        <v>45880</v>
      </c>
      <c r="O210" s="74">
        <v>45881</v>
      </c>
      <c r="P210" s="75" t="s">
        <v>97</v>
      </c>
      <c r="Q210" s="76" t="s">
        <v>97</v>
      </c>
      <c r="R210" s="64" t="s">
        <v>98</v>
      </c>
      <c r="S210" s="77" t="s">
        <v>1332</v>
      </c>
      <c r="T210" s="74" t="s">
        <v>100</v>
      </c>
      <c r="U210" s="64" t="s">
        <v>1333</v>
      </c>
      <c r="V210" s="70" t="s">
        <v>133</v>
      </c>
      <c r="W210" s="74" t="s">
        <v>103</v>
      </c>
      <c r="X210" s="68" t="s">
        <v>1221</v>
      </c>
      <c r="Y210" s="64">
        <v>1</v>
      </c>
      <c r="Z210" s="78">
        <v>0</v>
      </c>
      <c r="AA210" s="79">
        <f>'BASE FACTURACION 2025'!$C$3</f>
        <v>122645.45276000001</v>
      </c>
      <c r="AB210" s="79">
        <f>'BASE FACTURACION 2025'!$F$3</f>
        <v>65164.677720000007</v>
      </c>
      <c r="AC210" s="79">
        <f t="shared" si="3"/>
        <v>122645.45276000001</v>
      </c>
    </row>
    <row r="211" spans="1:29" s="80" customFormat="1" ht="15" customHeight="1">
      <c r="A211" s="64" t="s">
        <v>163</v>
      </c>
      <c r="B211" s="65" t="str">
        <f>VLOOKUP(A211,'CENTRO DE COSTOS'!A:D,4,FALSE)</f>
        <v>MIGUEL JULIÁN HERNÁNDEZ GUARÍN</v>
      </c>
      <c r="C211" s="65" t="str">
        <f>VLOOKUP(A211,'CENTRO DE COSTOS'!A:D,2,FALSE)</f>
        <v>0004-0008</v>
      </c>
      <c r="D211" s="64">
        <v>15774</v>
      </c>
      <c r="E211" s="66" t="s">
        <v>1334</v>
      </c>
      <c r="F211" s="67">
        <v>80977</v>
      </c>
      <c r="G211" s="68" t="s">
        <v>90</v>
      </c>
      <c r="H211" s="69" t="s">
        <v>182</v>
      </c>
      <c r="I211" s="67" t="s">
        <v>165</v>
      </c>
      <c r="J211" s="70" t="s">
        <v>1306</v>
      </c>
      <c r="K211" s="67" t="s">
        <v>1335</v>
      </c>
      <c r="L211" s="71" t="s">
        <v>95</v>
      </c>
      <c r="M211" s="72" t="s">
        <v>1336</v>
      </c>
      <c r="N211" s="73">
        <v>45880</v>
      </c>
      <c r="O211" s="74">
        <v>45882</v>
      </c>
      <c r="P211" s="75" t="s">
        <v>97</v>
      </c>
      <c r="Q211" s="76" t="s">
        <v>97</v>
      </c>
      <c r="R211" s="64" t="s">
        <v>98</v>
      </c>
      <c r="S211" s="77" t="s">
        <v>1337</v>
      </c>
      <c r="T211" s="74" t="s">
        <v>100</v>
      </c>
      <c r="U211" s="64" t="s">
        <v>1338</v>
      </c>
      <c r="V211" s="70" t="s">
        <v>189</v>
      </c>
      <c r="W211" s="74" t="s">
        <v>103</v>
      </c>
      <c r="X211" s="68" t="s">
        <v>1311</v>
      </c>
      <c r="Y211" s="64">
        <v>1</v>
      </c>
      <c r="Z211" s="78">
        <v>0</v>
      </c>
      <c r="AA211" s="79">
        <f>'BASE FACTURACION 2025'!$C$3</f>
        <v>122645.45276000001</v>
      </c>
      <c r="AB211" s="79">
        <f>'BASE FACTURACION 2025'!$F$3</f>
        <v>65164.677720000007</v>
      </c>
      <c r="AC211" s="79">
        <f t="shared" si="3"/>
        <v>122645.45276000001</v>
      </c>
    </row>
    <row r="212" spans="1:29" s="80" customFormat="1" ht="15" customHeight="1">
      <c r="A212" s="64" t="s">
        <v>391</v>
      </c>
      <c r="B212" s="65" t="str">
        <f>VLOOKUP(A212,'CENTRO DE COSTOS'!A:D,4,FALSE)</f>
        <v>WILLIAM ASDRUBAL ROZO ROZO</v>
      </c>
      <c r="C212" s="65" t="str">
        <f>VLOOKUP(A212,'CENTRO DE COSTOS'!A:D,2,FALSE)</f>
        <v>0004-0004</v>
      </c>
      <c r="D212" s="64">
        <v>11001</v>
      </c>
      <c r="E212" s="66" t="s">
        <v>1339</v>
      </c>
      <c r="F212" s="67">
        <v>80930</v>
      </c>
      <c r="G212" s="68" t="s">
        <v>90</v>
      </c>
      <c r="H212" s="69" t="s">
        <v>91</v>
      </c>
      <c r="I212" s="67" t="s">
        <v>393</v>
      </c>
      <c r="J212" s="70" t="s">
        <v>391</v>
      </c>
      <c r="K212" s="67" t="s">
        <v>1340</v>
      </c>
      <c r="L212" s="71" t="s">
        <v>95</v>
      </c>
      <c r="M212" s="72" t="s">
        <v>1341</v>
      </c>
      <c r="N212" s="73">
        <v>45880</v>
      </c>
      <c r="O212" s="74">
        <v>45881</v>
      </c>
      <c r="P212" s="75" t="s">
        <v>97</v>
      </c>
      <c r="Q212" s="76" t="s">
        <v>97</v>
      </c>
      <c r="R212" s="64" t="s">
        <v>98</v>
      </c>
      <c r="S212" s="77" t="s">
        <v>1342</v>
      </c>
      <c r="T212" s="74" t="s">
        <v>100</v>
      </c>
      <c r="U212" s="64" t="s">
        <v>1343</v>
      </c>
      <c r="V212" s="70" t="s">
        <v>133</v>
      </c>
      <c r="W212" s="74" t="s">
        <v>103</v>
      </c>
      <c r="X212" s="68" t="s">
        <v>917</v>
      </c>
      <c r="Y212" s="64">
        <v>1</v>
      </c>
      <c r="Z212" s="78">
        <v>0</v>
      </c>
      <c r="AA212" s="79">
        <f>'BASE FACTURACION 2025'!$C$3</f>
        <v>122645.45276000001</v>
      </c>
      <c r="AB212" s="79">
        <f>'BASE FACTURACION 2025'!$F$3</f>
        <v>65164.677720000007</v>
      </c>
      <c r="AC212" s="79">
        <f t="shared" si="3"/>
        <v>122645.45276000001</v>
      </c>
    </row>
    <row r="213" spans="1:29" s="80" customFormat="1" ht="15" customHeight="1">
      <c r="A213" s="64" t="s">
        <v>135</v>
      </c>
      <c r="B213" s="65" t="str">
        <f>VLOOKUP(A213,'CENTRO DE COSTOS'!A:D,4,FALSE)</f>
        <v>JUAN SEBASTIÁN RÍOS CASTRILLÓN</v>
      </c>
      <c r="C213" s="65" t="str">
        <f>VLOOKUP(A213,'CENTRO DE COSTOS'!A:D,2,FALSE)</f>
        <v>0004-0005</v>
      </c>
      <c r="D213" s="64">
        <v>5887</v>
      </c>
      <c r="E213" s="66" t="s">
        <v>1344</v>
      </c>
      <c r="F213" s="67">
        <v>80988</v>
      </c>
      <c r="G213" s="68" t="s">
        <v>90</v>
      </c>
      <c r="H213" s="69" t="s">
        <v>91</v>
      </c>
      <c r="I213" s="67" t="s">
        <v>138</v>
      </c>
      <c r="J213" s="70" t="s">
        <v>1345</v>
      </c>
      <c r="K213" s="67" t="s">
        <v>1346</v>
      </c>
      <c r="L213" s="71" t="s">
        <v>95</v>
      </c>
      <c r="M213" s="72" t="s">
        <v>1347</v>
      </c>
      <c r="N213" s="73">
        <v>45880</v>
      </c>
      <c r="O213" s="74">
        <v>45882</v>
      </c>
      <c r="P213" s="75" t="s">
        <v>97</v>
      </c>
      <c r="Q213" s="76" t="s">
        <v>97</v>
      </c>
      <c r="R213" s="64" t="s">
        <v>98</v>
      </c>
      <c r="S213" s="77" t="s">
        <v>1348</v>
      </c>
      <c r="T213" s="74" t="s">
        <v>100</v>
      </c>
      <c r="U213" s="64" t="s">
        <v>1349</v>
      </c>
      <c r="V213" s="70" t="s">
        <v>189</v>
      </c>
      <c r="W213" s="74" t="s">
        <v>103</v>
      </c>
      <c r="X213" s="68" t="s">
        <v>412</v>
      </c>
      <c r="Y213" s="64">
        <v>1</v>
      </c>
      <c r="Z213" s="78">
        <v>0</v>
      </c>
      <c r="AA213" s="79">
        <f>'BASE FACTURACION 2025'!$C$3</f>
        <v>122645.45276000001</v>
      </c>
      <c r="AB213" s="79">
        <f>'BASE FACTURACION 2025'!$F$3</f>
        <v>65164.677720000007</v>
      </c>
      <c r="AC213" s="79">
        <f t="shared" si="3"/>
        <v>122645.45276000001</v>
      </c>
    </row>
    <row r="214" spans="1:29" s="80" customFormat="1" ht="15" customHeight="1">
      <c r="A214" s="64" t="s">
        <v>555</v>
      </c>
      <c r="B214" s="65" t="str">
        <f>VLOOKUP(A214,'CENTRO DE COSTOS'!A:D,4,FALSE)</f>
        <v>JUAN SEBASTIÁN RÍOS CASTRILLÓN</v>
      </c>
      <c r="C214" s="65" t="str">
        <f>VLOOKUP(A214,'CENTRO DE COSTOS'!A:D,2,FALSE)</f>
        <v>0004-0005</v>
      </c>
      <c r="D214" s="64">
        <v>5490</v>
      </c>
      <c r="E214" s="66" t="s">
        <v>1350</v>
      </c>
      <c r="F214" s="67">
        <v>80940</v>
      </c>
      <c r="G214" s="68" t="s">
        <v>90</v>
      </c>
      <c r="H214" s="69" t="s">
        <v>91</v>
      </c>
      <c r="I214" s="67" t="s">
        <v>138</v>
      </c>
      <c r="J214" s="70" t="s">
        <v>557</v>
      </c>
      <c r="K214" s="67" t="s">
        <v>1351</v>
      </c>
      <c r="L214" s="71" t="s">
        <v>95</v>
      </c>
      <c r="M214" s="72" t="s">
        <v>1352</v>
      </c>
      <c r="N214" s="73">
        <v>45880</v>
      </c>
      <c r="O214" s="74">
        <v>45881</v>
      </c>
      <c r="P214" s="75" t="s">
        <v>97</v>
      </c>
      <c r="Q214" s="76" t="s">
        <v>97</v>
      </c>
      <c r="R214" s="64" t="s">
        <v>98</v>
      </c>
      <c r="S214" s="77" t="s">
        <v>1353</v>
      </c>
      <c r="T214" s="74" t="s">
        <v>100</v>
      </c>
      <c r="U214" s="64" t="s">
        <v>1354</v>
      </c>
      <c r="V214" s="70" t="s">
        <v>162</v>
      </c>
      <c r="W214" s="74" t="s">
        <v>103</v>
      </c>
      <c r="X214" s="68" t="s">
        <v>562</v>
      </c>
      <c r="Y214" s="64">
        <v>1</v>
      </c>
      <c r="Z214" s="78">
        <v>0</v>
      </c>
      <c r="AA214" s="79">
        <f>'BASE FACTURACION 2025'!$C$3</f>
        <v>122645.45276000001</v>
      </c>
      <c r="AB214" s="79">
        <f>'BASE FACTURACION 2025'!$F$3</f>
        <v>65164.677720000007</v>
      </c>
      <c r="AC214" s="79">
        <f t="shared" si="3"/>
        <v>122645.45276000001</v>
      </c>
    </row>
    <row r="215" spans="1:29" s="80" customFormat="1" ht="15" customHeight="1">
      <c r="A215" s="64" t="s">
        <v>413</v>
      </c>
      <c r="B215" s="65" t="str">
        <f>VLOOKUP(A215,'CENTRO DE COSTOS'!A:D,4,FALSE)</f>
        <v>DIEGO FERNANDO HENAO CARDONA</v>
      </c>
      <c r="C215" s="65" t="str">
        <f>VLOOKUP(A215,'CENTRO DE COSTOS'!A:D,2,FALSE)</f>
        <v>0004-0002</v>
      </c>
      <c r="D215" s="64">
        <v>66001</v>
      </c>
      <c r="E215" s="66" t="s">
        <v>1355</v>
      </c>
      <c r="F215" s="67">
        <v>80959</v>
      </c>
      <c r="G215" s="68" t="s">
        <v>90</v>
      </c>
      <c r="H215" s="69" t="s">
        <v>91</v>
      </c>
      <c r="I215" s="67" t="s">
        <v>531</v>
      </c>
      <c r="J215" s="70" t="s">
        <v>413</v>
      </c>
      <c r="K215" s="67" t="s">
        <v>1356</v>
      </c>
      <c r="L215" s="71" t="s">
        <v>95</v>
      </c>
      <c r="M215" s="72" t="s">
        <v>1357</v>
      </c>
      <c r="N215" s="73">
        <v>45880</v>
      </c>
      <c r="O215" s="74">
        <v>45881</v>
      </c>
      <c r="P215" s="75" t="s">
        <v>97</v>
      </c>
      <c r="Q215" s="76" t="s">
        <v>97</v>
      </c>
      <c r="R215" s="64" t="s">
        <v>98</v>
      </c>
      <c r="S215" s="77" t="s">
        <v>1358</v>
      </c>
      <c r="T215" s="74" t="s">
        <v>100</v>
      </c>
      <c r="U215" s="64" t="s">
        <v>1359</v>
      </c>
      <c r="V215" s="70" t="s">
        <v>133</v>
      </c>
      <c r="W215" s="74" t="s">
        <v>103</v>
      </c>
      <c r="X215" s="68" t="s">
        <v>469</v>
      </c>
      <c r="Y215" s="64">
        <v>1</v>
      </c>
      <c r="Z215" s="78">
        <v>0</v>
      </c>
      <c r="AA215" s="79">
        <f>'BASE FACTURACION 2025'!$C$3</f>
        <v>122645.45276000001</v>
      </c>
      <c r="AB215" s="79">
        <f>'BASE FACTURACION 2025'!$F$3</f>
        <v>65164.677720000007</v>
      </c>
      <c r="AC215" s="79">
        <f t="shared" si="3"/>
        <v>122645.45276000001</v>
      </c>
    </row>
    <row r="216" spans="1:29" s="80" customFormat="1" ht="15" customHeight="1">
      <c r="A216" s="64" t="s">
        <v>110</v>
      </c>
      <c r="B216" s="65" t="str">
        <f>VLOOKUP(A216,'CENTRO DE COSTOS'!A:D,4,FALSE)</f>
        <v>DIEGO FERNANDO HENAO CARDONA</v>
      </c>
      <c r="C216" s="65" t="str">
        <f>VLOOKUP(A216,'CENTRO DE COSTOS'!A:D,2,FALSE)</f>
        <v>0004-0003</v>
      </c>
      <c r="D216" s="64">
        <v>52001</v>
      </c>
      <c r="E216" s="66" t="s">
        <v>1360</v>
      </c>
      <c r="F216" s="67">
        <v>80956</v>
      </c>
      <c r="G216" s="68" t="s">
        <v>90</v>
      </c>
      <c r="H216" s="69" t="s">
        <v>91</v>
      </c>
      <c r="I216" s="67" t="s">
        <v>112</v>
      </c>
      <c r="J216" s="70" t="s">
        <v>110</v>
      </c>
      <c r="K216" s="67" t="s">
        <v>1361</v>
      </c>
      <c r="L216" s="71" t="s">
        <v>95</v>
      </c>
      <c r="M216" s="72" t="s">
        <v>1362</v>
      </c>
      <c r="N216" s="73">
        <v>45880</v>
      </c>
      <c r="O216" s="74">
        <v>45881</v>
      </c>
      <c r="P216" s="75" t="s">
        <v>97</v>
      </c>
      <c r="Q216" s="76" t="s">
        <v>97</v>
      </c>
      <c r="R216" s="64" t="s">
        <v>98</v>
      </c>
      <c r="S216" s="77" t="s">
        <v>1363</v>
      </c>
      <c r="T216" s="74" t="s">
        <v>100</v>
      </c>
      <c r="U216" s="64" t="s">
        <v>1364</v>
      </c>
      <c r="V216" s="70" t="s">
        <v>133</v>
      </c>
      <c r="W216" s="74" t="s">
        <v>103</v>
      </c>
      <c r="X216" s="68" t="s">
        <v>1293</v>
      </c>
      <c r="Y216" s="64">
        <v>1</v>
      </c>
      <c r="Z216" s="78">
        <v>0</v>
      </c>
      <c r="AA216" s="79">
        <f>'BASE FACTURACION 2025'!$C$3</f>
        <v>122645.45276000001</v>
      </c>
      <c r="AB216" s="79">
        <f>'BASE FACTURACION 2025'!$F$3</f>
        <v>65164.677720000007</v>
      </c>
      <c r="AC216" s="79">
        <f t="shared" si="3"/>
        <v>122645.45276000001</v>
      </c>
    </row>
    <row r="217" spans="1:29" s="80" customFormat="1" ht="15" customHeight="1">
      <c r="A217" s="64" t="s">
        <v>163</v>
      </c>
      <c r="B217" s="65" t="str">
        <f>VLOOKUP(A217,'CENTRO DE COSTOS'!A:D,4,FALSE)</f>
        <v>MIGUEL JULIÁN HERNÁNDEZ GUARÍN</v>
      </c>
      <c r="C217" s="65" t="str">
        <f>VLOOKUP(A217,'CENTRO DE COSTOS'!A:D,2,FALSE)</f>
        <v>0004-0008</v>
      </c>
      <c r="D217" s="64">
        <v>15001</v>
      </c>
      <c r="E217" s="66" t="s">
        <v>1365</v>
      </c>
      <c r="F217" s="67">
        <v>80972</v>
      </c>
      <c r="G217" s="68" t="s">
        <v>90</v>
      </c>
      <c r="H217" s="69" t="s">
        <v>91</v>
      </c>
      <c r="I217" s="67" t="s">
        <v>165</v>
      </c>
      <c r="J217" s="70" t="s">
        <v>163</v>
      </c>
      <c r="K217" s="67" t="s">
        <v>1366</v>
      </c>
      <c r="L217" s="71" t="s">
        <v>95</v>
      </c>
      <c r="M217" s="72" t="s">
        <v>1367</v>
      </c>
      <c r="N217" s="73">
        <v>45880</v>
      </c>
      <c r="O217" s="74">
        <v>45881</v>
      </c>
      <c r="P217" s="75" t="s">
        <v>97</v>
      </c>
      <c r="Q217" s="76" t="s">
        <v>97</v>
      </c>
      <c r="R217" s="64" t="s">
        <v>98</v>
      </c>
      <c r="S217" s="77" t="s">
        <v>1368</v>
      </c>
      <c r="T217" s="74" t="s">
        <v>100</v>
      </c>
      <c r="U217" s="64" t="s">
        <v>1369</v>
      </c>
      <c r="V217" s="70" t="s">
        <v>133</v>
      </c>
      <c r="W217" s="74" t="s">
        <v>103</v>
      </c>
      <c r="X217" s="68" t="s">
        <v>1036</v>
      </c>
      <c r="Y217" s="64">
        <v>1</v>
      </c>
      <c r="Z217" s="78">
        <v>0</v>
      </c>
      <c r="AA217" s="79">
        <f>'BASE FACTURACION 2025'!$C$3</f>
        <v>122645.45276000001</v>
      </c>
      <c r="AB217" s="79">
        <f>'BASE FACTURACION 2025'!$F$3</f>
        <v>65164.677720000007</v>
      </c>
      <c r="AC217" s="79">
        <f t="shared" si="3"/>
        <v>122645.45276000001</v>
      </c>
    </row>
    <row r="218" spans="1:29" s="80" customFormat="1" ht="15" customHeight="1">
      <c r="A218" s="64" t="s">
        <v>245</v>
      </c>
      <c r="B218" s="65" t="str">
        <f>VLOOKUP(A218,'CENTRO DE COSTOS'!A:D,4,FALSE)</f>
        <v>MIGUEL JULIÁN HERNÁNDEZ GUARÍN</v>
      </c>
      <c r="C218" s="65" t="str">
        <f>VLOOKUP(A218,'CENTRO DE COSTOS'!A:D,2,FALSE)</f>
        <v>0004-0008</v>
      </c>
      <c r="D218" s="64">
        <v>54518</v>
      </c>
      <c r="E218" s="66" t="s">
        <v>1370</v>
      </c>
      <c r="F218" s="67">
        <v>80953</v>
      </c>
      <c r="G218" s="68" t="s">
        <v>90</v>
      </c>
      <c r="H218" s="69" t="s">
        <v>91</v>
      </c>
      <c r="I218" s="67" t="s">
        <v>247</v>
      </c>
      <c r="J218" s="70" t="s">
        <v>1371</v>
      </c>
      <c r="K218" s="67" t="s">
        <v>1372</v>
      </c>
      <c r="L218" s="71" t="s">
        <v>95</v>
      </c>
      <c r="M218" s="72" t="s">
        <v>1373</v>
      </c>
      <c r="N218" s="73">
        <v>45880</v>
      </c>
      <c r="O218" s="74">
        <v>45882</v>
      </c>
      <c r="P218" s="75" t="s">
        <v>97</v>
      </c>
      <c r="Q218" s="76" t="s">
        <v>97</v>
      </c>
      <c r="R218" s="64" t="s">
        <v>98</v>
      </c>
      <c r="S218" s="77" t="s">
        <v>1374</v>
      </c>
      <c r="T218" s="74" t="s">
        <v>100</v>
      </c>
      <c r="U218" s="64" t="s">
        <v>1375</v>
      </c>
      <c r="V218" s="70" t="s">
        <v>189</v>
      </c>
      <c r="W218" s="74" t="s">
        <v>103</v>
      </c>
      <c r="X218" s="68" t="s">
        <v>1376</v>
      </c>
      <c r="Y218" s="64">
        <v>1</v>
      </c>
      <c r="Z218" s="78">
        <v>0</v>
      </c>
      <c r="AA218" s="79">
        <f>'BASE FACTURACION 2025'!$C$3</f>
        <v>122645.45276000001</v>
      </c>
      <c r="AB218" s="79">
        <f>'BASE FACTURACION 2025'!$F$3</f>
        <v>65164.677720000007</v>
      </c>
      <c r="AC218" s="79">
        <f t="shared" si="3"/>
        <v>122645.45276000001</v>
      </c>
    </row>
    <row r="219" spans="1:29" s="80" customFormat="1" ht="15" customHeight="1">
      <c r="A219" s="64" t="s">
        <v>245</v>
      </c>
      <c r="B219" s="65" t="str">
        <f>VLOOKUP(A219,'CENTRO DE COSTOS'!A:D,4,FALSE)</f>
        <v>MIGUEL JULIÁN HERNÁNDEZ GUARÍN</v>
      </c>
      <c r="C219" s="65" t="str">
        <f>VLOOKUP(A219,'CENTRO DE COSTOS'!A:D,2,FALSE)</f>
        <v>0004-0008</v>
      </c>
      <c r="D219" s="64">
        <v>54518</v>
      </c>
      <c r="E219" s="66" t="s">
        <v>1377</v>
      </c>
      <c r="F219" s="67">
        <v>80954</v>
      </c>
      <c r="G219" s="68" t="s">
        <v>90</v>
      </c>
      <c r="H219" s="69" t="s">
        <v>91</v>
      </c>
      <c r="I219" s="67" t="s">
        <v>247</v>
      </c>
      <c r="J219" s="70" t="s">
        <v>1371</v>
      </c>
      <c r="K219" s="67" t="s">
        <v>1378</v>
      </c>
      <c r="L219" s="71" t="s">
        <v>95</v>
      </c>
      <c r="M219" s="72" t="s">
        <v>1379</v>
      </c>
      <c r="N219" s="73">
        <v>45880</v>
      </c>
      <c r="O219" s="74">
        <v>45882</v>
      </c>
      <c r="P219" s="75" t="s">
        <v>97</v>
      </c>
      <c r="Q219" s="76" t="s">
        <v>97</v>
      </c>
      <c r="R219" s="64" t="s">
        <v>98</v>
      </c>
      <c r="S219" s="77" t="s">
        <v>1380</v>
      </c>
      <c r="T219" s="74" t="s">
        <v>100</v>
      </c>
      <c r="U219" s="64" t="s">
        <v>1381</v>
      </c>
      <c r="V219" s="70" t="s">
        <v>189</v>
      </c>
      <c r="W219" s="74" t="s">
        <v>103</v>
      </c>
      <c r="X219" s="68" t="s">
        <v>1376</v>
      </c>
      <c r="Y219" s="64">
        <v>1</v>
      </c>
      <c r="Z219" s="78">
        <v>0</v>
      </c>
      <c r="AA219" s="79">
        <f>'BASE FACTURACION 2025'!$C$3</f>
        <v>122645.45276000001</v>
      </c>
      <c r="AB219" s="79">
        <f>'BASE FACTURACION 2025'!$F$3</f>
        <v>65164.677720000007</v>
      </c>
      <c r="AC219" s="79">
        <f t="shared" si="3"/>
        <v>122645.45276000001</v>
      </c>
    </row>
    <row r="220" spans="1:29" s="80" customFormat="1" ht="15" customHeight="1">
      <c r="A220" s="64" t="s">
        <v>391</v>
      </c>
      <c r="B220" s="65" t="str">
        <f>VLOOKUP(A220,'CENTRO DE COSTOS'!A:D,4,FALSE)</f>
        <v>WILLIAM ASDRUBAL ROZO ROZO</v>
      </c>
      <c r="C220" s="65" t="str">
        <f>VLOOKUP(A220,'CENTRO DE COSTOS'!A:D,2,FALSE)</f>
        <v>0004-0004</v>
      </c>
      <c r="D220" s="64">
        <v>11001</v>
      </c>
      <c r="E220" s="66" t="s">
        <v>1382</v>
      </c>
      <c r="F220" s="67">
        <v>80931</v>
      </c>
      <c r="G220" s="68" t="s">
        <v>90</v>
      </c>
      <c r="H220" s="69" t="s">
        <v>91</v>
      </c>
      <c r="I220" s="67" t="s">
        <v>393</v>
      </c>
      <c r="J220" s="70" t="s">
        <v>391</v>
      </c>
      <c r="K220" s="67" t="s">
        <v>1383</v>
      </c>
      <c r="L220" s="71" t="s">
        <v>95</v>
      </c>
      <c r="M220" s="72" t="s">
        <v>1384</v>
      </c>
      <c r="N220" s="73">
        <v>45880</v>
      </c>
      <c r="O220" s="74">
        <v>45881</v>
      </c>
      <c r="P220" s="75" t="s">
        <v>97</v>
      </c>
      <c r="Q220" s="76" t="s">
        <v>97</v>
      </c>
      <c r="R220" s="64" t="s">
        <v>98</v>
      </c>
      <c r="S220" s="77" t="s">
        <v>1385</v>
      </c>
      <c r="T220" s="74" t="s">
        <v>100</v>
      </c>
      <c r="U220" s="64" t="s">
        <v>1386</v>
      </c>
      <c r="V220" s="70" t="s">
        <v>133</v>
      </c>
      <c r="W220" s="74" t="s">
        <v>103</v>
      </c>
      <c r="X220" s="68" t="s">
        <v>431</v>
      </c>
      <c r="Y220" s="64">
        <v>1</v>
      </c>
      <c r="Z220" s="78">
        <v>0</v>
      </c>
      <c r="AA220" s="79">
        <f>'BASE FACTURACION 2025'!$C$3</f>
        <v>122645.45276000001</v>
      </c>
      <c r="AB220" s="79">
        <f>'BASE FACTURACION 2025'!$F$3</f>
        <v>65164.677720000007</v>
      </c>
      <c r="AC220" s="79">
        <f t="shared" si="3"/>
        <v>122645.45276000001</v>
      </c>
    </row>
    <row r="221" spans="1:29" s="80" customFormat="1" ht="15" customHeight="1">
      <c r="A221" s="64" t="s">
        <v>180</v>
      </c>
      <c r="B221" s="65" t="str">
        <f>VLOOKUP(A221,'CENTRO DE COSTOS'!A:D,4,FALSE)</f>
        <v>DIEGO FERNANDO HENAO CARDONA</v>
      </c>
      <c r="C221" s="65" t="str">
        <f>VLOOKUP(A221,'CENTRO DE COSTOS'!A:D,2,FALSE)</f>
        <v>0004-0003</v>
      </c>
      <c r="D221" s="64">
        <v>76130</v>
      </c>
      <c r="E221" s="66" t="s">
        <v>1387</v>
      </c>
      <c r="F221" s="67">
        <v>80939</v>
      </c>
      <c r="G221" s="68" t="s">
        <v>90</v>
      </c>
      <c r="H221" s="69" t="s">
        <v>91</v>
      </c>
      <c r="I221" s="67" t="s">
        <v>380</v>
      </c>
      <c r="J221" s="70" t="s">
        <v>1173</v>
      </c>
      <c r="K221" s="67" t="s">
        <v>1388</v>
      </c>
      <c r="L221" s="71" t="s">
        <v>95</v>
      </c>
      <c r="M221" s="72" t="s">
        <v>1389</v>
      </c>
      <c r="N221" s="73">
        <v>45880</v>
      </c>
      <c r="O221" s="74">
        <v>45881</v>
      </c>
      <c r="P221" s="75" t="s">
        <v>97</v>
      </c>
      <c r="Q221" s="76" t="s">
        <v>97</v>
      </c>
      <c r="R221" s="64" t="s">
        <v>98</v>
      </c>
      <c r="S221" s="77" t="s">
        <v>1390</v>
      </c>
      <c r="T221" s="74" t="s">
        <v>100</v>
      </c>
      <c r="U221" s="64" t="s">
        <v>1391</v>
      </c>
      <c r="V221" s="70" t="s">
        <v>162</v>
      </c>
      <c r="W221" s="74" t="s">
        <v>103</v>
      </c>
      <c r="X221" s="68" t="s">
        <v>456</v>
      </c>
      <c r="Y221" s="64">
        <v>1</v>
      </c>
      <c r="Z221" s="78">
        <v>0</v>
      </c>
      <c r="AA221" s="79">
        <f>'BASE FACTURACION 2025'!$C$3</f>
        <v>122645.45276000001</v>
      </c>
      <c r="AB221" s="79">
        <f>'BASE FACTURACION 2025'!$F$3</f>
        <v>65164.677720000007</v>
      </c>
      <c r="AC221" s="79">
        <f t="shared" si="3"/>
        <v>122645.45276000001</v>
      </c>
    </row>
    <row r="222" spans="1:29" s="80" customFormat="1" ht="15" customHeight="1">
      <c r="A222" s="64" t="s">
        <v>399</v>
      </c>
      <c r="B222" s="65" t="str">
        <f>VLOOKUP(A222,'CENTRO DE COSTOS'!A:D,4,FALSE)</f>
        <v>DIEGO FERNANDO HENAO CARDONA</v>
      </c>
      <c r="C222" s="65" t="str">
        <f>VLOOKUP(A222,'CENTRO DE COSTOS'!A:D,2,FALSE)</f>
        <v>0004-0002</v>
      </c>
      <c r="D222" s="64">
        <v>17001</v>
      </c>
      <c r="E222" s="66" t="s">
        <v>1392</v>
      </c>
      <c r="F222" s="67">
        <v>80949</v>
      </c>
      <c r="G222" s="68" t="s">
        <v>90</v>
      </c>
      <c r="H222" s="69" t="s">
        <v>91</v>
      </c>
      <c r="I222" s="67" t="s">
        <v>401</v>
      </c>
      <c r="J222" s="70" t="s">
        <v>399</v>
      </c>
      <c r="K222" s="67" t="s">
        <v>1393</v>
      </c>
      <c r="L222" s="71" t="s">
        <v>95</v>
      </c>
      <c r="M222" s="72" t="s">
        <v>1394</v>
      </c>
      <c r="N222" s="73">
        <v>45880</v>
      </c>
      <c r="O222" s="74">
        <v>45881</v>
      </c>
      <c r="P222" s="75" t="s">
        <v>97</v>
      </c>
      <c r="Q222" s="76" t="s">
        <v>97</v>
      </c>
      <c r="R222" s="64" t="s">
        <v>98</v>
      </c>
      <c r="S222" s="77" t="s">
        <v>1395</v>
      </c>
      <c r="T222" s="74" t="s">
        <v>100</v>
      </c>
      <c r="U222" s="64" t="s">
        <v>1396</v>
      </c>
      <c r="V222" s="70" t="s">
        <v>133</v>
      </c>
      <c r="W222" s="74" t="s">
        <v>103</v>
      </c>
      <c r="X222" s="68" t="s">
        <v>406</v>
      </c>
      <c r="Y222" s="64">
        <v>1</v>
      </c>
      <c r="Z222" s="78">
        <v>0</v>
      </c>
      <c r="AA222" s="79">
        <f>'BASE FACTURACION 2025'!$C$3</f>
        <v>122645.45276000001</v>
      </c>
      <c r="AB222" s="79">
        <f>'BASE FACTURACION 2025'!$F$3</f>
        <v>65164.677720000007</v>
      </c>
      <c r="AC222" s="79">
        <f t="shared" si="3"/>
        <v>122645.45276000001</v>
      </c>
    </row>
    <row r="223" spans="1:29" s="80" customFormat="1" ht="15" customHeight="1">
      <c r="A223" s="64" t="s">
        <v>391</v>
      </c>
      <c r="B223" s="65" t="str">
        <f>VLOOKUP(A223,'CENTRO DE COSTOS'!A:D,4,FALSE)</f>
        <v>WILLIAM ASDRUBAL ROZO ROZO</v>
      </c>
      <c r="C223" s="65" t="str">
        <f>VLOOKUP(A223,'CENTRO DE COSTOS'!A:D,2,FALSE)</f>
        <v>0004-0004</v>
      </c>
      <c r="D223" s="64">
        <v>11001</v>
      </c>
      <c r="E223" s="66" t="s">
        <v>1397</v>
      </c>
      <c r="F223" s="67">
        <v>80934</v>
      </c>
      <c r="G223" s="68" t="s">
        <v>90</v>
      </c>
      <c r="H223" s="69" t="s">
        <v>91</v>
      </c>
      <c r="I223" s="67" t="s">
        <v>393</v>
      </c>
      <c r="J223" s="70" t="s">
        <v>391</v>
      </c>
      <c r="K223" s="67" t="s">
        <v>1398</v>
      </c>
      <c r="L223" s="71" t="s">
        <v>95</v>
      </c>
      <c r="M223" s="72" t="s">
        <v>1399</v>
      </c>
      <c r="N223" s="73">
        <v>45880</v>
      </c>
      <c r="O223" s="74">
        <v>45883</v>
      </c>
      <c r="P223" s="75" t="s">
        <v>97</v>
      </c>
      <c r="Q223" s="76" t="s">
        <v>97</v>
      </c>
      <c r="R223" s="64" t="s">
        <v>98</v>
      </c>
      <c r="S223" s="77" t="s">
        <v>1400</v>
      </c>
      <c r="T223" s="74" t="s">
        <v>100</v>
      </c>
      <c r="U223" s="64" t="s">
        <v>1401</v>
      </c>
      <c r="V223" s="70" t="s">
        <v>133</v>
      </c>
      <c r="W223" s="74" t="s">
        <v>103</v>
      </c>
      <c r="X223" s="68" t="s">
        <v>917</v>
      </c>
      <c r="Y223" s="64">
        <v>1</v>
      </c>
      <c r="Z223" s="78">
        <v>0</v>
      </c>
      <c r="AA223" s="79">
        <f>'BASE FACTURACION 2025'!$C$3</f>
        <v>122645.45276000001</v>
      </c>
      <c r="AB223" s="79">
        <f>'BASE FACTURACION 2025'!$F$3</f>
        <v>65164.677720000007</v>
      </c>
      <c r="AC223" s="79">
        <f t="shared" si="3"/>
        <v>122645.45276000001</v>
      </c>
    </row>
    <row r="224" spans="1:29" s="80" customFormat="1" ht="15" customHeight="1">
      <c r="A224" s="64" t="s">
        <v>245</v>
      </c>
      <c r="B224" s="65" t="str">
        <f>VLOOKUP(A224,'CENTRO DE COSTOS'!A:D,4,FALSE)</f>
        <v>MIGUEL JULIÁN HERNÁNDEZ GUARÍN</v>
      </c>
      <c r="C224" s="65" t="str">
        <f>VLOOKUP(A224,'CENTRO DE COSTOS'!A:D,2,FALSE)</f>
        <v>0004-0008</v>
      </c>
      <c r="D224" s="64">
        <v>54001</v>
      </c>
      <c r="E224" s="66" t="s">
        <v>1402</v>
      </c>
      <c r="F224" s="67">
        <v>80941</v>
      </c>
      <c r="G224" s="68" t="s">
        <v>90</v>
      </c>
      <c r="H224" s="69" t="s">
        <v>91</v>
      </c>
      <c r="I224" s="67" t="s">
        <v>247</v>
      </c>
      <c r="J224" s="70" t="s">
        <v>245</v>
      </c>
      <c r="K224" s="67" t="s">
        <v>1403</v>
      </c>
      <c r="L224" s="71" t="s">
        <v>95</v>
      </c>
      <c r="M224" s="72" t="s">
        <v>1404</v>
      </c>
      <c r="N224" s="73">
        <v>45880</v>
      </c>
      <c r="O224" s="74">
        <v>45881</v>
      </c>
      <c r="P224" s="75" t="s">
        <v>97</v>
      </c>
      <c r="Q224" s="76" t="s">
        <v>97</v>
      </c>
      <c r="R224" s="64" t="s">
        <v>98</v>
      </c>
      <c r="S224" s="77" t="s">
        <v>1405</v>
      </c>
      <c r="T224" s="74" t="s">
        <v>100</v>
      </c>
      <c r="U224" s="64" t="s">
        <v>1406</v>
      </c>
      <c r="V224" s="70" t="s">
        <v>133</v>
      </c>
      <c r="W224" s="74" t="s">
        <v>103</v>
      </c>
      <c r="X224" s="68" t="s">
        <v>319</v>
      </c>
      <c r="Y224" s="64">
        <v>1</v>
      </c>
      <c r="Z224" s="78">
        <v>0</v>
      </c>
      <c r="AA224" s="79">
        <f>'BASE FACTURACION 2025'!$C$3</f>
        <v>122645.45276000001</v>
      </c>
      <c r="AB224" s="79">
        <f>'BASE FACTURACION 2025'!$F$3</f>
        <v>65164.677720000007</v>
      </c>
      <c r="AC224" s="79">
        <f t="shared" si="3"/>
        <v>122645.45276000001</v>
      </c>
    </row>
    <row r="225" spans="1:29" s="80" customFormat="1" ht="15" customHeight="1">
      <c r="A225" s="64" t="s">
        <v>331</v>
      </c>
      <c r="B225" s="65" t="str">
        <f>VLOOKUP(A225,'CENTRO DE COSTOS'!A:D,4,FALSE)</f>
        <v>JOSE MAURICIO HERNANDEZ ROJAS</v>
      </c>
      <c r="C225" s="65" t="str">
        <f>VLOOKUP(A225,'CENTRO DE COSTOS'!A:D,2,FALSE)</f>
        <v>0004-0001</v>
      </c>
      <c r="D225" s="64">
        <v>70001</v>
      </c>
      <c r="E225" s="66" t="s">
        <v>1407</v>
      </c>
      <c r="F225" s="67">
        <v>80968</v>
      </c>
      <c r="G225" s="68" t="s">
        <v>90</v>
      </c>
      <c r="H225" s="69" t="s">
        <v>91</v>
      </c>
      <c r="I225" s="67" t="s">
        <v>333</v>
      </c>
      <c r="J225" s="70" t="s">
        <v>331</v>
      </c>
      <c r="K225" s="67" t="s">
        <v>1408</v>
      </c>
      <c r="L225" s="71" t="s">
        <v>95</v>
      </c>
      <c r="M225" s="72" t="s">
        <v>1409</v>
      </c>
      <c r="N225" s="73">
        <v>45880</v>
      </c>
      <c r="O225" s="74">
        <v>45881</v>
      </c>
      <c r="P225" s="75" t="s">
        <v>97</v>
      </c>
      <c r="Q225" s="76" t="s">
        <v>97</v>
      </c>
      <c r="R225" s="64" t="s">
        <v>98</v>
      </c>
      <c r="S225" s="77" t="s">
        <v>1410</v>
      </c>
      <c r="T225" s="74" t="s">
        <v>100</v>
      </c>
      <c r="U225" s="64" t="s">
        <v>1411</v>
      </c>
      <c r="V225" s="70" t="s">
        <v>133</v>
      </c>
      <c r="W225" s="74" t="s">
        <v>103</v>
      </c>
      <c r="X225" s="68" t="s">
        <v>338</v>
      </c>
      <c r="Y225" s="64">
        <v>1</v>
      </c>
      <c r="Z225" s="78">
        <v>0</v>
      </c>
      <c r="AA225" s="79">
        <f>'BASE FACTURACION 2025'!$C$3</f>
        <v>122645.45276000001</v>
      </c>
      <c r="AB225" s="79">
        <f>'BASE FACTURACION 2025'!$F$3</f>
        <v>65164.677720000007</v>
      </c>
      <c r="AC225" s="79">
        <f t="shared" si="3"/>
        <v>122645.45276000001</v>
      </c>
    </row>
    <row r="226" spans="1:29" s="80" customFormat="1" ht="15" customHeight="1">
      <c r="A226" s="64" t="s">
        <v>413</v>
      </c>
      <c r="B226" s="65" t="str">
        <f>VLOOKUP(A226,'CENTRO DE COSTOS'!A:D,4,FALSE)</f>
        <v>DIEGO FERNANDO HENAO CARDONA</v>
      </c>
      <c r="C226" s="65" t="str">
        <f>VLOOKUP(A226,'CENTRO DE COSTOS'!A:D,2,FALSE)</f>
        <v>0004-0002</v>
      </c>
      <c r="D226" s="64">
        <v>66001</v>
      </c>
      <c r="E226" s="66" t="s">
        <v>1412</v>
      </c>
      <c r="F226" s="67">
        <v>80958</v>
      </c>
      <c r="G226" s="68" t="s">
        <v>90</v>
      </c>
      <c r="H226" s="69" t="s">
        <v>182</v>
      </c>
      <c r="I226" s="67" t="s">
        <v>531</v>
      </c>
      <c r="J226" s="70" t="s">
        <v>413</v>
      </c>
      <c r="K226" s="67" t="s">
        <v>1413</v>
      </c>
      <c r="L226" s="71" t="s">
        <v>95</v>
      </c>
      <c r="M226" s="72" t="s">
        <v>1414</v>
      </c>
      <c r="N226" s="73">
        <v>45880</v>
      </c>
      <c r="O226" s="74">
        <v>45881</v>
      </c>
      <c r="P226" s="75" t="s">
        <v>97</v>
      </c>
      <c r="Q226" s="76" t="s">
        <v>97</v>
      </c>
      <c r="R226" s="64" t="s">
        <v>98</v>
      </c>
      <c r="S226" s="77" t="s">
        <v>1415</v>
      </c>
      <c r="T226" s="74" t="s">
        <v>100</v>
      </c>
      <c r="U226" s="64" t="s">
        <v>1416</v>
      </c>
      <c r="V226" s="70" t="s">
        <v>133</v>
      </c>
      <c r="W226" s="74" t="s">
        <v>103</v>
      </c>
      <c r="X226" s="68" t="s">
        <v>469</v>
      </c>
      <c r="Y226" s="64">
        <v>1</v>
      </c>
      <c r="Z226" s="78">
        <v>0</v>
      </c>
      <c r="AA226" s="79">
        <f>'BASE FACTURACION 2025'!$C$3</f>
        <v>122645.45276000001</v>
      </c>
      <c r="AB226" s="79">
        <f>'BASE FACTURACION 2025'!$F$3</f>
        <v>65164.677720000007</v>
      </c>
      <c r="AC226" s="79">
        <f t="shared" si="3"/>
        <v>122645.45276000001</v>
      </c>
    </row>
    <row r="227" spans="1:29" s="80" customFormat="1" ht="15" customHeight="1">
      <c r="A227" s="64" t="s">
        <v>135</v>
      </c>
      <c r="B227" s="65" t="str">
        <f>VLOOKUP(A227,'CENTRO DE COSTOS'!A:D,4,FALSE)</f>
        <v>JUAN SEBASTIÁN RÍOS CASTRILLÓN</v>
      </c>
      <c r="C227" s="65" t="str">
        <f>VLOOKUP(A227,'CENTRO DE COSTOS'!A:D,2,FALSE)</f>
        <v>0004-0005</v>
      </c>
      <c r="D227" s="64">
        <v>5001</v>
      </c>
      <c r="E227" s="66" t="s">
        <v>1417</v>
      </c>
      <c r="F227" s="67">
        <v>80985</v>
      </c>
      <c r="G227" s="68" t="s">
        <v>90</v>
      </c>
      <c r="H227" s="69" t="s">
        <v>91</v>
      </c>
      <c r="I227" s="67" t="s">
        <v>138</v>
      </c>
      <c r="J227" s="70" t="s">
        <v>135</v>
      </c>
      <c r="K227" s="67" t="s">
        <v>1418</v>
      </c>
      <c r="L227" s="71" t="s">
        <v>95</v>
      </c>
      <c r="M227" s="72" t="s">
        <v>1419</v>
      </c>
      <c r="N227" s="73">
        <v>45880</v>
      </c>
      <c r="O227" s="74">
        <v>45881</v>
      </c>
      <c r="P227" s="75" t="s">
        <v>97</v>
      </c>
      <c r="Q227" s="76" t="s">
        <v>97</v>
      </c>
      <c r="R227" s="64" t="s">
        <v>98</v>
      </c>
      <c r="S227" s="77" t="s">
        <v>1420</v>
      </c>
      <c r="T227" s="74" t="s">
        <v>100</v>
      </c>
      <c r="U227" s="64" t="s">
        <v>1421</v>
      </c>
      <c r="V227" s="70" t="s">
        <v>133</v>
      </c>
      <c r="W227" s="74" t="s">
        <v>103</v>
      </c>
      <c r="X227" s="68" t="s">
        <v>299</v>
      </c>
      <c r="Y227" s="64">
        <v>1</v>
      </c>
      <c r="Z227" s="78">
        <v>0</v>
      </c>
      <c r="AA227" s="79">
        <f>'BASE FACTURACION 2025'!$C$3</f>
        <v>122645.45276000001</v>
      </c>
      <c r="AB227" s="79">
        <f>'BASE FACTURACION 2025'!$F$3</f>
        <v>65164.677720000007</v>
      </c>
      <c r="AC227" s="79">
        <f t="shared" si="3"/>
        <v>122645.45276000001</v>
      </c>
    </row>
    <row r="228" spans="1:29" s="80" customFormat="1" ht="15" customHeight="1">
      <c r="A228" s="64" t="s">
        <v>135</v>
      </c>
      <c r="B228" s="65" t="str">
        <f>VLOOKUP(A228,'CENTRO DE COSTOS'!A:D,4,FALSE)</f>
        <v>JUAN SEBASTIÁN RÍOS CASTRILLÓN</v>
      </c>
      <c r="C228" s="65" t="str">
        <f>VLOOKUP(A228,'CENTRO DE COSTOS'!A:D,2,FALSE)</f>
        <v>0004-0005</v>
      </c>
      <c r="D228" s="64">
        <v>5001</v>
      </c>
      <c r="E228" s="66" t="s">
        <v>1422</v>
      </c>
      <c r="F228" s="67">
        <v>80986</v>
      </c>
      <c r="G228" s="68" t="s">
        <v>90</v>
      </c>
      <c r="H228" s="69" t="s">
        <v>182</v>
      </c>
      <c r="I228" s="67" t="s">
        <v>138</v>
      </c>
      <c r="J228" s="70" t="s">
        <v>135</v>
      </c>
      <c r="K228" s="67" t="s">
        <v>1423</v>
      </c>
      <c r="L228" s="71" t="s">
        <v>95</v>
      </c>
      <c r="M228" s="72" t="s">
        <v>1424</v>
      </c>
      <c r="N228" s="73">
        <v>45880</v>
      </c>
      <c r="O228" s="74">
        <v>45881</v>
      </c>
      <c r="P228" s="75" t="s">
        <v>97</v>
      </c>
      <c r="Q228" s="76" t="s">
        <v>97</v>
      </c>
      <c r="R228" s="64" t="s">
        <v>98</v>
      </c>
      <c r="S228" s="77" t="s">
        <v>1425</v>
      </c>
      <c r="T228" s="74" t="s">
        <v>100</v>
      </c>
      <c r="U228" s="64" t="s">
        <v>1426</v>
      </c>
      <c r="V228" s="70" t="s">
        <v>133</v>
      </c>
      <c r="W228" s="74" t="s">
        <v>103</v>
      </c>
      <c r="X228" s="68" t="s">
        <v>299</v>
      </c>
      <c r="Y228" s="64">
        <v>1</v>
      </c>
      <c r="Z228" s="78">
        <v>0</v>
      </c>
      <c r="AA228" s="79">
        <f>'BASE FACTURACION 2025'!$C$3</f>
        <v>122645.45276000001</v>
      </c>
      <c r="AB228" s="79">
        <f>'BASE FACTURACION 2025'!$F$3</f>
        <v>65164.677720000007</v>
      </c>
      <c r="AC228" s="79">
        <f t="shared" si="3"/>
        <v>122645.45276000001</v>
      </c>
    </row>
    <row r="229" spans="1:29" s="80" customFormat="1" ht="15" customHeight="1">
      <c r="A229" s="64" t="s">
        <v>413</v>
      </c>
      <c r="B229" s="65" t="str">
        <f>VLOOKUP(A229,'CENTRO DE COSTOS'!A:D,4,FALSE)</f>
        <v>DIEGO FERNANDO HENAO CARDONA</v>
      </c>
      <c r="C229" s="65" t="str">
        <f>VLOOKUP(A229,'CENTRO DE COSTOS'!A:D,2,FALSE)</f>
        <v>0004-0002</v>
      </c>
      <c r="D229" s="64">
        <v>66440</v>
      </c>
      <c r="E229" s="66" t="s">
        <v>1427</v>
      </c>
      <c r="F229" s="67">
        <v>80950</v>
      </c>
      <c r="G229" s="68" t="s">
        <v>90</v>
      </c>
      <c r="H229" s="69" t="s">
        <v>91</v>
      </c>
      <c r="I229" s="67" t="s">
        <v>531</v>
      </c>
      <c r="J229" s="70" t="s">
        <v>1428</v>
      </c>
      <c r="K229" s="67" t="s">
        <v>1429</v>
      </c>
      <c r="L229" s="71" t="s">
        <v>95</v>
      </c>
      <c r="M229" s="72" t="s">
        <v>1430</v>
      </c>
      <c r="N229" s="73">
        <v>45880</v>
      </c>
      <c r="O229" s="74">
        <v>45881</v>
      </c>
      <c r="P229" s="75" t="s">
        <v>97</v>
      </c>
      <c r="Q229" s="76" t="s">
        <v>97</v>
      </c>
      <c r="R229" s="64" t="s">
        <v>98</v>
      </c>
      <c r="S229" s="77" t="s">
        <v>1431</v>
      </c>
      <c r="T229" s="74" t="s">
        <v>100</v>
      </c>
      <c r="U229" s="64" t="s">
        <v>1432</v>
      </c>
      <c r="V229" s="70" t="s">
        <v>162</v>
      </c>
      <c r="W229" s="74" t="s">
        <v>103</v>
      </c>
      <c r="X229" s="68" t="s">
        <v>420</v>
      </c>
      <c r="Y229" s="64">
        <v>1</v>
      </c>
      <c r="Z229" s="78">
        <v>0</v>
      </c>
      <c r="AA229" s="79">
        <f>'BASE FACTURACION 2025'!$C$3</f>
        <v>122645.45276000001</v>
      </c>
      <c r="AB229" s="79">
        <f>'BASE FACTURACION 2025'!$F$3</f>
        <v>65164.677720000007</v>
      </c>
      <c r="AC229" s="79">
        <f t="shared" si="3"/>
        <v>122645.45276000001</v>
      </c>
    </row>
    <row r="230" spans="1:29" s="80" customFormat="1" ht="15" customHeight="1">
      <c r="A230" s="64" t="s">
        <v>413</v>
      </c>
      <c r="B230" s="65" t="str">
        <f>VLOOKUP(A230,'CENTRO DE COSTOS'!A:D,4,FALSE)</f>
        <v>DIEGO FERNANDO HENAO CARDONA</v>
      </c>
      <c r="C230" s="65" t="str">
        <f>VLOOKUP(A230,'CENTRO DE COSTOS'!A:D,2,FALSE)</f>
        <v>0004-0002</v>
      </c>
      <c r="D230" s="64">
        <v>66383</v>
      </c>
      <c r="E230" s="66" t="s">
        <v>1433</v>
      </c>
      <c r="F230" s="67">
        <v>80946</v>
      </c>
      <c r="G230" s="68" t="s">
        <v>90</v>
      </c>
      <c r="H230" s="69" t="s">
        <v>91</v>
      </c>
      <c r="I230" s="67" t="s">
        <v>531</v>
      </c>
      <c r="J230" s="70" t="s">
        <v>1087</v>
      </c>
      <c r="K230" s="67" t="s">
        <v>1434</v>
      </c>
      <c r="L230" s="71" t="s">
        <v>95</v>
      </c>
      <c r="M230" s="72" t="s">
        <v>1435</v>
      </c>
      <c r="N230" s="73">
        <v>45880</v>
      </c>
      <c r="O230" s="74">
        <v>45882</v>
      </c>
      <c r="P230" s="75" t="s">
        <v>97</v>
      </c>
      <c r="Q230" s="76" t="s">
        <v>97</v>
      </c>
      <c r="R230" s="64" t="s">
        <v>98</v>
      </c>
      <c r="S230" s="77" t="s">
        <v>1436</v>
      </c>
      <c r="T230" s="74" t="s">
        <v>100</v>
      </c>
      <c r="U230" s="64" t="s">
        <v>1437</v>
      </c>
      <c r="V230" s="70" t="s">
        <v>162</v>
      </c>
      <c r="W230" s="74" t="s">
        <v>103</v>
      </c>
      <c r="X230" s="68" t="s">
        <v>469</v>
      </c>
      <c r="Y230" s="64">
        <v>1</v>
      </c>
      <c r="Z230" s="78">
        <v>0</v>
      </c>
      <c r="AA230" s="79">
        <f>'BASE FACTURACION 2025'!$C$3</f>
        <v>122645.45276000001</v>
      </c>
      <c r="AB230" s="79">
        <f>'BASE FACTURACION 2025'!$F$3</f>
        <v>65164.677720000007</v>
      </c>
      <c r="AC230" s="79">
        <f t="shared" si="3"/>
        <v>122645.45276000001</v>
      </c>
    </row>
    <row r="231" spans="1:29" s="80" customFormat="1" ht="15" customHeight="1">
      <c r="A231" s="64" t="s">
        <v>391</v>
      </c>
      <c r="B231" s="65" t="str">
        <f>VLOOKUP(A231,'CENTRO DE COSTOS'!A:D,4,FALSE)</f>
        <v>WILLIAM ASDRUBAL ROZO ROZO</v>
      </c>
      <c r="C231" s="65" t="str">
        <f>VLOOKUP(A231,'CENTRO DE COSTOS'!A:D,2,FALSE)</f>
        <v>0004-0004</v>
      </c>
      <c r="D231" s="64">
        <v>11001</v>
      </c>
      <c r="E231" s="66" t="s">
        <v>1438</v>
      </c>
      <c r="F231" s="67">
        <v>80935</v>
      </c>
      <c r="G231" s="68" t="s">
        <v>90</v>
      </c>
      <c r="H231" s="69" t="s">
        <v>91</v>
      </c>
      <c r="I231" s="67" t="s">
        <v>393</v>
      </c>
      <c r="J231" s="70" t="s">
        <v>391</v>
      </c>
      <c r="K231" s="67" t="s">
        <v>1439</v>
      </c>
      <c r="L231" s="71" t="s">
        <v>95</v>
      </c>
      <c r="M231" s="72" t="s">
        <v>1440</v>
      </c>
      <c r="N231" s="73">
        <v>45880</v>
      </c>
      <c r="O231" s="74">
        <v>45881</v>
      </c>
      <c r="P231" s="75" t="s">
        <v>97</v>
      </c>
      <c r="Q231" s="76" t="s">
        <v>97</v>
      </c>
      <c r="R231" s="64" t="s">
        <v>98</v>
      </c>
      <c r="S231" s="77" t="s">
        <v>1441</v>
      </c>
      <c r="T231" s="74" t="s">
        <v>100</v>
      </c>
      <c r="U231" s="64" t="s">
        <v>1442</v>
      </c>
      <c r="V231" s="70" t="s">
        <v>133</v>
      </c>
      <c r="W231" s="74" t="s">
        <v>103</v>
      </c>
      <c r="X231" s="68" t="s">
        <v>602</v>
      </c>
      <c r="Y231" s="64">
        <v>1</v>
      </c>
      <c r="Z231" s="78">
        <v>0</v>
      </c>
      <c r="AA231" s="79">
        <f>'BASE FACTURACION 2025'!$C$3</f>
        <v>122645.45276000001</v>
      </c>
      <c r="AB231" s="79">
        <f>'BASE FACTURACION 2025'!$F$3</f>
        <v>65164.677720000007</v>
      </c>
      <c r="AC231" s="79">
        <f t="shared" si="3"/>
        <v>122645.45276000001</v>
      </c>
    </row>
    <row r="232" spans="1:29" s="80" customFormat="1" ht="15" customHeight="1">
      <c r="A232" s="64" t="s">
        <v>229</v>
      </c>
      <c r="B232" s="65" t="str">
        <f>VLOOKUP(A232,'CENTRO DE COSTOS'!A:D,4,FALSE)</f>
        <v>MIGUEL JULIÁN HERNÁNDEZ GUARÍN</v>
      </c>
      <c r="C232" s="65" t="str">
        <f>VLOOKUP(A232,'CENTRO DE COSTOS'!A:D,2,FALSE)</f>
        <v>0004-0008</v>
      </c>
      <c r="D232" s="64">
        <v>68418</v>
      </c>
      <c r="E232" s="66" t="s">
        <v>1443</v>
      </c>
      <c r="F232" s="67">
        <v>80948</v>
      </c>
      <c r="G232" s="68" t="s">
        <v>90</v>
      </c>
      <c r="H232" s="69" t="s">
        <v>91</v>
      </c>
      <c r="I232" s="67" t="s">
        <v>714</v>
      </c>
      <c r="J232" s="70" t="s">
        <v>1444</v>
      </c>
      <c r="K232" s="67" t="s">
        <v>1445</v>
      </c>
      <c r="L232" s="71" t="s">
        <v>95</v>
      </c>
      <c r="M232" s="72" t="s">
        <v>1446</v>
      </c>
      <c r="N232" s="73">
        <v>45880</v>
      </c>
      <c r="O232" s="74">
        <v>45881</v>
      </c>
      <c r="P232" s="75" t="s">
        <v>97</v>
      </c>
      <c r="Q232" s="76" t="s">
        <v>97</v>
      </c>
      <c r="R232" s="64" t="s">
        <v>98</v>
      </c>
      <c r="S232" s="77" t="s">
        <v>1447</v>
      </c>
      <c r="T232" s="74" t="s">
        <v>100</v>
      </c>
      <c r="U232" s="64" t="s">
        <v>1448</v>
      </c>
      <c r="V232" s="70" t="s">
        <v>162</v>
      </c>
      <c r="W232" s="74" t="s">
        <v>103</v>
      </c>
      <c r="X232" s="68" t="s">
        <v>358</v>
      </c>
      <c r="Y232" s="64">
        <v>1</v>
      </c>
      <c r="Z232" s="78">
        <v>0</v>
      </c>
      <c r="AA232" s="79">
        <f>'BASE FACTURACION 2025'!$C$3</f>
        <v>122645.45276000001</v>
      </c>
      <c r="AB232" s="79">
        <f>'BASE FACTURACION 2025'!$F$3</f>
        <v>65164.677720000007</v>
      </c>
      <c r="AC232" s="79">
        <f t="shared" si="3"/>
        <v>122645.45276000001</v>
      </c>
    </row>
    <row r="233" spans="1:29" s="80" customFormat="1" ht="15" customHeight="1">
      <c r="A233" s="64" t="s">
        <v>622</v>
      </c>
      <c r="B233" s="65" t="str">
        <f>VLOOKUP(A233,'CENTRO DE COSTOS'!A:D,4,FALSE)</f>
        <v>KEVIN ALEXIS CORZO BUSTOS</v>
      </c>
      <c r="C233" s="65" t="str">
        <f>VLOOKUP(A233,'CENTRO DE COSTOS'!A:D,2,FALSE)</f>
        <v>0004-0007</v>
      </c>
      <c r="D233" s="64">
        <v>73001</v>
      </c>
      <c r="E233" s="66" t="s">
        <v>1449</v>
      </c>
      <c r="F233" s="67">
        <v>80945</v>
      </c>
      <c r="G233" s="68" t="s">
        <v>90</v>
      </c>
      <c r="H233" s="69" t="s">
        <v>91</v>
      </c>
      <c r="I233" s="67" t="s">
        <v>624</v>
      </c>
      <c r="J233" s="70" t="s">
        <v>622</v>
      </c>
      <c r="K233" s="67" t="s">
        <v>1450</v>
      </c>
      <c r="L233" s="71" t="s">
        <v>95</v>
      </c>
      <c r="M233" s="72" t="s">
        <v>1451</v>
      </c>
      <c r="N233" s="73">
        <v>45880</v>
      </c>
      <c r="O233" s="74">
        <v>45881</v>
      </c>
      <c r="P233" s="75" t="s">
        <v>97</v>
      </c>
      <c r="Q233" s="76" t="s">
        <v>97</v>
      </c>
      <c r="R233" s="64" t="s">
        <v>98</v>
      </c>
      <c r="S233" s="77" t="s">
        <v>1452</v>
      </c>
      <c r="T233" s="74" t="s">
        <v>100</v>
      </c>
      <c r="U233" s="64" t="s">
        <v>1453</v>
      </c>
      <c r="V233" s="70" t="s">
        <v>133</v>
      </c>
      <c r="W233" s="74" t="s">
        <v>103</v>
      </c>
      <c r="X233" s="68" t="s">
        <v>629</v>
      </c>
      <c r="Y233" s="64">
        <v>1</v>
      </c>
      <c r="Z233" s="78">
        <v>0</v>
      </c>
      <c r="AA233" s="79">
        <f>'BASE FACTURACION 2025'!$C$3</f>
        <v>122645.45276000001</v>
      </c>
      <c r="AB233" s="79">
        <f>'BASE FACTURACION 2025'!$F$3</f>
        <v>65164.677720000007</v>
      </c>
      <c r="AC233" s="79">
        <f t="shared" si="3"/>
        <v>122645.45276000001</v>
      </c>
    </row>
    <row r="234" spans="1:29" s="80" customFormat="1" ht="15" customHeight="1">
      <c r="A234" s="64" t="s">
        <v>220</v>
      </c>
      <c r="B234" s="65" t="str">
        <f>VLOOKUP(A234,'CENTRO DE COSTOS'!A:D,4,FALSE)</f>
        <v>KEVIN ALEXIS CORZO BUSTOS</v>
      </c>
      <c r="C234" s="65" t="str">
        <f>VLOOKUP(A234,'CENTRO DE COSTOS'!A:D,2,FALSE)</f>
        <v>0004-0007</v>
      </c>
      <c r="D234" s="64">
        <v>50001</v>
      </c>
      <c r="E234" s="66" t="s">
        <v>1454</v>
      </c>
      <c r="F234" s="67">
        <v>80923</v>
      </c>
      <c r="G234" s="68" t="s">
        <v>90</v>
      </c>
      <c r="H234" s="69" t="s">
        <v>1122</v>
      </c>
      <c r="I234" s="67" t="s">
        <v>222</v>
      </c>
      <c r="J234" s="70" t="s">
        <v>220</v>
      </c>
      <c r="K234" s="67" t="s">
        <v>1455</v>
      </c>
      <c r="L234" s="71" t="s">
        <v>95</v>
      </c>
      <c r="M234" s="72" t="s">
        <v>1456</v>
      </c>
      <c r="N234" s="73">
        <v>45880</v>
      </c>
      <c r="O234" s="74">
        <v>45881</v>
      </c>
      <c r="P234" s="75" t="s">
        <v>97</v>
      </c>
      <c r="Q234" s="76" t="s">
        <v>97</v>
      </c>
      <c r="R234" s="64" t="s">
        <v>98</v>
      </c>
      <c r="S234" s="77" t="s">
        <v>1457</v>
      </c>
      <c r="T234" s="74" t="s">
        <v>100</v>
      </c>
      <c r="U234" s="64" t="s">
        <v>1458</v>
      </c>
      <c r="V234" s="70" t="s">
        <v>133</v>
      </c>
      <c r="W234" s="74" t="s">
        <v>103</v>
      </c>
      <c r="X234" s="68" t="s">
        <v>293</v>
      </c>
      <c r="Y234" s="64">
        <v>1</v>
      </c>
      <c r="Z234" s="78">
        <v>0</v>
      </c>
      <c r="AA234" s="79">
        <f>'BASE FACTURACION 2025'!$C$3</f>
        <v>122645.45276000001</v>
      </c>
      <c r="AB234" s="79">
        <f>'BASE FACTURACION 2025'!$F$3</f>
        <v>65164.677720000007</v>
      </c>
      <c r="AC234" s="79">
        <f t="shared" si="3"/>
        <v>122645.45276000001</v>
      </c>
    </row>
    <row r="235" spans="1:29" s="80" customFormat="1" ht="15" customHeight="1">
      <c r="A235" s="64" t="s">
        <v>135</v>
      </c>
      <c r="B235" s="65" t="str">
        <f>VLOOKUP(A235,'CENTRO DE COSTOS'!A:D,4,FALSE)</f>
        <v>JUAN SEBASTIÁN RÍOS CASTRILLÓN</v>
      </c>
      <c r="C235" s="65" t="str">
        <f>VLOOKUP(A235,'CENTRO DE COSTOS'!A:D,2,FALSE)</f>
        <v>0004-0005</v>
      </c>
      <c r="D235" s="64">
        <v>5001</v>
      </c>
      <c r="E235" s="66" t="s">
        <v>1459</v>
      </c>
      <c r="F235" s="67">
        <v>81036</v>
      </c>
      <c r="G235" s="68" t="s">
        <v>90</v>
      </c>
      <c r="H235" s="69" t="s">
        <v>137</v>
      </c>
      <c r="I235" s="67" t="s">
        <v>138</v>
      </c>
      <c r="J235" s="70" t="s">
        <v>135</v>
      </c>
      <c r="K235" s="67" t="s">
        <v>1460</v>
      </c>
      <c r="L235" s="71" t="s">
        <v>95</v>
      </c>
      <c r="M235" s="72" t="s">
        <v>1461</v>
      </c>
      <c r="N235" s="73">
        <v>45882</v>
      </c>
      <c r="O235" s="74">
        <v>45883</v>
      </c>
      <c r="P235" s="75" t="s">
        <v>141</v>
      </c>
      <c r="Q235" s="76" t="s">
        <v>142</v>
      </c>
      <c r="R235" s="64" t="s">
        <v>98</v>
      </c>
      <c r="S235" s="77" t="s">
        <v>1462</v>
      </c>
      <c r="T235" s="74" t="s">
        <v>100</v>
      </c>
      <c r="U235" s="64" t="s">
        <v>1463</v>
      </c>
      <c r="V235" s="70" t="s">
        <v>133</v>
      </c>
      <c r="W235" s="74" t="s">
        <v>103</v>
      </c>
      <c r="X235" s="68" t="s">
        <v>150</v>
      </c>
      <c r="Y235" s="64">
        <v>1</v>
      </c>
      <c r="Z235" s="78">
        <v>0</v>
      </c>
      <c r="AA235" s="79">
        <f>'BASE FACTURACION 2025'!$C$3</f>
        <v>122645.45276000001</v>
      </c>
      <c r="AB235" s="79">
        <f>'BASE FACTURACION 2025'!$F$3</f>
        <v>65164.677720000007</v>
      </c>
      <c r="AC235" s="79">
        <f t="shared" si="3"/>
        <v>122645.45276000001</v>
      </c>
    </row>
    <row r="236" spans="1:29" s="80" customFormat="1" ht="15" customHeight="1">
      <c r="A236" s="64" t="s">
        <v>135</v>
      </c>
      <c r="B236" s="65" t="str">
        <f>VLOOKUP(A236,'CENTRO DE COSTOS'!A:D,4,FALSE)</f>
        <v>JUAN SEBASTIÁN RÍOS CASTRILLÓN</v>
      </c>
      <c r="C236" s="65" t="str">
        <f>VLOOKUP(A236,'CENTRO DE COSTOS'!A:D,2,FALSE)</f>
        <v>0004-0005</v>
      </c>
      <c r="D236" s="64">
        <v>5001</v>
      </c>
      <c r="E236" s="66" t="s">
        <v>1464</v>
      </c>
      <c r="F236" s="67">
        <v>81037</v>
      </c>
      <c r="G236" s="68" t="s">
        <v>90</v>
      </c>
      <c r="H236" s="69" t="s">
        <v>137</v>
      </c>
      <c r="I236" s="67" t="s">
        <v>138</v>
      </c>
      <c r="J236" s="70" t="s">
        <v>135</v>
      </c>
      <c r="K236" s="67" t="s">
        <v>1465</v>
      </c>
      <c r="L236" s="71" t="s">
        <v>95</v>
      </c>
      <c r="M236" s="72" t="s">
        <v>1466</v>
      </c>
      <c r="N236" s="73">
        <v>45882</v>
      </c>
      <c r="O236" s="74">
        <v>45883</v>
      </c>
      <c r="P236" s="75" t="s">
        <v>141</v>
      </c>
      <c r="Q236" s="76" t="s">
        <v>142</v>
      </c>
      <c r="R236" s="64" t="s">
        <v>98</v>
      </c>
      <c r="S236" s="77" t="s">
        <v>1462</v>
      </c>
      <c r="T236" s="74" t="s">
        <v>100</v>
      </c>
      <c r="U236" s="64" t="s">
        <v>1467</v>
      </c>
      <c r="V236" s="70" t="s">
        <v>133</v>
      </c>
      <c r="W236" s="74" t="s">
        <v>103</v>
      </c>
      <c r="X236" s="68" t="s">
        <v>150</v>
      </c>
      <c r="Y236" s="64">
        <v>1</v>
      </c>
      <c r="Z236" s="78">
        <v>0</v>
      </c>
      <c r="AA236" s="79">
        <f>'BASE FACTURACION 2025'!$C$3</f>
        <v>122645.45276000001</v>
      </c>
      <c r="AB236" s="79">
        <f>'BASE FACTURACION 2025'!$F$3</f>
        <v>65164.677720000007</v>
      </c>
      <c r="AC236" s="79">
        <f t="shared" si="3"/>
        <v>122645.45276000001</v>
      </c>
    </row>
    <row r="237" spans="1:29" s="80" customFormat="1" ht="15" customHeight="1">
      <c r="A237" s="64" t="s">
        <v>135</v>
      </c>
      <c r="B237" s="65" t="str">
        <f>VLOOKUP(A237,'CENTRO DE COSTOS'!A:D,4,FALSE)</f>
        <v>JUAN SEBASTIÁN RÍOS CASTRILLÓN</v>
      </c>
      <c r="C237" s="65" t="str">
        <f>VLOOKUP(A237,'CENTRO DE COSTOS'!A:D,2,FALSE)</f>
        <v>0004-0005</v>
      </c>
      <c r="D237" s="64">
        <v>5001</v>
      </c>
      <c r="E237" s="66" t="s">
        <v>1468</v>
      </c>
      <c r="F237" s="67">
        <v>81038</v>
      </c>
      <c r="G237" s="68" t="s">
        <v>90</v>
      </c>
      <c r="H237" s="69" t="s">
        <v>137</v>
      </c>
      <c r="I237" s="67" t="s">
        <v>138</v>
      </c>
      <c r="J237" s="70" t="s">
        <v>135</v>
      </c>
      <c r="K237" s="67" t="s">
        <v>1469</v>
      </c>
      <c r="L237" s="71" t="s">
        <v>95</v>
      </c>
      <c r="M237" s="72" t="s">
        <v>1470</v>
      </c>
      <c r="N237" s="73">
        <v>45882</v>
      </c>
      <c r="O237" s="74">
        <v>45884</v>
      </c>
      <c r="P237" s="75" t="s">
        <v>141</v>
      </c>
      <c r="Q237" s="76" t="s">
        <v>142</v>
      </c>
      <c r="R237" s="64" t="s">
        <v>98</v>
      </c>
      <c r="S237" s="77" t="s">
        <v>1471</v>
      </c>
      <c r="T237" s="74" t="s">
        <v>100</v>
      </c>
      <c r="U237" s="64" t="s">
        <v>1472</v>
      </c>
      <c r="V237" s="70" t="s">
        <v>133</v>
      </c>
      <c r="W237" s="74" t="s">
        <v>103</v>
      </c>
      <c r="X237" s="68" t="s">
        <v>412</v>
      </c>
      <c r="Y237" s="64">
        <v>1</v>
      </c>
      <c r="Z237" s="78">
        <v>0</v>
      </c>
      <c r="AA237" s="79">
        <f>'BASE FACTURACION 2025'!$C$3</f>
        <v>122645.45276000001</v>
      </c>
      <c r="AB237" s="79">
        <f>'BASE FACTURACION 2025'!$F$3</f>
        <v>65164.677720000007</v>
      </c>
      <c r="AC237" s="79">
        <f t="shared" si="3"/>
        <v>122645.45276000001</v>
      </c>
    </row>
    <row r="238" spans="1:29" s="80" customFormat="1" ht="15" customHeight="1">
      <c r="A238" s="64" t="s">
        <v>135</v>
      </c>
      <c r="B238" s="65" t="str">
        <f>VLOOKUP(A238,'CENTRO DE COSTOS'!A:D,4,FALSE)</f>
        <v>JUAN SEBASTIÁN RÍOS CASTRILLÓN</v>
      </c>
      <c r="C238" s="65" t="str">
        <f>VLOOKUP(A238,'CENTRO DE COSTOS'!A:D,2,FALSE)</f>
        <v>0004-0005</v>
      </c>
      <c r="D238" s="64">
        <v>5001</v>
      </c>
      <c r="E238" s="66" t="s">
        <v>1473</v>
      </c>
      <c r="F238" s="67">
        <v>81039</v>
      </c>
      <c r="G238" s="68" t="s">
        <v>90</v>
      </c>
      <c r="H238" s="69" t="s">
        <v>137</v>
      </c>
      <c r="I238" s="67" t="s">
        <v>138</v>
      </c>
      <c r="J238" s="70" t="s">
        <v>135</v>
      </c>
      <c r="K238" s="67" t="s">
        <v>1474</v>
      </c>
      <c r="L238" s="71" t="s">
        <v>95</v>
      </c>
      <c r="M238" s="72" t="s">
        <v>1475</v>
      </c>
      <c r="N238" s="73">
        <v>45882</v>
      </c>
      <c r="O238" s="74">
        <v>45884</v>
      </c>
      <c r="P238" s="75" t="s">
        <v>141</v>
      </c>
      <c r="Q238" s="76" t="s">
        <v>142</v>
      </c>
      <c r="R238" s="64" t="s">
        <v>98</v>
      </c>
      <c r="S238" s="77" t="s">
        <v>1471</v>
      </c>
      <c r="T238" s="74" t="s">
        <v>100</v>
      </c>
      <c r="U238" s="64" t="s">
        <v>1476</v>
      </c>
      <c r="V238" s="70" t="s">
        <v>133</v>
      </c>
      <c r="W238" s="74" t="s">
        <v>103</v>
      </c>
      <c r="X238" s="68" t="s">
        <v>412</v>
      </c>
      <c r="Y238" s="64">
        <v>1</v>
      </c>
      <c r="Z238" s="78">
        <v>0</v>
      </c>
      <c r="AA238" s="79">
        <f>'BASE FACTURACION 2025'!$C$3</f>
        <v>122645.45276000001</v>
      </c>
      <c r="AB238" s="79">
        <f>'BASE FACTURACION 2025'!$F$3</f>
        <v>65164.677720000007</v>
      </c>
      <c r="AC238" s="79">
        <f t="shared" si="3"/>
        <v>122645.45276000001</v>
      </c>
    </row>
    <row r="239" spans="1:29" s="80" customFormat="1" ht="15" customHeight="1">
      <c r="A239" s="64" t="s">
        <v>135</v>
      </c>
      <c r="B239" s="65" t="str">
        <f>VLOOKUP(A239,'CENTRO DE COSTOS'!A:D,4,FALSE)</f>
        <v>JUAN SEBASTIÁN RÍOS CASTRILLÓN</v>
      </c>
      <c r="C239" s="65" t="str">
        <f>VLOOKUP(A239,'CENTRO DE COSTOS'!A:D,2,FALSE)</f>
        <v>0004-0005</v>
      </c>
      <c r="D239" s="64">
        <v>5001</v>
      </c>
      <c r="E239" s="66" t="s">
        <v>1477</v>
      </c>
      <c r="F239" s="67">
        <v>81040</v>
      </c>
      <c r="G239" s="68" t="s">
        <v>90</v>
      </c>
      <c r="H239" s="69" t="s">
        <v>137</v>
      </c>
      <c r="I239" s="67" t="s">
        <v>138</v>
      </c>
      <c r="J239" s="70" t="s">
        <v>135</v>
      </c>
      <c r="K239" s="67" t="s">
        <v>1478</v>
      </c>
      <c r="L239" s="71" t="s">
        <v>95</v>
      </c>
      <c r="M239" s="72" t="s">
        <v>1479</v>
      </c>
      <c r="N239" s="73">
        <v>45882</v>
      </c>
      <c r="O239" s="74">
        <v>45883</v>
      </c>
      <c r="P239" s="75" t="s">
        <v>141</v>
      </c>
      <c r="Q239" s="76" t="s">
        <v>142</v>
      </c>
      <c r="R239" s="64" t="s">
        <v>98</v>
      </c>
      <c r="S239" s="77" t="s">
        <v>1462</v>
      </c>
      <c r="T239" s="74" t="s">
        <v>100</v>
      </c>
      <c r="U239" s="64" t="s">
        <v>1480</v>
      </c>
      <c r="V239" s="70" t="s">
        <v>133</v>
      </c>
      <c r="W239" s="74" t="s">
        <v>103</v>
      </c>
      <c r="X239" s="68" t="s">
        <v>412</v>
      </c>
      <c r="Y239" s="64">
        <v>1</v>
      </c>
      <c r="Z239" s="78">
        <v>0</v>
      </c>
      <c r="AA239" s="79">
        <f>'BASE FACTURACION 2025'!$C$3</f>
        <v>122645.45276000001</v>
      </c>
      <c r="AB239" s="79">
        <f>'BASE FACTURACION 2025'!$F$3</f>
        <v>65164.677720000007</v>
      </c>
      <c r="AC239" s="79">
        <f t="shared" si="3"/>
        <v>122645.45276000001</v>
      </c>
    </row>
    <row r="240" spans="1:29" s="80" customFormat="1" ht="15" customHeight="1">
      <c r="A240" s="64" t="s">
        <v>135</v>
      </c>
      <c r="B240" s="65" t="str">
        <f>VLOOKUP(A240,'CENTRO DE COSTOS'!A:D,4,FALSE)</f>
        <v>JUAN SEBASTIÁN RÍOS CASTRILLÓN</v>
      </c>
      <c r="C240" s="65" t="str">
        <f>VLOOKUP(A240,'CENTRO DE COSTOS'!A:D,2,FALSE)</f>
        <v>0004-0005</v>
      </c>
      <c r="D240" s="64">
        <v>5001</v>
      </c>
      <c r="E240" s="66" t="s">
        <v>1481</v>
      </c>
      <c r="F240" s="67">
        <v>81041</v>
      </c>
      <c r="G240" s="68" t="s">
        <v>90</v>
      </c>
      <c r="H240" s="69" t="s">
        <v>137</v>
      </c>
      <c r="I240" s="67" t="s">
        <v>138</v>
      </c>
      <c r="J240" s="70" t="s">
        <v>135</v>
      </c>
      <c r="K240" s="67" t="s">
        <v>1482</v>
      </c>
      <c r="L240" s="71" t="s">
        <v>95</v>
      </c>
      <c r="M240" s="72" t="s">
        <v>1483</v>
      </c>
      <c r="N240" s="73">
        <v>45882</v>
      </c>
      <c r="O240" s="74">
        <v>45884</v>
      </c>
      <c r="P240" s="75" t="s">
        <v>141</v>
      </c>
      <c r="Q240" s="76" t="s">
        <v>633</v>
      </c>
      <c r="R240" s="64" t="s">
        <v>98</v>
      </c>
      <c r="S240" s="77" t="s">
        <v>1471</v>
      </c>
      <c r="T240" s="74" t="s">
        <v>100</v>
      </c>
      <c r="U240" s="64" t="s">
        <v>1484</v>
      </c>
      <c r="V240" s="70" t="s">
        <v>133</v>
      </c>
      <c r="W240" s="74" t="s">
        <v>103</v>
      </c>
      <c r="X240" s="68" t="s">
        <v>1485</v>
      </c>
      <c r="Y240" s="64">
        <v>1</v>
      </c>
      <c r="Z240" s="78">
        <v>0</v>
      </c>
      <c r="AA240" s="79">
        <f>'BASE FACTURACION 2025'!$C$3</f>
        <v>122645.45276000001</v>
      </c>
      <c r="AB240" s="79">
        <f>'BASE FACTURACION 2025'!$F$3</f>
        <v>65164.677720000007</v>
      </c>
      <c r="AC240" s="79">
        <f t="shared" si="3"/>
        <v>122645.45276000001</v>
      </c>
    </row>
    <row r="241" spans="1:29" s="80" customFormat="1" ht="15" customHeight="1">
      <c r="A241" s="64" t="s">
        <v>135</v>
      </c>
      <c r="B241" s="65" t="str">
        <f>VLOOKUP(A241,'CENTRO DE COSTOS'!A:D,4,FALSE)</f>
        <v>JUAN SEBASTIÁN RÍOS CASTRILLÓN</v>
      </c>
      <c r="C241" s="65" t="str">
        <f>VLOOKUP(A241,'CENTRO DE COSTOS'!A:D,2,FALSE)</f>
        <v>0004-0005</v>
      </c>
      <c r="D241" s="64">
        <v>5001</v>
      </c>
      <c r="E241" s="66" t="s">
        <v>1486</v>
      </c>
      <c r="F241" s="67">
        <v>81042</v>
      </c>
      <c r="G241" s="68" t="s">
        <v>90</v>
      </c>
      <c r="H241" s="69" t="s">
        <v>137</v>
      </c>
      <c r="I241" s="67" t="s">
        <v>138</v>
      </c>
      <c r="J241" s="70" t="s">
        <v>135</v>
      </c>
      <c r="K241" s="67" t="s">
        <v>1487</v>
      </c>
      <c r="L241" s="71" t="s">
        <v>95</v>
      </c>
      <c r="M241" s="72" t="s">
        <v>1488</v>
      </c>
      <c r="N241" s="73">
        <v>45882</v>
      </c>
      <c r="O241" s="74">
        <v>45883</v>
      </c>
      <c r="P241" s="75" t="s">
        <v>141</v>
      </c>
      <c r="Q241" s="76" t="s">
        <v>633</v>
      </c>
      <c r="R241" s="64" t="s">
        <v>98</v>
      </c>
      <c r="S241" s="77" t="s">
        <v>1462</v>
      </c>
      <c r="T241" s="74" t="s">
        <v>100</v>
      </c>
      <c r="U241" s="64" t="s">
        <v>1489</v>
      </c>
      <c r="V241" s="70" t="s">
        <v>133</v>
      </c>
      <c r="W241" s="74" t="s">
        <v>103</v>
      </c>
      <c r="X241" s="68" t="s">
        <v>412</v>
      </c>
      <c r="Y241" s="64">
        <v>1</v>
      </c>
      <c r="Z241" s="78">
        <v>0</v>
      </c>
      <c r="AA241" s="79">
        <f>'BASE FACTURACION 2025'!$C$3</f>
        <v>122645.45276000001</v>
      </c>
      <c r="AB241" s="79">
        <f>'BASE FACTURACION 2025'!$F$3</f>
        <v>65164.677720000007</v>
      </c>
      <c r="AC241" s="79">
        <f t="shared" si="3"/>
        <v>122645.45276000001</v>
      </c>
    </row>
    <row r="242" spans="1:29" s="80" customFormat="1" ht="15" customHeight="1">
      <c r="A242" s="64" t="s">
        <v>135</v>
      </c>
      <c r="B242" s="65" t="str">
        <f>VLOOKUP(A242,'CENTRO DE COSTOS'!A:D,4,FALSE)</f>
        <v>JUAN SEBASTIÁN RÍOS CASTRILLÓN</v>
      </c>
      <c r="C242" s="65" t="str">
        <f>VLOOKUP(A242,'CENTRO DE COSTOS'!A:D,2,FALSE)</f>
        <v>0004-0005</v>
      </c>
      <c r="D242" s="64">
        <v>5001</v>
      </c>
      <c r="E242" s="66" t="s">
        <v>1490</v>
      </c>
      <c r="F242" s="67">
        <v>81043</v>
      </c>
      <c r="G242" s="68" t="s">
        <v>90</v>
      </c>
      <c r="H242" s="69" t="s">
        <v>137</v>
      </c>
      <c r="I242" s="67" t="s">
        <v>138</v>
      </c>
      <c r="J242" s="70" t="s">
        <v>135</v>
      </c>
      <c r="K242" s="67" t="s">
        <v>1491</v>
      </c>
      <c r="L242" s="71" t="s">
        <v>95</v>
      </c>
      <c r="M242" s="72" t="s">
        <v>1492</v>
      </c>
      <c r="N242" s="73">
        <v>45882</v>
      </c>
      <c r="O242" s="74">
        <v>45884</v>
      </c>
      <c r="P242" s="75" t="s">
        <v>141</v>
      </c>
      <c r="Q242" s="76" t="s">
        <v>633</v>
      </c>
      <c r="R242" s="64" t="s">
        <v>98</v>
      </c>
      <c r="S242" s="77" t="s">
        <v>1471</v>
      </c>
      <c r="T242" s="74" t="s">
        <v>100</v>
      </c>
      <c r="U242" s="64" t="s">
        <v>1493</v>
      </c>
      <c r="V242" s="70" t="s">
        <v>133</v>
      </c>
      <c r="W242" s="74" t="s">
        <v>103</v>
      </c>
      <c r="X242" s="68" t="s">
        <v>299</v>
      </c>
      <c r="Y242" s="64">
        <v>1</v>
      </c>
      <c r="Z242" s="78">
        <v>0</v>
      </c>
      <c r="AA242" s="79">
        <f>'BASE FACTURACION 2025'!$C$3</f>
        <v>122645.45276000001</v>
      </c>
      <c r="AB242" s="79">
        <f>'BASE FACTURACION 2025'!$F$3</f>
        <v>65164.677720000007</v>
      </c>
      <c r="AC242" s="79">
        <f t="shared" si="3"/>
        <v>122645.45276000001</v>
      </c>
    </row>
    <row r="243" spans="1:29" s="80" customFormat="1" ht="15" customHeight="1">
      <c r="A243" s="64" t="s">
        <v>135</v>
      </c>
      <c r="B243" s="65" t="str">
        <f>VLOOKUP(A243,'CENTRO DE COSTOS'!A:D,4,FALSE)</f>
        <v>JUAN SEBASTIÁN RÍOS CASTRILLÓN</v>
      </c>
      <c r="C243" s="65" t="str">
        <f>VLOOKUP(A243,'CENTRO DE COSTOS'!A:D,2,FALSE)</f>
        <v>0004-0005</v>
      </c>
      <c r="D243" s="64">
        <v>5088</v>
      </c>
      <c r="E243" s="66" t="s">
        <v>1494</v>
      </c>
      <c r="F243" s="67">
        <v>81032</v>
      </c>
      <c r="G243" s="68" t="s">
        <v>90</v>
      </c>
      <c r="H243" s="69" t="s">
        <v>137</v>
      </c>
      <c r="I243" s="67" t="s">
        <v>138</v>
      </c>
      <c r="J243" s="70" t="s">
        <v>152</v>
      </c>
      <c r="K243" s="67" t="s">
        <v>1495</v>
      </c>
      <c r="L243" s="71" t="s">
        <v>95</v>
      </c>
      <c r="M243" s="72" t="s">
        <v>1496</v>
      </c>
      <c r="N243" s="73">
        <v>45882</v>
      </c>
      <c r="O243" s="74">
        <v>45884</v>
      </c>
      <c r="P243" s="75" t="s">
        <v>141</v>
      </c>
      <c r="Q243" s="76" t="s">
        <v>633</v>
      </c>
      <c r="R243" s="64" t="s">
        <v>98</v>
      </c>
      <c r="S243" s="77" t="s">
        <v>1497</v>
      </c>
      <c r="T243" s="74" t="s">
        <v>100</v>
      </c>
      <c r="U243" s="64" t="s">
        <v>1498</v>
      </c>
      <c r="V243" s="70" t="s">
        <v>133</v>
      </c>
      <c r="W243" s="74" t="s">
        <v>103</v>
      </c>
      <c r="X243" s="68" t="s">
        <v>299</v>
      </c>
      <c r="Y243" s="64">
        <v>1</v>
      </c>
      <c r="Z243" s="78">
        <v>0</v>
      </c>
      <c r="AA243" s="79">
        <f>'BASE FACTURACION 2025'!$C$3</f>
        <v>122645.45276000001</v>
      </c>
      <c r="AB243" s="79">
        <f>'BASE FACTURACION 2025'!$F$3</f>
        <v>65164.677720000007</v>
      </c>
      <c r="AC243" s="79">
        <f t="shared" si="3"/>
        <v>122645.45276000001</v>
      </c>
    </row>
    <row r="244" spans="1:29" s="80" customFormat="1" ht="15" customHeight="1">
      <c r="A244" s="64" t="s">
        <v>135</v>
      </c>
      <c r="B244" s="65" t="str">
        <f>VLOOKUP(A244,'CENTRO DE COSTOS'!A:D,4,FALSE)</f>
        <v>JUAN SEBASTIÁN RÍOS CASTRILLÓN</v>
      </c>
      <c r="C244" s="65" t="str">
        <f>VLOOKUP(A244,'CENTRO DE COSTOS'!A:D,2,FALSE)</f>
        <v>0004-0005</v>
      </c>
      <c r="D244" s="64">
        <v>5129</v>
      </c>
      <c r="E244" s="66" t="s">
        <v>1499</v>
      </c>
      <c r="F244" s="67">
        <v>81006</v>
      </c>
      <c r="G244" s="68" t="s">
        <v>90</v>
      </c>
      <c r="H244" s="69" t="s">
        <v>137</v>
      </c>
      <c r="I244" s="67" t="s">
        <v>138</v>
      </c>
      <c r="J244" s="70" t="s">
        <v>401</v>
      </c>
      <c r="K244" s="67" t="s">
        <v>1500</v>
      </c>
      <c r="L244" s="71" t="s">
        <v>95</v>
      </c>
      <c r="M244" s="72" t="s">
        <v>1501</v>
      </c>
      <c r="N244" s="73">
        <v>45882</v>
      </c>
      <c r="O244" s="74">
        <v>45884</v>
      </c>
      <c r="P244" s="75" t="s">
        <v>141</v>
      </c>
      <c r="Q244" s="76" t="s">
        <v>633</v>
      </c>
      <c r="R244" s="64" t="s">
        <v>98</v>
      </c>
      <c r="S244" s="77" t="s">
        <v>1502</v>
      </c>
      <c r="T244" s="74" t="s">
        <v>100</v>
      </c>
      <c r="U244" s="64" t="s">
        <v>1503</v>
      </c>
      <c r="V244" s="70" t="s">
        <v>133</v>
      </c>
      <c r="W244" s="74" t="s">
        <v>103</v>
      </c>
      <c r="X244" s="68" t="s">
        <v>1485</v>
      </c>
      <c r="Y244" s="64">
        <v>1</v>
      </c>
      <c r="Z244" s="78">
        <v>0</v>
      </c>
      <c r="AA244" s="79">
        <f>'BASE FACTURACION 2025'!$C$3</f>
        <v>122645.45276000001</v>
      </c>
      <c r="AB244" s="79">
        <f>'BASE FACTURACION 2025'!$F$3</f>
        <v>65164.677720000007</v>
      </c>
      <c r="AC244" s="79">
        <f t="shared" si="3"/>
        <v>122645.45276000001</v>
      </c>
    </row>
    <row r="245" spans="1:29" s="80" customFormat="1" ht="15" customHeight="1">
      <c r="A245" s="64" t="s">
        <v>135</v>
      </c>
      <c r="B245" s="65" t="str">
        <f>VLOOKUP(A245,'CENTRO DE COSTOS'!A:D,4,FALSE)</f>
        <v>JUAN SEBASTIÁN RÍOS CASTRILLÓN</v>
      </c>
      <c r="C245" s="65" t="str">
        <f>VLOOKUP(A245,'CENTRO DE COSTOS'!A:D,2,FALSE)</f>
        <v>0004-0005</v>
      </c>
      <c r="D245" s="64">
        <v>5148</v>
      </c>
      <c r="E245" s="66" t="s">
        <v>1504</v>
      </c>
      <c r="F245" s="67">
        <v>81033</v>
      </c>
      <c r="G245" s="68" t="s">
        <v>90</v>
      </c>
      <c r="H245" s="69" t="s">
        <v>137</v>
      </c>
      <c r="I245" s="67" t="s">
        <v>138</v>
      </c>
      <c r="J245" s="70" t="s">
        <v>1261</v>
      </c>
      <c r="K245" s="67" t="s">
        <v>1505</v>
      </c>
      <c r="L245" s="71" t="s">
        <v>95</v>
      </c>
      <c r="M245" s="72" t="s">
        <v>1506</v>
      </c>
      <c r="N245" s="73">
        <v>45882</v>
      </c>
      <c r="O245" s="74">
        <v>45883</v>
      </c>
      <c r="P245" s="75" t="s">
        <v>141</v>
      </c>
      <c r="Q245" s="76" t="s">
        <v>142</v>
      </c>
      <c r="R245" s="64" t="s">
        <v>98</v>
      </c>
      <c r="S245" s="77" t="s">
        <v>1507</v>
      </c>
      <c r="T245" s="74" t="s">
        <v>100</v>
      </c>
      <c r="U245" s="64" t="s">
        <v>1508</v>
      </c>
      <c r="V245" s="70" t="s">
        <v>162</v>
      </c>
      <c r="W245" s="74" t="s">
        <v>103</v>
      </c>
      <c r="X245" s="68" t="s">
        <v>299</v>
      </c>
      <c r="Y245" s="64">
        <v>1</v>
      </c>
      <c r="Z245" s="78">
        <v>0</v>
      </c>
      <c r="AA245" s="79">
        <f>'BASE FACTURACION 2025'!$C$3</f>
        <v>122645.45276000001</v>
      </c>
      <c r="AB245" s="79">
        <f>'BASE FACTURACION 2025'!$F$3</f>
        <v>65164.677720000007</v>
      </c>
      <c r="AC245" s="79">
        <f t="shared" si="3"/>
        <v>122645.45276000001</v>
      </c>
    </row>
    <row r="246" spans="1:29" s="80" customFormat="1" ht="15" customHeight="1">
      <c r="A246" s="64" t="s">
        <v>135</v>
      </c>
      <c r="B246" s="65" t="str">
        <f>VLOOKUP(A246,'CENTRO DE COSTOS'!A:D,4,FALSE)</f>
        <v>JUAN SEBASTIÁN RÍOS CASTRILLÓN</v>
      </c>
      <c r="C246" s="65" t="str">
        <f>VLOOKUP(A246,'CENTRO DE COSTOS'!A:D,2,FALSE)</f>
        <v>0004-0005</v>
      </c>
      <c r="D246" s="64">
        <v>5376</v>
      </c>
      <c r="E246" s="66" t="s">
        <v>1509</v>
      </c>
      <c r="F246" s="67">
        <v>81035</v>
      </c>
      <c r="G246" s="68" t="s">
        <v>90</v>
      </c>
      <c r="H246" s="69" t="s">
        <v>137</v>
      </c>
      <c r="I246" s="67" t="s">
        <v>138</v>
      </c>
      <c r="J246" s="70" t="s">
        <v>1510</v>
      </c>
      <c r="K246" s="67" t="s">
        <v>1511</v>
      </c>
      <c r="L246" s="71" t="s">
        <v>95</v>
      </c>
      <c r="M246" s="72" t="s">
        <v>1512</v>
      </c>
      <c r="N246" s="73">
        <v>45882</v>
      </c>
      <c r="O246" s="74">
        <v>45883</v>
      </c>
      <c r="P246" s="75" t="s">
        <v>141</v>
      </c>
      <c r="Q246" s="76" t="s">
        <v>142</v>
      </c>
      <c r="R246" s="64" t="s">
        <v>98</v>
      </c>
      <c r="S246" s="77" t="s">
        <v>1462</v>
      </c>
      <c r="T246" s="74" t="s">
        <v>100</v>
      </c>
      <c r="U246" s="64" t="s">
        <v>1513</v>
      </c>
      <c r="V246" s="70" t="s">
        <v>162</v>
      </c>
      <c r="W246" s="74" t="s">
        <v>103</v>
      </c>
      <c r="X246" s="68" t="s">
        <v>609</v>
      </c>
      <c r="Y246" s="64">
        <v>1</v>
      </c>
      <c r="Z246" s="78">
        <v>0</v>
      </c>
      <c r="AA246" s="79">
        <f>'BASE FACTURACION 2025'!$C$3</f>
        <v>122645.45276000001</v>
      </c>
      <c r="AB246" s="79">
        <f>'BASE FACTURACION 2025'!$F$3</f>
        <v>65164.677720000007</v>
      </c>
      <c r="AC246" s="79">
        <f t="shared" si="3"/>
        <v>122645.45276000001</v>
      </c>
    </row>
    <row r="247" spans="1:29" s="80" customFormat="1" ht="15" customHeight="1">
      <c r="A247" s="64" t="s">
        <v>305</v>
      </c>
      <c r="B247" s="65" t="str">
        <f>VLOOKUP(A247,'CENTRO DE COSTOS'!A:D,4,FALSE)</f>
        <v>JOSE MAURICIO HERNANDEZ ROJAS</v>
      </c>
      <c r="C247" s="65" t="str">
        <f>VLOOKUP(A247,'CENTRO DE COSTOS'!A:D,2,FALSE)</f>
        <v>0004-0001</v>
      </c>
      <c r="D247" s="64">
        <v>8001</v>
      </c>
      <c r="E247" s="66" t="s">
        <v>1514</v>
      </c>
      <c r="F247" s="67">
        <v>80994</v>
      </c>
      <c r="G247" s="68" t="s">
        <v>90</v>
      </c>
      <c r="H247" s="69" t="s">
        <v>137</v>
      </c>
      <c r="I247" s="67" t="s">
        <v>307</v>
      </c>
      <c r="J247" s="70" t="s">
        <v>305</v>
      </c>
      <c r="K247" s="67" t="s">
        <v>1515</v>
      </c>
      <c r="L247" s="71" t="s">
        <v>95</v>
      </c>
      <c r="M247" s="72" t="s">
        <v>1516</v>
      </c>
      <c r="N247" s="73">
        <v>45882</v>
      </c>
      <c r="O247" s="74">
        <v>45883</v>
      </c>
      <c r="P247" s="75" t="s">
        <v>141</v>
      </c>
      <c r="Q247" s="76" t="s">
        <v>142</v>
      </c>
      <c r="R247" s="64" t="s">
        <v>98</v>
      </c>
      <c r="S247" s="77" t="s">
        <v>1462</v>
      </c>
      <c r="T247" s="74" t="s">
        <v>100</v>
      </c>
      <c r="U247" s="64" t="s">
        <v>1517</v>
      </c>
      <c r="V247" s="70" t="s">
        <v>133</v>
      </c>
      <c r="W247" s="74" t="s">
        <v>103</v>
      </c>
      <c r="X247" s="68" t="s">
        <v>693</v>
      </c>
      <c r="Y247" s="64">
        <v>1</v>
      </c>
      <c r="Z247" s="78">
        <v>0</v>
      </c>
      <c r="AA247" s="79">
        <f>'BASE FACTURACION 2025'!$C$3</f>
        <v>122645.45276000001</v>
      </c>
      <c r="AB247" s="79">
        <f>'BASE FACTURACION 2025'!$F$3</f>
        <v>65164.677720000007</v>
      </c>
      <c r="AC247" s="79">
        <f t="shared" si="3"/>
        <v>122645.45276000001</v>
      </c>
    </row>
    <row r="248" spans="1:29" s="80" customFormat="1" ht="15" customHeight="1">
      <c r="A248" s="64" t="s">
        <v>163</v>
      </c>
      <c r="B248" s="65" t="str">
        <f>VLOOKUP(A248,'CENTRO DE COSTOS'!A:D,4,FALSE)</f>
        <v>MIGUEL JULIÁN HERNÁNDEZ GUARÍN</v>
      </c>
      <c r="C248" s="65" t="str">
        <f>VLOOKUP(A248,'CENTRO DE COSTOS'!A:D,2,FALSE)</f>
        <v>0004-0008</v>
      </c>
      <c r="D248" s="64">
        <v>15238</v>
      </c>
      <c r="E248" s="66" t="s">
        <v>1518</v>
      </c>
      <c r="F248" s="67">
        <v>81011</v>
      </c>
      <c r="G248" s="68" t="s">
        <v>90</v>
      </c>
      <c r="H248" s="69" t="s">
        <v>137</v>
      </c>
      <c r="I248" s="67" t="s">
        <v>165</v>
      </c>
      <c r="J248" s="70" t="s">
        <v>543</v>
      </c>
      <c r="K248" s="67" t="s">
        <v>1519</v>
      </c>
      <c r="L248" s="71" t="s">
        <v>95</v>
      </c>
      <c r="M248" s="72" t="s">
        <v>1520</v>
      </c>
      <c r="N248" s="73">
        <v>45882</v>
      </c>
      <c r="O248" s="74">
        <v>45884</v>
      </c>
      <c r="P248" s="75" t="s">
        <v>141</v>
      </c>
      <c r="Q248" s="76" t="s">
        <v>142</v>
      </c>
      <c r="R248" s="64" t="s">
        <v>98</v>
      </c>
      <c r="S248" s="77" t="s">
        <v>1502</v>
      </c>
      <c r="T248" s="74" t="s">
        <v>100</v>
      </c>
      <c r="U248" s="64" t="s">
        <v>1521</v>
      </c>
      <c r="V248" s="70" t="s">
        <v>162</v>
      </c>
      <c r="W248" s="74" t="s">
        <v>103</v>
      </c>
      <c r="X248" s="68" t="s">
        <v>548</v>
      </c>
      <c r="Y248" s="64">
        <v>1</v>
      </c>
      <c r="Z248" s="78">
        <v>0</v>
      </c>
      <c r="AA248" s="79">
        <f>'BASE FACTURACION 2025'!$C$3</f>
        <v>122645.45276000001</v>
      </c>
      <c r="AB248" s="79">
        <f>'BASE FACTURACION 2025'!$F$3</f>
        <v>65164.677720000007</v>
      </c>
      <c r="AC248" s="79">
        <f t="shared" si="3"/>
        <v>122645.45276000001</v>
      </c>
    </row>
    <row r="249" spans="1:29" s="80" customFormat="1" ht="15" customHeight="1">
      <c r="A249" s="64" t="s">
        <v>163</v>
      </c>
      <c r="B249" s="65" t="str">
        <f>VLOOKUP(A249,'CENTRO DE COSTOS'!A:D,4,FALSE)</f>
        <v>MIGUEL JULIÁN HERNÁNDEZ GUARÍN</v>
      </c>
      <c r="C249" s="65" t="str">
        <f>VLOOKUP(A249,'CENTRO DE COSTOS'!A:D,2,FALSE)</f>
        <v>0004-0008</v>
      </c>
      <c r="D249" s="64">
        <v>15686</v>
      </c>
      <c r="E249" s="66" t="s">
        <v>1522</v>
      </c>
      <c r="F249" s="67">
        <v>81025</v>
      </c>
      <c r="G249" s="68" t="s">
        <v>90</v>
      </c>
      <c r="H249" s="69" t="s">
        <v>137</v>
      </c>
      <c r="I249" s="67" t="s">
        <v>165</v>
      </c>
      <c r="J249" s="70" t="s">
        <v>1523</v>
      </c>
      <c r="K249" s="67" t="s">
        <v>1524</v>
      </c>
      <c r="L249" s="71" t="s">
        <v>95</v>
      </c>
      <c r="M249" s="72" t="s">
        <v>1525</v>
      </c>
      <c r="N249" s="73">
        <v>45882</v>
      </c>
      <c r="O249" s="74">
        <v>45884</v>
      </c>
      <c r="P249" s="75" t="s">
        <v>141</v>
      </c>
      <c r="Q249" s="76" t="s">
        <v>142</v>
      </c>
      <c r="R249" s="64" t="s">
        <v>98</v>
      </c>
      <c r="S249" s="77" t="s">
        <v>1471</v>
      </c>
      <c r="T249" s="74" t="s">
        <v>100</v>
      </c>
      <c r="U249" s="64" t="s">
        <v>1526</v>
      </c>
      <c r="V249" s="70" t="s">
        <v>189</v>
      </c>
      <c r="W249" s="74" t="s">
        <v>103</v>
      </c>
      <c r="X249" s="68" t="s">
        <v>481</v>
      </c>
      <c r="Y249" s="64">
        <v>1</v>
      </c>
      <c r="Z249" s="78">
        <v>0</v>
      </c>
      <c r="AA249" s="79">
        <f>'BASE FACTURACION 2025'!$C$3</f>
        <v>122645.45276000001</v>
      </c>
      <c r="AB249" s="79">
        <f>'BASE FACTURACION 2025'!$F$3</f>
        <v>65164.677720000007</v>
      </c>
      <c r="AC249" s="79">
        <f t="shared" si="3"/>
        <v>122645.45276000001</v>
      </c>
    </row>
    <row r="250" spans="1:29" s="80" customFormat="1" ht="15" customHeight="1">
      <c r="A250" s="64" t="s">
        <v>88</v>
      </c>
      <c r="B250" s="65" t="str">
        <f>VLOOKUP(A250,'CENTRO DE COSTOS'!A:D,4,FALSE)</f>
        <v>KEVIN ALEXIS CORZO BUSTOS</v>
      </c>
      <c r="C250" s="65" t="str">
        <f>VLOOKUP(A250,'CENTRO DE COSTOS'!A:D,2,FALSE)</f>
        <v>0004-0007</v>
      </c>
      <c r="D250" s="64">
        <v>18150</v>
      </c>
      <c r="E250" s="66" t="s">
        <v>1527</v>
      </c>
      <c r="F250" s="67">
        <v>81005</v>
      </c>
      <c r="G250" s="68" t="s">
        <v>90</v>
      </c>
      <c r="H250" s="69" t="s">
        <v>137</v>
      </c>
      <c r="I250" s="67" t="s">
        <v>92</v>
      </c>
      <c r="J250" s="70" t="s">
        <v>1528</v>
      </c>
      <c r="K250" s="67" t="s">
        <v>1529</v>
      </c>
      <c r="L250" s="71" t="s">
        <v>95</v>
      </c>
      <c r="M250" s="72" t="s">
        <v>1530</v>
      </c>
      <c r="N250" s="73">
        <v>45882</v>
      </c>
      <c r="O250" s="74">
        <v>45889</v>
      </c>
      <c r="P250" s="75" t="s">
        <v>141</v>
      </c>
      <c r="Q250" s="76" t="s">
        <v>142</v>
      </c>
      <c r="R250" s="64" t="s">
        <v>98</v>
      </c>
      <c r="S250" s="77" t="s">
        <v>1531</v>
      </c>
      <c r="T250" s="74" t="s">
        <v>100</v>
      </c>
      <c r="U250" s="64" t="s">
        <v>1532</v>
      </c>
      <c r="V250" s="70" t="s">
        <v>118</v>
      </c>
      <c r="W250" s="74" t="s">
        <v>103</v>
      </c>
      <c r="X250" s="68" t="s">
        <v>244</v>
      </c>
      <c r="Y250" s="64">
        <v>1</v>
      </c>
      <c r="Z250" s="78">
        <v>0</v>
      </c>
      <c r="AA250" s="79">
        <f>'BASE FACTURACION 2025'!$C$3</f>
        <v>122645.45276000001</v>
      </c>
      <c r="AB250" s="79">
        <f>'BASE FACTURACION 2025'!$F$3</f>
        <v>65164.677720000007</v>
      </c>
      <c r="AC250" s="79">
        <f t="shared" si="3"/>
        <v>122645.45276000001</v>
      </c>
    </row>
    <row r="251" spans="1:29" s="80" customFormat="1" ht="15" customHeight="1">
      <c r="A251" s="64" t="s">
        <v>88</v>
      </c>
      <c r="B251" s="65" t="str">
        <f>VLOOKUP(A251,'CENTRO DE COSTOS'!A:D,4,FALSE)</f>
        <v>KEVIN ALEXIS CORZO BUSTOS</v>
      </c>
      <c r="C251" s="65" t="str">
        <f>VLOOKUP(A251,'CENTRO DE COSTOS'!A:D,2,FALSE)</f>
        <v>0004-0007</v>
      </c>
      <c r="D251" s="64">
        <v>18460</v>
      </c>
      <c r="E251" s="66" t="s">
        <v>1533</v>
      </c>
      <c r="F251" s="67">
        <v>81016</v>
      </c>
      <c r="G251" s="68" t="s">
        <v>90</v>
      </c>
      <c r="H251" s="69" t="s">
        <v>137</v>
      </c>
      <c r="I251" s="67" t="s">
        <v>92</v>
      </c>
      <c r="J251" s="70" t="s">
        <v>1534</v>
      </c>
      <c r="K251" s="67" t="s">
        <v>1535</v>
      </c>
      <c r="L251" s="71" t="s">
        <v>95</v>
      </c>
      <c r="M251" s="72" t="s">
        <v>1536</v>
      </c>
      <c r="N251" s="73">
        <v>45882</v>
      </c>
      <c r="O251" s="74">
        <v>45884</v>
      </c>
      <c r="P251" s="75" t="s">
        <v>141</v>
      </c>
      <c r="Q251" s="76" t="s">
        <v>142</v>
      </c>
      <c r="R251" s="64" t="s">
        <v>98</v>
      </c>
      <c r="S251" s="77" t="s">
        <v>1471</v>
      </c>
      <c r="T251" s="74" t="s">
        <v>100</v>
      </c>
      <c r="U251" s="64" t="s">
        <v>1537</v>
      </c>
      <c r="V251" s="70" t="s">
        <v>102</v>
      </c>
      <c r="W251" s="74" t="s">
        <v>103</v>
      </c>
      <c r="X251" s="68" t="s">
        <v>244</v>
      </c>
      <c r="Y251" s="64">
        <v>1</v>
      </c>
      <c r="Z251" s="78">
        <v>0</v>
      </c>
      <c r="AA251" s="79">
        <f>'BASE FACTURACION 2025'!$C$3</f>
        <v>122645.45276000001</v>
      </c>
      <c r="AB251" s="79">
        <f>'BASE FACTURACION 2025'!$F$3</f>
        <v>65164.677720000007</v>
      </c>
      <c r="AC251" s="79">
        <f t="shared" si="3"/>
        <v>122645.45276000001</v>
      </c>
    </row>
    <row r="252" spans="1:29" s="80" customFormat="1" ht="15" customHeight="1">
      <c r="A252" s="64" t="s">
        <v>180</v>
      </c>
      <c r="B252" s="65" t="str">
        <f>VLOOKUP(A252,'CENTRO DE COSTOS'!A:D,4,FALSE)</f>
        <v>DIEGO FERNANDO HENAO CARDONA</v>
      </c>
      <c r="C252" s="65" t="str">
        <f>VLOOKUP(A252,'CENTRO DE COSTOS'!A:D,2,FALSE)</f>
        <v>0004-0003</v>
      </c>
      <c r="D252" s="64">
        <v>19001</v>
      </c>
      <c r="E252" s="66" t="s">
        <v>1538</v>
      </c>
      <c r="F252" s="67">
        <v>81023</v>
      </c>
      <c r="G252" s="68" t="s">
        <v>90</v>
      </c>
      <c r="H252" s="69" t="s">
        <v>137</v>
      </c>
      <c r="I252" s="67" t="s">
        <v>183</v>
      </c>
      <c r="J252" s="70" t="s">
        <v>1249</v>
      </c>
      <c r="K252" s="67" t="s">
        <v>1539</v>
      </c>
      <c r="L252" s="71" t="s">
        <v>95</v>
      </c>
      <c r="M252" s="72" t="s">
        <v>1540</v>
      </c>
      <c r="N252" s="73">
        <v>45882</v>
      </c>
      <c r="O252" s="74">
        <v>45883</v>
      </c>
      <c r="P252" s="75" t="s">
        <v>141</v>
      </c>
      <c r="Q252" s="76" t="s">
        <v>633</v>
      </c>
      <c r="R252" s="64" t="s">
        <v>98</v>
      </c>
      <c r="S252" s="77" t="s">
        <v>1462</v>
      </c>
      <c r="T252" s="74" t="s">
        <v>100</v>
      </c>
      <c r="U252" s="64" t="s">
        <v>1541</v>
      </c>
      <c r="V252" s="70" t="s">
        <v>189</v>
      </c>
      <c r="W252" s="74" t="s">
        <v>103</v>
      </c>
      <c r="X252" s="68" t="s">
        <v>260</v>
      </c>
      <c r="Y252" s="64">
        <v>1</v>
      </c>
      <c r="Z252" s="78">
        <v>0</v>
      </c>
      <c r="AA252" s="79">
        <f>'BASE FACTURACION 2025'!$C$3</f>
        <v>122645.45276000001</v>
      </c>
      <c r="AB252" s="79">
        <f>'BASE FACTURACION 2025'!$F$3</f>
        <v>65164.677720000007</v>
      </c>
      <c r="AC252" s="79">
        <f t="shared" si="3"/>
        <v>122645.45276000001</v>
      </c>
    </row>
    <row r="253" spans="1:29" s="80" customFormat="1" ht="15" customHeight="1">
      <c r="A253" s="64" t="s">
        <v>339</v>
      </c>
      <c r="B253" s="65" t="str">
        <f>VLOOKUP(A253,'CENTRO DE COSTOS'!A:D,4,FALSE)</f>
        <v>JOSE MAURICIO HERNANDEZ ROJAS</v>
      </c>
      <c r="C253" s="65" t="str">
        <f>VLOOKUP(A253,'CENTRO DE COSTOS'!A:D,2,FALSE)</f>
        <v>0004-0001</v>
      </c>
      <c r="D253" s="64">
        <v>23555</v>
      </c>
      <c r="E253" s="66" t="s">
        <v>1542</v>
      </c>
      <c r="F253" s="67">
        <v>81021</v>
      </c>
      <c r="G253" s="68" t="s">
        <v>90</v>
      </c>
      <c r="H253" s="69" t="s">
        <v>137</v>
      </c>
      <c r="I253" s="67" t="s">
        <v>341</v>
      </c>
      <c r="J253" s="70" t="s">
        <v>1543</v>
      </c>
      <c r="K253" s="67" t="s">
        <v>1544</v>
      </c>
      <c r="L253" s="71" t="s">
        <v>95</v>
      </c>
      <c r="M253" s="72" t="s">
        <v>1545</v>
      </c>
      <c r="N253" s="73">
        <v>45882</v>
      </c>
      <c r="O253" s="74">
        <v>45885</v>
      </c>
      <c r="P253" s="75" t="s">
        <v>141</v>
      </c>
      <c r="Q253" s="76" t="s">
        <v>142</v>
      </c>
      <c r="R253" s="64" t="s">
        <v>98</v>
      </c>
      <c r="S253" s="77" t="s">
        <v>1546</v>
      </c>
      <c r="T253" s="74" t="s">
        <v>100</v>
      </c>
      <c r="U253" s="64" t="s">
        <v>1547</v>
      </c>
      <c r="V253" s="70" t="s">
        <v>162</v>
      </c>
      <c r="W253" s="74" t="s">
        <v>103</v>
      </c>
      <c r="X253" s="68" t="s">
        <v>346</v>
      </c>
      <c r="Y253" s="64">
        <v>1</v>
      </c>
      <c r="Z253" s="78">
        <v>0</v>
      </c>
      <c r="AA253" s="79">
        <f>'BASE FACTURACION 2025'!$C$3</f>
        <v>122645.45276000001</v>
      </c>
      <c r="AB253" s="79">
        <f>'BASE FACTURACION 2025'!$F$3</f>
        <v>65164.677720000007</v>
      </c>
      <c r="AC253" s="79">
        <f t="shared" si="3"/>
        <v>122645.45276000001</v>
      </c>
    </row>
    <row r="254" spans="1:29" s="80" customFormat="1" ht="15" customHeight="1">
      <c r="A254" s="64" t="s">
        <v>339</v>
      </c>
      <c r="B254" s="65" t="str">
        <f>VLOOKUP(A254,'CENTRO DE COSTOS'!A:D,4,FALSE)</f>
        <v>JOSE MAURICIO HERNANDEZ ROJAS</v>
      </c>
      <c r="C254" s="65" t="str">
        <f>VLOOKUP(A254,'CENTRO DE COSTOS'!A:D,2,FALSE)</f>
        <v>0004-0001</v>
      </c>
      <c r="D254" s="64">
        <v>23555</v>
      </c>
      <c r="E254" s="66" t="s">
        <v>1548</v>
      </c>
      <c r="F254" s="67">
        <v>81022</v>
      </c>
      <c r="G254" s="68" t="s">
        <v>90</v>
      </c>
      <c r="H254" s="69" t="s">
        <v>137</v>
      </c>
      <c r="I254" s="67" t="s">
        <v>341</v>
      </c>
      <c r="J254" s="70" t="s">
        <v>1543</v>
      </c>
      <c r="K254" s="67" t="s">
        <v>1549</v>
      </c>
      <c r="L254" s="71" t="s">
        <v>95</v>
      </c>
      <c r="M254" s="72" t="s">
        <v>1550</v>
      </c>
      <c r="N254" s="73">
        <v>45882</v>
      </c>
      <c r="O254" s="74">
        <v>45884</v>
      </c>
      <c r="P254" s="75" t="s">
        <v>141</v>
      </c>
      <c r="Q254" s="76" t="s">
        <v>142</v>
      </c>
      <c r="R254" s="64" t="s">
        <v>98</v>
      </c>
      <c r="S254" s="77" t="s">
        <v>1471</v>
      </c>
      <c r="T254" s="74" t="s">
        <v>100</v>
      </c>
      <c r="U254" s="64" t="s">
        <v>1551</v>
      </c>
      <c r="V254" s="70" t="s">
        <v>162</v>
      </c>
      <c r="W254" s="74" t="s">
        <v>103</v>
      </c>
      <c r="X254" s="68" t="s">
        <v>346</v>
      </c>
      <c r="Y254" s="64">
        <v>1</v>
      </c>
      <c r="Z254" s="78">
        <v>0</v>
      </c>
      <c r="AA254" s="79">
        <f>'BASE FACTURACION 2025'!$C$3</f>
        <v>122645.45276000001</v>
      </c>
      <c r="AB254" s="79">
        <f>'BASE FACTURACION 2025'!$F$3</f>
        <v>65164.677720000007</v>
      </c>
      <c r="AC254" s="79">
        <f t="shared" si="3"/>
        <v>122645.45276000001</v>
      </c>
    </row>
    <row r="255" spans="1:29" s="80" customFormat="1" ht="15" customHeight="1">
      <c r="A255" s="64" t="s">
        <v>555</v>
      </c>
      <c r="B255" s="65" t="str">
        <f>VLOOKUP(A255,'CENTRO DE COSTOS'!A:D,4,FALSE)</f>
        <v>JUAN SEBASTIÁN RÍOS CASTRILLÓN</v>
      </c>
      <c r="C255" s="65" t="str">
        <f>VLOOKUP(A255,'CENTRO DE COSTOS'!A:D,2,FALSE)</f>
        <v>0004-0005</v>
      </c>
      <c r="D255" s="64">
        <v>27006</v>
      </c>
      <c r="E255" s="66" t="s">
        <v>1552</v>
      </c>
      <c r="F255" s="67">
        <v>80990</v>
      </c>
      <c r="G255" s="68" t="s">
        <v>90</v>
      </c>
      <c r="H255" s="69" t="s">
        <v>137</v>
      </c>
      <c r="I255" s="67" t="s">
        <v>1267</v>
      </c>
      <c r="J255" s="70" t="s">
        <v>1553</v>
      </c>
      <c r="K255" s="67" t="s">
        <v>1554</v>
      </c>
      <c r="L255" s="71" t="s">
        <v>95</v>
      </c>
      <c r="M255" s="72" t="s">
        <v>1555</v>
      </c>
      <c r="N255" s="73">
        <v>45882</v>
      </c>
      <c r="O255" s="74">
        <v>45890</v>
      </c>
      <c r="P255" s="75" t="s">
        <v>141</v>
      </c>
      <c r="Q255" s="76" t="s">
        <v>142</v>
      </c>
      <c r="R255" s="64" t="s">
        <v>98</v>
      </c>
      <c r="S255" s="77" t="s">
        <v>1556</v>
      </c>
      <c r="T255" s="74" t="s">
        <v>100</v>
      </c>
      <c r="U255" s="64" t="s">
        <v>1557</v>
      </c>
      <c r="V255" s="70" t="s">
        <v>118</v>
      </c>
      <c r="W255" s="74" t="s">
        <v>1273</v>
      </c>
      <c r="X255" s="68" t="s">
        <v>562</v>
      </c>
      <c r="Y255" s="64">
        <v>1</v>
      </c>
      <c r="Z255" s="78">
        <v>0</v>
      </c>
      <c r="AA255" s="79">
        <f>'BASE FACTURACION 2025'!$C$3</f>
        <v>122645.45276000001</v>
      </c>
      <c r="AB255" s="79">
        <f>'BASE FACTURACION 2025'!$F$3</f>
        <v>65164.677720000007</v>
      </c>
      <c r="AC255" s="79">
        <f t="shared" si="3"/>
        <v>122645.45276000001</v>
      </c>
    </row>
    <row r="256" spans="1:29" s="80" customFormat="1" ht="15" customHeight="1">
      <c r="A256" s="64" t="s">
        <v>555</v>
      </c>
      <c r="B256" s="65" t="str">
        <f>VLOOKUP(A256,'CENTRO DE COSTOS'!A:D,4,FALSE)</f>
        <v>JUAN SEBASTIÁN RÍOS CASTRILLÓN</v>
      </c>
      <c r="C256" s="65" t="str">
        <f>VLOOKUP(A256,'CENTRO DE COSTOS'!A:D,2,FALSE)</f>
        <v>0004-0005</v>
      </c>
      <c r="D256" s="64">
        <v>27615</v>
      </c>
      <c r="E256" s="66" t="s">
        <v>1558</v>
      </c>
      <c r="F256" s="67">
        <v>80997</v>
      </c>
      <c r="G256" s="68" t="s">
        <v>90</v>
      </c>
      <c r="H256" s="69" t="s">
        <v>137</v>
      </c>
      <c r="I256" s="67" t="s">
        <v>1267</v>
      </c>
      <c r="J256" s="70" t="s">
        <v>1559</v>
      </c>
      <c r="K256" s="67" t="s">
        <v>1560</v>
      </c>
      <c r="L256" s="71" t="s">
        <v>95</v>
      </c>
      <c r="M256" s="72" t="s">
        <v>1561</v>
      </c>
      <c r="N256" s="73">
        <v>45882</v>
      </c>
      <c r="O256" s="74">
        <v>45894</v>
      </c>
      <c r="P256" s="75" t="s">
        <v>141</v>
      </c>
      <c r="Q256" s="76" t="s">
        <v>142</v>
      </c>
      <c r="R256" s="64" t="s">
        <v>98</v>
      </c>
      <c r="S256" s="77" t="s">
        <v>1562</v>
      </c>
      <c r="T256" s="74" t="s">
        <v>100</v>
      </c>
      <c r="U256" s="64" t="s">
        <v>1563</v>
      </c>
      <c r="V256" s="70" t="s">
        <v>118</v>
      </c>
      <c r="W256" s="74" t="s">
        <v>237</v>
      </c>
      <c r="X256" s="68" t="s">
        <v>562</v>
      </c>
      <c r="Y256" s="64">
        <v>1</v>
      </c>
      <c r="Z256" s="78">
        <v>0</v>
      </c>
      <c r="AA256" s="79">
        <f>'BASE FACTURACION 2025'!$C$3</f>
        <v>122645.45276000001</v>
      </c>
      <c r="AB256" s="79">
        <f>'BASE FACTURACION 2025'!$F$3</f>
        <v>65164.677720000007</v>
      </c>
      <c r="AC256" s="79">
        <f t="shared" si="3"/>
        <v>122645.45276000001</v>
      </c>
    </row>
    <row r="257" spans="1:29" s="80" customFormat="1" ht="15" customHeight="1">
      <c r="A257" s="64" t="s">
        <v>88</v>
      </c>
      <c r="B257" s="65" t="str">
        <f>VLOOKUP(A257,'CENTRO DE COSTOS'!A:D,4,FALSE)</f>
        <v>KEVIN ALEXIS CORZO BUSTOS</v>
      </c>
      <c r="C257" s="65" t="str">
        <f>VLOOKUP(A257,'CENTRO DE COSTOS'!A:D,2,FALSE)</f>
        <v>0004-0007</v>
      </c>
      <c r="D257" s="64">
        <v>41016</v>
      </c>
      <c r="E257" s="66" t="s">
        <v>1564</v>
      </c>
      <c r="F257" s="67">
        <v>80991</v>
      </c>
      <c r="G257" s="68" t="s">
        <v>90</v>
      </c>
      <c r="H257" s="69" t="s">
        <v>137</v>
      </c>
      <c r="I257" s="67" t="s">
        <v>173</v>
      </c>
      <c r="J257" s="70" t="s">
        <v>1565</v>
      </c>
      <c r="K257" s="67" t="s">
        <v>1566</v>
      </c>
      <c r="L257" s="71" t="s">
        <v>95</v>
      </c>
      <c r="M257" s="72" t="s">
        <v>1567</v>
      </c>
      <c r="N257" s="73">
        <v>45882</v>
      </c>
      <c r="O257" s="74">
        <v>45883</v>
      </c>
      <c r="P257" s="75" t="s">
        <v>141</v>
      </c>
      <c r="Q257" s="76" t="s">
        <v>142</v>
      </c>
      <c r="R257" s="64" t="s">
        <v>98</v>
      </c>
      <c r="S257" s="77" t="s">
        <v>1462</v>
      </c>
      <c r="T257" s="74" t="s">
        <v>100</v>
      </c>
      <c r="U257" s="64" t="s">
        <v>1568</v>
      </c>
      <c r="V257" s="70" t="s">
        <v>162</v>
      </c>
      <c r="W257" s="74" t="s">
        <v>103</v>
      </c>
      <c r="X257" s="68" t="s">
        <v>275</v>
      </c>
      <c r="Y257" s="64">
        <v>1</v>
      </c>
      <c r="Z257" s="78">
        <v>0</v>
      </c>
      <c r="AA257" s="79">
        <f>'BASE FACTURACION 2025'!$C$3</f>
        <v>122645.45276000001</v>
      </c>
      <c r="AB257" s="79">
        <f>'BASE FACTURACION 2025'!$F$3</f>
        <v>65164.677720000007</v>
      </c>
      <c r="AC257" s="79">
        <f t="shared" si="3"/>
        <v>122645.45276000001</v>
      </c>
    </row>
    <row r="258" spans="1:29" s="80" customFormat="1" ht="15" customHeight="1">
      <c r="A258" s="64" t="s">
        <v>88</v>
      </c>
      <c r="B258" s="65" t="str">
        <f>VLOOKUP(A258,'CENTRO DE COSTOS'!A:D,4,FALSE)</f>
        <v>KEVIN ALEXIS CORZO BUSTOS</v>
      </c>
      <c r="C258" s="65" t="str">
        <f>VLOOKUP(A258,'CENTRO DE COSTOS'!A:D,2,FALSE)</f>
        <v>0004-0007</v>
      </c>
      <c r="D258" s="64">
        <v>41298</v>
      </c>
      <c r="E258" s="66" t="s">
        <v>1569</v>
      </c>
      <c r="F258" s="67">
        <v>81014</v>
      </c>
      <c r="G258" s="68" t="s">
        <v>90</v>
      </c>
      <c r="H258" s="69" t="s">
        <v>137</v>
      </c>
      <c r="I258" s="67" t="s">
        <v>173</v>
      </c>
      <c r="J258" s="70" t="s">
        <v>1570</v>
      </c>
      <c r="K258" s="67" t="s">
        <v>1571</v>
      </c>
      <c r="L258" s="71" t="s">
        <v>95</v>
      </c>
      <c r="M258" s="72" t="s">
        <v>1572</v>
      </c>
      <c r="N258" s="73">
        <v>45882</v>
      </c>
      <c r="O258" s="74">
        <v>45884</v>
      </c>
      <c r="P258" s="75" t="s">
        <v>141</v>
      </c>
      <c r="Q258" s="76" t="s">
        <v>142</v>
      </c>
      <c r="R258" s="64" t="s">
        <v>98</v>
      </c>
      <c r="S258" s="77" t="s">
        <v>1471</v>
      </c>
      <c r="T258" s="74" t="s">
        <v>100</v>
      </c>
      <c r="U258" s="64" t="s">
        <v>1573</v>
      </c>
      <c r="V258" s="70" t="s">
        <v>189</v>
      </c>
      <c r="W258" s="74" t="s">
        <v>103</v>
      </c>
      <c r="X258" s="68" t="s">
        <v>275</v>
      </c>
      <c r="Y258" s="64">
        <v>1</v>
      </c>
      <c r="Z258" s="78">
        <v>0</v>
      </c>
      <c r="AA258" s="79">
        <f>'BASE FACTURACION 2025'!$C$3</f>
        <v>122645.45276000001</v>
      </c>
      <c r="AB258" s="79">
        <f>'BASE FACTURACION 2025'!$F$3</f>
        <v>65164.677720000007</v>
      </c>
      <c r="AC258" s="79">
        <f t="shared" si="3"/>
        <v>122645.45276000001</v>
      </c>
    </row>
    <row r="259" spans="1:29" s="80" customFormat="1" ht="15" customHeight="1">
      <c r="A259" s="64" t="s">
        <v>1574</v>
      </c>
      <c r="B259" s="65" t="str">
        <f>VLOOKUP(A259,'CENTRO DE COSTOS'!A:D,4,FALSE)</f>
        <v>JOSE MAURICIO HERNANDEZ ROJAS</v>
      </c>
      <c r="C259" s="65" t="str">
        <f>VLOOKUP(A259,'CENTRO DE COSTOS'!A:D,2,FALSE)</f>
        <v>0004-0001</v>
      </c>
      <c r="D259" s="64">
        <v>44001</v>
      </c>
      <c r="E259" s="66" t="s">
        <v>1575</v>
      </c>
      <c r="F259" s="67">
        <v>81026</v>
      </c>
      <c r="G259" s="68" t="s">
        <v>90</v>
      </c>
      <c r="H259" s="69" t="s">
        <v>137</v>
      </c>
      <c r="I259" s="67" t="s">
        <v>1576</v>
      </c>
      <c r="J259" s="70" t="s">
        <v>1577</v>
      </c>
      <c r="K259" s="67" t="s">
        <v>1578</v>
      </c>
      <c r="L259" s="71" t="s">
        <v>95</v>
      </c>
      <c r="M259" s="72" t="s">
        <v>1579</v>
      </c>
      <c r="N259" s="73">
        <v>45882</v>
      </c>
      <c r="O259" s="74">
        <v>45883</v>
      </c>
      <c r="P259" s="75" t="s">
        <v>141</v>
      </c>
      <c r="Q259" s="76" t="s">
        <v>142</v>
      </c>
      <c r="R259" s="64" t="s">
        <v>98</v>
      </c>
      <c r="S259" s="77" t="s">
        <v>1462</v>
      </c>
      <c r="T259" s="74" t="s">
        <v>100</v>
      </c>
      <c r="U259" s="64" t="s">
        <v>1580</v>
      </c>
      <c r="V259" s="70" t="s">
        <v>189</v>
      </c>
      <c r="W259" s="74" t="s">
        <v>103</v>
      </c>
      <c r="X259" s="68" t="s">
        <v>806</v>
      </c>
      <c r="Y259" s="64">
        <v>1</v>
      </c>
      <c r="Z259" s="78">
        <v>0</v>
      </c>
      <c r="AA259" s="79">
        <f>'BASE FACTURACION 2025'!$C$3</f>
        <v>122645.45276000001</v>
      </c>
      <c r="AB259" s="79">
        <f>'BASE FACTURACION 2025'!$F$3</f>
        <v>65164.677720000007</v>
      </c>
      <c r="AC259" s="79">
        <f t="shared" ref="AC259:AC322" si="4">AA259*Y259+AB259*Z259</f>
        <v>122645.45276000001</v>
      </c>
    </row>
    <row r="260" spans="1:29" s="80" customFormat="1" ht="15" customHeight="1">
      <c r="A260" s="64" t="s">
        <v>1574</v>
      </c>
      <c r="B260" s="65" t="str">
        <f>VLOOKUP(A260,'CENTRO DE COSTOS'!A:D,4,FALSE)</f>
        <v>JOSE MAURICIO HERNANDEZ ROJAS</v>
      </c>
      <c r="C260" s="65" t="str">
        <f>VLOOKUP(A260,'CENTRO DE COSTOS'!A:D,2,FALSE)</f>
        <v>0004-0001</v>
      </c>
      <c r="D260" s="64">
        <v>44001</v>
      </c>
      <c r="E260" s="66" t="s">
        <v>1581</v>
      </c>
      <c r="F260" s="67">
        <v>81027</v>
      </c>
      <c r="G260" s="68" t="s">
        <v>90</v>
      </c>
      <c r="H260" s="69" t="s">
        <v>137</v>
      </c>
      <c r="I260" s="67" t="s">
        <v>1576</v>
      </c>
      <c r="J260" s="70" t="s">
        <v>1577</v>
      </c>
      <c r="K260" s="67" t="s">
        <v>1582</v>
      </c>
      <c r="L260" s="71" t="s">
        <v>95</v>
      </c>
      <c r="M260" s="72" t="s">
        <v>1583</v>
      </c>
      <c r="N260" s="73">
        <v>45882</v>
      </c>
      <c r="O260" s="74">
        <v>45883</v>
      </c>
      <c r="P260" s="75" t="s">
        <v>141</v>
      </c>
      <c r="Q260" s="76" t="s">
        <v>142</v>
      </c>
      <c r="R260" s="64" t="s">
        <v>98</v>
      </c>
      <c r="S260" s="77" t="s">
        <v>1462</v>
      </c>
      <c r="T260" s="74" t="s">
        <v>100</v>
      </c>
      <c r="U260" s="64" t="s">
        <v>1584</v>
      </c>
      <c r="V260" s="70" t="s">
        <v>189</v>
      </c>
      <c r="W260" s="74" t="s">
        <v>103</v>
      </c>
      <c r="X260" s="68" t="s">
        <v>806</v>
      </c>
      <c r="Y260" s="64">
        <v>1</v>
      </c>
      <c r="Z260" s="78">
        <v>0</v>
      </c>
      <c r="AA260" s="79">
        <f>'BASE FACTURACION 2025'!$C$3</f>
        <v>122645.45276000001</v>
      </c>
      <c r="AB260" s="79">
        <f>'BASE FACTURACION 2025'!$F$3</f>
        <v>65164.677720000007</v>
      </c>
      <c r="AC260" s="79">
        <f t="shared" si="4"/>
        <v>122645.45276000001</v>
      </c>
    </row>
    <row r="261" spans="1:29" s="80" customFormat="1" ht="15" customHeight="1">
      <c r="A261" s="64" t="s">
        <v>1574</v>
      </c>
      <c r="B261" s="65" t="str">
        <f>VLOOKUP(A261,'CENTRO DE COSTOS'!A:D,4,FALSE)</f>
        <v>JOSE MAURICIO HERNANDEZ ROJAS</v>
      </c>
      <c r="C261" s="65" t="str">
        <f>VLOOKUP(A261,'CENTRO DE COSTOS'!A:D,2,FALSE)</f>
        <v>0004-0001</v>
      </c>
      <c r="D261" s="64">
        <v>44001</v>
      </c>
      <c r="E261" s="66" t="s">
        <v>1585</v>
      </c>
      <c r="F261" s="67">
        <v>81028</v>
      </c>
      <c r="G261" s="68" t="s">
        <v>90</v>
      </c>
      <c r="H261" s="69" t="s">
        <v>137</v>
      </c>
      <c r="I261" s="67" t="s">
        <v>1576</v>
      </c>
      <c r="J261" s="70" t="s">
        <v>1577</v>
      </c>
      <c r="K261" s="67" t="s">
        <v>1586</v>
      </c>
      <c r="L261" s="71" t="s">
        <v>95</v>
      </c>
      <c r="M261" s="72" t="s">
        <v>1587</v>
      </c>
      <c r="N261" s="73">
        <v>45882</v>
      </c>
      <c r="O261" s="74">
        <v>45884</v>
      </c>
      <c r="P261" s="75" t="s">
        <v>141</v>
      </c>
      <c r="Q261" s="76" t="s">
        <v>633</v>
      </c>
      <c r="R261" s="64" t="s">
        <v>98</v>
      </c>
      <c r="S261" s="77" t="s">
        <v>1471</v>
      </c>
      <c r="T261" s="74" t="s">
        <v>100</v>
      </c>
      <c r="U261" s="64" t="s">
        <v>1588</v>
      </c>
      <c r="V261" s="70" t="s">
        <v>189</v>
      </c>
      <c r="W261" s="74" t="s">
        <v>103</v>
      </c>
      <c r="X261" s="68" t="s">
        <v>806</v>
      </c>
      <c r="Y261" s="64">
        <v>1</v>
      </c>
      <c r="Z261" s="78">
        <v>0</v>
      </c>
      <c r="AA261" s="79">
        <f>'BASE FACTURACION 2025'!$C$3</f>
        <v>122645.45276000001</v>
      </c>
      <c r="AB261" s="79">
        <f>'BASE FACTURACION 2025'!$F$3</f>
        <v>65164.677720000007</v>
      </c>
      <c r="AC261" s="79">
        <f t="shared" si="4"/>
        <v>122645.45276000001</v>
      </c>
    </row>
    <row r="262" spans="1:29" s="80" customFormat="1" ht="15" customHeight="1">
      <c r="A262" s="64" t="s">
        <v>1574</v>
      </c>
      <c r="B262" s="65" t="str">
        <f>VLOOKUP(A262,'CENTRO DE COSTOS'!A:D,4,FALSE)</f>
        <v>JOSE MAURICIO HERNANDEZ ROJAS</v>
      </c>
      <c r="C262" s="65" t="str">
        <f>VLOOKUP(A262,'CENTRO DE COSTOS'!A:D,2,FALSE)</f>
        <v>0004-0001</v>
      </c>
      <c r="D262" s="64">
        <v>44090</v>
      </c>
      <c r="E262" s="66" t="s">
        <v>1589</v>
      </c>
      <c r="F262" s="67">
        <v>81010</v>
      </c>
      <c r="G262" s="68" t="s">
        <v>90</v>
      </c>
      <c r="H262" s="69" t="s">
        <v>137</v>
      </c>
      <c r="I262" s="67" t="s">
        <v>1576</v>
      </c>
      <c r="J262" s="70" t="s">
        <v>1590</v>
      </c>
      <c r="K262" s="67" t="s">
        <v>1591</v>
      </c>
      <c r="L262" s="71" t="s">
        <v>95</v>
      </c>
      <c r="M262" s="72" t="s">
        <v>1592</v>
      </c>
      <c r="N262" s="73">
        <v>45882</v>
      </c>
      <c r="O262" s="74">
        <v>45883</v>
      </c>
      <c r="P262" s="75" t="s">
        <v>141</v>
      </c>
      <c r="Q262" s="76" t="s">
        <v>142</v>
      </c>
      <c r="R262" s="64" t="s">
        <v>98</v>
      </c>
      <c r="S262" s="77" t="s">
        <v>1462</v>
      </c>
      <c r="T262" s="74" t="s">
        <v>100</v>
      </c>
      <c r="U262" s="64" t="s">
        <v>1593</v>
      </c>
      <c r="V262" s="70" t="s">
        <v>189</v>
      </c>
      <c r="W262" s="74" t="s">
        <v>103</v>
      </c>
      <c r="X262" s="68" t="s">
        <v>1594</v>
      </c>
      <c r="Y262" s="64">
        <v>1</v>
      </c>
      <c r="Z262" s="78">
        <v>0</v>
      </c>
      <c r="AA262" s="79">
        <f>'BASE FACTURACION 2025'!$C$3</f>
        <v>122645.45276000001</v>
      </c>
      <c r="AB262" s="79">
        <f>'BASE FACTURACION 2025'!$F$3</f>
        <v>65164.677720000007</v>
      </c>
      <c r="AC262" s="79">
        <f t="shared" si="4"/>
        <v>122645.45276000001</v>
      </c>
    </row>
    <row r="263" spans="1:29" s="80" customFormat="1" ht="15" customHeight="1">
      <c r="A263" s="64" t="s">
        <v>1574</v>
      </c>
      <c r="B263" s="65" t="str">
        <f>VLOOKUP(A263,'CENTRO DE COSTOS'!A:D,4,FALSE)</f>
        <v>JOSE MAURICIO HERNANDEZ ROJAS</v>
      </c>
      <c r="C263" s="65" t="str">
        <f>VLOOKUP(A263,'CENTRO DE COSTOS'!A:D,2,FALSE)</f>
        <v>0004-0001</v>
      </c>
      <c r="D263" s="64">
        <v>44430</v>
      </c>
      <c r="E263" s="66" t="s">
        <v>1595</v>
      </c>
      <c r="F263" s="67">
        <v>81015</v>
      </c>
      <c r="G263" s="68" t="s">
        <v>90</v>
      </c>
      <c r="H263" s="69" t="s">
        <v>137</v>
      </c>
      <c r="I263" s="67" t="s">
        <v>1576</v>
      </c>
      <c r="J263" s="70" t="s">
        <v>1596</v>
      </c>
      <c r="K263" s="67" t="s">
        <v>1597</v>
      </c>
      <c r="L263" s="71" t="s">
        <v>95</v>
      </c>
      <c r="M263" s="72" t="s">
        <v>1598</v>
      </c>
      <c r="N263" s="73">
        <v>45882</v>
      </c>
      <c r="O263" s="74">
        <v>45884</v>
      </c>
      <c r="P263" s="75" t="s">
        <v>141</v>
      </c>
      <c r="Q263" s="76" t="s">
        <v>142</v>
      </c>
      <c r="R263" s="64" t="s">
        <v>98</v>
      </c>
      <c r="S263" s="77" t="s">
        <v>1497</v>
      </c>
      <c r="T263" s="74" t="s">
        <v>100</v>
      </c>
      <c r="U263" s="64" t="s">
        <v>1599</v>
      </c>
      <c r="V263" s="70" t="s">
        <v>102</v>
      </c>
      <c r="W263" s="74" t="s">
        <v>103</v>
      </c>
      <c r="X263" s="68" t="s">
        <v>1600</v>
      </c>
      <c r="Y263" s="64">
        <v>1</v>
      </c>
      <c r="Z263" s="78">
        <v>0</v>
      </c>
      <c r="AA263" s="79">
        <f>'BASE FACTURACION 2025'!$C$3</f>
        <v>122645.45276000001</v>
      </c>
      <c r="AB263" s="79">
        <f>'BASE FACTURACION 2025'!$F$3</f>
        <v>65164.677720000007</v>
      </c>
      <c r="AC263" s="79">
        <f t="shared" si="4"/>
        <v>122645.45276000001</v>
      </c>
    </row>
    <row r="264" spans="1:29" s="80" customFormat="1" ht="15" customHeight="1">
      <c r="A264" s="64" t="s">
        <v>220</v>
      </c>
      <c r="B264" s="65" t="str">
        <f>VLOOKUP(A264,'CENTRO DE COSTOS'!A:D,4,FALSE)</f>
        <v>KEVIN ALEXIS CORZO BUSTOS</v>
      </c>
      <c r="C264" s="65" t="str">
        <f>VLOOKUP(A264,'CENTRO DE COSTOS'!A:D,2,FALSE)</f>
        <v>0004-0007</v>
      </c>
      <c r="D264" s="64">
        <v>50001</v>
      </c>
      <c r="E264" s="66" t="s">
        <v>1601</v>
      </c>
      <c r="F264" s="67">
        <v>81034</v>
      </c>
      <c r="G264" s="68" t="s">
        <v>90</v>
      </c>
      <c r="H264" s="69" t="s">
        <v>137</v>
      </c>
      <c r="I264" s="67" t="s">
        <v>222</v>
      </c>
      <c r="J264" s="70" t="s">
        <v>220</v>
      </c>
      <c r="K264" s="67" t="s">
        <v>1602</v>
      </c>
      <c r="L264" s="71" t="s">
        <v>95</v>
      </c>
      <c r="M264" s="72" t="s">
        <v>1603</v>
      </c>
      <c r="N264" s="73">
        <v>45882</v>
      </c>
      <c r="O264" s="74">
        <v>45883</v>
      </c>
      <c r="P264" s="75" t="s">
        <v>141</v>
      </c>
      <c r="Q264" s="76" t="s">
        <v>142</v>
      </c>
      <c r="R264" s="64" t="s">
        <v>98</v>
      </c>
      <c r="S264" s="77" t="s">
        <v>1462</v>
      </c>
      <c r="T264" s="74" t="s">
        <v>100</v>
      </c>
      <c r="U264" s="64" t="s">
        <v>1604</v>
      </c>
      <c r="V264" s="70" t="s">
        <v>133</v>
      </c>
      <c r="W264" s="74" t="s">
        <v>103</v>
      </c>
      <c r="X264" s="68" t="s">
        <v>831</v>
      </c>
      <c r="Y264" s="64">
        <v>1</v>
      </c>
      <c r="Z264" s="78">
        <v>0</v>
      </c>
      <c r="AA264" s="79">
        <f>'BASE FACTURACION 2025'!$C$3</f>
        <v>122645.45276000001</v>
      </c>
      <c r="AB264" s="79">
        <f>'BASE FACTURACION 2025'!$F$3</f>
        <v>65164.677720000007</v>
      </c>
      <c r="AC264" s="79">
        <f t="shared" si="4"/>
        <v>122645.45276000001</v>
      </c>
    </row>
    <row r="265" spans="1:29" s="80" customFormat="1" ht="15" customHeight="1">
      <c r="A265" s="64" t="s">
        <v>110</v>
      </c>
      <c r="B265" s="65" t="str">
        <f>VLOOKUP(A265,'CENTRO DE COSTOS'!A:D,4,FALSE)</f>
        <v>DIEGO FERNANDO HENAO CARDONA</v>
      </c>
      <c r="C265" s="65" t="str">
        <f>VLOOKUP(A265,'CENTRO DE COSTOS'!A:D,2,FALSE)</f>
        <v>0004-0003</v>
      </c>
      <c r="D265" s="64">
        <v>52001</v>
      </c>
      <c r="E265" s="66" t="s">
        <v>1605</v>
      </c>
      <c r="F265" s="67">
        <v>81018</v>
      </c>
      <c r="G265" s="68" t="s">
        <v>90</v>
      </c>
      <c r="H265" s="69" t="s">
        <v>137</v>
      </c>
      <c r="I265" s="67" t="s">
        <v>112</v>
      </c>
      <c r="J265" s="70" t="s">
        <v>110</v>
      </c>
      <c r="K265" s="67" t="s">
        <v>1606</v>
      </c>
      <c r="L265" s="71" t="s">
        <v>95</v>
      </c>
      <c r="M265" s="72" t="s">
        <v>1607</v>
      </c>
      <c r="N265" s="73">
        <v>45882</v>
      </c>
      <c r="O265" s="74">
        <v>45884</v>
      </c>
      <c r="P265" s="75" t="s">
        <v>141</v>
      </c>
      <c r="Q265" s="76" t="s">
        <v>142</v>
      </c>
      <c r="R265" s="64" t="s">
        <v>98</v>
      </c>
      <c r="S265" s="77" t="s">
        <v>1471</v>
      </c>
      <c r="T265" s="74" t="s">
        <v>100</v>
      </c>
      <c r="U265" s="64" t="s">
        <v>1608</v>
      </c>
      <c r="V265" s="70" t="s">
        <v>133</v>
      </c>
      <c r="W265" s="74" t="s">
        <v>103</v>
      </c>
      <c r="X265" s="68" t="s">
        <v>1293</v>
      </c>
      <c r="Y265" s="64">
        <v>1</v>
      </c>
      <c r="Z265" s="78">
        <v>0</v>
      </c>
      <c r="AA265" s="79">
        <f>'BASE FACTURACION 2025'!$C$3</f>
        <v>122645.45276000001</v>
      </c>
      <c r="AB265" s="79">
        <f>'BASE FACTURACION 2025'!$F$3</f>
        <v>65164.677720000007</v>
      </c>
      <c r="AC265" s="79">
        <f t="shared" si="4"/>
        <v>122645.45276000001</v>
      </c>
    </row>
    <row r="266" spans="1:29" s="80" customFormat="1" ht="15" customHeight="1">
      <c r="A266" s="64" t="s">
        <v>245</v>
      </c>
      <c r="B266" s="65" t="str">
        <f>VLOOKUP(A266,'CENTRO DE COSTOS'!A:D,4,FALSE)</f>
        <v>MIGUEL JULIÁN HERNÁNDEZ GUARÍN</v>
      </c>
      <c r="C266" s="65" t="str">
        <f>VLOOKUP(A266,'CENTRO DE COSTOS'!A:D,2,FALSE)</f>
        <v>0004-0008</v>
      </c>
      <c r="D266" s="64">
        <v>54001</v>
      </c>
      <c r="E266" s="66" t="s">
        <v>1609</v>
      </c>
      <c r="F266" s="67">
        <v>81007</v>
      </c>
      <c r="G266" s="68" t="s">
        <v>90</v>
      </c>
      <c r="H266" s="69" t="s">
        <v>137</v>
      </c>
      <c r="I266" s="67" t="s">
        <v>247</v>
      </c>
      <c r="J266" s="70" t="s">
        <v>245</v>
      </c>
      <c r="K266" s="67" t="s">
        <v>1610</v>
      </c>
      <c r="L266" s="71" t="s">
        <v>95</v>
      </c>
      <c r="M266" s="72" t="s">
        <v>1611</v>
      </c>
      <c r="N266" s="73">
        <v>45882</v>
      </c>
      <c r="O266" s="74">
        <v>45884</v>
      </c>
      <c r="P266" s="75" t="s">
        <v>141</v>
      </c>
      <c r="Q266" s="76" t="s">
        <v>142</v>
      </c>
      <c r="R266" s="64" t="s">
        <v>98</v>
      </c>
      <c r="S266" s="77" t="s">
        <v>1612</v>
      </c>
      <c r="T266" s="74" t="s">
        <v>100</v>
      </c>
      <c r="U266" s="64" t="s">
        <v>1613</v>
      </c>
      <c r="V266" s="70" t="s">
        <v>133</v>
      </c>
      <c r="W266" s="74" t="s">
        <v>103</v>
      </c>
      <c r="X266" s="68" t="s">
        <v>325</v>
      </c>
      <c r="Y266" s="64">
        <v>1</v>
      </c>
      <c r="Z266" s="78">
        <v>0</v>
      </c>
      <c r="AA266" s="79">
        <f>'BASE FACTURACION 2025'!$C$3</f>
        <v>122645.45276000001</v>
      </c>
      <c r="AB266" s="79">
        <f>'BASE FACTURACION 2025'!$F$3</f>
        <v>65164.677720000007</v>
      </c>
      <c r="AC266" s="79">
        <f t="shared" si="4"/>
        <v>122645.45276000001</v>
      </c>
    </row>
    <row r="267" spans="1:29" s="80" customFormat="1" ht="15" customHeight="1">
      <c r="A267" s="64" t="s">
        <v>245</v>
      </c>
      <c r="B267" s="65" t="str">
        <f>VLOOKUP(A267,'CENTRO DE COSTOS'!A:D,4,FALSE)</f>
        <v>MIGUEL JULIÁN HERNÁNDEZ GUARÍN</v>
      </c>
      <c r="C267" s="65" t="str">
        <f>VLOOKUP(A267,'CENTRO DE COSTOS'!A:D,2,FALSE)</f>
        <v>0004-0008</v>
      </c>
      <c r="D267" s="64">
        <v>54001</v>
      </c>
      <c r="E267" s="66" t="s">
        <v>1614</v>
      </c>
      <c r="F267" s="67">
        <v>81008</v>
      </c>
      <c r="G267" s="68" t="s">
        <v>90</v>
      </c>
      <c r="H267" s="69" t="s">
        <v>137</v>
      </c>
      <c r="I267" s="67" t="s">
        <v>247</v>
      </c>
      <c r="J267" s="70" t="s">
        <v>245</v>
      </c>
      <c r="K267" s="67" t="s">
        <v>1615</v>
      </c>
      <c r="L267" s="71" t="s">
        <v>95</v>
      </c>
      <c r="M267" s="72" t="s">
        <v>1616</v>
      </c>
      <c r="N267" s="73">
        <v>45882</v>
      </c>
      <c r="O267" s="74">
        <v>45883</v>
      </c>
      <c r="P267" s="75" t="s">
        <v>141</v>
      </c>
      <c r="Q267" s="76" t="s">
        <v>142</v>
      </c>
      <c r="R267" s="64" t="s">
        <v>98</v>
      </c>
      <c r="S267" s="77" t="s">
        <v>1462</v>
      </c>
      <c r="T267" s="74" t="s">
        <v>100</v>
      </c>
      <c r="U267" s="64" t="s">
        <v>1617</v>
      </c>
      <c r="V267" s="70" t="s">
        <v>133</v>
      </c>
      <c r="W267" s="74" t="s">
        <v>103</v>
      </c>
      <c r="X267" s="68" t="s">
        <v>319</v>
      </c>
      <c r="Y267" s="64">
        <v>1</v>
      </c>
      <c r="Z267" s="78">
        <v>0</v>
      </c>
      <c r="AA267" s="79">
        <f>'BASE FACTURACION 2025'!$C$3</f>
        <v>122645.45276000001</v>
      </c>
      <c r="AB267" s="79">
        <f>'BASE FACTURACION 2025'!$F$3</f>
        <v>65164.677720000007</v>
      </c>
      <c r="AC267" s="79">
        <f t="shared" si="4"/>
        <v>122645.45276000001</v>
      </c>
    </row>
    <row r="268" spans="1:29" s="80" customFormat="1" ht="15" customHeight="1">
      <c r="A268" s="64" t="s">
        <v>245</v>
      </c>
      <c r="B268" s="65" t="str">
        <f>VLOOKUP(A268,'CENTRO DE COSTOS'!A:D,4,FALSE)</f>
        <v>MIGUEL JULIÁN HERNÁNDEZ GUARÍN</v>
      </c>
      <c r="C268" s="65" t="str">
        <f>VLOOKUP(A268,'CENTRO DE COSTOS'!A:D,2,FALSE)</f>
        <v>0004-0008</v>
      </c>
      <c r="D268" s="64">
        <v>54001</v>
      </c>
      <c r="E268" s="66" t="s">
        <v>1618</v>
      </c>
      <c r="F268" s="67">
        <v>81009</v>
      </c>
      <c r="G268" s="68" t="s">
        <v>90</v>
      </c>
      <c r="H268" s="69" t="s">
        <v>137</v>
      </c>
      <c r="I268" s="67" t="s">
        <v>247</v>
      </c>
      <c r="J268" s="70" t="s">
        <v>245</v>
      </c>
      <c r="K268" s="67" t="s">
        <v>1619</v>
      </c>
      <c r="L268" s="71" t="s">
        <v>95</v>
      </c>
      <c r="M268" s="72" t="s">
        <v>1620</v>
      </c>
      <c r="N268" s="73">
        <v>45882</v>
      </c>
      <c r="O268" s="74">
        <v>45883</v>
      </c>
      <c r="P268" s="75" t="s">
        <v>141</v>
      </c>
      <c r="Q268" s="76" t="s">
        <v>142</v>
      </c>
      <c r="R268" s="64" t="s">
        <v>98</v>
      </c>
      <c r="S268" s="77" t="s">
        <v>1507</v>
      </c>
      <c r="T268" s="74" t="s">
        <v>100</v>
      </c>
      <c r="U268" s="64" t="s">
        <v>1621</v>
      </c>
      <c r="V268" s="70" t="s">
        <v>133</v>
      </c>
      <c r="W268" s="74" t="s">
        <v>103</v>
      </c>
      <c r="X268" s="68" t="s">
        <v>319</v>
      </c>
      <c r="Y268" s="64">
        <v>1</v>
      </c>
      <c r="Z268" s="78">
        <v>0</v>
      </c>
      <c r="AA268" s="79">
        <f>'BASE FACTURACION 2025'!$C$3</f>
        <v>122645.45276000001</v>
      </c>
      <c r="AB268" s="79">
        <f>'BASE FACTURACION 2025'!$F$3</f>
        <v>65164.677720000007</v>
      </c>
      <c r="AC268" s="79">
        <f t="shared" si="4"/>
        <v>122645.45276000001</v>
      </c>
    </row>
    <row r="269" spans="1:29" s="80" customFormat="1" ht="15" customHeight="1">
      <c r="A269" s="64" t="s">
        <v>413</v>
      </c>
      <c r="B269" s="65" t="str">
        <f>VLOOKUP(A269,'CENTRO DE COSTOS'!A:D,4,FALSE)</f>
        <v>DIEGO FERNANDO HENAO CARDONA</v>
      </c>
      <c r="C269" s="65" t="str">
        <f>VLOOKUP(A269,'CENTRO DE COSTOS'!A:D,2,FALSE)</f>
        <v>0004-0002</v>
      </c>
      <c r="D269" s="64">
        <v>63594</v>
      </c>
      <c r="E269" s="66" t="s">
        <v>1622</v>
      </c>
      <c r="F269" s="67">
        <v>81024</v>
      </c>
      <c r="G269" s="68" t="s">
        <v>90</v>
      </c>
      <c r="H269" s="69" t="s">
        <v>137</v>
      </c>
      <c r="I269" s="67" t="s">
        <v>506</v>
      </c>
      <c r="J269" s="70" t="s">
        <v>1623</v>
      </c>
      <c r="K269" s="67" t="s">
        <v>1624</v>
      </c>
      <c r="L269" s="71" t="s">
        <v>95</v>
      </c>
      <c r="M269" s="72" t="s">
        <v>1625</v>
      </c>
      <c r="N269" s="73">
        <v>45882</v>
      </c>
      <c r="O269" s="74">
        <v>45884</v>
      </c>
      <c r="P269" s="75" t="s">
        <v>141</v>
      </c>
      <c r="Q269" s="76" t="s">
        <v>142</v>
      </c>
      <c r="R269" s="64" t="s">
        <v>98</v>
      </c>
      <c r="S269" s="77" t="s">
        <v>1471</v>
      </c>
      <c r="T269" s="74" t="s">
        <v>100</v>
      </c>
      <c r="U269" s="64" t="s">
        <v>1626</v>
      </c>
      <c r="V269" s="70" t="s">
        <v>162</v>
      </c>
      <c r="W269" s="74" t="s">
        <v>103</v>
      </c>
      <c r="X269" s="68" t="s">
        <v>512</v>
      </c>
      <c r="Y269" s="64">
        <v>1</v>
      </c>
      <c r="Z269" s="78">
        <v>0</v>
      </c>
      <c r="AA269" s="79">
        <f>'BASE FACTURACION 2025'!$C$3</f>
        <v>122645.45276000001</v>
      </c>
      <c r="AB269" s="79">
        <f>'BASE FACTURACION 2025'!$F$3</f>
        <v>65164.677720000007</v>
      </c>
      <c r="AC269" s="79">
        <f t="shared" si="4"/>
        <v>122645.45276000001</v>
      </c>
    </row>
    <row r="270" spans="1:29" s="80" customFormat="1" ht="15" customHeight="1">
      <c r="A270" s="64" t="s">
        <v>413</v>
      </c>
      <c r="B270" s="65" t="str">
        <f>VLOOKUP(A270,'CENTRO DE COSTOS'!A:D,4,FALSE)</f>
        <v>DIEGO FERNANDO HENAO CARDONA</v>
      </c>
      <c r="C270" s="65" t="str">
        <f>VLOOKUP(A270,'CENTRO DE COSTOS'!A:D,2,FALSE)</f>
        <v>0004-0002</v>
      </c>
      <c r="D270" s="64">
        <v>66001</v>
      </c>
      <c r="E270" s="66" t="s">
        <v>1627</v>
      </c>
      <c r="F270" s="67">
        <v>81019</v>
      </c>
      <c r="G270" s="68" t="s">
        <v>90</v>
      </c>
      <c r="H270" s="69" t="s">
        <v>137</v>
      </c>
      <c r="I270" s="67" t="s">
        <v>531</v>
      </c>
      <c r="J270" s="70" t="s">
        <v>413</v>
      </c>
      <c r="K270" s="67" t="s">
        <v>1628</v>
      </c>
      <c r="L270" s="71" t="s">
        <v>95</v>
      </c>
      <c r="M270" s="72" t="s">
        <v>1629</v>
      </c>
      <c r="N270" s="73">
        <v>45882</v>
      </c>
      <c r="O270" s="74">
        <v>45883</v>
      </c>
      <c r="P270" s="75" t="s">
        <v>141</v>
      </c>
      <c r="Q270" s="76" t="s">
        <v>142</v>
      </c>
      <c r="R270" s="64" t="s">
        <v>98</v>
      </c>
      <c r="S270" s="77" t="s">
        <v>1462</v>
      </c>
      <c r="T270" s="74" t="s">
        <v>100</v>
      </c>
      <c r="U270" s="64" t="s">
        <v>1630</v>
      </c>
      <c r="V270" s="70" t="s">
        <v>133</v>
      </c>
      <c r="W270" s="74" t="s">
        <v>103</v>
      </c>
      <c r="X270" s="68" t="s">
        <v>420</v>
      </c>
      <c r="Y270" s="64">
        <v>1</v>
      </c>
      <c r="Z270" s="78">
        <v>0</v>
      </c>
      <c r="AA270" s="79">
        <f>'BASE FACTURACION 2025'!$C$3</f>
        <v>122645.45276000001</v>
      </c>
      <c r="AB270" s="79">
        <f>'BASE FACTURACION 2025'!$F$3</f>
        <v>65164.677720000007</v>
      </c>
      <c r="AC270" s="79">
        <f t="shared" si="4"/>
        <v>122645.45276000001</v>
      </c>
    </row>
    <row r="271" spans="1:29" s="80" customFormat="1" ht="15" customHeight="1">
      <c r="A271" s="64" t="s">
        <v>413</v>
      </c>
      <c r="B271" s="65" t="str">
        <f>VLOOKUP(A271,'CENTRO DE COSTOS'!A:D,4,FALSE)</f>
        <v>DIEGO FERNANDO HENAO CARDONA</v>
      </c>
      <c r="C271" s="65" t="str">
        <f>VLOOKUP(A271,'CENTRO DE COSTOS'!A:D,2,FALSE)</f>
        <v>0004-0002</v>
      </c>
      <c r="D271" s="64">
        <v>66045</v>
      </c>
      <c r="E271" s="66" t="s">
        <v>1631</v>
      </c>
      <c r="F271" s="67">
        <v>80992</v>
      </c>
      <c r="G271" s="68" t="s">
        <v>90</v>
      </c>
      <c r="H271" s="69" t="s">
        <v>137</v>
      </c>
      <c r="I271" s="67" t="s">
        <v>531</v>
      </c>
      <c r="J271" s="70" t="s">
        <v>1632</v>
      </c>
      <c r="K271" s="67" t="s">
        <v>1633</v>
      </c>
      <c r="L271" s="71" t="s">
        <v>95</v>
      </c>
      <c r="M271" s="72" t="s">
        <v>1634</v>
      </c>
      <c r="N271" s="73">
        <v>45882</v>
      </c>
      <c r="O271" s="74">
        <v>45884</v>
      </c>
      <c r="P271" s="75" t="s">
        <v>141</v>
      </c>
      <c r="Q271" s="76" t="s">
        <v>142</v>
      </c>
      <c r="R271" s="64" t="s">
        <v>98</v>
      </c>
      <c r="S271" s="77" t="s">
        <v>1471</v>
      </c>
      <c r="T271" s="74" t="s">
        <v>100</v>
      </c>
      <c r="U271" s="64" t="s">
        <v>1635</v>
      </c>
      <c r="V271" s="70" t="s">
        <v>162</v>
      </c>
      <c r="W271" s="74" t="s">
        <v>103</v>
      </c>
      <c r="X271" s="68" t="s">
        <v>469</v>
      </c>
      <c r="Y271" s="64">
        <v>1</v>
      </c>
      <c r="Z271" s="78">
        <v>0</v>
      </c>
      <c r="AA271" s="79">
        <f>'BASE FACTURACION 2025'!$C$3</f>
        <v>122645.45276000001</v>
      </c>
      <c r="AB271" s="79">
        <f>'BASE FACTURACION 2025'!$F$3</f>
        <v>65164.677720000007</v>
      </c>
      <c r="AC271" s="79">
        <f t="shared" si="4"/>
        <v>122645.45276000001</v>
      </c>
    </row>
    <row r="272" spans="1:29" s="80" customFormat="1" ht="15" customHeight="1">
      <c r="A272" s="64" t="s">
        <v>229</v>
      </c>
      <c r="B272" s="65" t="str">
        <f>VLOOKUP(A272,'CENTRO DE COSTOS'!A:D,4,FALSE)</f>
        <v>MIGUEL JULIÁN HERNÁNDEZ GUARÍN</v>
      </c>
      <c r="C272" s="65" t="str">
        <f>VLOOKUP(A272,'CENTRO DE COSTOS'!A:D,2,FALSE)</f>
        <v>0004-0008</v>
      </c>
      <c r="D272" s="64">
        <v>68001</v>
      </c>
      <c r="E272" s="66" t="s">
        <v>1636</v>
      </c>
      <c r="F272" s="67">
        <v>80998</v>
      </c>
      <c r="G272" s="68" t="s">
        <v>90</v>
      </c>
      <c r="H272" s="69" t="s">
        <v>137</v>
      </c>
      <c r="I272" s="67" t="s">
        <v>714</v>
      </c>
      <c r="J272" s="70" t="s">
        <v>229</v>
      </c>
      <c r="K272" s="67" t="s">
        <v>1637</v>
      </c>
      <c r="L272" s="71" t="s">
        <v>95</v>
      </c>
      <c r="M272" s="72" t="s">
        <v>1638</v>
      </c>
      <c r="N272" s="73">
        <v>45882</v>
      </c>
      <c r="O272" s="74">
        <v>45883</v>
      </c>
      <c r="P272" s="75" t="s">
        <v>141</v>
      </c>
      <c r="Q272" s="76" t="s">
        <v>633</v>
      </c>
      <c r="R272" s="64" t="s">
        <v>98</v>
      </c>
      <c r="S272" s="77" t="s">
        <v>1462</v>
      </c>
      <c r="T272" s="74" t="s">
        <v>100</v>
      </c>
      <c r="U272" s="64" t="s">
        <v>1639</v>
      </c>
      <c r="V272" s="70" t="s">
        <v>133</v>
      </c>
      <c r="W272" s="74" t="s">
        <v>103</v>
      </c>
      <c r="X272" s="68" t="s">
        <v>1640</v>
      </c>
      <c r="Y272" s="64">
        <v>1</v>
      </c>
      <c r="Z272" s="78">
        <v>0</v>
      </c>
      <c r="AA272" s="79">
        <f>'BASE FACTURACION 2025'!$C$3</f>
        <v>122645.45276000001</v>
      </c>
      <c r="AB272" s="79">
        <f>'BASE FACTURACION 2025'!$F$3</f>
        <v>65164.677720000007</v>
      </c>
      <c r="AC272" s="79">
        <f t="shared" si="4"/>
        <v>122645.45276000001</v>
      </c>
    </row>
    <row r="273" spans="1:29" s="80" customFormat="1" ht="15" customHeight="1">
      <c r="A273" s="64" t="s">
        <v>229</v>
      </c>
      <c r="B273" s="65" t="str">
        <f>VLOOKUP(A273,'CENTRO DE COSTOS'!A:D,4,FALSE)</f>
        <v>MIGUEL JULIÁN HERNÁNDEZ GUARÍN</v>
      </c>
      <c r="C273" s="65" t="str">
        <f>VLOOKUP(A273,'CENTRO DE COSTOS'!A:D,2,FALSE)</f>
        <v>0004-0008</v>
      </c>
      <c r="D273" s="64">
        <v>68001</v>
      </c>
      <c r="E273" s="66" t="s">
        <v>1641</v>
      </c>
      <c r="F273" s="67">
        <v>80999</v>
      </c>
      <c r="G273" s="68" t="s">
        <v>90</v>
      </c>
      <c r="H273" s="69" t="s">
        <v>137</v>
      </c>
      <c r="I273" s="67" t="s">
        <v>714</v>
      </c>
      <c r="J273" s="70" t="s">
        <v>229</v>
      </c>
      <c r="K273" s="67" t="s">
        <v>1642</v>
      </c>
      <c r="L273" s="71" t="s">
        <v>95</v>
      </c>
      <c r="M273" s="72" t="s">
        <v>1643</v>
      </c>
      <c r="N273" s="73">
        <v>45882</v>
      </c>
      <c r="O273" s="74">
        <v>45883</v>
      </c>
      <c r="P273" s="75" t="s">
        <v>141</v>
      </c>
      <c r="Q273" s="76" t="s">
        <v>633</v>
      </c>
      <c r="R273" s="64" t="s">
        <v>98</v>
      </c>
      <c r="S273" s="77" t="s">
        <v>1462</v>
      </c>
      <c r="T273" s="74" t="s">
        <v>100</v>
      </c>
      <c r="U273" s="64" t="s">
        <v>1644</v>
      </c>
      <c r="V273" s="70" t="s">
        <v>133</v>
      </c>
      <c r="W273" s="74" t="s">
        <v>103</v>
      </c>
      <c r="X273" s="68" t="s">
        <v>742</v>
      </c>
      <c r="Y273" s="64">
        <v>1</v>
      </c>
      <c r="Z273" s="78">
        <v>0</v>
      </c>
      <c r="AA273" s="79">
        <f>'BASE FACTURACION 2025'!$C$3</f>
        <v>122645.45276000001</v>
      </c>
      <c r="AB273" s="79">
        <f>'BASE FACTURACION 2025'!$F$3</f>
        <v>65164.677720000007</v>
      </c>
      <c r="AC273" s="79">
        <f t="shared" si="4"/>
        <v>122645.45276000001</v>
      </c>
    </row>
    <row r="274" spans="1:29" s="80" customFormat="1" ht="15" customHeight="1">
      <c r="A274" s="64" t="s">
        <v>229</v>
      </c>
      <c r="B274" s="65" t="str">
        <f>VLOOKUP(A274,'CENTRO DE COSTOS'!A:D,4,FALSE)</f>
        <v>MIGUEL JULIÁN HERNÁNDEZ GUARÍN</v>
      </c>
      <c r="C274" s="65" t="str">
        <f>VLOOKUP(A274,'CENTRO DE COSTOS'!A:D,2,FALSE)</f>
        <v>0004-0008</v>
      </c>
      <c r="D274" s="64">
        <v>68547</v>
      </c>
      <c r="E274" s="66" t="s">
        <v>1645</v>
      </c>
      <c r="F274" s="67">
        <v>81020</v>
      </c>
      <c r="G274" s="68" t="s">
        <v>90</v>
      </c>
      <c r="H274" s="69" t="s">
        <v>137</v>
      </c>
      <c r="I274" s="67" t="s">
        <v>714</v>
      </c>
      <c r="J274" s="70" t="s">
        <v>738</v>
      </c>
      <c r="K274" s="67" t="s">
        <v>1646</v>
      </c>
      <c r="L274" s="71" t="s">
        <v>95</v>
      </c>
      <c r="M274" s="72" t="s">
        <v>1647</v>
      </c>
      <c r="N274" s="73">
        <v>45882</v>
      </c>
      <c r="O274" s="74">
        <v>45883</v>
      </c>
      <c r="P274" s="75" t="s">
        <v>141</v>
      </c>
      <c r="Q274" s="76" t="s">
        <v>633</v>
      </c>
      <c r="R274" s="64" t="s">
        <v>98</v>
      </c>
      <c r="S274" s="77" t="s">
        <v>1462</v>
      </c>
      <c r="T274" s="74" t="s">
        <v>100</v>
      </c>
      <c r="U274" s="64" t="s">
        <v>1648</v>
      </c>
      <c r="V274" s="70" t="s">
        <v>162</v>
      </c>
      <c r="W274" s="74" t="s">
        <v>103</v>
      </c>
      <c r="X274" s="68" t="s">
        <v>1128</v>
      </c>
      <c r="Y274" s="64">
        <v>1</v>
      </c>
      <c r="Z274" s="78">
        <v>0</v>
      </c>
      <c r="AA274" s="79">
        <f>'BASE FACTURACION 2025'!$C$3</f>
        <v>122645.45276000001</v>
      </c>
      <c r="AB274" s="79">
        <f>'BASE FACTURACION 2025'!$F$3</f>
        <v>65164.677720000007</v>
      </c>
      <c r="AC274" s="79">
        <f t="shared" si="4"/>
        <v>122645.45276000001</v>
      </c>
    </row>
    <row r="275" spans="1:29" s="80" customFormat="1" ht="15" customHeight="1">
      <c r="A275" s="64" t="s">
        <v>180</v>
      </c>
      <c r="B275" s="65" t="str">
        <f>VLOOKUP(A275,'CENTRO DE COSTOS'!A:D,4,FALSE)</f>
        <v>DIEGO FERNANDO HENAO CARDONA</v>
      </c>
      <c r="C275" s="65" t="str">
        <f>VLOOKUP(A275,'CENTRO DE COSTOS'!A:D,2,FALSE)</f>
        <v>0004-0003</v>
      </c>
      <c r="D275" s="64">
        <v>76001</v>
      </c>
      <c r="E275" s="66" t="s">
        <v>1649</v>
      </c>
      <c r="F275" s="67">
        <v>81001</v>
      </c>
      <c r="G275" s="68" t="s">
        <v>90</v>
      </c>
      <c r="H275" s="69" t="s">
        <v>137</v>
      </c>
      <c r="I275" s="67" t="s">
        <v>380</v>
      </c>
      <c r="J275" s="70" t="s">
        <v>180</v>
      </c>
      <c r="K275" s="67" t="s">
        <v>1650</v>
      </c>
      <c r="L275" s="71" t="s">
        <v>95</v>
      </c>
      <c r="M275" s="72" t="s">
        <v>1651</v>
      </c>
      <c r="N275" s="73">
        <v>45882</v>
      </c>
      <c r="O275" s="74">
        <v>45883</v>
      </c>
      <c r="P275" s="75" t="s">
        <v>141</v>
      </c>
      <c r="Q275" s="76" t="s">
        <v>142</v>
      </c>
      <c r="R275" s="64" t="s">
        <v>98</v>
      </c>
      <c r="S275" s="77" t="s">
        <v>1462</v>
      </c>
      <c r="T275" s="74" t="s">
        <v>100</v>
      </c>
      <c r="U275" s="64" t="s">
        <v>1652</v>
      </c>
      <c r="V275" s="70" t="s">
        <v>133</v>
      </c>
      <c r="W275" s="74" t="s">
        <v>103</v>
      </c>
      <c r="X275" s="68" t="s">
        <v>438</v>
      </c>
      <c r="Y275" s="64">
        <v>1</v>
      </c>
      <c r="Z275" s="78">
        <v>0</v>
      </c>
      <c r="AA275" s="79">
        <f>'BASE FACTURACION 2025'!$C$3</f>
        <v>122645.45276000001</v>
      </c>
      <c r="AB275" s="79">
        <f>'BASE FACTURACION 2025'!$F$3</f>
        <v>65164.677720000007</v>
      </c>
      <c r="AC275" s="79">
        <f t="shared" si="4"/>
        <v>122645.45276000001</v>
      </c>
    </row>
    <row r="276" spans="1:29" s="80" customFormat="1" ht="15" customHeight="1">
      <c r="A276" s="64" t="s">
        <v>180</v>
      </c>
      <c r="B276" s="65" t="str">
        <f>VLOOKUP(A276,'CENTRO DE COSTOS'!A:D,4,FALSE)</f>
        <v>DIEGO FERNANDO HENAO CARDONA</v>
      </c>
      <c r="C276" s="65" t="str">
        <f>VLOOKUP(A276,'CENTRO DE COSTOS'!A:D,2,FALSE)</f>
        <v>0004-0003</v>
      </c>
      <c r="D276" s="64">
        <v>76001</v>
      </c>
      <c r="E276" s="66" t="s">
        <v>1653</v>
      </c>
      <c r="F276" s="67">
        <v>81003</v>
      </c>
      <c r="G276" s="68" t="s">
        <v>90</v>
      </c>
      <c r="H276" s="69" t="s">
        <v>137</v>
      </c>
      <c r="I276" s="67" t="s">
        <v>380</v>
      </c>
      <c r="J276" s="70" t="s">
        <v>180</v>
      </c>
      <c r="K276" s="67" t="s">
        <v>1654</v>
      </c>
      <c r="L276" s="71" t="s">
        <v>95</v>
      </c>
      <c r="M276" s="72" t="s">
        <v>1655</v>
      </c>
      <c r="N276" s="73">
        <v>45882</v>
      </c>
      <c r="O276" s="74">
        <v>45884</v>
      </c>
      <c r="P276" s="75" t="s">
        <v>141</v>
      </c>
      <c r="Q276" s="76" t="s">
        <v>633</v>
      </c>
      <c r="R276" s="64" t="s">
        <v>98</v>
      </c>
      <c r="S276" s="77" t="s">
        <v>1471</v>
      </c>
      <c r="T276" s="74" t="s">
        <v>100</v>
      </c>
      <c r="U276" s="64" t="s">
        <v>1656</v>
      </c>
      <c r="V276" s="70" t="s">
        <v>133</v>
      </c>
      <c r="W276" s="74" t="s">
        <v>103</v>
      </c>
      <c r="X276" s="68" t="s">
        <v>1221</v>
      </c>
      <c r="Y276" s="64">
        <v>1</v>
      </c>
      <c r="Z276" s="78">
        <v>0</v>
      </c>
      <c r="AA276" s="79">
        <f>'BASE FACTURACION 2025'!$C$3</f>
        <v>122645.45276000001</v>
      </c>
      <c r="AB276" s="79">
        <f>'BASE FACTURACION 2025'!$F$3</f>
        <v>65164.677720000007</v>
      </c>
      <c r="AC276" s="79">
        <f t="shared" si="4"/>
        <v>122645.45276000001</v>
      </c>
    </row>
    <row r="277" spans="1:29" s="80" customFormat="1" ht="15" customHeight="1">
      <c r="A277" s="64" t="s">
        <v>180</v>
      </c>
      <c r="B277" s="65" t="str">
        <f>VLOOKUP(A277,'CENTRO DE COSTOS'!A:D,4,FALSE)</f>
        <v>DIEGO FERNANDO HENAO CARDONA</v>
      </c>
      <c r="C277" s="65" t="str">
        <f>VLOOKUP(A277,'CENTRO DE COSTOS'!A:D,2,FALSE)</f>
        <v>0004-0003</v>
      </c>
      <c r="D277" s="64">
        <v>76130</v>
      </c>
      <c r="E277" s="66" t="s">
        <v>1657</v>
      </c>
      <c r="F277" s="67">
        <v>81004</v>
      </c>
      <c r="G277" s="68" t="s">
        <v>90</v>
      </c>
      <c r="H277" s="69" t="s">
        <v>137</v>
      </c>
      <c r="I277" s="67" t="s">
        <v>380</v>
      </c>
      <c r="J277" s="70" t="s">
        <v>1173</v>
      </c>
      <c r="K277" s="67" t="s">
        <v>1658</v>
      </c>
      <c r="L277" s="71" t="s">
        <v>95</v>
      </c>
      <c r="M277" s="72" t="s">
        <v>1659</v>
      </c>
      <c r="N277" s="73">
        <v>45882</v>
      </c>
      <c r="O277" s="74">
        <v>45883</v>
      </c>
      <c r="P277" s="75" t="s">
        <v>141</v>
      </c>
      <c r="Q277" s="76" t="s">
        <v>633</v>
      </c>
      <c r="R277" s="64" t="s">
        <v>98</v>
      </c>
      <c r="S277" s="77" t="s">
        <v>1660</v>
      </c>
      <c r="T277" s="74" t="s">
        <v>100</v>
      </c>
      <c r="U277" s="64" t="s">
        <v>1661</v>
      </c>
      <c r="V277" s="70" t="s">
        <v>162</v>
      </c>
      <c r="W277" s="74" t="s">
        <v>103</v>
      </c>
      <c r="X277" s="68" t="s">
        <v>450</v>
      </c>
      <c r="Y277" s="64">
        <v>1</v>
      </c>
      <c r="Z277" s="78">
        <v>0</v>
      </c>
      <c r="AA277" s="79">
        <f>'BASE FACTURACION 2025'!$C$3</f>
        <v>122645.45276000001</v>
      </c>
      <c r="AB277" s="79">
        <f>'BASE FACTURACION 2025'!$F$3</f>
        <v>65164.677720000007</v>
      </c>
      <c r="AC277" s="79">
        <f t="shared" si="4"/>
        <v>122645.45276000001</v>
      </c>
    </row>
    <row r="278" spans="1:29" s="80" customFormat="1" ht="15" customHeight="1">
      <c r="A278" s="64" t="s">
        <v>180</v>
      </c>
      <c r="B278" s="65" t="str">
        <f>VLOOKUP(A278,'CENTRO DE COSTOS'!A:D,4,FALSE)</f>
        <v>DIEGO FERNANDO HENAO CARDONA</v>
      </c>
      <c r="C278" s="65" t="str">
        <f>VLOOKUP(A278,'CENTRO DE COSTOS'!A:D,2,FALSE)</f>
        <v>0004-0003</v>
      </c>
      <c r="D278" s="64">
        <v>76834</v>
      </c>
      <c r="E278" s="66" t="s">
        <v>1662</v>
      </c>
      <c r="F278" s="67">
        <v>81030</v>
      </c>
      <c r="G278" s="68" t="s">
        <v>90</v>
      </c>
      <c r="H278" s="69" t="s">
        <v>137</v>
      </c>
      <c r="I278" s="67" t="s">
        <v>380</v>
      </c>
      <c r="J278" s="70" t="s">
        <v>1663</v>
      </c>
      <c r="K278" s="67" t="s">
        <v>1664</v>
      </c>
      <c r="L278" s="71" t="s">
        <v>95</v>
      </c>
      <c r="M278" s="72" t="s">
        <v>1665</v>
      </c>
      <c r="N278" s="73">
        <v>45882</v>
      </c>
      <c r="O278" s="74">
        <v>45884</v>
      </c>
      <c r="P278" s="75" t="s">
        <v>141</v>
      </c>
      <c r="Q278" s="76" t="s">
        <v>633</v>
      </c>
      <c r="R278" s="64" t="s">
        <v>98</v>
      </c>
      <c r="S278" s="77" t="s">
        <v>1471</v>
      </c>
      <c r="T278" s="74" t="s">
        <v>100</v>
      </c>
      <c r="U278" s="64" t="s">
        <v>1666</v>
      </c>
      <c r="V278" s="70" t="s">
        <v>162</v>
      </c>
      <c r="W278" s="74" t="s">
        <v>103</v>
      </c>
      <c r="X278" s="68" t="s">
        <v>456</v>
      </c>
      <c r="Y278" s="64">
        <v>1</v>
      </c>
      <c r="Z278" s="78">
        <v>0</v>
      </c>
      <c r="AA278" s="79">
        <f>'BASE FACTURACION 2025'!$C$3</f>
        <v>122645.45276000001</v>
      </c>
      <c r="AB278" s="79">
        <f>'BASE FACTURACION 2025'!$F$3</f>
        <v>65164.677720000007</v>
      </c>
      <c r="AC278" s="79">
        <f t="shared" si="4"/>
        <v>122645.45276000001</v>
      </c>
    </row>
    <row r="279" spans="1:29" s="80" customFormat="1" ht="15" customHeight="1">
      <c r="A279" s="64" t="s">
        <v>229</v>
      </c>
      <c r="B279" s="65" t="str">
        <f>VLOOKUP(A279,'CENTRO DE COSTOS'!A:D,4,FALSE)</f>
        <v>MIGUEL JULIÁN HERNÁNDEZ GUARÍN</v>
      </c>
      <c r="C279" s="65" t="str">
        <f>VLOOKUP(A279,'CENTRO DE COSTOS'!A:D,2,FALSE)</f>
        <v>0004-0008</v>
      </c>
      <c r="D279" s="64">
        <v>81001</v>
      </c>
      <c r="E279" s="66" t="s">
        <v>1667</v>
      </c>
      <c r="F279" s="67">
        <v>80993</v>
      </c>
      <c r="G279" s="68" t="s">
        <v>90</v>
      </c>
      <c r="H279" s="69" t="s">
        <v>137</v>
      </c>
      <c r="I279" s="67" t="s">
        <v>1668</v>
      </c>
      <c r="J279" s="70" t="s">
        <v>1668</v>
      </c>
      <c r="K279" s="67" t="s">
        <v>1669</v>
      </c>
      <c r="L279" s="71" t="s">
        <v>95</v>
      </c>
      <c r="M279" s="72" t="s">
        <v>1670</v>
      </c>
      <c r="N279" s="73">
        <v>45882</v>
      </c>
      <c r="O279" s="74">
        <v>45884</v>
      </c>
      <c r="P279" s="75" t="s">
        <v>141</v>
      </c>
      <c r="Q279" s="76" t="s">
        <v>142</v>
      </c>
      <c r="R279" s="64" t="s">
        <v>98</v>
      </c>
      <c r="S279" s="77" t="s">
        <v>1471</v>
      </c>
      <c r="T279" s="74" t="s">
        <v>100</v>
      </c>
      <c r="U279" s="64" t="s">
        <v>1671</v>
      </c>
      <c r="V279" s="70" t="s">
        <v>118</v>
      </c>
      <c r="W279" s="74" t="s">
        <v>1273</v>
      </c>
      <c r="X279" s="68" t="s">
        <v>845</v>
      </c>
      <c r="Y279" s="64">
        <v>1</v>
      </c>
      <c r="Z279" s="78">
        <v>0</v>
      </c>
      <c r="AA279" s="79">
        <f>'BASE FACTURACION 2025'!$C$3</f>
        <v>122645.45276000001</v>
      </c>
      <c r="AB279" s="79">
        <f>'BASE FACTURACION 2025'!$F$3</f>
        <v>65164.677720000007</v>
      </c>
      <c r="AC279" s="79">
        <f t="shared" si="4"/>
        <v>122645.45276000001</v>
      </c>
    </row>
    <row r="280" spans="1:29" s="80" customFormat="1" ht="15" customHeight="1">
      <c r="A280" s="64" t="s">
        <v>126</v>
      </c>
      <c r="B280" s="65" t="str">
        <f>VLOOKUP(A280,'CENTRO DE COSTOS'!A:D,4,FALSE)</f>
        <v>KEVIN ALEXIS CORZO BUSTOS</v>
      </c>
      <c r="C280" s="65" t="str">
        <f>VLOOKUP(A280,'CENTRO DE COSTOS'!A:D,2,FALSE)</f>
        <v>0004-0007</v>
      </c>
      <c r="D280" s="64">
        <v>85001</v>
      </c>
      <c r="E280" s="66" t="s">
        <v>1672</v>
      </c>
      <c r="F280" s="67">
        <v>81044</v>
      </c>
      <c r="G280" s="68" t="s">
        <v>90</v>
      </c>
      <c r="H280" s="69" t="s">
        <v>137</v>
      </c>
      <c r="I280" s="67" t="s">
        <v>128</v>
      </c>
      <c r="J280" s="70" t="s">
        <v>126</v>
      </c>
      <c r="K280" s="67" t="s">
        <v>1673</v>
      </c>
      <c r="L280" s="71" t="s">
        <v>95</v>
      </c>
      <c r="M280" s="72" t="s">
        <v>1674</v>
      </c>
      <c r="N280" s="73">
        <v>45882</v>
      </c>
      <c r="O280" s="74">
        <v>45884</v>
      </c>
      <c r="P280" s="75" t="s">
        <v>141</v>
      </c>
      <c r="Q280" s="76" t="s">
        <v>142</v>
      </c>
      <c r="R280" s="64" t="s">
        <v>98</v>
      </c>
      <c r="S280" s="77" t="s">
        <v>1471</v>
      </c>
      <c r="T280" s="74" t="s">
        <v>100</v>
      </c>
      <c r="U280" s="64" t="s">
        <v>1675</v>
      </c>
      <c r="V280" s="70" t="s">
        <v>133</v>
      </c>
      <c r="W280" s="74" t="s">
        <v>103</v>
      </c>
      <c r="X280" s="68" t="s">
        <v>134</v>
      </c>
      <c r="Y280" s="64">
        <v>1</v>
      </c>
      <c r="Z280" s="78">
        <v>0</v>
      </c>
      <c r="AA280" s="79">
        <f>'BASE FACTURACION 2025'!$C$3</f>
        <v>122645.45276000001</v>
      </c>
      <c r="AB280" s="79">
        <f>'BASE FACTURACION 2025'!$F$3</f>
        <v>65164.677720000007</v>
      </c>
      <c r="AC280" s="79">
        <f t="shared" si="4"/>
        <v>122645.45276000001</v>
      </c>
    </row>
    <row r="281" spans="1:29" s="80" customFormat="1" ht="15" customHeight="1">
      <c r="A281" s="64" t="s">
        <v>110</v>
      </c>
      <c r="B281" s="65" t="str">
        <f>VLOOKUP(A281,'CENTRO DE COSTOS'!A:D,4,FALSE)</f>
        <v>DIEGO FERNANDO HENAO CARDONA</v>
      </c>
      <c r="C281" s="65" t="str">
        <f>VLOOKUP(A281,'CENTRO DE COSTOS'!A:D,2,FALSE)</f>
        <v>0004-0003</v>
      </c>
      <c r="D281" s="64">
        <v>86749</v>
      </c>
      <c r="E281" s="66" t="s">
        <v>1676</v>
      </c>
      <c r="F281" s="67">
        <v>81029</v>
      </c>
      <c r="G281" s="68" t="s">
        <v>90</v>
      </c>
      <c r="H281" s="69" t="s">
        <v>137</v>
      </c>
      <c r="I281" s="67" t="s">
        <v>1677</v>
      </c>
      <c r="J281" s="70" t="s">
        <v>1678</v>
      </c>
      <c r="K281" s="67" t="s">
        <v>1679</v>
      </c>
      <c r="L281" s="71" t="s">
        <v>95</v>
      </c>
      <c r="M281" s="72" t="s">
        <v>1680</v>
      </c>
      <c r="N281" s="73">
        <v>45882</v>
      </c>
      <c r="O281" s="74">
        <v>45884</v>
      </c>
      <c r="P281" s="75" t="s">
        <v>141</v>
      </c>
      <c r="Q281" s="76" t="s">
        <v>142</v>
      </c>
      <c r="R281" s="64" t="s">
        <v>98</v>
      </c>
      <c r="S281" s="77" t="s">
        <v>1471</v>
      </c>
      <c r="T281" s="74" t="s">
        <v>100</v>
      </c>
      <c r="U281" s="64" t="s">
        <v>1681</v>
      </c>
      <c r="V281" s="70" t="s">
        <v>189</v>
      </c>
      <c r="W281" s="74" t="s">
        <v>103</v>
      </c>
      <c r="X281" s="68" t="s">
        <v>1682</v>
      </c>
      <c r="Y281" s="64">
        <v>1</v>
      </c>
      <c r="Z281" s="78">
        <v>0</v>
      </c>
      <c r="AA281" s="79">
        <f>'BASE FACTURACION 2025'!$C$3</f>
        <v>122645.45276000001</v>
      </c>
      <c r="AB281" s="79">
        <f>'BASE FACTURACION 2025'!$F$3</f>
        <v>65164.677720000007</v>
      </c>
      <c r="AC281" s="79">
        <f t="shared" si="4"/>
        <v>122645.45276000001</v>
      </c>
    </row>
    <row r="282" spans="1:29" s="80" customFormat="1" ht="15" customHeight="1">
      <c r="A282" s="64" t="s">
        <v>110</v>
      </c>
      <c r="B282" s="65" t="str">
        <f>VLOOKUP(A282,'CENTRO DE COSTOS'!A:D,4,FALSE)</f>
        <v>DIEGO FERNANDO HENAO CARDONA</v>
      </c>
      <c r="C282" s="65" t="str">
        <f>VLOOKUP(A282,'CENTRO DE COSTOS'!A:D,2,FALSE)</f>
        <v>0004-0003</v>
      </c>
      <c r="D282" s="64">
        <v>86865</v>
      </c>
      <c r="E282" s="66" t="s">
        <v>1683</v>
      </c>
      <c r="F282" s="67">
        <v>81031</v>
      </c>
      <c r="G282" s="68" t="s">
        <v>90</v>
      </c>
      <c r="H282" s="69" t="s">
        <v>137</v>
      </c>
      <c r="I282" s="67" t="s">
        <v>1677</v>
      </c>
      <c r="J282" s="70" t="s">
        <v>1684</v>
      </c>
      <c r="K282" s="67" t="s">
        <v>1685</v>
      </c>
      <c r="L282" s="71" t="s">
        <v>95</v>
      </c>
      <c r="M282" s="72" t="s">
        <v>1686</v>
      </c>
      <c r="N282" s="73">
        <v>45882</v>
      </c>
      <c r="O282" s="74">
        <v>45889</v>
      </c>
      <c r="P282" s="75" t="s">
        <v>141</v>
      </c>
      <c r="Q282" s="76" t="s">
        <v>142</v>
      </c>
      <c r="R282" s="64" t="s">
        <v>98</v>
      </c>
      <c r="S282" s="77" t="s">
        <v>1687</v>
      </c>
      <c r="T282" s="74" t="s">
        <v>100</v>
      </c>
      <c r="U282" s="64" t="s">
        <v>1688</v>
      </c>
      <c r="V282" s="70" t="s">
        <v>102</v>
      </c>
      <c r="W282" s="74" t="s">
        <v>103</v>
      </c>
      <c r="X282" s="68" t="s">
        <v>1293</v>
      </c>
      <c r="Y282" s="64">
        <v>1</v>
      </c>
      <c r="Z282" s="78">
        <v>0</v>
      </c>
      <c r="AA282" s="79">
        <f>'BASE FACTURACION 2025'!$C$3</f>
        <v>122645.45276000001</v>
      </c>
      <c r="AB282" s="79">
        <f>'BASE FACTURACION 2025'!$F$3</f>
        <v>65164.677720000007</v>
      </c>
      <c r="AC282" s="79">
        <f t="shared" si="4"/>
        <v>122645.45276000001</v>
      </c>
    </row>
    <row r="283" spans="1:29" s="80" customFormat="1" ht="15" customHeight="1">
      <c r="A283" s="64" t="s">
        <v>391</v>
      </c>
      <c r="B283" s="65" t="str">
        <f>VLOOKUP(A283,'CENTRO DE COSTOS'!A:D,4,FALSE)</f>
        <v>WILLIAM ASDRUBAL ROZO ROZO</v>
      </c>
      <c r="C283" s="65" t="str">
        <f>VLOOKUP(A283,'CENTRO DE COSTOS'!A:D,2,FALSE)</f>
        <v>0004-0004</v>
      </c>
      <c r="D283" s="64">
        <v>11001</v>
      </c>
      <c r="E283" s="66" t="s">
        <v>1689</v>
      </c>
      <c r="F283" s="67">
        <v>80995</v>
      </c>
      <c r="G283" s="68" t="s">
        <v>90</v>
      </c>
      <c r="H283" s="69" t="s">
        <v>137</v>
      </c>
      <c r="I283" s="67" t="s">
        <v>393</v>
      </c>
      <c r="J283" s="70" t="s">
        <v>391</v>
      </c>
      <c r="K283" s="67" t="s">
        <v>1690</v>
      </c>
      <c r="L283" s="71" t="s">
        <v>95</v>
      </c>
      <c r="M283" s="72" t="s">
        <v>1691</v>
      </c>
      <c r="N283" s="73">
        <v>45882</v>
      </c>
      <c r="O283" s="74">
        <v>45883</v>
      </c>
      <c r="P283" s="75" t="s">
        <v>141</v>
      </c>
      <c r="Q283" s="76" t="s">
        <v>142</v>
      </c>
      <c r="R283" s="64" t="s">
        <v>98</v>
      </c>
      <c r="S283" s="77" t="s">
        <v>1462</v>
      </c>
      <c r="T283" s="74" t="s">
        <v>100</v>
      </c>
      <c r="U283" s="64" t="s">
        <v>1692</v>
      </c>
      <c r="V283" s="70" t="s">
        <v>133</v>
      </c>
      <c r="W283" s="74" t="s">
        <v>103</v>
      </c>
      <c r="X283" s="68" t="s">
        <v>781</v>
      </c>
      <c r="Y283" s="64">
        <v>1</v>
      </c>
      <c r="Z283" s="78">
        <v>0</v>
      </c>
      <c r="AA283" s="79">
        <f>'BASE FACTURACION 2025'!$C$3</f>
        <v>122645.45276000001</v>
      </c>
      <c r="AB283" s="79">
        <f>'BASE FACTURACION 2025'!$F$3</f>
        <v>65164.677720000007</v>
      </c>
      <c r="AC283" s="79">
        <f t="shared" si="4"/>
        <v>122645.45276000001</v>
      </c>
    </row>
    <row r="284" spans="1:29" s="80" customFormat="1" ht="15" customHeight="1">
      <c r="A284" s="64" t="s">
        <v>391</v>
      </c>
      <c r="B284" s="65" t="str">
        <f>VLOOKUP(A284,'CENTRO DE COSTOS'!A:D,4,FALSE)</f>
        <v>WILLIAM ASDRUBAL ROZO ROZO</v>
      </c>
      <c r="C284" s="65" t="str">
        <f>VLOOKUP(A284,'CENTRO DE COSTOS'!A:D,2,FALSE)</f>
        <v>0004-0004</v>
      </c>
      <c r="D284" s="64">
        <v>11001</v>
      </c>
      <c r="E284" s="66" t="s">
        <v>1693</v>
      </c>
      <c r="F284" s="67">
        <v>80996</v>
      </c>
      <c r="G284" s="68" t="s">
        <v>90</v>
      </c>
      <c r="H284" s="69" t="s">
        <v>137</v>
      </c>
      <c r="I284" s="67" t="s">
        <v>393</v>
      </c>
      <c r="J284" s="70" t="s">
        <v>391</v>
      </c>
      <c r="K284" s="67" t="s">
        <v>1694</v>
      </c>
      <c r="L284" s="71" t="s">
        <v>95</v>
      </c>
      <c r="M284" s="72" t="s">
        <v>1695</v>
      </c>
      <c r="N284" s="73">
        <v>45882</v>
      </c>
      <c r="O284" s="74">
        <v>45883</v>
      </c>
      <c r="P284" s="75" t="s">
        <v>141</v>
      </c>
      <c r="Q284" s="76" t="s">
        <v>633</v>
      </c>
      <c r="R284" s="64" t="s">
        <v>98</v>
      </c>
      <c r="S284" s="77" t="s">
        <v>1462</v>
      </c>
      <c r="T284" s="74" t="s">
        <v>100</v>
      </c>
      <c r="U284" s="64" t="s">
        <v>1696</v>
      </c>
      <c r="V284" s="70" t="s">
        <v>133</v>
      </c>
      <c r="W284" s="74" t="s">
        <v>103</v>
      </c>
      <c r="X284" s="68" t="s">
        <v>776</v>
      </c>
      <c r="Y284" s="64">
        <v>1</v>
      </c>
      <c r="Z284" s="78">
        <v>0</v>
      </c>
      <c r="AA284" s="79">
        <f>'BASE FACTURACION 2025'!$C$3</f>
        <v>122645.45276000001</v>
      </c>
      <c r="AB284" s="79">
        <f>'BASE FACTURACION 2025'!$F$3</f>
        <v>65164.677720000007</v>
      </c>
      <c r="AC284" s="79">
        <f t="shared" si="4"/>
        <v>122645.45276000001</v>
      </c>
    </row>
    <row r="285" spans="1:29" s="80" customFormat="1" ht="15" customHeight="1">
      <c r="A285" s="64" t="s">
        <v>135</v>
      </c>
      <c r="B285" s="65" t="str">
        <f>VLOOKUP(A285,'CENTRO DE COSTOS'!A:D,4,FALSE)</f>
        <v>JUAN SEBASTIÁN RÍOS CASTRILLÓN</v>
      </c>
      <c r="C285" s="65" t="str">
        <f>VLOOKUP(A285,'CENTRO DE COSTOS'!A:D,2,FALSE)</f>
        <v>0004-0005</v>
      </c>
      <c r="D285" s="64">
        <v>5001</v>
      </c>
      <c r="E285" s="66" t="s">
        <v>1697</v>
      </c>
      <c r="F285" s="67">
        <v>81048</v>
      </c>
      <c r="G285" s="68" t="s">
        <v>90</v>
      </c>
      <c r="H285" s="69" t="s">
        <v>137</v>
      </c>
      <c r="I285" s="67" t="s">
        <v>138</v>
      </c>
      <c r="J285" s="70" t="s">
        <v>135</v>
      </c>
      <c r="K285" s="67" t="s">
        <v>1698</v>
      </c>
      <c r="L285" s="71" t="s">
        <v>95</v>
      </c>
      <c r="M285" s="72" t="s">
        <v>1699</v>
      </c>
      <c r="N285" s="73">
        <v>45888</v>
      </c>
      <c r="O285" s="74">
        <v>45889</v>
      </c>
      <c r="P285" s="75" t="s">
        <v>141</v>
      </c>
      <c r="Q285" s="76" t="s">
        <v>633</v>
      </c>
      <c r="R285" s="64" t="s">
        <v>98</v>
      </c>
      <c r="S285" s="77" t="s">
        <v>1700</v>
      </c>
      <c r="T285" s="74" t="s">
        <v>100</v>
      </c>
      <c r="U285" s="64" t="s">
        <v>1701</v>
      </c>
      <c r="V285" s="70" t="s">
        <v>133</v>
      </c>
      <c r="W285" s="74" t="s">
        <v>103</v>
      </c>
      <c r="X285" s="68" t="s">
        <v>1208</v>
      </c>
      <c r="Y285" s="64">
        <v>1</v>
      </c>
      <c r="Z285" s="78">
        <v>0</v>
      </c>
      <c r="AA285" s="79">
        <f>'BASE FACTURACION 2025'!$C$3</f>
        <v>122645.45276000001</v>
      </c>
      <c r="AB285" s="79">
        <f>'BASE FACTURACION 2025'!$F$3</f>
        <v>65164.677720000007</v>
      </c>
      <c r="AC285" s="79">
        <f t="shared" si="4"/>
        <v>122645.45276000001</v>
      </c>
    </row>
    <row r="286" spans="1:29" s="80" customFormat="1" ht="15" customHeight="1">
      <c r="A286" s="64" t="s">
        <v>391</v>
      </c>
      <c r="B286" s="65" t="str">
        <f>VLOOKUP(A286,'CENTRO DE COSTOS'!A:D,4,FALSE)</f>
        <v>WILLIAM ASDRUBAL ROZO ROZO</v>
      </c>
      <c r="C286" s="65" t="str">
        <f>VLOOKUP(A286,'CENTRO DE COSTOS'!A:D,2,FALSE)</f>
        <v>0004-0004</v>
      </c>
      <c r="D286" s="64">
        <v>25754</v>
      </c>
      <c r="E286" s="66" t="s">
        <v>1702</v>
      </c>
      <c r="F286" s="67">
        <v>81047</v>
      </c>
      <c r="G286" s="68" t="s">
        <v>90</v>
      </c>
      <c r="H286" s="69" t="s">
        <v>137</v>
      </c>
      <c r="I286" s="67" t="s">
        <v>393</v>
      </c>
      <c r="J286" s="70" t="s">
        <v>1026</v>
      </c>
      <c r="K286" s="67" t="s">
        <v>1703</v>
      </c>
      <c r="L286" s="71" t="s">
        <v>95</v>
      </c>
      <c r="M286" s="72" t="s">
        <v>1704</v>
      </c>
      <c r="N286" s="73">
        <v>45888</v>
      </c>
      <c r="O286" s="74">
        <v>45889</v>
      </c>
      <c r="P286" s="75" t="s">
        <v>141</v>
      </c>
      <c r="Q286" s="76" t="s">
        <v>633</v>
      </c>
      <c r="R286" s="64" t="s">
        <v>98</v>
      </c>
      <c r="S286" s="77" t="s">
        <v>1700</v>
      </c>
      <c r="T286" s="74" t="s">
        <v>100</v>
      </c>
      <c r="U286" s="64" t="s">
        <v>1705</v>
      </c>
      <c r="V286" s="70" t="s">
        <v>133</v>
      </c>
      <c r="W286" s="74" t="s">
        <v>103</v>
      </c>
      <c r="X286" s="68" t="s">
        <v>463</v>
      </c>
      <c r="Y286" s="64">
        <v>1</v>
      </c>
      <c r="Z286" s="78">
        <v>0</v>
      </c>
      <c r="AA286" s="79">
        <f>'BASE FACTURACION 2025'!$C$3</f>
        <v>122645.45276000001</v>
      </c>
      <c r="AB286" s="79">
        <f>'BASE FACTURACION 2025'!$F$3</f>
        <v>65164.677720000007</v>
      </c>
      <c r="AC286" s="79">
        <f t="shared" si="4"/>
        <v>122645.45276000001</v>
      </c>
    </row>
    <row r="287" spans="1:29" s="80" customFormat="1" ht="15" customHeight="1">
      <c r="A287" s="64" t="s">
        <v>229</v>
      </c>
      <c r="B287" s="65" t="str">
        <f>VLOOKUP(A287,'CENTRO DE COSTOS'!A:D,4,FALSE)</f>
        <v>MIGUEL JULIÁN HERNÁNDEZ GUARÍN</v>
      </c>
      <c r="C287" s="65" t="str">
        <f>VLOOKUP(A287,'CENTRO DE COSTOS'!A:D,2,FALSE)</f>
        <v>0004-0008</v>
      </c>
      <c r="D287" s="64">
        <v>68001</v>
      </c>
      <c r="E287" s="66" t="s">
        <v>1706</v>
      </c>
      <c r="F287" s="67">
        <v>81046</v>
      </c>
      <c r="G287" s="68" t="s">
        <v>90</v>
      </c>
      <c r="H287" s="69" t="s">
        <v>137</v>
      </c>
      <c r="I287" s="67" t="s">
        <v>714</v>
      </c>
      <c r="J287" s="70" t="s">
        <v>229</v>
      </c>
      <c r="K287" s="67" t="s">
        <v>1707</v>
      </c>
      <c r="L287" s="71" t="s">
        <v>95</v>
      </c>
      <c r="M287" s="72" t="s">
        <v>1708</v>
      </c>
      <c r="N287" s="73">
        <v>45888</v>
      </c>
      <c r="O287" s="74">
        <v>45889</v>
      </c>
      <c r="P287" s="75" t="s">
        <v>141</v>
      </c>
      <c r="Q287" s="76" t="s">
        <v>633</v>
      </c>
      <c r="R287" s="64" t="s">
        <v>98</v>
      </c>
      <c r="S287" s="77" t="s">
        <v>1700</v>
      </c>
      <c r="T287" s="74" t="s">
        <v>100</v>
      </c>
      <c r="U287" s="64" t="s">
        <v>1709</v>
      </c>
      <c r="V287" s="70" t="s">
        <v>133</v>
      </c>
      <c r="W287" s="74" t="s">
        <v>103</v>
      </c>
      <c r="X287" s="68" t="s">
        <v>904</v>
      </c>
      <c r="Y287" s="64">
        <v>1</v>
      </c>
      <c r="Z287" s="78">
        <v>0</v>
      </c>
      <c r="AA287" s="79">
        <f>'BASE FACTURACION 2025'!$C$3</f>
        <v>122645.45276000001</v>
      </c>
      <c r="AB287" s="79">
        <f>'BASE FACTURACION 2025'!$F$3</f>
        <v>65164.677720000007</v>
      </c>
      <c r="AC287" s="79">
        <f t="shared" si="4"/>
        <v>122645.45276000001</v>
      </c>
    </row>
    <row r="288" spans="1:29" s="80" customFormat="1" ht="15" customHeight="1">
      <c r="A288" s="64" t="s">
        <v>339</v>
      </c>
      <c r="B288" s="65" t="str">
        <f>VLOOKUP(A288,'CENTRO DE COSTOS'!A:D,4,FALSE)</f>
        <v>JOSE MAURICIO HERNANDEZ ROJAS</v>
      </c>
      <c r="C288" s="65" t="str">
        <f>VLOOKUP(A288,'CENTRO DE COSTOS'!A:D,2,FALSE)</f>
        <v>0004-0001</v>
      </c>
      <c r="D288" s="64">
        <v>5154</v>
      </c>
      <c r="E288" s="66" t="s">
        <v>1710</v>
      </c>
      <c r="F288" s="67">
        <v>81066</v>
      </c>
      <c r="G288" s="68" t="s">
        <v>90</v>
      </c>
      <c r="H288" s="69" t="s">
        <v>91</v>
      </c>
      <c r="I288" s="67" t="s">
        <v>138</v>
      </c>
      <c r="J288" s="70" t="s">
        <v>669</v>
      </c>
      <c r="K288" s="67" t="s">
        <v>1711</v>
      </c>
      <c r="L288" s="71" t="s">
        <v>95</v>
      </c>
      <c r="M288" s="72" t="s">
        <v>1712</v>
      </c>
      <c r="N288" s="73">
        <v>45888</v>
      </c>
      <c r="O288" s="74">
        <v>45889</v>
      </c>
      <c r="P288" s="75" t="s">
        <v>97</v>
      </c>
      <c r="Q288" s="76" t="s">
        <v>97</v>
      </c>
      <c r="R288" s="64" t="s">
        <v>98</v>
      </c>
      <c r="S288" s="77" t="s">
        <v>1713</v>
      </c>
      <c r="T288" s="74" t="s">
        <v>100</v>
      </c>
      <c r="U288" s="64" t="s">
        <v>1714</v>
      </c>
      <c r="V288" s="70" t="s">
        <v>162</v>
      </c>
      <c r="W288" s="74" t="s">
        <v>103</v>
      </c>
      <c r="X288" s="68" t="s">
        <v>1115</v>
      </c>
      <c r="Y288" s="64">
        <v>1</v>
      </c>
      <c r="Z288" s="78">
        <v>0</v>
      </c>
      <c r="AA288" s="79">
        <f>'BASE FACTURACION 2025'!$C$3</f>
        <v>122645.45276000001</v>
      </c>
      <c r="AB288" s="79">
        <f>'BASE FACTURACION 2025'!$F$3</f>
        <v>65164.677720000007</v>
      </c>
      <c r="AC288" s="79">
        <f t="shared" si="4"/>
        <v>122645.45276000001</v>
      </c>
    </row>
    <row r="289" spans="1:29" s="80" customFormat="1" ht="15" customHeight="1">
      <c r="A289" s="64" t="s">
        <v>1574</v>
      </c>
      <c r="B289" s="65" t="str">
        <f>VLOOKUP(A289,'CENTRO DE COSTOS'!A:D,4,FALSE)</f>
        <v>JOSE MAURICIO HERNANDEZ ROJAS</v>
      </c>
      <c r="C289" s="65" t="str">
        <f>VLOOKUP(A289,'CENTRO DE COSTOS'!A:D,2,FALSE)</f>
        <v>0004-0001</v>
      </c>
      <c r="D289" s="64">
        <v>47245</v>
      </c>
      <c r="E289" s="66" t="s">
        <v>1715</v>
      </c>
      <c r="F289" s="67">
        <v>81073</v>
      </c>
      <c r="G289" s="68" t="s">
        <v>90</v>
      </c>
      <c r="H289" s="69" t="s">
        <v>91</v>
      </c>
      <c r="I289" s="67" t="s">
        <v>1716</v>
      </c>
      <c r="J289" s="70" t="s">
        <v>1717</v>
      </c>
      <c r="K289" s="67" t="s">
        <v>1718</v>
      </c>
      <c r="L289" s="71" t="s">
        <v>95</v>
      </c>
      <c r="M289" s="72" t="s">
        <v>1719</v>
      </c>
      <c r="N289" s="73">
        <v>45888</v>
      </c>
      <c r="O289" s="74">
        <v>45890</v>
      </c>
      <c r="P289" s="75" t="s">
        <v>97</v>
      </c>
      <c r="Q289" s="76" t="s">
        <v>97</v>
      </c>
      <c r="R289" s="64" t="s">
        <v>98</v>
      </c>
      <c r="S289" s="77" t="s">
        <v>1720</v>
      </c>
      <c r="T289" s="74" t="s">
        <v>100</v>
      </c>
      <c r="U289" s="64" t="s">
        <v>1721</v>
      </c>
      <c r="V289" s="70" t="s">
        <v>102</v>
      </c>
      <c r="W289" s="74" t="s">
        <v>103</v>
      </c>
      <c r="X289" s="68" t="s">
        <v>806</v>
      </c>
      <c r="Y289" s="64">
        <v>1</v>
      </c>
      <c r="Z289" s="78">
        <v>0</v>
      </c>
      <c r="AA289" s="79">
        <f>'BASE FACTURACION 2025'!$C$3</f>
        <v>122645.45276000001</v>
      </c>
      <c r="AB289" s="79">
        <f>'BASE FACTURACION 2025'!$F$3</f>
        <v>65164.677720000007</v>
      </c>
      <c r="AC289" s="79">
        <f t="shared" si="4"/>
        <v>122645.45276000001</v>
      </c>
    </row>
    <row r="290" spans="1:29" s="80" customFormat="1" ht="15" customHeight="1">
      <c r="A290" s="64" t="s">
        <v>245</v>
      </c>
      <c r="B290" s="65" t="str">
        <f>VLOOKUP(A290,'CENTRO DE COSTOS'!A:D,4,FALSE)</f>
        <v>MIGUEL JULIÁN HERNÁNDEZ GUARÍN</v>
      </c>
      <c r="C290" s="65" t="str">
        <f>VLOOKUP(A290,'CENTRO DE COSTOS'!A:D,2,FALSE)</f>
        <v>0004-0008</v>
      </c>
      <c r="D290" s="64">
        <v>54001</v>
      </c>
      <c r="E290" s="66" t="s">
        <v>1722</v>
      </c>
      <c r="F290" s="67">
        <v>81070</v>
      </c>
      <c r="G290" s="68" t="s">
        <v>90</v>
      </c>
      <c r="H290" s="69" t="s">
        <v>91</v>
      </c>
      <c r="I290" s="67" t="s">
        <v>247</v>
      </c>
      <c r="J290" s="70" t="s">
        <v>245</v>
      </c>
      <c r="K290" s="67" t="s">
        <v>1723</v>
      </c>
      <c r="L290" s="71" t="s">
        <v>95</v>
      </c>
      <c r="M290" s="72" t="s">
        <v>1724</v>
      </c>
      <c r="N290" s="73">
        <v>45888</v>
      </c>
      <c r="O290" s="74">
        <v>45889</v>
      </c>
      <c r="P290" s="75" t="s">
        <v>97</v>
      </c>
      <c r="Q290" s="76" t="s">
        <v>97</v>
      </c>
      <c r="R290" s="64" t="s">
        <v>98</v>
      </c>
      <c r="S290" s="77" t="s">
        <v>1725</v>
      </c>
      <c r="T290" s="74" t="s">
        <v>100</v>
      </c>
      <c r="U290" s="64" t="s">
        <v>1726</v>
      </c>
      <c r="V290" s="70" t="s">
        <v>133</v>
      </c>
      <c r="W290" s="74" t="s">
        <v>103</v>
      </c>
      <c r="X290" s="68" t="s">
        <v>352</v>
      </c>
      <c r="Y290" s="64">
        <v>1</v>
      </c>
      <c r="Z290" s="78">
        <v>0</v>
      </c>
      <c r="AA290" s="79">
        <f>'BASE FACTURACION 2025'!$C$3</f>
        <v>122645.45276000001</v>
      </c>
      <c r="AB290" s="79">
        <f>'BASE FACTURACION 2025'!$F$3</f>
        <v>65164.677720000007</v>
      </c>
      <c r="AC290" s="79">
        <f t="shared" si="4"/>
        <v>122645.45276000001</v>
      </c>
    </row>
    <row r="291" spans="1:29" s="80" customFormat="1" ht="15" customHeight="1">
      <c r="A291" s="64" t="s">
        <v>88</v>
      </c>
      <c r="B291" s="65" t="str">
        <f>VLOOKUP(A291,'CENTRO DE COSTOS'!A:D,4,FALSE)</f>
        <v>KEVIN ALEXIS CORZO BUSTOS</v>
      </c>
      <c r="C291" s="65" t="str">
        <f>VLOOKUP(A291,'CENTRO DE COSTOS'!A:D,2,FALSE)</f>
        <v>0004-0007</v>
      </c>
      <c r="D291" s="64">
        <v>41001</v>
      </c>
      <c r="E291" s="66" t="s">
        <v>1727</v>
      </c>
      <c r="F291" s="67">
        <v>81086</v>
      </c>
      <c r="G291" s="68" t="s">
        <v>90</v>
      </c>
      <c r="H291" s="69" t="s">
        <v>91</v>
      </c>
      <c r="I291" s="67" t="s">
        <v>173</v>
      </c>
      <c r="J291" s="70" t="s">
        <v>88</v>
      </c>
      <c r="K291" s="67" t="s">
        <v>1728</v>
      </c>
      <c r="L291" s="71" t="s">
        <v>95</v>
      </c>
      <c r="M291" s="72" t="s">
        <v>1729</v>
      </c>
      <c r="N291" s="73">
        <v>45888</v>
      </c>
      <c r="O291" s="74">
        <v>45889</v>
      </c>
      <c r="P291" s="75" t="s">
        <v>97</v>
      </c>
      <c r="Q291" s="76" t="s">
        <v>97</v>
      </c>
      <c r="R291" s="64" t="s">
        <v>98</v>
      </c>
      <c r="S291" s="77" t="s">
        <v>1730</v>
      </c>
      <c r="T291" s="74" t="s">
        <v>100</v>
      </c>
      <c r="U291" s="64" t="s">
        <v>1731</v>
      </c>
      <c r="V291" s="70" t="s">
        <v>133</v>
      </c>
      <c r="W291" s="74" t="s">
        <v>103</v>
      </c>
      <c r="X291" s="68" t="s">
        <v>179</v>
      </c>
      <c r="Y291" s="64">
        <v>1</v>
      </c>
      <c r="Z291" s="78">
        <v>0</v>
      </c>
      <c r="AA291" s="79">
        <f>'BASE FACTURACION 2025'!$C$3</f>
        <v>122645.45276000001</v>
      </c>
      <c r="AB291" s="79">
        <f>'BASE FACTURACION 2025'!$F$3</f>
        <v>65164.677720000007</v>
      </c>
      <c r="AC291" s="79">
        <f t="shared" si="4"/>
        <v>122645.45276000001</v>
      </c>
    </row>
    <row r="292" spans="1:29" s="80" customFormat="1" ht="15" customHeight="1">
      <c r="A292" s="64" t="s">
        <v>331</v>
      </c>
      <c r="B292" s="65" t="str">
        <f>VLOOKUP(A292,'CENTRO DE COSTOS'!A:D,4,FALSE)</f>
        <v>JOSE MAURICIO HERNANDEZ ROJAS</v>
      </c>
      <c r="C292" s="65" t="str">
        <f>VLOOKUP(A292,'CENTRO DE COSTOS'!A:D,2,FALSE)</f>
        <v>0004-0001</v>
      </c>
      <c r="D292" s="64">
        <v>70001</v>
      </c>
      <c r="E292" s="66" t="s">
        <v>1732</v>
      </c>
      <c r="F292" s="67">
        <v>81100</v>
      </c>
      <c r="G292" s="68" t="s">
        <v>90</v>
      </c>
      <c r="H292" s="69" t="s">
        <v>91</v>
      </c>
      <c r="I292" s="67" t="s">
        <v>333</v>
      </c>
      <c r="J292" s="70" t="s">
        <v>331</v>
      </c>
      <c r="K292" s="67" t="s">
        <v>1733</v>
      </c>
      <c r="L292" s="71" t="s">
        <v>95</v>
      </c>
      <c r="M292" s="72" t="s">
        <v>1734</v>
      </c>
      <c r="N292" s="73">
        <v>45888</v>
      </c>
      <c r="O292" s="74">
        <v>45889</v>
      </c>
      <c r="P292" s="75" t="s">
        <v>97</v>
      </c>
      <c r="Q292" s="76" t="s">
        <v>97</v>
      </c>
      <c r="R292" s="64" t="s">
        <v>98</v>
      </c>
      <c r="S292" s="77" t="s">
        <v>1735</v>
      </c>
      <c r="T292" s="74" t="s">
        <v>100</v>
      </c>
      <c r="U292" s="64" t="s">
        <v>1736</v>
      </c>
      <c r="V292" s="70" t="s">
        <v>133</v>
      </c>
      <c r="W292" s="74" t="s">
        <v>103</v>
      </c>
      <c r="X292" s="68" t="s">
        <v>1737</v>
      </c>
      <c r="Y292" s="64">
        <v>1</v>
      </c>
      <c r="Z292" s="78">
        <v>0</v>
      </c>
      <c r="AA292" s="79">
        <f>'BASE FACTURACION 2025'!$C$3</f>
        <v>122645.45276000001</v>
      </c>
      <c r="AB292" s="79">
        <f>'BASE FACTURACION 2025'!$F$3</f>
        <v>65164.677720000007</v>
      </c>
      <c r="AC292" s="79">
        <f t="shared" si="4"/>
        <v>122645.45276000001</v>
      </c>
    </row>
    <row r="293" spans="1:29" s="80" customFormat="1" ht="15" customHeight="1">
      <c r="A293" s="64" t="s">
        <v>339</v>
      </c>
      <c r="B293" s="65" t="str">
        <f>VLOOKUP(A293,'CENTRO DE COSTOS'!A:D,4,FALSE)</f>
        <v>JOSE MAURICIO HERNANDEZ ROJAS</v>
      </c>
      <c r="C293" s="65" t="str">
        <f>VLOOKUP(A293,'CENTRO DE COSTOS'!A:D,2,FALSE)</f>
        <v>0004-0001</v>
      </c>
      <c r="D293" s="64">
        <v>23001</v>
      </c>
      <c r="E293" s="66" t="s">
        <v>1738</v>
      </c>
      <c r="F293" s="67">
        <v>81084</v>
      </c>
      <c r="G293" s="68" t="s">
        <v>90</v>
      </c>
      <c r="H293" s="69" t="s">
        <v>91</v>
      </c>
      <c r="I293" s="67" t="s">
        <v>341</v>
      </c>
      <c r="J293" s="70" t="s">
        <v>339</v>
      </c>
      <c r="K293" s="67" t="s">
        <v>1739</v>
      </c>
      <c r="L293" s="71" t="s">
        <v>95</v>
      </c>
      <c r="M293" s="72" t="s">
        <v>1740</v>
      </c>
      <c r="N293" s="73">
        <v>45888</v>
      </c>
      <c r="O293" s="74">
        <v>45889</v>
      </c>
      <c r="P293" s="75" t="s">
        <v>97</v>
      </c>
      <c r="Q293" s="76" t="s">
        <v>97</v>
      </c>
      <c r="R293" s="64" t="s">
        <v>98</v>
      </c>
      <c r="S293" s="77" t="s">
        <v>1741</v>
      </c>
      <c r="T293" s="74" t="s">
        <v>100</v>
      </c>
      <c r="U293" s="64" t="s">
        <v>1742</v>
      </c>
      <c r="V293" s="70" t="s">
        <v>133</v>
      </c>
      <c r="W293" s="74" t="s">
        <v>103</v>
      </c>
      <c r="X293" s="68" t="s">
        <v>616</v>
      </c>
      <c r="Y293" s="64">
        <v>1</v>
      </c>
      <c r="Z293" s="78">
        <v>0</v>
      </c>
      <c r="AA293" s="79">
        <f>'BASE FACTURACION 2025'!$C$3</f>
        <v>122645.45276000001</v>
      </c>
      <c r="AB293" s="79">
        <f>'BASE FACTURACION 2025'!$F$3</f>
        <v>65164.677720000007</v>
      </c>
      <c r="AC293" s="79">
        <f t="shared" si="4"/>
        <v>122645.45276000001</v>
      </c>
    </row>
    <row r="294" spans="1:29" s="80" customFormat="1" ht="15" customHeight="1">
      <c r="A294" s="64" t="s">
        <v>229</v>
      </c>
      <c r="B294" s="65" t="str">
        <f>VLOOKUP(A294,'CENTRO DE COSTOS'!A:D,4,FALSE)</f>
        <v>MIGUEL JULIÁN HERNÁNDEZ GUARÍN</v>
      </c>
      <c r="C294" s="65" t="str">
        <f>VLOOKUP(A294,'CENTRO DE COSTOS'!A:D,2,FALSE)</f>
        <v>0004-0008</v>
      </c>
      <c r="D294" s="64">
        <v>68397</v>
      </c>
      <c r="E294" s="66" t="s">
        <v>1743</v>
      </c>
      <c r="F294" s="67">
        <v>81080</v>
      </c>
      <c r="G294" s="68" t="s">
        <v>90</v>
      </c>
      <c r="H294" s="69" t="s">
        <v>91</v>
      </c>
      <c r="I294" s="67" t="s">
        <v>714</v>
      </c>
      <c r="J294" s="70" t="s">
        <v>1744</v>
      </c>
      <c r="K294" s="67" t="s">
        <v>1745</v>
      </c>
      <c r="L294" s="71" t="s">
        <v>95</v>
      </c>
      <c r="M294" s="72" t="s">
        <v>1746</v>
      </c>
      <c r="N294" s="73">
        <v>45888</v>
      </c>
      <c r="O294" s="74">
        <v>45890</v>
      </c>
      <c r="P294" s="75" t="s">
        <v>97</v>
      </c>
      <c r="Q294" s="76" t="s">
        <v>97</v>
      </c>
      <c r="R294" s="64" t="s">
        <v>98</v>
      </c>
      <c r="S294" s="77" t="s">
        <v>1747</v>
      </c>
      <c r="T294" s="74" t="s">
        <v>100</v>
      </c>
      <c r="U294" s="64" t="s">
        <v>1748</v>
      </c>
      <c r="V294" s="70" t="s">
        <v>102</v>
      </c>
      <c r="W294" s="74" t="s">
        <v>103</v>
      </c>
      <c r="X294" s="68" t="s">
        <v>1311</v>
      </c>
      <c r="Y294" s="64">
        <v>1</v>
      </c>
      <c r="Z294" s="78">
        <v>0</v>
      </c>
      <c r="AA294" s="79">
        <f>'BASE FACTURACION 2025'!$C$3</f>
        <v>122645.45276000001</v>
      </c>
      <c r="AB294" s="79">
        <f>'BASE FACTURACION 2025'!$F$3</f>
        <v>65164.677720000007</v>
      </c>
      <c r="AC294" s="79">
        <f t="shared" si="4"/>
        <v>122645.45276000001</v>
      </c>
    </row>
    <row r="295" spans="1:29" s="80" customFormat="1" ht="15" customHeight="1">
      <c r="A295" s="64" t="s">
        <v>399</v>
      </c>
      <c r="B295" s="65" t="str">
        <f>VLOOKUP(A295,'CENTRO DE COSTOS'!A:D,4,FALSE)</f>
        <v>DIEGO FERNANDO HENAO CARDONA</v>
      </c>
      <c r="C295" s="65" t="str">
        <f>VLOOKUP(A295,'CENTRO DE COSTOS'!A:D,2,FALSE)</f>
        <v>0004-0002</v>
      </c>
      <c r="D295" s="64">
        <v>17001</v>
      </c>
      <c r="E295" s="66" t="s">
        <v>1749</v>
      </c>
      <c r="F295" s="67">
        <v>81083</v>
      </c>
      <c r="G295" s="68" t="s">
        <v>90</v>
      </c>
      <c r="H295" s="69" t="s">
        <v>91</v>
      </c>
      <c r="I295" s="67" t="s">
        <v>401</v>
      </c>
      <c r="J295" s="70" t="s">
        <v>399</v>
      </c>
      <c r="K295" s="67" t="s">
        <v>1750</v>
      </c>
      <c r="L295" s="71" t="s">
        <v>95</v>
      </c>
      <c r="M295" s="72" t="s">
        <v>1751</v>
      </c>
      <c r="N295" s="73">
        <v>45888</v>
      </c>
      <c r="O295" s="74">
        <v>45889</v>
      </c>
      <c r="P295" s="75" t="s">
        <v>97</v>
      </c>
      <c r="Q295" s="76" t="s">
        <v>97</v>
      </c>
      <c r="R295" s="64" t="s">
        <v>98</v>
      </c>
      <c r="S295" s="77" t="s">
        <v>1752</v>
      </c>
      <c r="T295" s="74" t="s">
        <v>100</v>
      </c>
      <c r="U295" s="64" t="s">
        <v>1753</v>
      </c>
      <c r="V295" s="70" t="s">
        <v>133</v>
      </c>
      <c r="W295" s="74" t="s">
        <v>103</v>
      </c>
      <c r="X295" s="68" t="s">
        <v>406</v>
      </c>
      <c r="Y295" s="64">
        <v>1</v>
      </c>
      <c r="Z295" s="78">
        <v>0</v>
      </c>
      <c r="AA295" s="79">
        <f>'BASE FACTURACION 2025'!$C$3</f>
        <v>122645.45276000001</v>
      </c>
      <c r="AB295" s="79">
        <f>'BASE FACTURACION 2025'!$F$3</f>
        <v>65164.677720000007</v>
      </c>
      <c r="AC295" s="79">
        <f t="shared" si="4"/>
        <v>122645.45276000001</v>
      </c>
    </row>
    <row r="296" spans="1:29" s="80" customFormat="1" ht="15" customHeight="1">
      <c r="A296" s="64" t="s">
        <v>391</v>
      </c>
      <c r="B296" s="65" t="str">
        <f>VLOOKUP(A296,'CENTRO DE COSTOS'!A:D,4,FALSE)</f>
        <v>WILLIAM ASDRUBAL ROZO ROZO</v>
      </c>
      <c r="C296" s="65" t="str">
        <f>VLOOKUP(A296,'CENTRO DE COSTOS'!A:D,2,FALSE)</f>
        <v>0004-0004</v>
      </c>
      <c r="D296" s="64">
        <v>25290</v>
      </c>
      <c r="E296" s="66" t="s">
        <v>1754</v>
      </c>
      <c r="F296" s="67">
        <v>81077</v>
      </c>
      <c r="G296" s="68" t="s">
        <v>90</v>
      </c>
      <c r="H296" s="69" t="s">
        <v>91</v>
      </c>
      <c r="I296" s="67" t="s">
        <v>393</v>
      </c>
      <c r="J296" s="70" t="s">
        <v>1755</v>
      </c>
      <c r="K296" s="67" t="s">
        <v>1756</v>
      </c>
      <c r="L296" s="71" t="s">
        <v>95</v>
      </c>
      <c r="M296" s="72" t="s">
        <v>1757</v>
      </c>
      <c r="N296" s="73">
        <v>45888</v>
      </c>
      <c r="O296" s="74">
        <v>45889</v>
      </c>
      <c r="P296" s="75" t="s">
        <v>97</v>
      </c>
      <c r="Q296" s="76" t="s">
        <v>97</v>
      </c>
      <c r="R296" s="64" t="s">
        <v>98</v>
      </c>
      <c r="S296" s="77" t="s">
        <v>1758</v>
      </c>
      <c r="T296" s="74" t="s">
        <v>100</v>
      </c>
      <c r="U296" s="64" t="s">
        <v>1759</v>
      </c>
      <c r="V296" s="70" t="s">
        <v>162</v>
      </c>
      <c r="W296" s="74" t="s">
        <v>103</v>
      </c>
      <c r="X296" s="68" t="s">
        <v>524</v>
      </c>
      <c r="Y296" s="64">
        <v>1</v>
      </c>
      <c r="Z296" s="78">
        <v>0</v>
      </c>
      <c r="AA296" s="79">
        <f>'BASE FACTURACION 2025'!$C$3</f>
        <v>122645.45276000001</v>
      </c>
      <c r="AB296" s="79">
        <f>'BASE FACTURACION 2025'!$F$3</f>
        <v>65164.677720000007</v>
      </c>
      <c r="AC296" s="79">
        <f t="shared" si="4"/>
        <v>122645.45276000001</v>
      </c>
    </row>
    <row r="297" spans="1:29" s="80" customFormat="1" ht="15" customHeight="1">
      <c r="A297" s="64" t="s">
        <v>135</v>
      </c>
      <c r="B297" s="65" t="str">
        <f>VLOOKUP(A297,'CENTRO DE COSTOS'!A:D,4,FALSE)</f>
        <v>JUAN SEBASTIÁN RÍOS CASTRILLÓN</v>
      </c>
      <c r="C297" s="65" t="str">
        <f>VLOOKUP(A297,'CENTRO DE COSTOS'!A:D,2,FALSE)</f>
        <v>0004-0005</v>
      </c>
      <c r="D297" s="64">
        <v>5088</v>
      </c>
      <c r="E297" s="66" t="s">
        <v>1760</v>
      </c>
      <c r="F297" s="67">
        <v>81108</v>
      </c>
      <c r="G297" s="68" t="s">
        <v>90</v>
      </c>
      <c r="H297" s="69" t="s">
        <v>91</v>
      </c>
      <c r="I297" s="67" t="s">
        <v>138</v>
      </c>
      <c r="J297" s="70" t="s">
        <v>152</v>
      </c>
      <c r="K297" s="67" t="s">
        <v>1761</v>
      </c>
      <c r="L297" s="71" t="s">
        <v>95</v>
      </c>
      <c r="M297" s="72" t="s">
        <v>1762</v>
      </c>
      <c r="N297" s="73">
        <v>45888</v>
      </c>
      <c r="O297" s="74">
        <v>45889</v>
      </c>
      <c r="P297" s="75" t="s">
        <v>97</v>
      </c>
      <c r="Q297" s="76" t="s">
        <v>97</v>
      </c>
      <c r="R297" s="64" t="s">
        <v>98</v>
      </c>
      <c r="S297" s="77" t="s">
        <v>1763</v>
      </c>
      <c r="T297" s="74" t="s">
        <v>100</v>
      </c>
      <c r="U297" s="64" t="s">
        <v>1764</v>
      </c>
      <c r="V297" s="70" t="s">
        <v>133</v>
      </c>
      <c r="W297" s="74" t="s">
        <v>103</v>
      </c>
      <c r="X297" s="68" t="s">
        <v>299</v>
      </c>
      <c r="Y297" s="64">
        <v>1</v>
      </c>
      <c r="Z297" s="78">
        <v>0</v>
      </c>
      <c r="AA297" s="79">
        <f>'BASE FACTURACION 2025'!$C$3</f>
        <v>122645.45276000001</v>
      </c>
      <c r="AB297" s="79">
        <f>'BASE FACTURACION 2025'!$F$3</f>
        <v>65164.677720000007</v>
      </c>
      <c r="AC297" s="79">
        <f t="shared" si="4"/>
        <v>122645.45276000001</v>
      </c>
    </row>
    <row r="298" spans="1:29" s="80" customFormat="1" ht="15" customHeight="1">
      <c r="A298" s="64" t="s">
        <v>391</v>
      </c>
      <c r="B298" s="65" t="str">
        <f>VLOOKUP(A298,'CENTRO DE COSTOS'!A:D,4,FALSE)</f>
        <v>WILLIAM ASDRUBAL ROZO ROZO</v>
      </c>
      <c r="C298" s="65" t="str">
        <f>VLOOKUP(A298,'CENTRO DE COSTOS'!A:D,2,FALSE)</f>
        <v>0004-0004</v>
      </c>
      <c r="D298" s="64">
        <v>25290</v>
      </c>
      <c r="E298" s="66" t="s">
        <v>1765</v>
      </c>
      <c r="F298" s="67">
        <v>81078</v>
      </c>
      <c r="G298" s="68" t="s">
        <v>90</v>
      </c>
      <c r="H298" s="69" t="s">
        <v>91</v>
      </c>
      <c r="I298" s="67" t="s">
        <v>393</v>
      </c>
      <c r="J298" s="70" t="s">
        <v>1755</v>
      </c>
      <c r="K298" s="67" t="s">
        <v>1766</v>
      </c>
      <c r="L298" s="71" t="s">
        <v>95</v>
      </c>
      <c r="M298" s="72" t="s">
        <v>1767</v>
      </c>
      <c r="N298" s="73">
        <v>45888</v>
      </c>
      <c r="O298" s="74">
        <v>45889</v>
      </c>
      <c r="P298" s="75" t="s">
        <v>97</v>
      </c>
      <c r="Q298" s="76" t="s">
        <v>97</v>
      </c>
      <c r="R298" s="64" t="s">
        <v>98</v>
      </c>
      <c r="S298" s="77" t="s">
        <v>1768</v>
      </c>
      <c r="T298" s="74" t="s">
        <v>100</v>
      </c>
      <c r="U298" s="64" t="s">
        <v>1769</v>
      </c>
      <c r="V298" s="70" t="s">
        <v>162</v>
      </c>
      <c r="W298" s="74" t="s">
        <v>103</v>
      </c>
      <c r="X298" s="68" t="s">
        <v>917</v>
      </c>
      <c r="Y298" s="64">
        <v>1</v>
      </c>
      <c r="Z298" s="78">
        <v>0</v>
      </c>
      <c r="AA298" s="79">
        <f>'BASE FACTURACION 2025'!$C$3</f>
        <v>122645.45276000001</v>
      </c>
      <c r="AB298" s="79">
        <f>'BASE FACTURACION 2025'!$F$3</f>
        <v>65164.677720000007</v>
      </c>
      <c r="AC298" s="79">
        <f t="shared" si="4"/>
        <v>122645.45276000001</v>
      </c>
    </row>
    <row r="299" spans="1:29" s="80" customFormat="1" ht="15" customHeight="1">
      <c r="A299" s="64" t="s">
        <v>135</v>
      </c>
      <c r="B299" s="65" t="str">
        <f>VLOOKUP(A299,'CENTRO DE COSTOS'!A:D,4,FALSE)</f>
        <v>JUAN SEBASTIÁN RÍOS CASTRILLÓN</v>
      </c>
      <c r="C299" s="65" t="str">
        <f>VLOOKUP(A299,'CENTRO DE COSTOS'!A:D,2,FALSE)</f>
        <v>0004-0005</v>
      </c>
      <c r="D299" s="64">
        <v>5038</v>
      </c>
      <c r="E299" s="66" t="s">
        <v>1770</v>
      </c>
      <c r="F299" s="67">
        <v>81074</v>
      </c>
      <c r="G299" s="68" t="s">
        <v>90</v>
      </c>
      <c r="H299" s="69" t="s">
        <v>91</v>
      </c>
      <c r="I299" s="67" t="s">
        <v>138</v>
      </c>
      <c r="J299" s="70" t="s">
        <v>1771</v>
      </c>
      <c r="K299" s="67" t="s">
        <v>1772</v>
      </c>
      <c r="L299" s="71" t="s">
        <v>95</v>
      </c>
      <c r="M299" s="72" t="s">
        <v>1773</v>
      </c>
      <c r="N299" s="73">
        <v>45888</v>
      </c>
      <c r="O299" s="74">
        <v>45890</v>
      </c>
      <c r="P299" s="75" t="s">
        <v>97</v>
      </c>
      <c r="Q299" s="76" t="s">
        <v>97</v>
      </c>
      <c r="R299" s="64" t="s">
        <v>98</v>
      </c>
      <c r="S299" s="77" t="s">
        <v>1774</v>
      </c>
      <c r="T299" s="74" t="s">
        <v>100</v>
      </c>
      <c r="U299" s="64" t="s">
        <v>1775</v>
      </c>
      <c r="V299" s="70" t="s">
        <v>189</v>
      </c>
      <c r="W299" s="74" t="s">
        <v>103</v>
      </c>
      <c r="X299" s="68" t="s">
        <v>609</v>
      </c>
      <c r="Y299" s="64">
        <v>1</v>
      </c>
      <c r="Z299" s="78">
        <v>0</v>
      </c>
      <c r="AA299" s="79">
        <f>'BASE FACTURACION 2025'!$C$3</f>
        <v>122645.45276000001</v>
      </c>
      <c r="AB299" s="79">
        <f>'BASE FACTURACION 2025'!$F$3</f>
        <v>65164.677720000007</v>
      </c>
      <c r="AC299" s="79">
        <f t="shared" si="4"/>
        <v>122645.45276000001</v>
      </c>
    </row>
    <row r="300" spans="1:29" s="80" customFormat="1" ht="15" customHeight="1">
      <c r="A300" s="64" t="s">
        <v>180</v>
      </c>
      <c r="B300" s="65" t="str">
        <f>VLOOKUP(A300,'CENTRO DE COSTOS'!A:D,4,FALSE)</f>
        <v>DIEGO FERNANDO HENAO CARDONA</v>
      </c>
      <c r="C300" s="65" t="str">
        <f>VLOOKUP(A300,'CENTRO DE COSTOS'!A:D,2,FALSE)</f>
        <v>0004-0003</v>
      </c>
      <c r="D300" s="64">
        <v>76520</v>
      </c>
      <c r="E300" s="66" t="s">
        <v>1776</v>
      </c>
      <c r="F300" s="67">
        <v>81089</v>
      </c>
      <c r="G300" s="68" t="s">
        <v>90</v>
      </c>
      <c r="H300" s="69" t="s">
        <v>91</v>
      </c>
      <c r="I300" s="67" t="s">
        <v>380</v>
      </c>
      <c r="J300" s="70" t="s">
        <v>1282</v>
      </c>
      <c r="K300" s="67" t="s">
        <v>1777</v>
      </c>
      <c r="L300" s="71" t="s">
        <v>95</v>
      </c>
      <c r="M300" s="72" t="s">
        <v>1778</v>
      </c>
      <c r="N300" s="73">
        <v>45888</v>
      </c>
      <c r="O300" s="74">
        <v>45889</v>
      </c>
      <c r="P300" s="75" t="s">
        <v>97</v>
      </c>
      <c r="Q300" s="76" t="s">
        <v>97</v>
      </c>
      <c r="R300" s="64" t="s">
        <v>98</v>
      </c>
      <c r="S300" s="77" t="s">
        <v>1779</v>
      </c>
      <c r="T300" s="74" t="s">
        <v>100</v>
      </c>
      <c r="U300" s="64" t="s">
        <v>1780</v>
      </c>
      <c r="V300" s="70" t="s">
        <v>133</v>
      </c>
      <c r="W300" s="74" t="s">
        <v>103</v>
      </c>
      <c r="X300" s="68" t="s">
        <v>450</v>
      </c>
      <c r="Y300" s="64">
        <v>1</v>
      </c>
      <c r="Z300" s="78">
        <v>0</v>
      </c>
      <c r="AA300" s="79">
        <f>'BASE FACTURACION 2025'!$C$3</f>
        <v>122645.45276000001</v>
      </c>
      <c r="AB300" s="79">
        <f>'BASE FACTURACION 2025'!$F$3</f>
        <v>65164.677720000007</v>
      </c>
      <c r="AC300" s="79">
        <f t="shared" si="4"/>
        <v>122645.45276000001</v>
      </c>
    </row>
    <row r="301" spans="1:29" s="80" customFormat="1" ht="15" customHeight="1">
      <c r="A301" s="64" t="s">
        <v>180</v>
      </c>
      <c r="B301" s="65" t="str">
        <f>VLOOKUP(A301,'CENTRO DE COSTOS'!A:D,4,FALSE)</f>
        <v>DIEGO FERNANDO HENAO CARDONA</v>
      </c>
      <c r="C301" s="65" t="str">
        <f>VLOOKUP(A301,'CENTRO DE COSTOS'!A:D,2,FALSE)</f>
        <v>0004-0003</v>
      </c>
      <c r="D301" s="64">
        <v>19001</v>
      </c>
      <c r="E301" s="66" t="s">
        <v>1781</v>
      </c>
      <c r="F301" s="67">
        <v>81092</v>
      </c>
      <c r="G301" s="68" t="s">
        <v>90</v>
      </c>
      <c r="H301" s="69" t="s">
        <v>91</v>
      </c>
      <c r="I301" s="67" t="s">
        <v>183</v>
      </c>
      <c r="J301" s="70" t="s">
        <v>1249</v>
      </c>
      <c r="K301" s="67" t="s">
        <v>1782</v>
      </c>
      <c r="L301" s="71" t="s">
        <v>95</v>
      </c>
      <c r="M301" s="72" t="s">
        <v>1783</v>
      </c>
      <c r="N301" s="73">
        <v>45888</v>
      </c>
      <c r="O301" s="74">
        <v>45889</v>
      </c>
      <c r="P301" s="75" t="s">
        <v>97</v>
      </c>
      <c r="Q301" s="76" t="s">
        <v>97</v>
      </c>
      <c r="R301" s="64" t="s">
        <v>98</v>
      </c>
      <c r="S301" s="77" t="s">
        <v>1784</v>
      </c>
      <c r="T301" s="74" t="s">
        <v>100</v>
      </c>
      <c r="U301" s="64" t="s">
        <v>1785</v>
      </c>
      <c r="V301" s="70" t="s">
        <v>189</v>
      </c>
      <c r="W301" s="74" t="s">
        <v>103</v>
      </c>
      <c r="X301" s="68" t="s">
        <v>260</v>
      </c>
      <c r="Y301" s="64">
        <v>1</v>
      </c>
      <c r="Z301" s="78">
        <v>0</v>
      </c>
      <c r="AA301" s="79">
        <f>'BASE FACTURACION 2025'!$C$3</f>
        <v>122645.45276000001</v>
      </c>
      <c r="AB301" s="79">
        <f>'BASE FACTURACION 2025'!$F$3</f>
        <v>65164.677720000007</v>
      </c>
      <c r="AC301" s="79">
        <f t="shared" si="4"/>
        <v>122645.45276000001</v>
      </c>
    </row>
    <row r="302" spans="1:29" s="80" customFormat="1" ht="15" customHeight="1">
      <c r="A302" s="64" t="s">
        <v>180</v>
      </c>
      <c r="B302" s="65" t="str">
        <f>VLOOKUP(A302,'CENTRO DE COSTOS'!A:D,4,FALSE)</f>
        <v>DIEGO FERNANDO HENAO CARDONA</v>
      </c>
      <c r="C302" s="65" t="str">
        <f>VLOOKUP(A302,'CENTRO DE COSTOS'!A:D,2,FALSE)</f>
        <v>0004-0003</v>
      </c>
      <c r="D302" s="64">
        <v>76892</v>
      </c>
      <c r="E302" s="66" t="s">
        <v>1786</v>
      </c>
      <c r="F302" s="67">
        <v>81110</v>
      </c>
      <c r="G302" s="68" t="s">
        <v>90</v>
      </c>
      <c r="H302" s="69" t="s">
        <v>91</v>
      </c>
      <c r="I302" s="67" t="s">
        <v>380</v>
      </c>
      <c r="J302" s="70" t="s">
        <v>1787</v>
      </c>
      <c r="K302" s="67" t="s">
        <v>1788</v>
      </c>
      <c r="L302" s="71" t="s">
        <v>95</v>
      </c>
      <c r="M302" s="72" t="s">
        <v>1789</v>
      </c>
      <c r="N302" s="73">
        <v>45888</v>
      </c>
      <c r="O302" s="74">
        <v>45890</v>
      </c>
      <c r="P302" s="75" t="s">
        <v>97</v>
      </c>
      <c r="Q302" s="76" t="s">
        <v>97</v>
      </c>
      <c r="R302" s="64" t="s">
        <v>98</v>
      </c>
      <c r="S302" s="77" t="s">
        <v>1790</v>
      </c>
      <c r="T302" s="74" t="s">
        <v>100</v>
      </c>
      <c r="U302" s="64" t="s">
        <v>1791</v>
      </c>
      <c r="V302" s="70" t="s">
        <v>133</v>
      </c>
      <c r="W302" s="74" t="s">
        <v>103</v>
      </c>
      <c r="X302" s="68" t="s">
        <v>456</v>
      </c>
      <c r="Y302" s="64">
        <v>1</v>
      </c>
      <c r="Z302" s="78">
        <v>0</v>
      </c>
      <c r="AA302" s="79">
        <f>'BASE FACTURACION 2025'!$C$3</f>
        <v>122645.45276000001</v>
      </c>
      <c r="AB302" s="79">
        <f>'BASE FACTURACION 2025'!$F$3</f>
        <v>65164.677720000007</v>
      </c>
      <c r="AC302" s="79">
        <f t="shared" si="4"/>
        <v>122645.45276000001</v>
      </c>
    </row>
    <row r="303" spans="1:29" s="80" customFormat="1" ht="15" customHeight="1">
      <c r="A303" s="64" t="s">
        <v>399</v>
      </c>
      <c r="B303" s="65" t="str">
        <f>VLOOKUP(A303,'CENTRO DE COSTOS'!A:D,4,FALSE)</f>
        <v>DIEGO FERNANDO HENAO CARDONA</v>
      </c>
      <c r="C303" s="65" t="str">
        <f>VLOOKUP(A303,'CENTRO DE COSTOS'!A:D,2,FALSE)</f>
        <v>0004-0002</v>
      </c>
      <c r="D303" s="64">
        <v>17777</v>
      </c>
      <c r="E303" s="66" t="s">
        <v>1792</v>
      </c>
      <c r="F303" s="67">
        <v>81104</v>
      </c>
      <c r="G303" s="68" t="s">
        <v>90</v>
      </c>
      <c r="H303" s="69" t="s">
        <v>91</v>
      </c>
      <c r="I303" s="67" t="s">
        <v>401</v>
      </c>
      <c r="J303" s="70" t="s">
        <v>1793</v>
      </c>
      <c r="K303" s="67" t="s">
        <v>1794</v>
      </c>
      <c r="L303" s="71" t="s">
        <v>95</v>
      </c>
      <c r="M303" s="72" t="s">
        <v>1795</v>
      </c>
      <c r="N303" s="73">
        <v>45888</v>
      </c>
      <c r="O303" s="74">
        <v>45890</v>
      </c>
      <c r="P303" s="75" t="s">
        <v>97</v>
      </c>
      <c r="Q303" s="76" t="s">
        <v>97</v>
      </c>
      <c r="R303" s="64" t="s">
        <v>98</v>
      </c>
      <c r="S303" s="77" t="s">
        <v>1796</v>
      </c>
      <c r="T303" s="74" t="s">
        <v>100</v>
      </c>
      <c r="U303" s="64" t="s">
        <v>1797</v>
      </c>
      <c r="V303" s="70" t="s">
        <v>162</v>
      </c>
      <c r="W303" s="74" t="s">
        <v>103</v>
      </c>
      <c r="X303" s="68" t="s">
        <v>420</v>
      </c>
      <c r="Y303" s="64">
        <v>1</v>
      </c>
      <c r="Z303" s="78">
        <v>0</v>
      </c>
      <c r="AA303" s="79">
        <f>'BASE FACTURACION 2025'!$C$3</f>
        <v>122645.45276000001</v>
      </c>
      <c r="AB303" s="79">
        <f>'BASE FACTURACION 2025'!$F$3</f>
        <v>65164.677720000007</v>
      </c>
      <c r="AC303" s="79">
        <f t="shared" si="4"/>
        <v>122645.45276000001</v>
      </c>
    </row>
    <row r="304" spans="1:29" s="80" customFormat="1" ht="15" customHeight="1">
      <c r="A304" s="64" t="s">
        <v>391</v>
      </c>
      <c r="B304" s="65" t="str">
        <f>VLOOKUP(A304,'CENTRO DE COSTOS'!A:D,4,FALSE)</f>
        <v>WILLIAM ASDRUBAL ROZO ROZO</v>
      </c>
      <c r="C304" s="65" t="str">
        <f>VLOOKUP(A304,'CENTRO DE COSTOS'!A:D,2,FALSE)</f>
        <v>0004-0004</v>
      </c>
      <c r="D304" s="64">
        <v>25743</v>
      </c>
      <c r="E304" s="66" t="s">
        <v>1798</v>
      </c>
      <c r="F304" s="67">
        <v>81096</v>
      </c>
      <c r="G304" s="68" t="s">
        <v>90</v>
      </c>
      <c r="H304" s="69" t="s">
        <v>91</v>
      </c>
      <c r="I304" s="67" t="s">
        <v>393</v>
      </c>
      <c r="J304" s="70" t="s">
        <v>1799</v>
      </c>
      <c r="K304" s="67" t="s">
        <v>1800</v>
      </c>
      <c r="L304" s="71" t="s">
        <v>95</v>
      </c>
      <c r="M304" s="72" t="s">
        <v>1801</v>
      </c>
      <c r="N304" s="73">
        <v>45888</v>
      </c>
      <c r="O304" s="74">
        <v>45890</v>
      </c>
      <c r="P304" s="75" t="s">
        <v>97</v>
      </c>
      <c r="Q304" s="76" t="s">
        <v>97</v>
      </c>
      <c r="R304" s="64" t="s">
        <v>98</v>
      </c>
      <c r="S304" s="77" t="s">
        <v>1802</v>
      </c>
      <c r="T304" s="74" t="s">
        <v>100</v>
      </c>
      <c r="U304" s="64" t="s">
        <v>1803</v>
      </c>
      <c r="V304" s="70" t="s">
        <v>162</v>
      </c>
      <c r="W304" s="74" t="s">
        <v>103</v>
      </c>
      <c r="X304" s="68" t="s">
        <v>781</v>
      </c>
      <c r="Y304" s="64">
        <v>1</v>
      </c>
      <c r="Z304" s="78">
        <v>0</v>
      </c>
      <c r="AA304" s="79">
        <f>'BASE FACTURACION 2025'!$C$3</f>
        <v>122645.45276000001</v>
      </c>
      <c r="AB304" s="79">
        <f>'BASE FACTURACION 2025'!$F$3</f>
        <v>65164.677720000007</v>
      </c>
      <c r="AC304" s="79">
        <f t="shared" si="4"/>
        <v>122645.45276000001</v>
      </c>
    </row>
    <row r="305" spans="1:29" s="80" customFormat="1" ht="15" customHeight="1">
      <c r="A305" s="64" t="s">
        <v>391</v>
      </c>
      <c r="B305" s="65" t="str">
        <f>VLOOKUP(A305,'CENTRO DE COSTOS'!A:D,4,FALSE)</f>
        <v>WILLIAM ASDRUBAL ROZO ROZO</v>
      </c>
      <c r="C305" s="65" t="str">
        <f>VLOOKUP(A305,'CENTRO DE COSTOS'!A:D,2,FALSE)</f>
        <v>0004-0004</v>
      </c>
      <c r="D305" s="64">
        <v>25175</v>
      </c>
      <c r="E305" s="66" t="s">
        <v>1804</v>
      </c>
      <c r="F305" s="67">
        <v>81067</v>
      </c>
      <c r="G305" s="68" t="s">
        <v>90</v>
      </c>
      <c r="H305" s="69" t="s">
        <v>91</v>
      </c>
      <c r="I305" s="67" t="s">
        <v>393</v>
      </c>
      <c r="J305" s="70" t="s">
        <v>1805</v>
      </c>
      <c r="K305" s="67" t="s">
        <v>1806</v>
      </c>
      <c r="L305" s="71" t="s">
        <v>95</v>
      </c>
      <c r="M305" s="72" t="s">
        <v>1807</v>
      </c>
      <c r="N305" s="73">
        <v>45888</v>
      </c>
      <c r="O305" s="74">
        <v>45889</v>
      </c>
      <c r="P305" s="75" t="s">
        <v>97</v>
      </c>
      <c r="Q305" s="76" t="s">
        <v>97</v>
      </c>
      <c r="R305" s="64" t="s">
        <v>98</v>
      </c>
      <c r="S305" s="77" t="s">
        <v>1808</v>
      </c>
      <c r="T305" s="74" t="s">
        <v>100</v>
      </c>
      <c r="U305" s="64" t="s">
        <v>1809</v>
      </c>
      <c r="V305" s="70" t="s">
        <v>162</v>
      </c>
      <c r="W305" s="74" t="s">
        <v>103</v>
      </c>
      <c r="X305" s="68" t="s">
        <v>781</v>
      </c>
      <c r="Y305" s="64">
        <v>1</v>
      </c>
      <c r="Z305" s="78">
        <v>0</v>
      </c>
      <c r="AA305" s="79">
        <f>'BASE FACTURACION 2025'!$C$3</f>
        <v>122645.45276000001</v>
      </c>
      <c r="AB305" s="79">
        <f>'BASE FACTURACION 2025'!$F$3</f>
        <v>65164.677720000007</v>
      </c>
      <c r="AC305" s="79">
        <f t="shared" si="4"/>
        <v>122645.45276000001</v>
      </c>
    </row>
    <row r="306" spans="1:29" s="80" customFormat="1" ht="15" customHeight="1">
      <c r="A306" s="64" t="s">
        <v>180</v>
      </c>
      <c r="B306" s="65" t="str">
        <f>VLOOKUP(A306,'CENTRO DE COSTOS'!A:D,4,FALSE)</f>
        <v>DIEGO FERNANDO HENAO CARDONA</v>
      </c>
      <c r="C306" s="65" t="str">
        <f>VLOOKUP(A306,'CENTRO DE COSTOS'!A:D,2,FALSE)</f>
        <v>0004-0003</v>
      </c>
      <c r="D306" s="64">
        <v>76001</v>
      </c>
      <c r="E306" s="66" t="s">
        <v>1810</v>
      </c>
      <c r="F306" s="67">
        <v>81061</v>
      </c>
      <c r="G306" s="68" t="s">
        <v>90</v>
      </c>
      <c r="H306" s="69" t="s">
        <v>91</v>
      </c>
      <c r="I306" s="67" t="s">
        <v>380</v>
      </c>
      <c r="J306" s="70" t="s">
        <v>180</v>
      </c>
      <c r="K306" s="67" t="s">
        <v>1811</v>
      </c>
      <c r="L306" s="71" t="s">
        <v>95</v>
      </c>
      <c r="M306" s="72" t="s">
        <v>1812</v>
      </c>
      <c r="N306" s="73">
        <v>45888</v>
      </c>
      <c r="O306" s="74">
        <v>45889</v>
      </c>
      <c r="P306" s="75" t="s">
        <v>97</v>
      </c>
      <c r="Q306" s="76" t="s">
        <v>97</v>
      </c>
      <c r="R306" s="64" t="s">
        <v>98</v>
      </c>
      <c r="S306" s="77" t="s">
        <v>1813</v>
      </c>
      <c r="T306" s="74" t="s">
        <v>100</v>
      </c>
      <c r="U306" s="64" t="s">
        <v>1814</v>
      </c>
      <c r="V306" s="70" t="s">
        <v>133</v>
      </c>
      <c r="W306" s="74" t="s">
        <v>103</v>
      </c>
      <c r="X306" s="68" t="s">
        <v>456</v>
      </c>
      <c r="Y306" s="64">
        <v>1</v>
      </c>
      <c r="Z306" s="78">
        <v>0</v>
      </c>
      <c r="AA306" s="79">
        <f>'BASE FACTURACION 2025'!$C$3</f>
        <v>122645.45276000001</v>
      </c>
      <c r="AB306" s="79">
        <f>'BASE FACTURACION 2025'!$F$3</f>
        <v>65164.677720000007</v>
      </c>
      <c r="AC306" s="79">
        <f t="shared" si="4"/>
        <v>122645.45276000001</v>
      </c>
    </row>
    <row r="307" spans="1:29" s="80" customFormat="1" ht="15" customHeight="1">
      <c r="A307" s="64" t="s">
        <v>339</v>
      </c>
      <c r="B307" s="65" t="str">
        <f>VLOOKUP(A307,'CENTRO DE COSTOS'!A:D,4,FALSE)</f>
        <v>JOSE MAURICIO HERNANDEZ ROJAS</v>
      </c>
      <c r="C307" s="65" t="str">
        <f>VLOOKUP(A307,'CENTRO DE COSTOS'!A:D,2,FALSE)</f>
        <v>0004-0001</v>
      </c>
      <c r="D307" s="64">
        <v>5495</v>
      </c>
      <c r="E307" s="66" t="s">
        <v>1815</v>
      </c>
      <c r="F307" s="67">
        <v>81087</v>
      </c>
      <c r="G307" s="68" t="s">
        <v>90</v>
      </c>
      <c r="H307" s="69" t="s">
        <v>91</v>
      </c>
      <c r="I307" s="67" t="s">
        <v>138</v>
      </c>
      <c r="J307" s="70" t="s">
        <v>1816</v>
      </c>
      <c r="K307" s="67" t="s">
        <v>1817</v>
      </c>
      <c r="L307" s="71" t="s">
        <v>95</v>
      </c>
      <c r="M307" s="72" t="s">
        <v>1818</v>
      </c>
      <c r="N307" s="73">
        <v>45888</v>
      </c>
      <c r="O307" s="74">
        <v>45890</v>
      </c>
      <c r="P307" s="75" t="s">
        <v>97</v>
      </c>
      <c r="Q307" s="76" t="s">
        <v>97</v>
      </c>
      <c r="R307" s="64" t="s">
        <v>98</v>
      </c>
      <c r="S307" s="77" t="s">
        <v>1819</v>
      </c>
      <c r="T307" s="74" t="s">
        <v>100</v>
      </c>
      <c r="U307" s="64" t="s">
        <v>1820</v>
      </c>
      <c r="V307" s="70" t="s">
        <v>189</v>
      </c>
      <c r="W307" s="74" t="s">
        <v>103</v>
      </c>
      <c r="X307" s="68" t="s">
        <v>1821</v>
      </c>
      <c r="Y307" s="64">
        <v>1</v>
      </c>
      <c r="Z307" s="78">
        <v>0</v>
      </c>
      <c r="AA307" s="79">
        <f>'BASE FACTURACION 2025'!$C$3</f>
        <v>122645.45276000001</v>
      </c>
      <c r="AB307" s="79">
        <f>'BASE FACTURACION 2025'!$F$3</f>
        <v>65164.677720000007</v>
      </c>
      <c r="AC307" s="79">
        <f t="shared" si="4"/>
        <v>122645.45276000001</v>
      </c>
    </row>
    <row r="308" spans="1:29" s="80" customFormat="1" ht="15" customHeight="1">
      <c r="A308" s="64" t="s">
        <v>180</v>
      </c>
      <c r="B308" s="65" t="str">
        <f>VLOOKUP(A308,'CENTRO DE COSTOS'!A:D,4,FALSE)</f>
        <v>DIEGO FERNANDO HENAO CARDONA</v>
      </c>
      <c r="C308" s="65" t="str">
        <f>VLOOKUP(A308,'CENTRO DE COSTOS'!A:D,2,FALSE)</f>
        <v>0004-0003</v>
      </c>
      <c r="D308" s="64">
        <v>76001</v>
      </c>
      <c r="E308" s="66" t="s">
        <v>1822</v>
      </c>
      <c r="F308" s="67">
        <v>81063</v>
      </c>
      <c r="G308" s="68" t="s">
        <v>90</v>
      </c>
      <c r="H308" s="69" t="s">
        <v>91</v>
      </c>
      <c r="I308" s="67" t="s">
        <v>380</v>
      </c>
      <c r="J308" s="70" t="s">
        <v>180</v>
      </c>
      <c r="K308" s="67" t="s">
        <v>1823</v>
      </c>
      <c r="L308" s="71" t="s">
        <v>95</v>
      </c>
      <c r="M308" s="72" t="s">
        <v>1824</v>
      </c>
      <c r="N308" s="73">
        <v>45888</v>
      </c>
      <c r="O308" s="74">
        <v>45890</v>
      </c>
      <c r="P308" s="75" t="s">
        <v>97</v>
      </c>
      <c r="Q308" s="76" t="s">
        <v>97</v>
      </c>
      <c r="R308" s="64" t="s">
        <v>98</v>
      </c>
      <c r="S308" s="77" t="s">
        <v>1825</v>
      </c>
      <c r="T308" s="74" t="s">
        <v>100</v>
      </c>
      <c r="U308" s="64" t="s">
        <v>1826</v>
      </c>
      <c r="V308" s="70" t="s">
        <v>133</v>
      </c>
      <c r="W308" s="74" t="s">
        <v>103</v>
      </c>
      <c r="X308" s="68" t="s">
        <v>438</v>
      </c>
      <c r="Y308" s="64">
        <v>1</v>
      </c>
      <c r="Z308" s="78">
        <v>0</v>
      </c>
      <c r="AA308" s="79">
        <f>'BASE FACTURACION 2025'!$C$3</f>
        <v>122645.45276000001</v>
      </c>
      <c r="AB308" s="79">
        <f>'BASE FACTURACION 2025'!$F$3</f>
        <v>65164.677720000007</v>
      </c>
      <c r="AC308" s="79">
        <f t="shared" si="4"/>
        <v>122645.45276000001</v>
      </c>
    </row>
    <row r="309" spans="1:29" s="80" customFormat="1" ht="15" customHeight="1">
      <c r="A309" s="64" t="s">
        <v>391</v>
      </c>
      <c r="B309" s="65" t="str">
        <f>VLOOKUP(A309,'CENTRO DE COSTOS'!A:D,4,FALSE)</f>
        <v>WILLIAM ASDRUBAL ROZO ROZO</v>
      </c>
      <c r="C309" s="65" t="str">
        <f>VLOOKUP(A309,'CENTRO DE COSTOS'!A:D,2,FALSE)</f>
        <v>0004-0004</v>
      </c>
      <c r="D309" s="64">
        <v>11001</v>
      </c>
      <c r="E309" s="66" t="s">
        <v>1827</v>
      </c>
      <c r="F309" s="67">
        <v>81053</v>
      </c>
      <c r="G309" s="68" t="s">
        <v>90</v>
      </c>
      <c r="H309" s="69" t="s">
        <v>91</v>
      </c>
      <c r="I309" s="67" t="s">
        <v>393</v>
      </c>
      <c r="J309" s="70" t="s">
        <v>391</v>
      </c>
      <c r="K309" s="67" t="s">
        <v>1828</v>
      </c>
      <c r="L309" s="71" t="s">
        <v>95</v>
      </c>
      <c r="M309" s="72" t="s">
        <v>1829</v>
      </c>
      <c r="N309" s="73">
        <v>45888</v>
      </c>
      <c r="O309" s="74">
        <v>45889</v>
      </c>
      <c r="P309" s="75" t="s">
        <v>97</v>
      </c>
      <c r="Q309" s="76" t="s">
        <v>97</v>
      </c>
      <c r="R309" s="64" t="s">
        <v>98</v>
      </c>
      <c r="S309" s="77" t="s">
        <v>1830</v>
      </c>
      <c r="T309" s="74" t="s">
        <v>100</v>
      </c>
      <c r="U309" s="64" t="s">
        <v>1831</v>
      </c>
      <c r="V309" s="70" t="s">
        <v>133</v>
      </c>
      <c r="W309" s="74" t="s">
        <v>103</v>
      </c>
      <c r="X309" s="68" t="s">
        <v>431</v>
      </c>
      <c r="Y309" s="64">
        <v>1</v>
      </c>
      <c r="Z309" s="78">
        <v>0</v>
      </c>
      <c r="AA309" s="79">
        <f>'BASE FACTURACION 2025'!$C$3</f>
        <v>122645.45276000001</v>
      </c>
      <c r="AB309" s="79">
        <f>'BASE FACTURACION 2025'!$F$3</f>
        <v>65164.677720000007</v>
      </c>
      <c r="AC309" s="79">
        <f t="shared" si="4"/>
        <v>122645.45276000001</v>
      </c>
    </row>
    <row r="310" spans="1:29" s="80" customFormat="1" ht="15" customHeight="1">
      <c r="A310" s="64" t="s">
        <v>110</v>
      </c>
      <c r="B310" s="65" t="str">
        <f>VLOOKUP(A310,'CENTRO DE COSTOS'!A:D,4,FALSE)</f>
        <v>DIEGO FERNANDO HENAO CARDONA</v>
      </c>
      <c r="C310" s="65" t="str">
        <f>VLOOKUP(A310,'CENTRO DE COSTOS'!A:D,2,FALSE)</f>
        <v>0004-0003</v>
      </c>
      <c r="D310" s="64">
        <v>52683</v>
      </c>
      <c r="E310" s="66" t="s">
        <v>1832</v>
      </c>
      <c r="F310" s="67">
        <v>81098</v>
      </c>
      <c r="G310" s="68" t="s">
        <v>90</v>
      </c>
      <c r="H310" s="69" t="s">
        <v>91</v>
      </c>
      <c r="I310" s="67" t="s">
        <v>112</v>
      </c>
      <c r="J310" s="70" t="s">
        <v>1833</v>
      </c>
      <c r="K310" s="67" t="s">
        <v>1834</v>
      </c>
      <c r="L310" s="71" t="s">
        <v>95</v>
      </c>
      <c r="M310" s="72" t="s">
        <v>1835</v>
      </c>
      <c r="N310" s="73">
        <v>45888</v>
      </c>
      <c r="O310" s="74">
        <v>45889</v>
      </c>
      <c r="P310" s="75" t="s">
        <v>97</v>
      </c>
      <c r="Q310" s="76" t="s">
        <v>97</v>
      </c>
      <c r="R310" s="64" t="s">
        <v>98</v>
      </c>
      <c r="S310" s="77" t="s">
        <v>1836</v>
      </c>
      <c r="T310" s="74" t="s">
        <v>100</v>
      </c>
      <c r="U310" s="64" t="s">
        <v>1837</v>
      </c>
      <c r="V310" s="70" t="s">
        <v>162</v>
      </c>
      <c r="W310" s="74" t="s">
        <v>103</v>
      </c>
      <c r="X310" s="68" t="s">
        <v>120</v>
      </c>
      <c r="Y310" s="64">
        <v>1</v>
      </c>
      <c r="Z310" s="78">
        <v>0</v>
      </c>
      <c r="AA310" s="79">
        <f>'BASE FACTURACION 2025'!$C$3</f>
        <v>122645.45276000001</v>
      </c>
      <c r="AB310" s="79">
        <f>'BASE FACTURACION 2025'!$F$3</f>
        <v>65164.677720000007</v>
      </c>
      <c r="AC310" s="79">
        <f t="shared" si="4"/>
        <v>122645.45276000001</v>
      </c>
    </row>
    <row r="311" spans="1:29" s="80" customFormat="1" ht="15" customHeight="1">
      <c r="A311" s="64" t="s">
        <v>391</v>
      </c>
      <c r="B311" s="65" t="str">
        <f>VLOOKUP(A311,'CENTRO DE COSTOS'!A:D,4,FALSE)</f>
        <v>WILLIAM ASDRUBAL ROZO ROZO</v>
      </c>
      <c r="C311" s="65" t="str">
        <f>VLOOKUP(A311,'CENTRO DE COSTOS'!A:D,2,FALSE)</f>
        <v>0004-0004</v>
      </c>
      <c r="D311" s="64">
        <v>11001</v>
      </c>
      <c r="E311" s="66" t="s">
        <v>1838</v>
      </c>
      <c r="F311" s="67">
        <v>81054</v>
      </c>
      <c r="G311" s="68" t="s">
        <v>90</v>
      </c>
      <c r="H311" s="69" t="s">
        <v>91</v>
      </c>
      <c r="I311" s="67" t="s">
        <v>393</v>
      </c>
      <c r="J311" s="70" t="s">
        <v>391</v>
      </c>
      <c r="K311" s="67" t="s">
        <v>1839</v>
      </c>
      <c r="L311" s="71" t="s">
        <v>95</v>
      </c>
      <c r="M311" s="72" t="s">
        <v>1840</v>
      </c>
      <c r="N311" s="73">
        <v>45888</v>
      </c>
      <c r="O311" s="74">
        <v>45890</v>
      </c>
      <c r="P311" s="75" t="s">
        <v>97</v>
      </c>
      <c r="Q311" s="76" t="s">
        <v>97</v>
      </c>
      <c r="R311" s="64" t="s">
        <v>98</v>
      </c>
      <c r="S311" s="77" t="s">
        <v>1841</v>
      </c>
      <c r="T311" s="74" t="s">
        <v>100</v>
      </c>
      <c r="U311" s="64" t="s">
        <v>1842</v>
      </c>
      <c r="V311" s="70" t="s">
        <v>133</v>
      </c>
      <c r="W311" s="74" t="s">
        <v>103</v>
      </c>
      <c r="X311" s="68" t="s">
        <v>524</v>
      </c>
      <c r="Y311" s="64">
        <v>1</v>
      </c>
      <c r="Z311" s="78">
        <v>0</v>
      </c>
      <c r="AA311" s="79">
        <f>'BASE FACTURACION 2025'!$C$3</f>
        <v>122645.45276000001</v>
      </c>
      <c r="AB311" s="79">
        <f>'BASE FACTURACION 2025'!$F$3</f>
        <v>65164.677720000007</v>
      </c>
      <c r="AC311" s="79">
        <f t="shared" si="4"/>
        <v>122645.45276000001</v>
      </c>
    </row>
    <row r="312" spans="1:29" s="80" customFormat="1" ht="15" customHeight="1">
      <c r="A312" s="64" t="s">
        <v>180</v>
      </c>
      <c r="B312" s="65" t="str">
        <f>VLOOKUP(A312,'CENTRO DE COSTOS'!A:D,4,FALSE)</f>
        <v>DIEGO FERNANDO HENAO CARDONA</v>
      </c>
      <c r="C312" s="65" t="str">
        <f>VLOOKUP(A312,'CENTRO DE COSTOS'!A:D,2,FALSE)</f>
        <v>0004-0003</v>
      </c>
      <c r="D312" s="64">
        <v>76834</v>
      </c>
      <c r="E312" s="66" t="s">
        <v>1843</v>
      </c>
      <c r="F312" s="67">
        <v>81106</v>
      </c>
      <c r="G312" s="68" t="s">
        <v>90</v>
      </c>
      <c r="H312" s="69" t="s">
        <v>91</v>
      </c>
      <c r="I312" s="67" t="s">
        <v>380</v>
      </c>
      <c r="J312" s="70" t="s">
        <v>1663</v>
      </c>
      <c r="K312" s="67" t="s">
        <v>1844</v>
      </c>
      <c r="L312" s="71" t="s">
        <v>95</v>
      </c>
      <c r="M312" s="72" t="s">
        <v>1845</v>
      </c>
      <c r="N312" s="73">
        <v>45888</v>
      </c>
      <c r="O312" s="74">
        <v>45890</v>
      </c>
      <c r="P312" s="75" t="s">
        <v>97</v>
      </c>
      <c r="Q312" s="76" t="s">
        <v>97</v>
      </c>
      <c r="R312" s="64" t="s">
        <v>98</v>
      </c>
      <c r="S312" s="77" t="s">
        <v>1846</v>
      </c>
      <c r="T312" s="74" t="s">
        <v>100</v>
      </c>
      <c r="U312" s="64" t="s">
        <v>1847</v>
      </c>
      <c r="V312" s="70" t="s">
        <v>162</v>
      </c>
      <c r="W312" s="74" t="s">
        <v>103</v>
      </c>
      <c r="X312" s="68" t="s">
        <v>1221</v>
      </c>
      <c r="Y312" s="64">
        <v>1</v>
      </c>
      <c r="Z312" s="78">
        <v>0</v>
      </c>
      <c r="AA312" s="79">
        <f>'BASE FACTURACION 2025'!$C$3</f>
        <v>122645.45276000001</v>
      </c>
      <c r="AB312" s="79">
        <f>'BASE FACTURACION 2025'!$F$3</f>
        <v>65164.677720000007</v>
      </c>
      <c r="AC312" s="79">
        <f t="shared" si="4"/>
        <v>122645.45276000001</v>
      </c>
    </row>
    <row r="313" spans="1:29" s="80" customFormat="1" ht="15" customHeight="1">
      <c r="A313" s="64" t="s">
        <v>339</v>
      </c>
      <c r="B313" s="65" t="str">
        <f>VLOOKUP(A313,'CENTRO DE COSTOS'!A:D,4,FALSE)</f>
        <v>JOSE MAURICIO HERNANDEZ ROJAS</v>
      </c>
      <c r="C313" s="65" t="str">
        <f>VLOOKUP(A313,'CENTRO DE COSTOS'!A:D,2,FALSE)</f>
        <v>0004-0001</v>
      </c>
      <c r="D313" s="64">
        <v>23807</v>
      </c>
      <c r="E313" s="66" t="s">
        <v>1848</v>
      </c>
      <c r="F313" s="67">
        <v>81105</v>
      </c>
      <c r="G313" s="68" t="s">
        <v>90</v>
      </c>
      <c r="H313" s="69" t="s">
        <v>91</v>
      </c>
      <c r="I313" s="67" t="s">
        <v>341</v>
      </c>
      <c r="J313" s="70" t="s">
        <v>1849</v>
      </c>
      <c r="K313" s="67" t="s">
        <v>1850</v>
      </c>
      <c r="L313" s="71" t="s">
        <v>95</v>
      </c>
      <c r="M313" s="72" t="s">
        <v>1851</v>
      </c>
      <c r="N313" s="73">
        <v>45888</v>
      </c>
      <c r="O313" s="74">
        <v>45890</v>
      </c>
      <c r="P313" s="75" t="s">
        <v>97</v>
      </c>
      <c r="Q313" s="76" t="s">
        <v>97</v>
      </c>
      <c r="R313" s="64" t="s">
        <v>98</v>
      </c>
      <c r="S313" s="77" t="s">
        <v>1852</v>
      </c>
      <c r="T313" s="74" t="s">
        <v>100</v>
      </c>
      <c r="U313" s="64" t="s">
        <v>1853</v>
      </c>
      <c r="V313" s="70" t="s">
        <v>189</v>
      </c>
      <c r="W313" s="74" t="s">
        <v>103</v>
      </c>
      <c r="X313" s="68" t="s">
        <v>346</v>
      </c>
      <c r="Y313" s="64">
        <v>1</v>
      </c>
      <c r="Z313" s="78">
        <v>0</v>
      </c>
      <c r="AA313" s="79">
        <f>'BASE FACTURACION 2025'!$C$3</f>
        <v>122645.45276000001</v>
      </c>
      <c r="AB313" s="79">
        <f>'BASE FACTURACION 2025'!$F$3</f>
        <v>65164.677720000007</v>
      </c>
      <c r="AC313" s="79">
        <f t="shared" si="4"/>
        <v>122645.45276000001</v>
      </c>
    </row>
    <row r="314" spans="1:29" s="80" customFormat="1" ht="15" customHeight="1">
      <c r="A314" s="64" t="s">
        <v>163</v>
      </c>
      <c r="B314" s="65" t="str">
        <f>VLOOKUP(A314,'CENTRO DE COSTOS'!A:D,4,FALSE)</f>
        <v>MIGUEL JULIÁN HERNÁNDEZ GUARÍN</v>
      </c>
      <c r="C314" s="65" t="str">
        <f>VLOOKUP(A314,'CENTRO DE COSTOS'!A:D,2,FALSE)</f>
        <v>0004-0008</v>
      </c>
      <c r="D314" s="64">
        <v>15097</v>
      </c>
      <c r="E314" s="66" t="s">
        <v>1854</v>
      </c>
      <c r="F314" s="67">
        <v>81050</v>
      </c>
      <c r="G314" s="68" t="s">
        <v>90</v>
      </c>
      <c r="H314" s="69" t="s">
        <v>91</v>
      </c>
      <c r="I314" s="67" t="s">
        <v>165</v>
      </c>
      <c r="J314" s="70" t="s">
        <v>1855</v>
      </c>
      <c r="K314" s="67" t="s">
        <v>1856</v>
      </c>
      <c r="L314" s="71" t="s">
        <v>95</v>
      </c>
      <c r="M314" s="72" t="s">
        <v>1857</v>
      </c>
      <c r="N314" s="73">
        <v>45888</v>
      </c>
      <c r="O314" s="74">
        <v>45890</v>
      </c>
      <c r="P314" s="75" t="s">
        <v>97</v>
      </c>
      <c r="Q314" s="76" t="s">
        <v>97</v>
      </c>
      <c r="R314" s="64" t="s">
        <v>98</v>
      </c>
      <c r="S314" s="77" t="s">
        <v>1858</v>
      </c>
      <c r="T314" s="74" t="s">
        <v>100</v>
      </c>
      <c r="U314" s="64" t="s">
        <v>1859</v>
      </c>
      <c r="V314" s="70" t="s">
        <v>102</v>
      </c>
      <c r="W314" s="74" t="s">
        <v>103</v>
      </c>
      <c r="X314" s="68" t="s">
        <v>1036</v>
      </c>
      <c r="Y314" s="64">
        <v>1</v>
      </c>
      <c r="Z314" s="78">
        <v>0</v>
      </c>
      <c r="AA314" s="79">
        <f>'BASE FACTURACION 2025'!$C$3</f>
        <v>122645.45276000001</v>
      </c>
      <c r="AB314" s="79">
        <f>'BASE FACTURACION 2025'!$F$3</f>
        <v>65164.677720000007</v>
      </c>
      <c r="AC314" s="79">
        <f t="shared" si="4"/>
        <v>122645.45276000001</v>
      </c>
    </row>
    <row r="315" spans="1:29" s="80" customFormat="1" ht="15" customHeight="1">
      <c r="A315" s="64" t="s">
        <v>229</v>
      </c>
      <c r="B315" s="65" t="str">
        <f>VLOOKUP(A315,'CENTRO DE COSTOS'!A:D,4,FALSE)</f>
        <v>MIGUEL JULIÁN HERNÁNDEZ GUARÍN</v>
      </c>
      <c r="C315" s="65" t="str">
        <f>VLOOKUP(A315,'CENTRO DE COSTOS'!A:D,2,FALSE)</f>
        <v>0004-0008</v>
      </c>
      <c r="D315" s="64">
        <v>68547</v>
      </c>
      <c r="E315" s="66" t="s">
        <v>1860</v>
      </c>
      <c r="F315" s="67">
        <v>81091</v>
      </c>
      <c r="G315" s="68" t="s">
        <v>90</v>
      </c>
      <c r="H315" s="69" t="s">
        <v>91</v>
      </c>
      <c r="I315" s="67" t="s">
        <v>714</v>
      </c>
      <c r="J315" s="70" t="s">
        <v>738</v>
      </c>
      <c r="K315" s="67" t="s">
        <v>1861</v>
      </c>
      <c r="L315" s="71" t="s">
        <v>95</v>
      </c>
      <c r="M315" s="72" t="s">
        <v>1862</v>
      </c>
      <c r="N315" s="73">
        <v>45888</v>
      </c>
      <c r="O315" s="74">
        <v>45890</v>
      </c>
      <c r="P315" s="75" t="s">
        <v>97</v>
      </c>
      <c r="Q315" s="76" t="s">
        <v>97</v>
      </c>
      <c r="R315" s="64" t="s">
        <v>98</v>
      </c>
      <c r="S315" s="77" t="s">
        <v>1863</v>
      </c>
      <c r="T315" s="74" t="s">
        <v>100</v>
      </c>
      <c r="U315" s="64" t="s">
        <v>1864</v>
      </c>
      <c r="V315" s="70" t="s">
        <v>162</v>
      </c>
      <c r="W315" s="74" t="s">
        <v>103</v>
      </c>
      <c r="X315" s="68" t="s">
        <v>253</v>
      </c>
      <c r="Y315" s="64">
        <v>1</v>
      </c>
      <c r="Z315" s="78">
        <v>0</v>
      </c>
      <c r="AA315" s="79">
        <f>'BASE FACTURACION 2025'!$C$3</f>
        <v>122645.45276000001</v>
      </c>
      <c r="AB315" s="79">
        <f>'BASE FACTURACION 2025'!$F$3</f>
        <v>65164.677720000007</v>
      </c>
      <c r="AC315" s="79">
        <f t="shared" si="4"/>
        <v>122645.45276000001</v>
      </c>
    </row>
    <row r="316" spans="1:29" s="80" customFormat="1" ht="15" customHeight="1">
      <c r="A316" s="64" t="s">
        <v>220</v>
      </c>
      <c r="B316" s="65" t="str">
        <f>VLOOKUP(A316,'CENTRO DE COSTOS'!A:D,4,FALSE)</f>
        <v>KEVIN ALEXIS CORZO BUSTOS</v>
      </c>
      <c r="C316" s="65" t="str">
        <f>VLOOKUP(A316,'CENTRO DE COSTOS'!A:D,2,FALSE)</f>
        <v>0004-0007</v>
      </c>
      <c r="D316" s="64">
        <v>50568</v>
      </c>
      <c r="E316" s="66" t="s">
        <v>1865</v>
      </c>
      <c r="F316" s="67">
        <v>81095</v>
      </c>
      <c r="G316" s="68" t="s">
        <v>90</v>
      </c>
      <c r="H316" s="69" t="s">
        <v>91</v>
      </c>
      <c r="I316" s="67" t="s">
        <v>222</v>
      </c>
      <c r="J316" s="70" t="s">
        <v>1866</v>
      </c>
      <c r="K316" s="67" t="s">
        <v>1867</v>
      </c>
      <c r="L316" s="71" t="s">
        <v>95</v>
      </c>
      <c r="M316" s="72" t="s">
        <v>1868</v>
      </c>
      <c r="N316" s="73">
        <v>45888</v>
      </c>
      <c r="O316" s="74">
        <v>45889</v>
      </c>
      <c r="P316" s="75" t="s">
        <v>97</v>
      </c>
      <c r="Q316" s="76" t="s">
        <v>97</v>
      </c>
      <c r="R316" s="64" t="s">
        <v>98</v>
      </c>
      <c r="S316" s="77" t="s">
        <v>1869</v>
      </c>
      <c r="T316" s="74" t="s">
        <v>100</v>
      </c>
      <c r="U316" s="64" t="s">
        <v>1870</v>
      </c>
      <c r="V316" s="70" t="s">
        <v>189</v>
      </c>
      <c r="W316" s="74" t="s">
        <v>103</v>
      </c>
      <c r="X316" s="68" t="s">
        <v>228</v>
      </c>
      <c r="Y316" s="64">
        <v>1</v>
      </c>
      <c r="Z316" s="78">
        <v>0</v>
      </c>
      <c r="AA316" s="79">
        <f>'BASE FACTURACION 2025'!$C$3</f>
        <v>122645.45276000001</v>
      </c>
      <c r="AB316" s="79">
        <f>'BASE FACTURACION 2025'!$F$3</f>
        <v>65164.677720000007</v>
      </c>
      <c r="AC316" s="79">
        <f t="shared" si="4"/>
        <v>122645.45276000001</v>
      </c>
    </row>
    <row r="317" spans="1:29" s="80" customFormat="1" ht="15" customHeight="1">
      <c r="A317" s="64" t="s">
        <v>359</v>
      </c>
      <c r="B317" s="65" t="str">
        <f>VLOOKUP(A317,'CENTRO DE COSTOS'!A:D,4,FALSE)</f>
        <v>JOSE MAURICIO HERNANDEZ ROJAS</v>
      </c>
      <c r="C317" s="65" t="str">
        <f>VLOOKUP(A317,'CENTRO DE COSTOS'!A:D,2,FALSE)</f>
        <v>0004-0001</v>
      </c>
      <c r="D317" s="64">
        <v>20570</v>
      </c>
      <c r="E317" s="66" t="s">
        <v>1871</v>
      </c>
      <c r="F317" s="67">
        <v>81094</v>
      </c>
      <c r="G317" s="68" t="s">
        <v>90</v>
      </c>
      <c r="H317" s="69" t="s">
        <v>91</v>
      </c>
      <c r="I317" s="67" t="s">
        <v>361</v>
      </c>
      <c r="J317" s="70" t="s">
        <v>1872</v>
      </c>
      <c r="K317" s="67" t="s">
        <v>1873</v>
      </c>
      <c r="L317" s="71" t="s">
        <v>95</v>
      </c>
      <c r="M317" s="72" t="s">
        <v>1874</v>
      </c>
      <c r="N317" s="73">
        <v>45888</v>
      </c>
      <c r="O317" s="74">
        <v>45889</v>
      </c>
      <c r="P317" s="75" t="s">
        <v>97</v>
      </c>
      <c r="Q317" s="76" t="s">
        <v>97</v>
      </c>
      <c r="R317" s="64" t="s">
        <v>98</v>
      </c>
      <c r="S317" s="77" t="s">
        <v>1875</v>
      </c>
      <c r="T317" s="74" t="s">
        <v>100</v>
      </c>
      <c r="U317" s="64" t="s">
        <v>1876</v>
      </c>
      <c r="V317" s="70" t="s">
        <v>189</v>
      </c>
      <c r="W317" s="74" t="s">
        <v>103</v>
      </c>
      <c r="X317" s="68" t="s">
        <v>873</v>
      </c>
      <c r="Y317" s="64">
        <v>1</v>
      </c>
      <c r="Z317" s="78">
        <v>0</v>
      </c>
      <c r="AA317" s="79">
        <f>'BASE FACTURACION 2025'!$C$3</f>
        <v>122645.45276000001</v>
      </c>
      <c r="AB317" s="79">
        <f>'BASE FACTURACION 2025'!$F$3</f>
        <v>65164.677720000007</v>
      </c>
      <c r="AC317" s="79">
        <f t="shared" si="4"/>
        <v>122645.45276000001</v>
      </c>
    </row>
    <row r="318" spans="1:29" s="80" customFormat="1" ht="15" customHeight="1">
      <c r="A318" s="64" t="s">
        <v>180</v>
      </c>
      <c r="B318" s="65" t="str">
        <f>VLOOKUP(A318,'CENTRO DE COSTOS'!A:D,4,FALSE)</f>
        <v>DIEGO FERNANDO HENAO CARDONA</v>
      </c>
      <c r="C318" s="65" t="str">
        <f>VLOOKUP(A318,'CENTRO DE COSTOS'!A:D,2,FALSE)</f>
        <v>0004-0003</v>
      </c>
      <c r="D318" s="64">
        <v>76001</v>
      </c>
      <c r="E318" s="66" t="s">
        <v>1877</v>
      </c>
      <c r="F318" s="67">
        <v>81064</v>
      </c>
      <c r="G318" s="68" t="s">
        <v>90</v>
      </c>
      <c r="H318" s="69" t="s">
        <v>91</v>
      </c>
      <c r="I318" s="67" t="s">
        <v>380</v>
      </c>
      <c r="J318" s="70" t="s">
        <v>180</v>
      </c>
      <c r="K318" s="67" t="s">
        <v>1878</v>
      </c>
      <c r="L318" s="71" t="s">
        <v>95</v>
      </c>
      <c r="M318" s="72" t="s">
        <v>1879</v>
      </c>
      <c r="N318" s="73">
        <v>45888</v>
      </c>
      <c r="O318" s="74">
        <v>45889</v>
      </c>
      <c r="P318" s="75" t="s">
        <v>97</v>
      </c>
      <c r="Q318" s="76" t="s">
        <v>97</v>
      </c>
      <c r="R318" s="64" t="s">
        <v>98</v>
      </c>
      <c r="S318" s="77" t="s">
        <v>1880</v>
      </c>
      <c r="T318" s="74" t="s">
        <v>100</v>
      </c>
      <c r="U318" s="64" t="s">
        <v>1881</v>
      </c>
      <c r="V318" s="70" t="s">
        <v>133</v>
      </c>
      <c r="W318" s="74" t="s">
        <v>103</v>
      </c>
      <c r="X318" s="68" t="s">
        <v>190</v>
      </c>
      <c r="Y318" s="64">
        <v>1</v>
      </c>
      <c r="Z318" s="78">
        <v>0</v>
      </c>
      <c r="AA318" s="79">
        <f>'BASE FACTURACION 2025'!$C$3</f>
        <v>122645.45276000001</v>
      </c>
      <c r="AB318" s="79">
        <f>'BASE FACTURACION 2025'!$F$3</f>
        <v>65164.677720000007</v>
      </c>
      <c r="AC318" s="79">
        <f t="shared" si="4"/>
        <v>122645.45276000001</v>
      </c>
    </row>
    <row r="319" spans="1:29" s="80" customFormat="1" ht="15" customHeight="1">
      <c r="A319" s="64" t="s">
        <v>399</v>
      </c>
      <c r="B319" s="65" t="str">
        <f>VLOOKUP(A319,'CENTRO DE COSTOS'!A:D,4,FALSE)</f>
        <v>DIEGO FERNANDO HENAO CARDONA</v>
      </c>
      <c r="C319" s="65" t="str">
        <f>VLOOKUP(A319,'CENTRO DE COSTOS'!A:D,2,FALSE)</f>
        <v>0004-0002</v>
      </c>
      <c r="D319" s="64">
        <v>17524</v>
      </c>
      <c r="E319" s="66" t="s">
        <v>1882</v>
      </c>
      <c r="F319" s="67">
        <v>81103</v>
      </c>
      <c r="G319" s="68" t="s">
        <v>90</v>
      </c>
      <c r="H319" s="69" t="s">
        <v>182</v>
      </c>
      <c r="I319" s="67" t="s">
        <v>401</v>
      </c>
      <c r="J319" s="70" t="s">
        <v>1883</v>
      </c>
      <c r="K319" s="67" t="s">
        <v>1884</v>
      </c>
      <c r="L319" s="71" t="s">
        <v>95</v>
      </c>
      <c r="M319" s="72" t="s">
        <v>1885</v>
      </c>
      <c r="N319" s="73">
        <v>45888</v>
      </c>
      <c r="O319" s="74">
        <v>45890</v>
      </c>
      <c r="P319" s="75" t="s">
        <v>97</v>
      </c>
      <c r="Q319" s="76" t="s">
        <v>97</v>
      </c>
      <c r="R319" s="64" t="s">
        <v>98</v>
      </c>
      <c r="S319" s="77" t="s">
        <v>1886</v>
      </c>
      <c r="T319" s="74" t="s">
        <v>100</v>
      </c>
      <c r="U319" s="64" t="s">
        <v>1887</v>
      </c>
      <c r="V319" s="70" t="s">
        <v>162</v>
      </c>
      <c r="W319" s="74" t="s">
        <v>103</v>
      </c>
      <c r="X319" s="68" t="s">
        <v>406</v>
      </c>
      <c r="Y319" s="64">
        <v>1</v>
      </c>
      <c r="Z319" s="78">
        <v>0</v>
      </c>
      <c r="AA319" s="79">
        <f>'BASE FACTURACION 2025'!$C$3</f>
        <v>122645.45276000001</v>
      </c>
      <c r="AB319" s="79">
        <f>'BASE FACTURACION 2025'!$F$3</f>
        <v>65164.677720000007</v>
      </c>
      <c r="AC319" s="79">
        <f t="shared" si="4"/>
        <v>122645.45276000001</v>
      </c>
    </row>
    <row r="320" spans="1:29" s="80" customFormat="1" ht="15" customHeight="1">
      <c r="A320" s="64" t="s">
        <v>180</v>
      </c>
      <c r="B320" s="65" t="str">
        <f>VLOOKUP(A320,'CENTRO DE COSTOS'!A:D,4,FALSE)</f>
        <v>DIEGO FERNANDO HENAO CARDONA</v>
      </c>
      <c r="C320" s="65" t="str">
        <f>VLOOKUP(A320,'CENTRO DE COSTOS'!A:D,2,FALSE)</f>
        <v>0004-0003</v>
      </c>
      <c r="D320" s="64">
        <v>76113</v>
      </c>
      <c r="E320" s="66" t="s">
        <v>1888</v>
      </c>
      <c r="F320" s="67">
        <v>81057</v>
      </c>
      <c r="G320" s="68" t="s">
        <v>90</v>
      </c>
      <c r="H320" s="69" t="s">
        <v>91</v>
      </c>
      <c r="I320" s="67" t="s">
        <v>380</v>
      </c>
      <c r="J320" s="70" t="s">
        <v>1889</v>
      </c>
      <c r="K320" s="67" t="s">
        <v>1890</v>
      </c>
      <c r="L320" s="71" t="s">
        <v>95</v>
      </c>
      <c r="M320" s="72" t="s">
        <v>1891</v>
      </c>
      <c r="N320" s="73">
        <v>45888</v>
      </c>
      <c r="O320" s="74">
        <v>45890</v>
      </c>
      <c r="P320" s="75" t="s">
        <v>97</v>
      </c>
      <c r="Q320" s="76" t="s">
        <v>97</v>
      </c>
      <c r="R320" s="64" t="s">
        <v>98</v>
      </c>
      <c r="S320" s="77" t="s">
        <v>1892</v>
      </c>
      <c r="T320" s="74" t="s">
        <v>100</v>
      </c>
      <c r="U320" s="64" t="s">
        <v>1893</v>
      </c>
      <c r="V320" s="70" t="s">
        <v>162</v>
      </c>
      <c r="W320" s="74" t="s">
        <v>103</v>
      </c>
      <c r="X320" s="68" t="s">
        <v>190</v>
      </c>
      <c r="Y320" s="64">
        <v>1</v>
      </c>
      <c r="Z320" s="78">
        <v>0</v>
      </c>
      <c r="AA320" s="79">
        <f>'BASE FACTURACION 2025'!$C$3</f>
        <v>122645.45276000001</v>
      </c>
      <c r="AB320" s="79">
        <f>'BASE FACTURACION 2025'!$F$3</f>
        <v>65164.677720000007</v>
      </c>
      <c r="AC320" s="79">
        <f t="shared" si="4"/>
        <v>122645.45276000001</v>
      </c>
    </row>
    <row r="321" spans="1:29" s="80" customFormat="1" ht="15" customHeight="1">
      <c r="A321" s="64" t="s">
        <v>229</v>
      </c>
      <c r="B321" s="65" t="str">
        <f>VLOOKUP(A321,'CENTRO DE COSTOS'!A:D,4,FALSE)</f>
        <v>MIGUEL JULIÁN HERNÁNDEZ GUARÍN</v>
      </c>
      <c r="C321" s="65" t="str">
        <f>VLOOKUP(A321,'CENTRO DE COSTOS'!A:D,2,FALSE)</f>
        <v>0004-0008</v>
      </c>
      <c r="D321" s="64">
        <v>68276</v>
      </c>
      <c r="E321" s="66" t="s">
        <v>1894</v>
      </c>
      <c r="F321" s="67">
        <v>81075</v>
      </c>
      <c r="G321" s="68" t="s">
        <v>90</v>
      </c>
      <c r="H321" s="69" t="s">
        <v>91</v>
      </c>
      <c r="I321" s="67" t="s">
        <v>714</v>
      </c>
      <c r="J321" s="70" t="s">
        <v>840</v>
      </c>
      <c r="K321" s="67" t="s">
        <v>1895</v>
      </c>
      <c r="L321" s="71" t="s">
        <v>95</v>
      </c>
      <c r="M321" s="72" t="s">
        <v>1896</v>
      </c>
      <c r="N321" s="73">
        <v>45888</v>
      </c>
      <c r="O321" s="74">
        <v>45889</v>
      </c>
      <c r="P321" s="75" t="s">
        <v>97</v>
      </c>
      <c r="Q321" s="76" t="s">
        <v>97</v>
      </c>
      <c r="R321" s="64" t="s">
        <v>98</v>
      </c>
      <c r="S321" s="77" t="s">
        <v>1897</v>
      </c>
      <c r="T321" s="74" t="s">
        <v>100</v>
      </c>
      <c r="U321" s="64" t="s">
        <v>1898</v>
      </c>
      <c r="V321" s="70" t="s">
        <v>133</v>
      </c>
      <c r="W321" s="74" t="s">
        <v>103</v>
      </c>
      <c r="X321" s="68" t="s">
        <v>253</v>
      </c>
      <c r="Y321" s="64">
        <v>1</v>
      </c>
      <c r="Z321" s="78">
        <v>0</v>
      </c>
      <c r="AA321" s="79">
        <f>'BASE FACTURACION 2025'!$C$3</f>
        <v>122645.45276000001</v>
      </c>
      <c r="AB321" s="79">
        <f>'BASE FACTURACION 2025'!$F$3</f>
        <v>65164.677720000007</v>
      </c>
      <c r="AC321" s="79">
        <f t="shared" si="4"/>
        <v>122645.45276000001</v>
      </c>
    </row>
    <row r="322" spans="1:29" s="80" customFormat="1" ht="15" customHeight="1">
      <c r="A322" s="64" t="s">
        <v>391</v>
      </c>
      <c r="B322" s="65" t="str">
        <f>VLOOKUP(A322,'CENTRO DE COSTOS'!A:D,4,FALSE)</f>
        <v>WILLIAM ASDRUBAL ROZO ROZO</v>
      </c>
      <c r="C322" s="65" t="str">
        <f>VLOOKUP(A322,'CENTRO DE COSTOS'!A:D,2,FALSE)</f>
        <v>0004-0004</v>
      </c>
      <c r="D322" s="64">
        <v>25286</v>
      </c>
      <c r="E322" s="66" t="s">
        <v>1899</v>
      </c>
      <c r="F322" s="67">
        <v>81076</v>
      </c>
      <c r="G322" s="68" t="s">
        <v>90</v>
      </c>
      <c r="H322" s="69" t="s">
        <v>182</v>
      </c>
      <c r="I322" s="67" t="s">
        <v>393</v>
      </c>
      <c r="J322" s="70" t="s">
        <v>1900</v>
      </c>
      <c r="K322" s="67" t="s">
        <v>1901</v>
      </c>
      <c r="L322" s="71" t="s">
        <v>95</v>
      </c>
      <c r="M322" s="72" t="s">
        <v>1902</v>
      </c>
      <c r="N322" s="73">
        <v>45888</v>
      </c>
      <c r="O322" s="74">
        <v>45894</v>
      </c>
      <c r="P322" s="75" t="s">
        <v>97</v>
      </c>
      <c r="Q322" s="76" t="s">
        <v>97</v>
      </c>
      <c r="R322" s="64" t="s">
        <v>98</v>
      </c>
      <c r="S322" s="77" t="s">
        <v>1903</v>
      </c>
      <c r="T322" s="74" t="s">
        <v>100</v>
      </c>
      <c r="U322" s="64" t="s">
        <v>1904</v>
      </c>
      <c r="V322" s="70" t="s">
        <v>162</v>
      </c>
      <c r="W322" s="74" t="s">
        <v>103</v>
      </c>
      <c r="X322" s="68" t="s">
        <v>602</v>
      </c>
      <c r="Y322" s="64">
        <v>1</v>
      </c>
      <c r="Z322" s="78">
        <v>0</v>
      </c>
      <c r="AA322" s="79">
        <f>'BASE FACTURACION 2025'!$C$3</f>
        <v>122645.45276000001</v>
      </c>
      <c r="AB322" s="79">
        <f>'BASE FACTURACION 2025'!$F$3</f>
        <v>65164.677720000007</v>
      </c>
      <c r="AC322" s="79">
        <f t="shared" si="4"/>
        <v>122645.45276000001</v>
      </c>
    </row>
    <row r="323" spans="1:29" s="80" customFormat="1" ht="15" customHeight="1">
      <c r="A323" s="64" t="s">
        <v>391</v>
      </c>
      <c r="B323" s="65" t="str">
        <f>VLOOKUP(A323,'CENTRO DE COSTOS'!A:D,4,FALSE)</f>
        <v>WILLIAM ASDRUBAL ROZO ROZO</v>
      </c>
      <c r="C323" s="65" t="str">
        <f>VLOOKUP(A323,'CENTRO DE COSTOS'!A:D,2,FALSE)</f>
        <v>0004-0004</v>
      </c>
      <c r="D323" s="64">
        <v>11001</v>
      </c>
      <c r="E323" s="66" t="s">
        <v>1905</v>
      </c>
      <c r="F323" s="67">
        <v>81055</v>
      </c>
      <c r="G323" s="68" t="s">
        <v>90</v>
      </c>
      <c r="H323" s="69" t="s">
        <v>91</v>
      </c>
      <c r="I323" s="67" t="s">
        <v>393</v>
      </c>
      <c r="J323" s="70" t="s">
        <v>391</v>
      </c>
      <c r="K323" s="67" t="s">
        <v>1906</v>
      </c>
      <c r="L323" s="71" t="s">
        <v>95</v>
      </c>
      <c r="M323" s="72" t="s">
        <v>1907</v>
      </c>
      <c r="N323" s="73">
        <v>45888</v>
      </c>
      <c r="O323" s="74">
        <v>45889</v>
      </c>
      <c r="P323" s="75" t="s">
        <v>97</v>
      </c>
      <c r="Q323" s="76" t="s">
        <v>97</v>
      </c>
      <c r="R323" s="64" t="s">
        <v>98</v>
      </c>
      <c r="S323" s="77" t="s">
        <v>1908</v>
      </c>
      <c r="T323" s="74" t="s">
        <v>100</v>
      </c>
      <c r="U323" s="64" t="s">
        <v>1909</v>
      </c>
      <c r="V323" s="70" t="s">
        <v>133</v>
      </c>
      <c r="W323" s="74" t="s">
        <v>103</v>
      </c>
      <c r="X323" s="68" t="s">
        <v>1910</v>
      </c>
      <c r="Y323" s="64">
        <v>1</v>
      </c>
      <c r="Z323" s="78">
        <v>0</v>
      </c>
      <c r="AA323" s="79">
        <f>'BASE FACTURACION 2025'!$C$3</f>
        <v>122645.45276000001</v>
      </c>
      <c r="AB323" s="79">
        <f>'BASE FACTURACION 2025'!$F$3</f>
        <v>65164.677720000007</v>
      </c>
      <c r="AC323" s="79">
        <f t="shared" ref="AC323:AC386" si="5">AA323*Y323+AB323*Z323</f>
        <v>122645.45276000001</v>
      </c>
    </row>
    <row r="324" spans="1:29" s="80" customFormat="1" ht="15" customHeight="1">
      <c r="A324" s="64" t="s">
        <v>135</v>
      </c>
      <c r="B324" s="65" t="str">
        <f>VLOOKUP(A324,'CENTRO DE COSTOS'!A:D,4,FALSE)</f>
        <v>JUAN SEBASTIÁN RÍOS CASTRILLÓN</v>
      </c>
      <c r="C324" s="65" t="str">
        <f>VLOOKUP(A324,'CENTRO DE COSTOS'!A:D,2,FALSE)</f>
        <v>0004-0005</v>
      </c>
      <c r="D324" s="64">
        <v>5789</v>
      </c>
      <c r="E324" s="66" t="s">
        <v>1911</v>
      </c>
      <c r="F324" s="67">
        <v>81097</v>
      </c>
      <c r="G324" s="68" t="s">
        <v>90</v>
      </c>
      <c r="H324" s="69" t="s">
        <v>91</v>
      </c>
      <c r="I324" s="67" t="s">
        <v>138</v>
      </c>
      <c r="J324" s="70" t="s">
        <v>1912</v>
      </c>
      <c r="K324" s="67" t="s">
        <v>1913</v>
      </c>
      <c r="L324" s="71" t="s">
        <v>95</v>
      </c>
      <c r="M324" s="72" t="s">
        <v>1914</v>
      </c>
      <c r="N324" s="73">
        <v>45888</v>
      </c>
      <c r="O324" s="74">
        <v>45890</v>
      </c>
      <c r="P324" s="75" t="s">
        <v>97</v>
      </c>
      <c r="Q324" s="76" t="s">
        <v>97</v>
      </c>
      <c r="R324" s="64" t="s">
        <v>98</v>
      </c>
      <c r="S324" s="77" t="s">
        <v>1915</v>
      </c>
      <c r="T324" s="74" t="s">
        <v>100</v>
      </c>
      <c r="U324" s="64" t="s">
        <v>1916</v>
      </c>
      <c r="V324" s="70" t="s">
        <v>189</v>
      </c>
      <c r="W324" s="74" t="s">
        <v>103</v>
      </c>
      <c r="X324" s="68" t="s">
        <v>196</v>
      </c>
      <c r="Y324" s="64">
        <v>1</v>
      </c>
      <c r="Z324" s="78">
        <v>0</v>
      </c>
      <c r="AA324" s="79">
        <f>'BASE FACTURACION 2025'!$C$3</f>
        <v>122645.45276000001</v>
      </c>
      <c r="AB324" s="79">
        <f>'BASE FACTURACION 2025'!$F$3</f>
        <v>65164.677720000007</v>
      </c>
      <c r="AC324" s="79">
        <f t="shared" si="5"/>
        <v>122645.45276000001</v>
      </c>
    </row>
    <row r="325" spans="1:29" s="80" customFormat="1" ht="15" customHeight="1">
      <c r="A325" s="64" t="s">
        <v>413</v>
      </c>
      <c r="B325" s="65" t="str">
        <f>VLOOKUP(A325,'CENTRO DE COSTOS'!A:D,4,FALSE)</f>
        <v>DIEGO FERNANDO HENAO CARDONA</v>
      </c>
      <c r="C325" s="65" t="str">
        <f>VLOOKUP(A325,'CENTRO DE COSTOS'!A:D,2,FALSE)</f>
        <v>0004-0002</v>
      </c>
      <c r="D325" s="64">
        <v>63001</v>
      </c>
      <c r="E325" s="66" t="s">
        <v>1917</v>
      </c>
      <c r="F325" s="67">
        <v>81051</v>
      </c>
      <c r="G325" s="68" t="s">
        <v>90</v>
      </c>
      <c r="H325" s="69" t="s">
        <v>91</v>
      </c>
      <c r="I325" s="67" t="s">
        <v>506</v>
      </c>
      <c r="J325" s="70" t="s">
        <v>507</v>
      </c>
      <c r="K325" s="67" t="s">
        <v>1918</v>
      </c>
      <c r="L325" s="71" t="s">
        <v>95</v>
      </c>
      <c r="M325" s="72" t="s">
        <v>1919</v>
      </c>
      <c r="N325" s="73">
        <v>45888</v>
      </c>
      <c r="O325" s="74">
        <v>45889</v>
      </c>
      <c r="P325" s="75" t="s">
        <v>97</v>
      </c>
      <c r="Q325" s="76" t="s">
        <v>97</v>
      </c>
      <c r="R325" s="64" t="s">
        <v>98</v>
      </c>
      <c r="S325" s="77" t="s">
        <v>1920</v>
      </c>
      <c r="T325" s="74" t="s">
        <v>100</v>
      </c>
      <c r="U325" s="64" t="s">
        <v>1921</v>
      </c>
      <c r="V325" s="70" t="s">
        <v>162</v>
      </c>
      <c r="W325" s="74" t="s">
        <v>103</v>
      </c>
      <c r="X325" s="68" t="s">
        <v>512</v>
      </c>
      <c r="Y325" s="64">
        <v>1</v>
      </c>
      <c r="Z325" s="78">
        <v>0</v>
      </c>
      <c r="AA325" s="79">
        <f>'BASE FACTURACION 2025'!$C$3</f>
        <v>122645.45276000001</v>
      </c>
      <c r="AB325" s="79">
        <f>'BASE FACTURACION 2025'!$F$3</f>
        <v>65164.677720000007</v>
      </c>
      <c r="AC325" s="79">
        <f t="shared" si="5"/>
        <v>122645.45276000001</v>
      </c>
    </row>
    <row r="326" spans="1:29" s="80" customFormat="1" ht="15" customHeight="1">
      <c r="A326" s="64" t="s">
        <v>135</v>
      </c>
      <c r="B326" s="65" t="str">
        <f>VLOOKUP(A326,'CENTRO DE COSTOS'!A:D,4,FALSE)</f>
        <v>JUAN SEBASTIÁN RÍOS CASTRILLÓN</v>
      </c>
      <c r="C326" s="65" t="str">
        <f>VLOOKUP(A326,'CENTRO DE COSTOS'!A:D,2,FALSE)</f>
        <v>0004-0005</v>
      </c>
      <c r="D326" s="64">
        <v>5088</v>
      </c>
      <c r="E326" s="66" t="s">
        <v>1922</v>
      </c>
      <c r="F326" s="67">
        <v>81107</v>
      </c>
      <c r="G326" s="68" t="s">
        <v>90</v>
      </c>
      <c r="H326" s="69" t="s">
        <v>91</v>
      </c>
      <c r="I326" s="67" t="s">
        <v>138</v>
      </c>
      <c r="J326" s="70" t="s">
        <v>152</v>
      </c>
      <c r="K326" s="67" t="s">
        <v>1923</v>
      </c>
      <c r="L326" s="71" t="s">
        <v>95</v>
      </c>
      <c r="M326" s="72" t="s">
        <v>1924</v>
      </c>
      <c r="N326" s="73">
        <v>45888</v>
      </c>
      <c r="O326" s="74">
        <v>45889</v>
      </c>
      <c r="P326" s="75" t="s">
        <v>97</v>
      </c>
      <c r="Q326" s="76" t="s">
        <v>97</v>
      </c>
      <c r="R326" s="64" t="s">
        <v>98</v>
      </c>
      <c r="S326" s="77" t="s">
        <v>1925</v>
      </c>
      <c r="T326" s="74" t="s">
        <v>100</v>
      </c>
      <c r="U326" s="64" t="s">
        <v>1926</v>
      </c>
      <c r="V326" s="70" t="s">
        <v>133</v>
      </c>
      <c r="W326" s="74" t="s">
        <v>103</v>
      </c>
      <c r="X326" s="68" t="s">
        <v>299</v>
      </c>
      <c r="Y326" s="64">
        <v>1</v>
      </c>
      <c r="Z326" s="78">
        <v>0</v>
      </c>
      <c r="AA326" s="79">
        <f>'BASE FACTURACION 2025'!$C$3</f>
        <v>122645.45276000001</v>
      </c>
      <c r="AB326" s="79">
        <f>'BASE FACTURACION 2025'!$F$3</f>
        <v>65164.677720000007</v>
      </c>
      <c r="AC326" s="79">
        <f t="shared" si="5"/>
        <v>122645.45276000001</v>
      </c>
    </row>
    <row r="327" spans="1:29" s="80" customFormat="1" ht="15" customHeight="1">
      <c r="A327" s="64" t="s">
        <v>339</v>
      </c>
      <c r="B327" s="65" t="str">
        <f>VLOOKUP(A327,'CENTRO DE COSTOS'!A:D,4,FALSE)</f>
        <v>JOSE MAURICIO HERNANDEZ ROJAS</v>
      </c>
      <c r="C327" s="65" t="str">
        <f>VLOOKUP(A327,'CENTRO DE COSTOS'!A:D,2,FALSE)</f>
        <v>0004-0001</v>
      </c>
      <c r="D327" s="64">
        <v>5250</v>
      </c>
      <c r="E327" s="66" t="s">
        <v>1927</v>
      </c>
      <c r="F327" s="67">
        <v>81072</v>
      </c>
      <c r="G327" s="68" t="s">
        <v>90</v>
      </c>
      <c r="H327" s="69" t="s">
        <v>91</v>
      </c>
      <c r="I327" s="67" t="s">
        <v>138</v>
      </c>
      <c r="J327" s="70" t="s">
        <v>1928</v>
      </c>
      <c r="K327" s="67" t="s">
        <v>1929</v>
      </c>
      <c r="L327" s="71" t="s">
        <v>95</v>
      </c>
      <c r="M327" s="72" t="s">
        <v>1930</v>
      </c>
      <c r="N327" s="73">
        <v>45888</v>
      </c>
      <c r="O327" s="74">
        <v>45890</v>
      </c>
      <c r="P327" s="75" t="s">
        <v>97</v>
      </c>
      <c r="Q327" s="76" t="s">
        <v>97</v>
      </c>
      <c r="R327" s="64" t="s">
        <v>98</v>
      </c>
      <c r="S327" s="77" t="s">
        <v>1931</v>
      </c>
      <c r="T327" s="74" t="s">
        <v>100</v>
      </c>
      <c r="U327" s="64" t="s">
        <v>1932</v>
      </c>
      <c r="V327" s="70" t="s">
        <v>102</v>
      </c>
      <c r="W327" s="74" t="s">
        <v>103</v>
      </c>
      <c r="X327" s="68" t="s">
        <v>1115</v>
      </c>
      <c r="Y327" s="64">
        <v>1</v>
      </c>
      <c r="Z327" s="78">
        <v>0</v>
      </c>
      <c r="AA327" s="79">
        <f>'BASE FACTURACION 2025'!$C$3</f>
        <v>122645.45276000001</v>
      </c>
      <c r="AB327" s="79">
        <f>'BASE FACTURACION 2025'!$F$3</f>
        <v>65164.677720000007</v>
      </c>
      <c r="AC327" s="79">
        <f t="shared" si="5"/>
        <v>122645.45276000001</v>
      </c>
    </row>
    <row r="328" spans="1:29" s="80" customFormat="1" ht="15" customHeight="1">
      <c r="A328" s="64" t="s">
        <v>220</v>
      </c>
      <c r="B328" s="65" t="str">
        <f>VLOOKUP(A328,'CENTRO DE COSTOS'!A:D,4,FALSE)</f>
        <v>KEVIN ALEXIS CORZO BUSTOS</v>
      </c>
      <c r="C328" s="65" t="str">
        <f>VLOOKUP(A328,'CENTRO DE COSTOS'!A:D,2,FALSE)</f>
        <v>0004-0007</v>
      </c>
      <c r="D328" s="64">
        <v>50006</v>
      </c>
      <c r="E328" s="66" t="s">
        <v>1933</v>
      </c>
      <c r="F328" s="67">
        <v>81049</v>
      </c>
      <c r="G328" s="68" t="s">
        <v>90</v>
      </c>
      <c r="H328" s="69" t="s">
        <v>91</v>
      </c>
      <c r="I328" s="67" t="s">
        <v>222</v>
      </c>
      <c r="J328" s="70" t="s">
        <v>826</v>
      </c>
      <c r="K328" s="67" t="s">
        <v>1934</v>
      </c>
      <c r="L328" s="71" t="s">
        <v>95</v>
      </c>
      <c r="M328" s="72" t="s">
        <v>1935</v>
      </c>
      <c r="N328" s="73">
        <v>45888</v>
      </c>
      <c r="O328" s="74">
        <v>45890</v>
      </c>
      <c r="P328" s="75" t="s">
        <v>97</v>
      </c>
      <c r="Q328" s="76" t="s">
        <v>97</v>
      </c>
      <c r="R328" s="64" t="s">
        <v>98</v>
      </c>
      <c r="S328" s="77" t="s">
        <v>1936</v>
      </c>
      <c r="T328" s="74" t="s">
        <v>100</v>
      </c>
      <c r="U328" s="64" t="s">
        <v>1937</v>
      </c>
      <c r="V328" s="70" t="s">
        <v>162</v>
      </c>
      <c r="W328" s="74" t="s">
        <v>103</v>
      </c>
      <c r="X328" s="68" t="s">
        <v>293</v>
      </c>
      <c r="Y328" s="64">
        <v>1</v>
      </c>
      <c r="Z328" s="78">
        <v>0</v>
      </c>
      <c r="AA328" s="79">
        <f>'BASE FACTURACION 2025'!$C$3</f>
        <v>122645.45276000001</v>
      </c>
      <c r="AB328" s="79">
        <f>'BASE FACTURACION 2025'!$F$3</f>
        <v>65164.677720000007</v>
      </c>
      <c r="AC328" s="79">
        <f t="shared" si="5"/>
        <v>122645.45276000001</v>
      </c>
    </row>
    <row r="329" spans="1:29" s="80" customFormat="1" ht="15" customHeight="1">
      <c r="A329" s="64" t="s">
        <v>245</v>
      </c>
      <c r="B329" s="65" t="str">
        <f>VLOOKUP(A329,'CENTRO DE COSTOS'!A:D,4,FALSE)</f>
        <v>MIGUEL JULIÁN HERNÁNDEZ GUARÍN</v>
      </c>
      <c r="C329" s="65" t="str">
        <f>VLOOKUP(A329,'CENTRO DE COSTOS'!A:D,2,FALSE)</f>
        <v>0004-0008</v>
      </c>
      <c r="D329" s="64">
        <v>54001</v>
      </c>
      <c r="E329" s="66" t="s">
        <v>1938</v>
      </c>
      <c r="F329" s="67">
        <v>81069</v>
      </c>
      <c r="G329" s="68" t="s">
        <v>90</v>
      </c>
      <c r="H329" s="69" t="s">
        <v>91</v>
      </c>
      <c r="I329" s="67" t="s">
        <v>247</v>
      </c>
      <c r="J329" s="70" t="s">
        <v>245</v>
      </c>
      <c r="K329" s="67" t="s">
        <v>1939</v>
      </c>
      <c r="L329" s="71" t="s">
        <v>95</v>
      </c>
      <c r="M329" s="72" t="s">
        <v>1940</v>
      </c>
      <c r="N329" s="73">
        <v>45888</v>
      </c>
      <c r="O329" s="74">
        <v>45889</v>
      </c>
      <c r="P329" s="75" t="s">
        <v>97</v>
      </c>
      <c r="Q329" s="76" t="s">
        <v>97</v>
      </c>
      <c r="R329" s="64" t="s">
        <v>98</v>
      </c>
      <c r="S329" s="77" t="s">
        <v>1941</v>
      </c>
      <c r="T329" s="74" t="s">
        <v>100</v>
      </c>
      <c r="U329" s="64" t="s">
        <v>1942</v>
      </c>
      <c r="V329" s="70" t="s">
        <v>133</v>
      </c>
      <c r="W329" s="74" t="s">
        <v>103</v>
      </c>
      <c r="X329" s="68" t="s">
        <v>1376</v>
      </c>
      <c r="Y329" s="64">
        <v>1</v>
      </c>
      <c r="Z329" s="78">
        <v>0</v>
      </c>
      <c r="AA329" s="79">
        <f>'BASE FACTURACION 2025'!$C$3</f>
        <v>122645.45276000001</v>
      </c>
      <c r="AB329" s="79">
        <f>'BASE FACTURACION 2025'!$F$3</f>
        <v>65164.677720000007</v>
      </c>
      <c r="AC329" s="79">
        <f t="shared" si="5"/>
        <v>122645.45276000001</v>
      </c>
    </row>
    <row r="330" spans="1:29" s="80" customFormat="1" ht="15" customHeight="1">
      <c r="A330" s="64" t="s">
        <v>339</v>
      </c>
      <c r="B330" s="65" t="str">
        <f>VLOOKUP(A330,'CENTRO DE COSTOS'!A:D,4,FALSE)</f>
        <v>JOSE MAURICIO HERNANDEZ ROJAS</v>
      </c>
      <c r="C330" s="65" t="str">
        <f>VLOOKUP(A330,'CENTRO DE COSTOS'!A:D,2,FALSE)</f>
        <v>0004-0001</v>
      </c>
      <c r="D330" s="64">
        <v>5154</v>
      </c>
      <c r="E330" s="66" t="s">
        <v>1943</v>
      </c>
      <c r="F330" s="67">
        <v>81065</v>
      </c>
      <c r="G330" s="68" t="s">
        <v>90</v>
      </c>
      <c r="H330" s="69" t="s">
        <v>91</v>
      </c>
      <c r="I330" s="67" t="s">
        <v>138</v>
      </c>
      <c r="J330" s="70" t="s">
        <v>669</v>
      </c>
      <c r="K330" s="67" t="s">
        <v>1944</v>
      </c>
      <c r="L330" s="71" t="s">
        <v>95</v>
      </c>
      <c r="M330" s="72" t="s">
        <v>1945</v>
      </c>
      <c r="N330" s="73">
        <v>45888</v>
      </c>
      <c r="O330" s="74">
        <v>45889</v>
      </c>
      <c r="P330" s="75" t="s">
        <v>97</v>
      </c>
      <c r="Q330" s="76" t="s">
        <v>97</v>
      </c>
      <c r="R330" s="64" t="s">
        <v>98</v>
      </c>
      <c r="S330" s="77" t="s">
        <v>1946</v>
      </c>
      <c r="T330" s="74" t="s">
        <v>100</v>
      </c>
      <c r="U330" s="64" t="s">
        <v>1947</v>
      </c>
      <c r="V330" s="70" t="s">
        <v>162</v>
      </c>
      <c r="W330" s="74" t="s">
        <v>103</v>
      </c>
      <c r="X330" s="68" t="s">
        <v>1821</v>
      </c>
      <c r="Y330" s="64">
        <v>1</v>
      </c>
      <c r="Z330" s="78">
        <v>0</v>
      </c>
      <c r="AA330" s="79">
        <f>'BASE FACTURACION 2025'!$C$3</f>
        <v>122645.45276000001</v>
      </c>
      <c r="AB330" s="79">
        <f>'BASE FACTURACION 2025'!$F$3</f>
        <v>65164.677720000007</v>
      </c>
      <c r="AC330" s="79">
        <f t="shared" si="5"/>
        <v>122645.45276000001</v>
      </c>
    </row>
    <row r="331" spans="1:29" s="80" customFormat="1" ht="15" customHeight="1">
      <c r="A331" s="64" t="s">
        <v>163</v>
      </c>
      <c r="B331" s="65" t="str">
        <f>VLOOKUP(A331,'CENTRO DE COSTOS'!A:D,4,FALSE)</f>
        <v>MIGUEL JULIÁN HERNÁNDEZ GUARÍN</v>
      </c>
      <c r="C331" s="65" t="str">
        <f>VLOOKUP(A331,'CENTRO DE COSTOS'!A:D,2,FALSE)</f>
        <v>0004-0008</v>
      </c>
      <c r="D331" s="64">
        <v>15759</v>
      </c>
      <c r="E331" s="66" t="s">
        <v>1948</v>
      </c>
      <c r="F331" s="67">
        <v>81102</v>
      </c>
      <c r="G331" s="68" t="s">
        <v>90</v>
      </c>
      <c r="H331" s="69" t="s">
        <v>91</v>
      </c>
      <c r="I331" s="67" t="s">
        <v>165</v>
      </c>
      <c r="J331" s="70" t="s">
        <v>282</v>
      </c>
      <c r="K331" s="67" t="s">
        <v>1949</v>
      </c>
      <c r="L331" s="71" t="s">
        <v>95</v>
      </c>
      <c r="M331" s="72" t="s">
        <v>1950</v>
      </c>
      <c r="N331" s="73">
        <v>45888</v>
      </c>
      <c r="O331" s="74">
        <v>45889</v>
      </c>
      <c r="P331" s="75" t="s">
        <v>97</v>
      </c>
      <c r="Q331" s="76" t="s">
        <v>97</v>
      </c>
      <c r="R331" s="64" t="s">
        <v>98</v>
      </c>
      <c r="S331" s="77" t="s">
        <v>1951</v>
      </c>
      <c r="T331" s="74" t="s">
        <v>100</v>
      </c>
      <c r="U331" s="64" t="s">
        <v>1952</v>
      </c>
      <c r="V331" s="70" t="s">
        <v>162</v>
      </c>
      <c r="W331" s="74" t="s">
        <v>103</v>
      </c>
      <c r="X331" s="68" t="s">
        <v>548</v>
      </c>
      <c r="Y331" s="64">
        <v>1</v>
      </c>
      <c r="Z331" s="78">
        <v>0</v>
      </c>
      <c r="AA331" s="79">
        <f>'BASE FACTURACION 2025'!$C$3</f>
        <v>122645.45276000001</v>
      </c>
      <c r="AB331" s="79">
        <f>'BASE FACTURACION 2025'!$F$3</f>
        <v>65164.677720000007</v>
      </c>
      <c r="AC331" s="79">
        <f t="shared" si="5"/>
        <v>122645.45276000001</v>
      </c>
    </row>
    <row r="332" spans="1:29" s="80" customFormat="1" ht="15" customHeight="1">
      <c r="A332" s="64" t="s">
        <v>413</v>
      </c>
      <c r="B332" s="65" t="str">
        <f>VLOOKUP(A332,'CENTRO DE COSTOS'!A:D,4,FALSE)</f>
        <v>DIEGO FERNANDO HENAO CARDONA</v>
      </c>
      <c r="C332" s="65" t="str">
        <f>VLOOKUP(A332,'CENTRO DE COSTOS'!A:D,2,FALSE)</f>
        <v>0004-0002</v>
      </c>
      <c r="D332" s="64">
        <v>63001</v>
      </c>
      <c r="E332" s="66" t="s">
        <v>1953</v>
      </c>
      <c r="F332" s="67">
        <v>81052</v>
      </c>
      <c r="G332" s="68" t="s">
        <v>90</v>
      </c>
      <c r="H332" s="69" t="s">
        <v>91</v>
      </c>
      <c r="I332" s="67" t="s">
        <v>506</v>
      </c>
      <c r="J332" s="70" t="s">
        <v>507</v>
      </c>
      <c r="K332" s="67" t="s">
        <v>1954</v>
      </c>
      <c r="L332" s="71" t="s">
        <v>95</v>
      </c>
      <c r="M332" s="72" t="s">
        <v>1955</v>
      </c>
      <c r="N332" s="73">
        <v>45888</v>
      </c>
      <c r="O332" s="74">
        <v>45889</v>
      </c>
      <c r="P332" s="75" t="s">
        <v>97</v>
      </c>
      <c r="Q332" s="76" t="s">
        <v>97</v>
      </c>
      <c r="R332" s="64" t="s">
        <v>98</v>
      </c>
      <c r="S332" s="77" t="s">
        <v>1956</v>
      </c>
      <c r="T332" s="74" t="s">
        <v>100</v>
      </c>
      <c r="U332" s="64" t="s">
        <v>1957</v>
      </c>
      <c r="V332" s="70" t="s">
        <v>162</v>
      </c>
      <c r="W332" s="74" t="s">
        <v>103</v>
      </c>
      <c r="X332" s="68" t="s">
        <v>512</v>
      </c>
      <c r="Y332" s="64">
        <v>1</v>
      </c>
      <c r="Z332" s="78">
        <v>0</v>
      </c>
      <c r="AA332" s="79">
        <f>'BASE FACTURACION 2025'!$C$3</f>
        <v>122645.45276000001</v>
      </c>
      <c r="AB332" s="79">
        <f>'BASE FACTURACION 2025'!$F$3</f>
        <v>65164.677720000007</v>
      </c>
      <c r="AC332" s="79">
        <f t="shared" si="5"/>
        <v>122645.45276000001</v>
      </c>
    </row>
    <row r="333" spans="1:29" s="80" customFormat="1" ht="15" customHeight="1">
      <c r="A333" s="64" t="s">
        <v>399</v>
      </c>
      <c r="B333" s="65" t="str">
        <f>VLOOKUP(A333,'CENTRO DE COSTOS'!A:D,4,FALSE)</f>
        <v>DIEGO FERNANDO HENAO CARDONA</v>
      </c>
      <c r="C333" s="65" t="str">
        <f>VLOOKUP(A333,'CENTRO DE COSTOS'!A:D,2,FALSE)</f>
        <v>0004-0002</v>
      </c>
      <c r="D333" s="64">
        <v>17001</v>
      </c>
      <c r="E333" s="66" t="s">
        <v>1958</v>
      </c>
      <c r="F333" s="67">
        <v>81082</v>
      </c>
      <c r="G333" s="68" t="s">
        <v>90</v>
      </c>
      <c r="H333" s="69" t="s">
        <v>91</v>
      </c>
      <c r="I333" s="67" t="s">
        <v>401</v>
      </c>
      <c r="J333" s="70" t="s">
        <v>399</v>
      </c>
      <c r="K333" s="67" t="s">
        <v>1959</v>
      </c>
      <c r="L333" s="71" t="s">
        <v>95</v>
      </c>
      <c r="M333" s="72" t="s">
        <v>1960</v>
      </c>
      <c r="N333" s="73">
        <v>45888</v>
      </c>
      <c r="O333" s="74">
        <v>45889</v>
      </c>
      <c r="P333" s="75" t="s">
        <v>97</v>
      </c>
      <c r="Q333" s="76" t="s">
        <v>97</v>
      </c>
      <c r="R333" s="64" t="s">
        <v>98</v>
      </c>
      <c r="S333" s="77" t="s">
        <v>1961</v>
      </c>
      <c r="T333" s="74" t="s">
        <v>100</v>
      </c>
      <c r="U333" s="64" t="s">
        <v>1962</v>
      </c>
      <c r="V333" s="70" t="s">
        <v>133</v>
      </c>
      <c r="W333" s="74" t="s">
        <v>103</v>
      </c>
      <c r="X333" s="68" t="s">
        <v>406</v>
      </c>
      <c r="Y333" s="64">
        <v>1</v>
      </c>
      <c r="Z333" s="78">
        <v>0</v>
      </c>
      <c r="AA333" s="79">
        <f>'BASE FACTURACION 2025'!$C$3</f>
        <v>122645.45276000001</v>
      </c>
      <c r="AB333" s="79">
        <f>'BASE FACTURACION 2025'!$F$3</f>
        <v>65164.677720000007</v>
      </c>
      <c r="AC333" s="79">
        <f t="shared" si="5"/>
        <v>122645.45276000001</v>
      </c>
    </row>
    <row r="334" spans="1:29" s="80" customFormat="1" ht="15" customHeight="1">
      <c r="A334" s="64" t="s">
        <v>339</v>
      </c>
      <c r="B334" s="65" t="str">
        <f>VLOOKUP(A334,'CENTRO DE COSTOS'!A:D,4,FALSE)</f>
        <v>JOSE MAURICIO HERNANDEZ ROJAS</v>
      </c>
      <c r="C334" s="65" t="str">
        <f>VLOOKUP(A334,'CENTRO DE COSTOS'!A:D,2,FALSE)</f>
        <v>0004-0001</v>
      </c>
      <c r="D334" s="64">
        <v>23001</v>
      </c>
      <c r="E334" s="66" t="s">
        <v>1963</v>
      </c>
      <c r="F334" s="67">
        <v>81085</v>
      </c>
      <c r="G334" s="68" t="s">
        <v>90</v>
      </c>
      <c r="H334" s="69" t="s">
        <v>91</v>
      </c>
      <c r="I334" s="67" t="s">
        <v>341</v>
      </c>
      <c r="J334" s="70" t="s">
        <v>339</v>
      </c>
      <c r="K334" s="67" t="s">
        <v>1964</v>
      </c>
      <c r="L334" s="71" t="s">
        <v>95</v>
      </c>
      <c r="M334" s="72" t="s">
        <v>1965</v>
      </c>
      <c r="N334" s="73">
        <v>45888</v>
      </c>
      <c r="O334" s="74">
        <v>45890</v>
      </c>
      <c r="P334" s="75" t="s">
        <v>97</v>
      </c>
      <c r="Q334" s="76" t="s">
        <v>97</v>
      </c>
      <c r="R334" s="64" t="s">
        <v>98</v>
      </c>
      <c r="S334" s="77" t="s">
        <v>1966</v>
      </c>
      <c r="T334" s="74" t="s">
        <v>100</v>
      </c>
      <c r="U334" s="64" t="s">
        <v>1967</v>
      </c>
      <c r="V334" s="70" t="s">
        <v>133</v>
      </c>
      <c r="W334" s="74" t="s">
        <v>103</v>
      </c>
      <c r="X334" s="68" t="s">
        <v>616</v>
      </c>
      <c r="Y334" s="64">
        <v>1</v>
      </c>
      <c r="Z334" s="78">
        <v>0</v>
      </c>
      <c r="AA334" s="79">
        <f>'BASE FACTURACION 2025'!$C$3</f>
        <v>122645.45276000001</v>
      </c>
      <c r="AB334" s="79">
        <f>'BASE FACTURACION 2025'!$F$3</f>
        <v>65164.677720000007</v>
      </c>
      <c r="AC334" s="79">
        <f t="shared" si="5"/>
        <v>122645.45276000001</v>
      </c>
    </row>
    <row r="335" spans="1:29" s="80" customFormat="1" ht="15" customHeight="1">
      <c r="A335" s="64" t="s">
        <v>391</v>
      </c>
      <c r="B335" s="65" t="str">
        <f>VLOOKUP(A335,'CENTRO DE COSTOS'!A:D,4,FALSE)</f>
        <v>WILLIAM ASDRUBAL ROZO ROZO</v>
      </c>
      <c r="C335" s="65" t="str">
        <f>VLOOKUP(A335,'CENTRO DE COSTOS'!A:D,2,FALSE)</f>
        <v>0004-0004</v>
      </c>
      <c r="D335" s="64">
        <v>25126</v>
      </c>
      <c r="E335" s="66" t="s">
        <v>1968</v>
      </c>
      <c r="F335" s="67">
        <v>81058</v>
      </c>
      <c r="G335" s="68" t="s">
        <v>90</v>
      </c>
      <c r="H335" s="69" t="s">
        <v>91</v>
      </c>
      <c r="I335" s="67" t="s">
        <v>393</v>
      </c>
      <c r="J335" s="70" t="s">
        <v>1969</v>
      </c>
      <c r="K335" s="67" t="s">
        <v>1970</v>
      </c>
      <c r="L335" s="71" t="s">
        <v>95</v>
      </c>
      <c r="M335" s="72" t="s">
        <v>1971</v>
      </c>
      <c r="N335" s="73">
        <v>45888</v>
      </c>
      <c r="O335" s="74">
        <v>45890</v>
      </c>
      <c r="P335" s="75" t="s">
        <v>97</v>
      </c>
      <c r="Q335" s="76" t="s">
        <v>97</v>
      </c>
      <c r="R335" s="64" t="s">
        <v>98</v>
      </c>
      <c r="S335" s="77" t="s">
        <v>1972</v>
      </c>
      <c r="T335" s="74" t="s">
        <v>100</v>
      </c>
      <c r="U335" s="64" t="s">
        <v>1973</v>
      </c>
      <c r="V335" s="70" t="s">
        <v>162</v>
      </c>
      <c r="W335" s="74" t="s">
        <v>103</v>
      </c>
      <c r="X335" s="68" t="s">
        <v>1974</v>
      </c>
      <c r="Y335" s="64">
        <v>1</v>
      </c>
      <c r="Z335" s="78">
        <v>0</v>
      </c>
      <c r="AA335" s="79">
        <f>'BASE FACTURACION 2025'!$C$3</f>
        <v>122645.45276000001</v>
      </c>
      <c r="AB335" s="79">
        <f>'BASE FACTURACION 2025'!$F$3</f>
        <v>65164.677720000007</v>
      </c>
      <c r="AC335" s="79">
        <f t="shared" si="5"/>
        <v>122645.45276000001</v>
      </c>
    </row>
    <row r="336" spans="1:29" s="80" customFormat="1" ht="15" customHeight="1">
      <c r="A336" s="64" t="s">
        <v>391</v>
      </c>
      <c r="B336" s="65" t="str">
        <f>VLOOKUP(A336,'CENTRO DE COSTOS'!A:D,4,FALSE)</f>
        <v>WILLIAM ASDRUBAL ROZO ROZO</v>
      </c>
      <c r="C336" s="65" t="str">
        <f>VLOOKUP(A336,'CENTRO DE COSTOS'!A:D,2,FALSE)</f>
        <v>0004-0004</v>
      </c>
      <c r="D336" s="64">
        <v>25754</v>
      </c>
      <c r="E336" s="66" t="s">
        <v>1975</v>
      </c>
      <c r="F336" s="67">
        <v>81101</v>
      </c>
      <c r="G336" s="68" t="s">
        <v>90</v>
      </c>
      <c r="H336" s="69" t="s">
        <v>91</v>
      </c>
      <c r="I336" s="67" t="s">
        <v>393</v>
      </c>
      <c r="J336" s="70" t="s">
        <v>1026</v>
      </c>
      <c r="K336" s="67" t="s">
        <v>1976</v>
      </c>
      <c r="L336" s="71" t="s">
        <v>95</v>
      </c>
      <c r="M336" s="72" t="s">
        <v>1977</v>
      </c>
      <c r="N336" s="73">
        <v>45888</v>
      </c>
      <c r="O336" s="74">
        <v>45889</v>
      </c>
      <c r="P336" s="75" t="s">
        <v>97</v>
      </c>
      <c r="Q336" s="76" t="s">
        <v>97</v>
      </c>
      <c r="R336" s="64" t="s">
        <v>98</v>
      </c>
      <c r="S336" s="77" t="s">
        <v>1978</v>
      </c>
      <c r="T336" s="74" t="s">
        <v>100</v>
      </c>
      <c r="U336" s="64" t="s">
        <v>1979</v>
      </c>
      <c r="V336" s="70" t="s">
        <v>133</v>
      </c>
      <c r="W336" s="74" t="s">
        <v>103</v>
      </c>
      <c r="X336" s="68" t="s">
        <v>771</v>
      </c>
      <c r="Y336" s="64">
        <v>1</v>
      </c>
      <c r="Z336" s="78">
        <v>0</v>
      </c>
      <c r="AA336" s="79">
        <f>'BASE FACTURACION 2025'!$C$3</f>
        <v>122645.45276000001</v>
      </c>
      <c r="AB336" s="79">
        <f>'BASE FACTURACION 2025'!$F$3</f>
        <v>65164.677720000007</v>
      </c>
      <c r="AC336" s="79">
        <f t="shared" si="5"/>
        <v>122645.45276000001</v>
      </c>
    </row>
    <row r="337" spans="1:29" s="80" customFormat="1" ht="15" customHeight="1">
      <c r="A337" s="64" t="s">
        <v>135</v>
      </c>
      <c r="B337" s="65" t="str">
        <f>VLOOKUP(A337,'CENTRO DE COSTOS'!A:D,4,FALSE)</f>
        <v>JUAN SEBASTIÁN RÍOS CASTRILLÓN</v>
      </c>
      <c r="C337" s="65" t="str">
        <f>VLOOKUP(A337,'CENTRO DE COSTOS'!A:D,2,FALSE)</f>
        <v>0004-0005</v>
      </c>
      <c r="D337" s="64">
        <v>5001</v>
      </c>
      <c r="E337" s="66" t="s">
        <v>1980</v>
      </c>
      <c r="F337" s="67">
        <v>81109</v>
      </c>
      <c r="G337" s="68" t="s">
        <v>90</v>
      </c>
      <c r="H337" s="69" t="s">
        <v>91</v>
      </c>
      <c r="I337" s="67" t="s">
        <v>138</v>
      </c>
      <c r="J337" s="70" t="s">
        <v>135</v>
      </c>
      <c r="K337" s="67" t="s">
        <v>1981</v>
      </c>
      <c r="L337" s="71" t="s">
        <v>95</v>
      </c>
      <c r="M337" s="72" t="s">
        <v>1982</v>
      </c>
      <c r="N337" s="73">
        <v>45888</v>
      </c>
      <c r="O337" s="74">
        <v>45889</v>
      </c>
      <c r="P337" s="75" t="s">
        <v>97</v>
      </c>
      <c r="Q337" s="76" t="s">
        <v>97</v>
      </c>
      <c r="R337" s="64" t="s">
        <v>98</v>
      </c>
      <c r="S337" s="77" t="s">
        <v>1983</v>
      </c>
      <c r="T337" s="74" t="s">
        <v>100</v>
      </c>
      <c r="U337" s="64" t="s">
        <v>1984</v>
      </c>
      <c r="V337" s="70" t="s">
        <v>133</v>
      </c>
      <c r="W337" s="74" t="s">
        <v>103</v>
      </c>
      <c r="X337" s="68" t="s">
        <v>1208</v>
      </c>
      <c r="Y337" s="64">
        <v>1</v>
      </c>
      <c r="Z337" s="78">
        <v>0</v>
      </c>
      <c r="AA337" s="79">
        <f>'BASE FACTURACION 2025'!$C$3</f>
        <v>122645.45276000001</v>
      </c>
      <c r="AB337" s="79">
        <f>'BASE FACTURACION 2025'!$F$3</f>
        <v>65164.677720000007</v>
      </c>
      <c r="AC337" s="79">
        <f t="shared" si="5"/>
        <v>122645.45276000001</v>
      </c>
    </row>
    <row r="338" spans="1:29" s="80" customFormat="1" ht="15" customHeight="1">
      <c r="A338" s="64" t="s">
        <v>339</v>
      </c>
      <c r="B338" s="65" t="str">
        <f>VLOOKUP(A338,'CENTRO DE COSTOS'!A:D,4,FALSE)</f>
        <v>JOSE MAURICIO HERNANDEZ ROJAS</v>
      </c>
      <c r="C338" s="65" t="str">
        <f>VLOOKUP(A338,'CENTRO DE COSTOS'!A:D,2,FALSE)</f>
        <v>0004-0001</v>
      </c>
      <c r="D338" s="64">
        <v>5495</v>
      </c>
      <c r="E338" s="66" t="s">
        <v>1985</v>
      </c>
      <c r="F338" s="67">
        <v>81088</v>
      </c>
      <c r="G338" s="68" t="s">
        <v>90</v>
      </c>
      <c r="H338" s="69" t="s">
        <v>91</v>
      </c>
      <c r="I338" s="67" t="s">
        <v>138</v>
      </c>
      <c r="J338" s="70" t="s">
        <v>1816</v>
      </c>
      <c r="K338" s="67" t="s">
        <v>1986</v>
      </c>
      <c r="L338" s="71" t="s">
        <v>95</v>
      </c>
      <c r="M338" s="72" t="s">
        <v>1987</v>
      </c>
      <c r="N338" s="73">
        <v>45888</v>
      </c>
      <c r="O338" s="74">
        <v>45890</v>
      </c>
      <c r="P338" s="75" t="s">
        <v>97</v>
      </c>
      <c r="Q338" s="76" t="s">
        <v>97</v>
      </c>
      <c r="R338" s="64" t="s">
        <v>98</v>
      </c>
      <c r="S338" s="77" t="s">
        <v>1988</v>
      </c>
      <c r="T338" s="74" t="s">
        <v>100</v>
      </c>
      <c r="U338" s="64" t="s">
        <v>1989</v>
      </c>
      <c r="V338" s="70" t="s">
        <v>189</v>
      </c>
      <c r="W338" s="74" t="s">
        <v>103</v>
      </c>
      <c r="X338" s="68" t="s">
        <v>1821</v>
      </c>
      <c r="Y338" s="64">
        <v>1</v>
      </c>
      <c r="Z338" s="78">
        <v>0</v>
      </c>
      <c r="AA338" s="79">
        <f>'BASE FACTURACION 2025'!$C$3</f>
        <v>122645.45276000001</v>
      </c>
      <c r="AB338" s="79">
        <f>'BASE FACTURACION 2025'!$F$3</f>
        <v>65164.677720000007</v>
      </c>
      <c r="AC338" s="79">
        <f t="shared" si="5"/>
        <v>122645.45276000001</v>
      </c>
    </row>
    <row r="339" spans="1:29" s="80" customFormat="1" ht="15" customHeight="1">
      <c r="A339" s="64" t="s">
        <v>229</v>
      </c>
      <c r="B339" s="65" t="str">
        <f>VLOOKUP(A339,'CENTRO DE COSTOS'!A:D,4,FALSE)</f>
        <v>MIGUEL JULIÁN HERNÁNDEZ GUARÍN</v>
      </c>
      <c r="C339" s="65" t="str">
        <f>VLOOKUP(A339,'CENTRO DE COSTOS'!A:D,2,FALSE)</f>
        <v>0004-0008</v>
      </c>
      <c r="D339" s="64">
        <v>68001</v>
      </c>
      <c r="E339" s="66" t="s">
        <v>1990</v>
      </c>
      <c r="F339" s="67">
        <v>81056</v>
      </c>
      <c r="G339" s="68" t="s">
        <v>90</v>
      </c>
      <c r="H339" s="69" t="s">
        <v>91</v>
      </c>
      <c r="I339" s="67" t="s">
        <v>714</v>
      </c>
      <c r="J339" s="70" t="s">
        <v>229</v>
      </c>
      <c r="K339" s="67" t="s">
        <v>1991</v>
      </c>
      <c r="L339" s="71" t="s">
        <v>95</v>
      </c>
      <c r="M339" s="72" t="s">
        <v>1992</v>
      </c>
      <c r="N339" s="73">
        <v>45888</v>
      </c>
      <c r="O339" s="74">
        <v>45889</v>
      </c>
      <c r="P339" s="75" t="s">
        <v>97</v>
      </c>
      <c r="Q339" s="76" t="s">
        <v>97</v>
      </c>
      <c r="R339" s="64" t="s">
        <v>98</v>
      </c>
      <c r="S339" s="77" t="s">
        <v>1993</v>
      </c>
      <c r="T339" s="74" t="s">
        <v>100</v>
      </c>
      <c r="U339" s="64" t="s">
        <v>1994</v>
      </c>
      <c r="V339" s="70" t="s">
        <v>133</v>
      </c>
      <c r="W339" s="74" t="s">
        <v>103</v>
      </c>
      <c r="X339" s="68" t="s">
        <v>904</v>
      </c>
      <c r="Y339" s="64">
        <v>1</v>
      </c>
      <c r="Z339" s="78">
        <v>0</v>
      </c>
      <c r="AA339" s="79">
        <f>'BASE FACTURACION 2025'!$C$3</f>
        <v>122645.45276000001</v>
      </c>
      <c r="AB339" s="79">
        <f>'BASE FACTURACION 2025'!$F$3</f>
        <v>65164.677720000007</v>
      </c>
      <c r="AC339" s="79">
        <f t="shared" si="5"/>
        <v>122645.45276000001</v>
      </c>
    </row>
    <row r="340" spans="1:29" s="80" customFormat="1" ht="15" customHeight="1">
      <c r="A340" s="64" t="s">
        <v>229</v>
      </c>
      <c r="B340" s="65" t="str">
        <f>VLOOKUP(A340,'CENTRO DE COSTOS'!A:D,4,FALSE)</f>
        <v>MIGUEL JULIÁN HERNÁNDEZ GUARÍN</v>
      </c>
      <c r="C340" s="65" t="str">
        <f>VLOOKUP(A340,'CENTRO DE COSTOS'!A:D,2,FALSE)</f>
        <v>0004-0008</v>
      </c>
      <c r="D340" s="64">
        <v>68895</v>
      </c>
      <c r="E340" s="66" t="s">
        <v>1995</v>
      </c>
      <c r="F340" s="67">
        <v>81111</v>
      </c>
      <c r="G340" s="68" t="s">
        <v>90</v>
      </c>
      <c r="H340" s="69" t="s">
        <v>91</v>
      </c>
      <c r="I340" s="67" t="s">
        <v>714</v>
      </c>
      <c r="J340" s="70" t="s">
        <v>1123</v>
      </c>
      <c r="K340" s="67" t="s">
        <v>1996</v>
      </c>
      <c r="L340" s="71" t="s">
        <v>95</v>
      </c>
      <c r="M340" s="72" t="s">
        <v>1997</v>
      </c>
      <c r="N340" s="73">
        <v>45888</v>
      </c>
      <c r="O340" s="74">
        <v>45889</v>
      </c>
      <c r="P340" s="75" t="s">
        <v>97</v>
      </c>
      <c r="Q340" s="76" t="s">
        <v>97</v>
      </c>
      <c r="R340" s="64" t="s">
        <v>98</v>
      </c>
      <c r="S340" s="77" t="s">
        <v>1998</v>
      </c>
      <c r="T340" s="74" t="s">
        <v>100</v>
      </c>
      <c r="U340" s="64" t="s">
        <v>1999</v>
      </c>
      <c r="V340" s="70" t="s">
        <v>189</v>
      </c>
      <c r="W340" s="74" t="s">
        <v>103</v>
      </c>
      <c r="X340" s="68" t="s">
        <v>1128</v>
      </c>
      <c r="Y340" s="64">
        <v>1</v>
      </c>
      <c r="Z340" s="78">
        <v>0</v>
      </c>
      <c r="AA340" s="79">
        <f>'BASE FACTURACION 2025'!$C$3</f>
        <v>122645.45276000001</v>
      </c>
      <c r="AB340" s="79">
        <f>'BASE FACTURACION 2025'!$F$3</f>
        <v>65164.677720000007</v>
      </c>
      <c r="AC340" s="79">
        <f t="shared" si="5"/>
        <v>122645.45276000001</v>
      </c>
    </row>
    <row r="341" spans="1:29" s="80" customFormat="1" ht="15" customHeight="1">
      <c r="A341" s="64" t="s">
        <v>339</v>
      </c>
      <c r="B341" s="65" t="str">
        <f>VLOOKUP(A341,'CENTRO DE COSTOS'!A:D,4,FALSE)</f>
        <v>JOSE MAURICIO HERNANDEZ ROJAS</v>
      </c>
      <c r="C341" s="65" t="str">
        <f>VLOOKUP(A341,'CENTRO DE COSTOS'!A:D,2,FALSE)</f>
        <v>0004-0001</v>
      </c>
      <c r="D341" s="64">
        <v>23417</v>
      </c>
      <c r="E341" s="66" t="s">
        <v>2000</v>
      </c>
      <c r="F341" s="67">
        <v>81081</v>
      </c>
      <c r="G341" s="68" t="s">
        <v>90</v>
      </c>
      <c r="H341" s="69" t="s">
        <v>91</v>
      </c>
      <c r="I341" s="67" t="s">
        <v>341</v>
      </c>
      <c r="J341" s="70" t="s">
        <v>587</v>
      </c>
      <c r="K341" s="67" t="s">
        <v>2001</v>
      </c>
      <c r="L341" s="71" t="s">
        <v>95</v>
      </c>
      <c r="M341" s="72" t="s">
        <v>2002</v>
      </c>
      <c r="N341" s="73">
        <v>45888</v>
      </c>
      <c r="O341" s="74">
        <v>45889</v>
      </c>
      <c r="P341" s="75" t="s">
        <v>97</v>
      </c>
      <c r="Q341" s="76" t="s">
        <v>97</v>
      </c>
      <c r="R341" s="64" t="s">
        <v>98</v>
      </c>
      <c r="S341" s="77" t="s">
        <v>2003</v>
      </c>
      <c r="T341" s="74" t="s">
        <v>100</v>
      </c>
      <c r="U341" s="64" t="s">
        <v>2004</v>
      </c>
      <c r="V341" s="70" t="s">
        <v>162</v>
      </c>
      <c r="W341" s="74" t="s">
        <v>103</v>
      </c>
      <c r="X341" s="68" t="s">
        <v>346</v>
      </c>
      <c r="Y341" s="64">
        <v>1</v>
      </c>
      <c r="Z341" s="78">
        <v>0</v>
      </c>
      <c r="AA341" s="79">
        <f>'BASE FACTURACION 2025'!$C$3</f>
        <v>122645.45276000001</v>
      </c>
      <c r="AB341" s="79">
        <f>'BASE FACTURACION 2025'!$F$3</f>
        <v>65164.677720000007</v>
      </c>
      <c r="AC341" s="79">
        <f t="shared" si="5"/>
        <v>122645.45276000001</v>
      </c>
    </row>
    <row r="342" spans="1:29" s="80" customFormat="1" ht="15" customHeight="1">
      <c r="A342" s="64" t="s">
        <v>245</v>
      </c>
      <c r="B342" s="65" t="str">
        <f>VLOOKUP(A342,'CENTRO DE COSTOS'!A:D,4,FALSE)</f>
        <v>MIGUEL JULIÁN HERNÁNDEZ GUARÍN</v>
      </c>
      <c r="C342" s="65" t="str">
        <f>VLOOKUP(A342,'CENTRO DE COSTOS'!A:D,2,FALSE)</f>
        <v>0004-0008</v>
      </c>
      <c r="D342" s="64">
        <v>54001</v>
      </c>
      <c r="E342" s="66" t="s">
        <v>2005</v>
      </c>
      <c r="F342" s="67">
        <v>81071</v>
      </c>
      <c r="G342" s="68" t="s">
        <v>90</v>
      </c>
      <c r="H342" s="69" t="s">
        <v>91</v>
      </c>
      <c r="I342" s="67" t="s">
        <v>247</v>
      </c>
      <c r="J342" s="70" t="s">
        <v>245</v>
      </c>
      <c r="K342" s="67" t="s">
        <v>2006</v>
      </c>
      <c r="L342" s="71" t="s">
        <v>95</v>
      </c>
      <c r="M342" s="72" t="s">
        <v>2007</v>
      </c>
      <c r="N342" s="73">
        <v>45888</v>
      </c>
      <c r="O342" s="74">
        <v>45889</v>
      </c>
      <c r="P342" s="75" t="s">
        <v>97</v>
      </c>
      <c r="Q342" s="76" t="s">
        <v>97</v>
      </c>
      <c r="R342" s="64" t="s">
        <v>98</v>
      </c>
      <c r="S342" s="77" t="s">
        <v>2008</v>
      </c>
      <c r="T342" s="74" t="s">
        <v>100</v>
      </c>
      <c r="U342" s="64" t="s">
        <v>2009</v>
      </c>
      <c r="V342" s="70" t="s">
        <v>133</v>
      </c>
      <c r="W342" s="74" t="s">
        <v>103</v>
      </c>
      <c r="X342" s="68" t="s">
        <v>319</v>
      </c>
      <c r="Y342" s="64">
        <v>1</v>
      </c>
      <c r="Z342" s="78">
        <v>0</v>
      </c>
      <c r="AA342" s="79">
        <f>'BASE FACTURACION 2025'!$C$3</f>
        <v>122645.45276000001</v>
      </c>
      <c r="AB342" s="79">
        <f>'BASE FACTURACION 2025'!$F$3</f>
        <v>65164.677720000007</v>
      </c>
      <c r="AC342" s="79">
        <f t="shared" si="5"/>
        <v>122645.45276000001</v>
      </c>
    </row>
    <row r="343" spans="1:29" s="80" customFormat="1" ht="15" customHeight="1">
      <c r="A343" s="64" t="s">
        <v>180</v>
      </c>
      <c r="B343" s="65" t="str">
        <f>VLOOKUP(A343,'CENTRO DE COSTOS'!A:D,4,FALSE)</f>
        <v>DIEGO FERNANDO HENAO CARDONA</v>
      </c>
      <c r="C343" s="65" t="str">
        <f>VLOOKUP(A343,'CENTRO DE COSTOS'!A:D,2,FALSE)</f>
        <v>0004-0003</v>
      </c>
      <c r="D343" s="64">
        <v>76364</v>
      </c>
      <c r="E343" s="66" t="s">
        <v>2010</v>
      </c>
      <c r="F343" s="67">
        <v>81079</v>
      </c>
      <c r="G343" s="68" t="s">
        <v>90</v>
      </c>
      <c r="H343" s="69" t="s">
        <v>91</v>
      </c>
      <c r="I343" s="67" t="s">
        <v>380</v>
      </c>
      <c r="J343" s="70" t="s">
        <v>2011</v>
      </c>
      <c r="K343" s="67" t="s">
        <v>2012</v>
      </c>
      <c r="L343" s="71" t="s">
        <v>95</v>
      </c>
      <c r="M343" s="72" t="s">
        <v>2013</v>
      </c>
      <c r="N343" s="73">
        <v>45888</v>
      </c>
      <c r="O343" s="74">
        <v>45889</v>
      </c>
      <c r="P343" s="75" t="s">
        <v>97</v>
      </c>
      <c r="Q343" s="76" t="s">
        <v>97</v>
      </c>
      <c r="R343" s="64" t="s">
        <v>98</v>
      </c>
      <c r="S343" s="77" t="s">
        <v>2014</v>
      </c>
      <c r="T343" s="74" t="s">
        <v>100</v>
      </c>
      <c r="U343" s="64" t="s">
        <v>2015</v>
      </c>
      <c r="V343" s="70" t="s">
        <v>162</v>
      </c>
      <c r="W343" s="74" t="s">
        <v>103</v>
      </c>
      <c r="X343" s="68" t="s">
        <v>1221</v>
      </c>
      <c r="Y343" s="64">
        <v>1</v>
      </c>
      <c r="Z343" s="78">
        <v>0</v>
      </c>
      <c r="AA343" s="79">
        <f>'BASE FACTURACION 2025'!$C$3</f>
        <v>122645.45276000001</v>
      </c>
      <c r="AB343" s="79">
        <f>'BASE FACTURACION 2025'!$F$3</f>
        <v>65164.677720000007</v>
      </c>
      <c r="AC343" s="79">
        <f t="shared" si="5"/>
        <v>122645.45276000001</v>
      </c>
    </row>
    <row r="344" spans="1:29" s="80" customFormat="1" ht="15" customHeight="1">
      <c r="A344" s="64" t="s">
        <v>180</v>
      </c>
      <c r="B344" s="65" t="str">
        <f>VLOOKUP(A344,'CENTRO DE COSTOS'!A:D,4,FALSE)</f>
        <v>DIEGO FERNANDO HENAO CARDONA</v>
      </c>
      <c r="C344" s="65" t="str">
        <f>VLOOKUP(A344,'CENTRO DE COSTOS'!A:D,2,FALSE)</f>
        <v>0004-0003</v>
      </c>
      <c r="D344" s="64">
        <v>19001</v>
      </c>
      <c r="E344" s="66" t="s">
        <v>2016</v>
      </c>
      <c r="F344" s="67">
        <v>81093</v>
      </c>
      <c r="G344" s="68" t="s">
        <v>90</v>
      </c>
      <c r="H344" s="69" t="s">
        <v>91</v>
      </c>
      <c r="I344" s="67" t="s">
        <v>183</v>
      </c>
      <c r="J344" s="70" t="s">
        <v>1249</v>
      </c>
      <c r="K344" s="67" t="s">
        <v>2017</v>
      </c>
      <c r="L344" s="71" t="s">
        <v>95</v>
      </c>
      <c r="M344" s="72" t="s">
        <v>2018</v>
      </c>
      <c r="N344" s="73">
        <v>45888</v>
      </c>
      <c r="O344" s="74">
        <v>45889</v>
      </c>
      <c r="P344" s="75" t="s">
        <v>97</v>
      </c>
      <c r="Q344" s="76" t="s">
        <v>97</v>
      </c>
      <c r="R344" s="64" t="s">
        <v>98</v>
      </c>
      <c r="S344" s="77" t="s">
        <v>2019</v>
      </c>
      <c r="T344" s="74" t="s">
        <v>100</v>
      </c>
      <c r="U344" s="64" t="s">
        <v>2020</v>
      </c>
      <c r="V344" s="70" t="s">
        <v>189</v>
      </c>
      <c r="W344" s="74" t="s">
        <v>103</v>
      </c>
      <c r="X344" s="68" t="s">
        <v>260</v>
      </c>
      <c r="Y344" s="64">
        <v>1</v>
      </c>
      <c r="Z344" s="78">
        <v>0</v>
      </c>
      <c r="AA344" s="79">
        <f>'BASE FACTURACION 2025'!$C$3</f>
        <v>122645.45276000001</v>
      </c>
      <c r="AB344" s="79">
        <f>'BASE FACTURACION 2025'!$F$3</f>
        <v>65164.677720000007</v>
      </c>
      <c r="AC344" s="79">
        <f t="shared" si="5"/>
        <v>122645.45276000001</v>
      </c>
    </row>
    <row r="345" spans="1:29" s="80" customFormat="1" ht="15" customHeight="1">
      <c r="A345" s="64" t="s">
        <v>180</v>
      </c>
      <c r="B345" s="65" t="str">
        <f>VLOOKUP(A345,'CENTRO DE COSTOS'!A:D,4,FALSE)</f>
        <v>DIEGO FERNANDO HENAO CARDONA</v>
      </c>
      <c r="C345" s="65" t="str">
        <f>VLOOKUP(A345,'CENTRO DE COSTOS'!A:D,2,FALSE)</f>
        <v>0004-0003</v>
      </c>
      <c r="D345" s="64">
        <v>76001</v>
      </c>
      <c r="E345" s="66" t="s">
        <v>2021</v>
      </c>
      <c r="F345" s="67">
        <v>81062</v>
      </c>
      <c r="G345" s="68" t="s">
        <v>90</v>
      </c>
      <c r="H345" s="69" t="s">
        <v>91</v>
      </c>
      <c r="I345" s="67" t="s">
        <v>380</v>
      </c>
      <c r="J345" s="70" t="s">
        <v>180</v>
      </c>
      <c r="K345" s="67" t="s">
        <v>2022</v>
      </c>
      <c r="L345" s="71" t="s">
        <v>95</v>
      </c>
      <c r="M345" s="72" t="s">
        <v>2023</v>
      </c>
      <c r="N345" s="73">
        <v>45888</v>
      </c>
      <c r="O345" s="74">
        <v>45889</v>
      </c>
      <c r="P345" s="75" t="s">
        <v>97</v>
      </c>
      <c r="Q345" s="76" t="s">
        <v>97</v>
      </c>
      <c r="R345" s="64" t="s">
        <v>98</v>
      </c>
      <c r="S345" s="77" t="s">
        <v>2024</v>
      </c>
      <c r="T345" s="74" t="s">
        <v>100</v>
      </c>
      <c r="U345" s="64" t="s">
        <v>2025</v>
      </c>
      <c r="V345" s="70" t="s">
        <v>133</v>
      </c>
      <c r="W345" s="74" t="s">
        <v>103</v>
      </c>
      <c r="X345" s="68" t="s">
        <v>438</v>
      </c>
      <c r="Y345" s="64">
        <v>1</v>
      </c>
      <c r="Z345" s="78">
        <v>0</v>
      </c>
      <c r="AA345" s="79">
        <f>'BASE FACTURACION 2025'!$C$3</f>
        <v>122645.45276000001</v>
      </c>
      <c r="AB345" s="79">
        <f>'BASE FACTURACION 2025'!$F$3</f>
        <v>65164.677720000007</v>
      </c>
      <c r="AC345" s="79">
        <f t="shared" si="5"/>
        <v>122645.45276000001</v>
      </c>
    </row>
    <row r="346" spans="1:29" s="80" customFormat="1" ht="15" customHeight="1">
      <c r="A346" s="64" t="s">
        <v>413</v>
      </c>
      <c r="B346" s="65" t="str">
        <f>VLOOKUP(A346,'CENTRO DE COSTOS'!A:D,4,FALSE)</f>
        <v>DIEGO FERNANDO HENAO CARDONA</v>
      </c>
      <c r="C346" s="65" t="str">
        <f>VLOOKUP(A346,'CENTRO DE COSTOS'!A:D,2,FALSE)</f>
        <v>0004-0002</v>
      </c>
      <c r="D346" s="64">
        <v>63130</v>
      </c>
      <c r="E346" s="66" t="s">
        <v>2026</v>
      </c>
      <c r="F346" s="67">
        <v>81059</v>
      </c>
      <c r="G346" s="68" t="s">
        <v>90</v>
      </c>
      <c r="H346" s="69" t="s">
        <v>91</v>
      </c>
      <c r="I346" s="67" t="s">
        <v>506</v>
      </c>
      <c r="J346" s="70" t="s">
        <v>2027</v>
      </c>
      <c r="K346" s="67" t="s">
        <v>2028</v>
      </c>
      <c r="L346" s="71" t="s">
        <v>95</v>
      </c>
      <c r="M346" s="72" t="s">
        <v>2029</v>
      </c>
      <c r="N346" s="73">
        <v>45888</v>
      </c>
      <c r="O346" s="74">
        <v>45890</v>
      </c>
      <c r="P346" s="75" t="s">
        <v>97</v>
      </c>
      <c r="Q346" s="76" t="s">
        <v>97</v>
      </c>
      <c r="R346" s="64" t="s">
        <v>98</v>
      </c>
      <c r="S346" s="77" t="s">
        <v>2030</v>
      </c>
      <c r="T346" s="74" t="s">
        <v>100</v>
      </c>
      <c r="U346" s="64" t="s">
        <v>2031</v>
      </c>
      <c r="V346" s="70" t="s">
        <v>162</v>
      </c>
      <c r="W346" s="74" t="s">
        <v>103</v>
      </c>
      <c r="X346" s="68" t="s">
        <v>512</v>
      </c>
      <c r="Y346" s="64">
        <v>1</v>
      </c>
      <c r="Z346" s="78">
        <v>0</v>
      </c>
      <c r="AA346" s="79">
        <f>'BASE FACTURACION 2025'!$C$3</f>
        <v>122645.45276000001</v>
      </c>
      <c r="AB346" s="79">
        <f>'BASE FACTURACION 2025'!$F$3</f>
        <v>65164.677720000007</v>
      </c>
      <c r="AC346" s="79">
        <f t="shared" si="5"/>
        <v>122645.45276000001</v>
      </c>
    </row>
    <row r="347" spans="1:29" s="80" customFormat="1" ht="15" customHeight="1">
      <c r="A347" s="64" t="s">
        <v>391</v>
      </c>
      <c r="B347" s="65" t="str">
        <f>VLOOKUP(A347,'CENTRO DE COSTOS'!A:D,4,FALSE)</f>
        <v>WILLIAM ASDRUBAL ROZO ROZO</v>
      </c>
      <c r="C347" s="65" t="str">
        <f>VLOOKUP(A347,'CENTRO DE COSTOS'!A:D,2,FALSE)</f>
        <v>0004-0004</v>
      </c>
      <c r="D347" s="64">
        <v>25740</v>
      </c>
      <c r="E347" s="66" t="s">
        <v>2032</v>
      </c>
      <c r="F347" s="67">
        <v>81099</v>
      </c>
      <c r="G347" s="68" t="s">
        <v>90</v>
      </c>
      <c r="H347" s="69" t="s">
        <v>91</v>
      </c>
      <c r="I347" s="67" t="s">
        <v>393</v>
      </c>
      <c r="J347" s="70" t="s">
        <v>2033</v>
      </c>
      <c r="K347" s="67" t="s">
        <v>2034</v>
      </c>
      <c r="L347" s="71" t="s">
        <v>95</v>
      </c>
      <c r="M347" s="72" t="s">
        <v>2035</v>
      </c>
      <c r="N347" s="73">
        <v>45888</v>
      </c>
      <c r="O347" s="74">
        <v>45890</v>
      </c>
      <c r="P347" s="75" t="s">
        <v>97</v>
      </c>
      <c r="Q347" s="76" t="s">
        <v>97</v>
      </c>
      <c r="R347" s="64" t="s">
        <v>98</v>
      </c>
      <c r="S347" s="77" t="s">
        <v>2036</v>
      </c>
      <c r="T347" s="74" t="s">
        <v>100</v>
      </c>
      <c r="U347" s="64" t="s">
        <v>2037</v>
      </c>
      <c r="V347" s="70" t="s">
        <v>162</v>
      </c>
      <c r="W347" s="74" t="s">
        <v>103</v>
      </c>
      <c r="X347" s="68" t="s">
        <v>781</v>
      </c>
      <c r="Y347" s="64">
        <v>1</v>
      </c>
      <c r="Z347" s="78">
        <v>0</v>
      </c>
      <c r="AA347" s="79">
        <f>'BASE FACTURACION 2025'!$C$3</f>
        <v>122645.45276000001</v>
      </c>
      <c r="AB347" s="79">
        <f>'BASE FACTURACION 2025'!$F$3</f>
        <v>65164.677720000007</v>
      </c>
      <c r="AC347" s="79">
        <f t="shared" si="5"/>
        <v>122645.45276000001</v>
      </c>
    </row>
    <row r="348" spans="1:29" s="80" customFormat="1" ht="15" customHeight="1">
      <c r="A348" s="64" t="s">
        <v>135</v>
      </c>
      <c r="B348" s="65" t="str">
        <f>VLOOKUP(A348,'CENTRO DE COSTOS'!A:D,4,FALSE)</f>
        <v>JUAN SEBASTIÁN RÍOS CASTRILLÓN</v>
      </c>
      <c r="C348" s="65" t="str">
        <f>VLOOKUP(A348,'CENTRO DE COSTOS'!A:D,2,FALSE)</f>
        <v>0004-0005</v>
      </c>
      <c r="D348" s="64">
        <v>5579</v>
      </c>
      <c r="E348" s="66" t="s">
        <v>2038</v>
      </c>
      <c r="F348" s="67">
        <v>81068</v>
      </c>
      <c r="G348" s="68" t="s">
        <v>90</v>
      </c>
      <c r="H348" s="69" t="s">
        <v>91</v>
      </c>
      <c r="I348" s="67" t="s">
        <v>138</v>
      </c>
      <c r="J348" s="70" t="s">
        <v>2039</v>
      </c>
      <c r="K348" s="67" t="s">
        <v>2040</v>
      </c>
      <c r="L348" s="71" t="s">
        <v>95</v>
      </c>
      <c r="M348" s="72" t="s">
        <v>2041</v>
      </c>
      <c r="N348" s="73">
        <v>45888</v>
      </c>
      <c r="O348" s="74">
        <v>45890</v>
      </c>
      <c r="P348" s="75" t="s">
        <v>97</v>
      </c>
      <c r="Q348" s="76" t="s">
        <v>97</v>
      </c>
      <c r="R348" s="64" t="s">
        <v>98</v>
      </c>
      <c r="S348" s="77" t="s">
        <v>2042</v>
      </c>
      <c r="T348" s="74" t="s">
        <v>100</v>
      </c>
      <c r="U348" s="64" t="s">
        <v>2043</v>
      </c>
      <c r="V348" s="70" t="s">
        <v>189</v>
      </c>
      <c r="W348" s="74" t="s">
        <v>103</v>
      </c>
      <c r="X348" s="68" t="s">
        <v>145</v>
      </c>
      <c r="Y348" s="64">
        <v>1</v>
      </c>
      <c r="Z348" s="78">
        <v>0</v>
      </c>
      <c r="AA348" s="79">
        <f>'BASE FACTURACION 2025'!$C$3</f>
        <v>122645.45276000001</v>
      </c>
      <c r="AB348" s="79">
        <f>'BASE FACTURACION 2025'!$F$3</f>
        <v>65164.677720000007</v>
      </c>
      <c r="AC348" s="79">
        <f t="shared" si="5"/>
        <v>122645.45276000001</v>
      </c>
    </row>
    <row r="349" spans="1:29" s="80" customFormat="1" ht="15" customHeight="1">
      <c r="A349" s="64" t="s">
        <v>391</v>
      </c>
      <c r="B349" s="65" t="str">
        <f>VLOOKUP(A349,'CENTRO DE COSTOS'!A:D,4,FALSE)</f>
        <v>WILLIAM ASDRUBAL ROZO ROZO</v>
      </c>
      <c r="C349" s="65" t="str">
        <f>VLOOKUP(A349,'CENTRO DE COSTOS'!A:D,2,FALSE)</f>
        <v>0004-0004</v>
      </c>
      <c r="D349" s="64">
        <v>25473</v>
      </c>
      <c r="E349" s="66" t="s">
        <v>2044</v>
      </c>
      <c r="F349" s="67">
        <v>80951</v>
      </c>
      <c r="G349" s="68" t="s">
        <v>90</v>
      </c>
      <c r="H349" s="69" t="s">
        <v>1122</v>
      </c>
      <c r="I349" s="67" t="s">
        <v>393</v>
      </c>
      <c r="J349" s="70" t="s">
        <v>2045</v>
      </c>
      <c r="K349" s="67" t="s">
        <v>2046</v>
      </c>
      <c r="L349" s="71" t="s">
        <v>95</v>
      </c>
      <c r="M349" s="72" t="s">
        <v>2047</v>
      </c>
      <c r="N349" s="73">
        <v>45888</v>
      </c>
      <c r="O349" s="74">
        <v>45889</v>
      </c>
      <c r="P349" s="75" t="s">
        <v>97</v>
      </c>
      <c r="Q349" s="76" t="s">
        <v>97</v>
      </c>
      <c r="R349" s="64" t="s">
        <v>98</v>
      </c>
      <c r="S349" s="77" t="s">
        <v>2048</v>
      </c>
      <c r="T349" s="74" t="s">
        <v>100</v>
      </c>
      <c r="U349" s="64" t="s">
        <v>2049</v>
      </c>
      <c r="V349" s="70" t="s">
        <v>133</v>
      </c>
      <c r="W349" s="74" t="s">
        <v>103</v>
      </c>
      <c r="X349" s="68" t="s">
        <v>1974</v>
      </c>
      <c r="Y349" s="64">
        <v>1</v>
      </c>
      <c r="Z349" s="78">
        <v>0</v>
      </c>
      <c r="AA349" s="79">
        <f>'BASE FACTURACION 2025'!$C$3</f>
        <v>122645.45276000001</v>
      </c>
      <c r="AB349" s="79">
        <f>'BASE FACTURACION 2025'!$F$3</f>
        <v>65164.677720000007</v>
      </c>
      <c r="AC349" s="79">
        <f t="shared" si="5"/>
        <v>122645.45276000001</v>
      </c>
    </row>
    <row r="350" spans="1:29" s="80" customFormat="1" ht="15" customHeight="1">
      <c r="A350" s="64" t="s">
        <v>261</v>
      </c>
      <c r="B350" s="65" t="str">
        <f>VLOOKUP(A350,'CENTRO DE COSTOS'!A:D,4,FALSE)</f>
        <v>JOSE MAURICIO HERNANDEZ ROJAS</v>
      </c>
      <c r="C350" s="65" t="str">
        <f>VLOOKUP(A350,'CENTRO DE COSTOS'!A:D,2,FALSE)</f>
        <v>0004-0001</v>
      </c>
      <c r="D350" s="64">
        <v>13654</v>
      </c>
      <c r="E350" s="66" t="s">
        <v>2050</v>
      </c>
      <c r="F350" s="67">
        <v>80965</v>
      </c>
      <c r="G350" s="68" t="s">
        <v>90</v>
      </c>
      <c r="H350" s="69" t="s">
        <v>1122</v>
      </c>
      <c r="I350" s="67" t="s">
        <v>231</v>
      </c>
      <c r="J350" s="70" t="s">
        <v>2051</v>
      </c>
      <c r="K350" s="67" t="s">
        <v>2052</v>
      </c>
      <c r="L350" s="71" t="s">
        <v>95</v>
      </c>
      <c r="M350" s="72" t="s">
        <v>2053</v>
      </c>
      <c r="N350" s="73">
        <v>45888</v>
      </c>
      <c r="O350" s="74">
        <v>45889</v>
      </c>
      <c r="P350" s="75" t="s">
        <v>97</v>
      </c>
      <c r="Q350" s="76" t="s">
        <v>97</v>
      </c>
      <c r="R350" s="64" t="s">
        <v>98</v>
      </c>
      <c r="S350" s="77" t="s">
        <v>2054</v>
      </c>
      <c r="T350" s="74" t="s">
        <v>100</v>
      </c>
      <c r="U350" s="64" t="s">
        <v>2055</v>
      </c>
      <c r="V350" s="70" t="s">
        <v>189</v>
      </c>
      <c r="W350" s="74" t="s">
        <v>103</v>
      </c>
      <c r="X350" s="68" t="s">
        <v>268</v>
      </c>
      <c r="Y350" s="64">
        <v>1</v>
      </c>
      <c r="Z350" s="78">
        <v>0</v>
      </c>
      <c r="AA350" s="79">
        <f>'BASE FACTURACION 2025'!$C$3</f>
        <v>122645.45276000001</v>
      </c>
      <c r="AB350" s="79">
        <f>'BASE FACTURACION 2025'!$F$3</f>
        <v>65164.677720000007</v>
      </c>
      <c r="AC350" s="79">
        <f t="shared" si="5"/>
        <v>122645.45276000001</v>
      </c>
    </row>
    <row r="351" spans="1:29" s="80" customFormat="1" ht="15" customHeight="1">
      <c r="A351" s="64" t="s">
        <v>555</v>
      </c>
      <c r="B351" s="65" t="str">
        <f>VLOOKUP(A351,'CENTRO DE COSTOS'!A:D,4,FALSE)</f>
        <v>JUAN SEBASTIÁN RÍOS CASTRILLÓN</v>
      </c>
      <c r="C351" s="65" t="str">
        <f>VLOOKUP(A351,'CENTRO DE COSTOS'!A:D,2,FALSE)</f>
        <v>0004-0005</v>
      </c>
      <c r="D351" s="64">
        <v>27413</v>
      </c>
      <c r="E351" s="66" t="s">
        <v>2056</v>
      </c>
      <c r="F351" s="67">
        <v>80973</v>
      </c>
      <c r="G351" s="68" t="s">
        <v>90</v>
      </c>
      <c r="H351" s="69" t="s">
        <v>1122</v>
      </c>
      <c r="I351" s="67" t="s">
        <v>1267</v>
      </c>
      <c r="J351" s="70" t="s">
        <v>2057</v>
      </c>
      <c r="K351" s="67" t="s">
        <v>2058</v>
      </c>
      <c r="L351" s="71" t="s">
        <v>95</v>
      </c>
      <c r="M351" s="72" t="s">
        <v>2059</v>
      </c>
      <c r="N351" s="73">
        <v>45888</v>
      </c>
      <c r="O351" s="74">
        <v>45896</v>
      </c>
      <c r="P351" s="75" t="s">
        <v>97</v>
      </c>
      <c r="Q351" s="76" t="s">
        <v>97</v>
      </c>
      <c r="R351" s="64" t="s">
        <v>98</v>
      </c>
      <c r="S351" s="77" t="s">
        <v>2060</v>
      </c>
      <c r="T351" s="74" t="s">
        <v>100</v>
      </c>
      <c r="U351" s="64" t="s">
        <v>2061</v>
      </c>
      <c r="V351" s="70" t="s">
        <v>102</v>
      </c>
      <c r="W351" s="74" t="s">
        <v>103</v>
      </c>
      <c r="X351" s="68" t="s">
        <v>1274</v>
      </c>
      <c r="Y351" s="64">
        <v>1</v>
      </c>
      <c r="Z351" s="78">
        <v>0</v>
      </c>
      <c r="AA351" s="79">
        <f>'BASE FACTURACION 2025'!$C$3</f>
        <v>122645.45276000001</v>
      </c>
      <c r="AB351" s="79">
        <f>'BASE FACTURACION 2025'!$F$3</f>
        <v>65164.677720000007</v>
      </c>
      <c r="AC351" s="79">
        <f t="shared" si="5"/>
        <v>122645.45276000001</v>
      </c>
    </row>
    <row r="352" spans="1:29" s="80" customFormat="1" ht="15" customHeight="1">
      <c r="A352" s="64" t="s">
        <v>555</v>
      </c>
      <c r="B352" s="65" t="str">
        <f>VLOOKUP(A352,'CENTRO DE COSTOS'!A:D,4,FALSE)</f>
        <v>JUAN SEBASTIÁN RÍOS CASTRILLÓN</v>
      </c>
      <c r="C352" s="65" t="str">
        <f>VLOOKUP(A352,'CENTRO DE COSTOS'!A:D,2,FALSE)</f>
        <v>0004-0005</v>
      </c>
      <c r="D352" s="64">
        <v>5490</v>
      </c>
      <c r="E352" s="66" t="s">
        <v>2062</v>
      </c>
      <c r="F352" s="67">
        <v>81113</v>
      </c>
      <c r="G352" s="68" t="s">
        <v>90</v>
      </c>
      <c r="H352" s="69" t="s">
        <v>137</v>
      </c>
      <c r="I352" s="67" t="s">
        <v>138</v>
      </c>
      <c r="J352" s="70" t="s">
        <v>557</v>
      </c>
      <c r="K352" s="67" t="s">
        <v>2063</v>
      </c>
      <c r="L352" s="71" t="s">
        <v>95</v>
      </c>
      <c r="M352" s="72" t="s">
        <v>2064</v>
      </c>
      <c r="N352" s="73">
        <v>45890</v>
      </c>
      <c r="O352" s="74">
        <v>45894</v>
      </c>
      <c r="P352" s="75" t="s">
        <v>141</v>
      </c>
      <c r="Q352" s="76" t="s">
        <v>142</v>
      </c>
      <c r="R352" s="64" t="s">
        <v>98</v>
      </c>
      <c r="S352" s="77" t="s">
        <v>2065</v>
      </c>
      <c r="T352" s="74" t="s">
        <v>100</v>
      </c>
      <c r="U352" s="64" t="s">
        <v>2066</v>
      </c>
      <c r="V352" s="70" t="s">
        <v>162</v>
      </c>
      <c r="W352" s="74" t="s">
        <v>103</v>
      </c>
      <c r="X352" s="68" t="s">
        <v>346</v>
      </c>
      <c r="Y352" s="64">
        <v>1</v>
      </c>
      <c r="Z352" s="78">
        <v>0</v>
      </c>
      <c r="AA352" s="79">
        <f>'BASE FACTURACION 2025'!$C$3</f>
        <v>122645.45276000001</v>
      </c>
      <c r="AB352" s="79">
        <f>'BASE FACTURACION 2025'!$F$3</f>
        <v>65164.677720000007</v>
      </c>
      <c r="AC352" s="79">
        <f t="shared" si="5"/>
        <v>122645.45276000001</v>
      </c>
    </row>
    <row r="353" spans="1:29" s="80" customFormat="1" ht="15" customHeight="1">
      <c r="A353" s="64" t="s">
        <v>135</v>
      </c>
      <c r="B353" s="65" t="str">
        <f>VLOOKUP(A353,'CENTRO DE COSTOS'!A:D,4,FALSE)</f>
        <v>JUAN SEBASTIÁN RÍOS CASTRILLÓN</v>
      </c>
      <c r="C353" s="65" t="str">
        <f>VLOOKUP(A353,'CENTRO DE COSTOS'!A:D,2,FALSE)</f>
        <v>0004-0005</v>
      </c>
      <c r="D353" s="64">
        <v>5887</v>
      </c>
      <c r="E353" s="66" t="s">
        <v>2067</v>
      </c>
      <c r="F353" s="67">
        <v>81119</v>
      </c>
      <c r="G353" s="68" t="s">
        <v>90</v>
      </c>
      <c r="H353" s="69" t="s">
        <v>137</v>
      </c>
      <c r="I353" s="67" t="s">
        <v>138</v>
      </c>
      <c r="J353" s="70" t="s">
        <v>1345</v>
      </c>
      <c r="K353" s="67" t="s">
        <v>2068</v>
      </c>
      <c r="L353" s="71" t="s">
        <v>95</v>
      </c>
      <c r="M353" s="72" t="s">
        <v>2069</v>
      </c>
      <c r="N353" s="73">
        <v>45890</v>
      </c>
      <c r="O353" s="74">
        <v>45894</v>
      </c>
      <c r="P353" s="75" t="s">
        <v>141</v>
      </c>
      <c r="Q353" s="76" t="s">
        <v>142</v>
      </c>
      <c r="R353" s="64" t="s">
        <v>98</v>
      </c>
      <c r="S353" s="77" t="s">
        <v>2065</v>
      </c>
      <c r="T353" s="74" t="s">
        <v>100</v>
      </c>
      <c r="U353" s="64" t="s">
        <v>2070</v>
      </c>
      <c r="V353" s="70" t="s">
        <v>189</v>
      </c>
      <c r="W353" s="74" t="s">
        <v>103</v>
      </c>
      <c r="X353" s="68" t="s">
        <v>150</v>
      </c>
      <c r="Y353" s="64">
        <v>1</v>
      </c>
      <c r="Z353" s="78">
        <v>0</v>
      </c>
      <c r="AA353" s="79">
        <f>'BASE FACTURACION 2025'!$C$3</f>
        <v>122645.45276000001</v>
      </c>
      <c r="AB353" s="79">
        <f>'BASE FACTURACION 2025'!$F$3</f>
        <v>65164.677720000007</v>
      </c>
      <c r="AC353" s="79">
        <f t="shared" si="5"/>
        <v>122645.45276000001</v>
      </c>
    </row>
    <row r="354" spans="1:29" s="80" customFormat="1" ht="15" customHeight="1">
      <c r="A354" s="64" t="s">
        <v>399</v>
      </c>
      <c r="B354" s="65" t="str">
        <f>VLOOKUP(A354,'CENTRO DE COSTOS'!A:D,4,FALSE)</f>
        <v>DIEGO FERNANDO HENAO CARDONA</v>
      </c>
      <c r="C354" s="65" t="str">
        <f>VLOOKUP(A354,'CENTRO DE COSTOS'!A:D,2,FALSE)</f>
        <v>0004-0002</v>
      </c>
      <c r="D354" s="64">
        <v>17873</v>
      </c>
      <c r="E354" s="66" t="s">
        <v>2071</v>
      </c>
      <c r="F354" s="67">
        <v>81117</v>
      </c>
      <c r="G354" s="68" t="s">
        <v>90</v>
      </c>
      <c r="H354" s="69" t="s">
        <v>137</v>
      </c>
      <c r="I354" s="67" t="s">
        <v>401</v>
      </c>
      <c r="J354" s="70" t="s">
        <v>1136</v>
      </c>
      <c r="K354" s="67" t="s">
        <v>2072</v>
      </c>
      <c r="L354" s="71" t="s">
        <v>95</v>
      </c>
      <c r="M354" s="72" t="s">
        <v>2073</v>
      </c>
      <c r="N354" s="73">
        <v>45890</v>
      </c>
      <c r="O354" s="74">
        <v>45891</v>
      </c>
      <c r="P354" s="75" t="s">
        <v>141</v>
      </c>
      <c r="Q354" s="76" t="s">
        <v>142</v>
      </c>
      <c r="R354" s="64" t="s">
        <v>98</v>
      </c>
      <c r="S354" s="77" t="s">
        <v>2074</v>
      </c>
      <c r="T354" s="74" t="s">
        <v>100</v>
      </c>
      <c r="U354" s="64" t="s">
        <v>2075</v>
      </c>
      <c r="V354" s="70" t="s">
        <v>133</v>
      </c>
      <c r="W354" s="74" t="s">
        <v>103</v>
      </c>
      <c r="X354" s="68" t="s">
        <v>406</v>
      </c>
      <c r="Y354" s="64">
        <v>1</v>
      </c>
      <c r="Z354" s="78">
        <v>0</v>
      </c>
      <c r="AA354" s="79">
        <f>'BASE FACTURACION 2025'!$C$3</f>
        <v>122645.45276000001</v>
      </c>
      <c r="AB354" s="79">
        <f>'BASE FACTURACION 2025'!$F$3</f>
        <v>65164.677720000007</v>
      </c>
      <c r="AC354" s="79">
        <f t="shared" si="5"/>
        <v>122645.45276000001</v>
      </c>
    </row>
    <row r="355" spans="1:29" s="80" customFormat="1" ht="15" customHeight="1">
      <c r="A355" s="64" t="s">
        <v>1574</v>
      </c>
      <c r="B355" s="65" t="str">
        <f>VLOOKUP(A355,'CENTRO DE COSTOS'!A:D,4,FALSE)</f>
        <v>JOSE MAURICIO HERNANDEZ ROJAS</v>
      </c>
      <c r="C355" s="65" t="str">
        <f>VLOOKUP(A355,'CENTRO DE COSTOS'!A:D,2,FALSE)</f>
        <v>0004-0001</v>
      </c>
      <c r="D355" s="64">
        <v>44430</v>
      </c>
      <c r="E355" s="66" t="s">
        <v>2076</v>
      </c>
      <c r="F355" s="67">
        <v>81114</v>
      </c>
      <c r="G355" s="68" t="s">
        <v>90</v>
      </c>
      <c r="H355" s="69" t="s">
        <v>137</v>
      </c>
      <c r="I355" s="67" t="s">
        <v>1576</v>
      </c>
      <c r="J355" s="70" t="s">
        <v>1596</v>
      </c>
      <c r="K355" s="67" t="s">
        <v>2077</v>
      </c>
      <c r="L355" s="71" t="s">
        <v>95</v>
      </c>
      <c r="M355" s="72" t="s">
        <v>2078</v>
      </c>
      <c r="N355" s="73">
        <v>45890</v>
      </c>
      <c r="O355" s="74">
        <v>45894</v>
      </c>
      <c r="P355" s="75" t="s">
        <v>141</v>
      </c>
      <c r="Q355" s="76" t="s">
        <v>142</v>
      </c>
      <c r="R355" s="64" t="s">
        <v>98</v>
      </c>
      <c r="S355" s="77" t="s">
        <v>2065</v>
      </c>
      <c r="T355" s="74" t="s">
        <v>100</v>
      </c>
      <c r="U355" s="64" t="s">
        <v>2079</v>
      </c>
      <c r="V355" s="70" t="s">
        <v>102</v>
      </c>
      <c r="W355" s="74" t="s">
        <v>103</v>
      </c>
      <c r="X355" s="68" t="s">
        <v>1594</v>
      </c>
      <c r="Y355" s="64">
        <v>1</v>
      </c>
      <c r="Z355" s="78">
        <v>0</v>
      </c>
      <c r="AA355" s="79">
        <f>'BASE FACTURACION 2025'!$C$3</f>
        <v>122645.45276000001</v>
      </c>
      <c r="AB355" s="79">
        <f>'BASE FACTURACION 2025'!$F$3</f>
        <v>65164.677720000007</v>
      </c>
      <c r="AC355" s="79">
        <f t="shared" si="5"/>
        <v>122645.45276000001</v>
      </c>
    </row>
    <row r="356" spans="1:29" s="80" customFormat="1" ht="15" customHeight="1">
      <c r="A356" s="64" t="s">
        <v>110</v>
      </c>
      <c r="B356" s="65" t="str">
        <f>VLOOKUP(A356,'CENTRO DE COSTOS'!A:D,4,FALSE)</f>
        <v>DIEGO FERNANDO HENAO CARDONA</v>
      </c>
      <c r="C356" s="65" t="str">
        <f>VLOOKUP(A356,'CENTRO DE COSTOS'!A:D,2,FALSE)</f>
        <v>0004-0003</v>
      </c>
      <c r="D356" s="64">
        <v>52001</v>
      </c>
      <c r="E356" s="66" t="s">
        <v>2080</v>
      </c>
      <c r="F356" s="67">
        <v>81115</v>
      </c>
      <c r="G356" s="68" t="s">
        <v>90</v>
      </c>
      <c r="H356" s="69" t="s">
        <v>137</v>
      </c>
      <c r="I356" s="67" t="s">
        <v>112</v>
      </c>
      <c r="J356" s="70" t="s">
        <v>110</v>
      </c>
      <c r="K356" s="67" t="s">
        <v>2081</v>
      </c>
      <c r="L356" s="71" t="s">
        <v>95</v>
      </c>
      <c r="M356" s="72" t="s">
        <v>2082</v>
      </c>
      <c r="N356" s="73">
        <v>45890</v>
      </c>
      <c r="O356" s="74">
        <v>45891</v>
      </c>
      <c r="P356" s="75" t="s">
        <v>141</v>
      </c>
      <c r="Q356" s="76" t="s">
        <v>142</v>
      </c>
      <c r="R356" s="64" t="s">
        <v>98</v>
      </c>
      <c r="S356" s="77" t="s">
        <v>2074</v>
      </c>
      <c r="T356" s="74" t="s">
        <v>100</v>
      </c>
      <c r="U356" s="64" t="s">
        <v>2083</v>
      </c>
      <c r="V356" s="70" t="s">
        <v>133</v>
      </c>
      <c r="W356" s="74" t="s">
        <v>103</v>
      </c>
      <c r="X356" s="68" t="s">
        <v>1682</v>
      </c>
      <c r="Y356" s="64">
        <v>1</v>
      </c>
      <c r="Z356" s="78">
        <v>0</v>
      </c>
      <c r="AA356" s="79">
        <f>'BASE FACTURACION 2025'!$C$3</f>
        <v>122645.45276000001</v>
      </c>
      <c r="AB356" s="79">
        <f>'BASE FACTURACION 2025'!$F$3</f>
        <v>65164.677720000007</v>
      </c>
      <c r="AC356" s="79">
        <f t="shared" si="5"/>
        <v>122645.45276000001</v>
      </c>
    </row>
    <row r="357" spans="1:29" s="80" customFormat="1" ht="15" customHeight="1">
      <c r="A357" s="64" t="s">
        <v>163</v>
      </c>
      <c r="B357" s="65" t="str">
        <f>VLOOKUP(A357,'CENTRO DE COSTOS'!A:D,4,FALSE)</f>
        <v>MIGUEL JULIÁN HERNÁNDEZ GUARÍN</v>
      </c>
      <c r="C357" s="65" t="str">
        <f>VLOOKUP(A357,'CENTRO DE COSTOS'!A:D,2,FALSE)</f>
        <v>0004-0008</v>
      </c>
      <c r="D357" s="64">
        <v>68077</v>
      </c>
      <c r="E357" s="66" t="s">
        <v>2084</v>
      </c>
      <c r="F357" s="67">
        <v>81112</v>
      </c>
      <c r="G357" s="68" t="s">
        <v>90</v>
      </c>
      <c r="H357" s="69" t="s">
        <v>137</v>
      </c>
      <c r="I357" s="67" t="s">
        <v>714</v>
      </c>
      <c r="J357" s="70" t="s">
        <v>2085</v>
      </c>
      <c r="K357" s="67" t="s">
        <v>2086</v>
      </c>
      <c r="L357" s="71" t="s">
        <v>95</v>
      </c>
      <c r="M357" s="72" t="s">
        <v>2087</v>
      </c>
      <c r="N357" s="73">
        <v>45890</v>
      </c>
      <c r="O357" s="74">
        <v>45891</v>
      </c>
      <c r="P357" s="75" t="s">
        <v>141</v>
      </c>
      <c r="Q357" s="76" t="s">
        <v>142</v>
      </c>
      <c r="R357" s="64" t="s">
        <v>98</v>
      </c>
      <c r="S357" s="77" t="s">
        <v>2074</v>
      </c>
      <c r="T357" s="74" t="s">
        <v>100</v>
      </c>
      <c r="U357" s="64" t="s">
        <v>2088</v>
      </c>
      <c r="V357" s="70" t="s">
        <v>162</v>
      </c>
      <c r="W357" s="74" t="s">
        <v>103</v>
      </c>
      <c r="X357" s="68" t="s">
        <v>548</v>
      </c>
      <c r="Y357" s="64">
        <v>1</v>
      </c>
      <c r="Z357" s="78">
        <v>0</v>
      </c>
      <c r="AA357" s="79">
        <f>'BASE FACTURACION 2025'!$C$3</f>
        <v>122645.45276000001</v>
      </c>
      <c r="AB357" s="79">
        <f>'BASE FACTURACION 2025'!$F$3</f>
        <v>65164.677720000007</v>
      </c>
      <c r="AC357" s="79">
        <f t="shared" si="5"/>
        <v>122645.45276000001</v>
      </c>
    </row>
    <row r="358" spans="1:29" s="80" customFormat="1" ht="15" customHeight="1">
      <c r="A358" s="64" t="s">
        <v>261</v>
      </c>
      <c r="B358" s="65" t="str">
        <f>VLOOKUP(A358,'CENTRO DE COSTOS'!A:D,4,FALSE)</f>
        <v>JOSE MAURICIO HERNANDEZ ROJAS</v>
      </c>
      <c r="C358" s="65" t="str">
        <f>VLOOKUP(A358,'CENTRO DE COSTOS'!A:D,2,FALSE)</f>
        <v>0004-0001</v>
      </c>
      <c r="D358" s="64">
        <v>13442</v>
      </c>
      <c r="E358" s="66" t="s">
        <v>2089</v>
      </c>
      <c r="F358" s="67">
        <v>81146</v>
      </c>
      <c r="G358" s="68" t="s">
        <v>90</v>
      </c>
      <c r="H358" s="69" t="s">
        <v>91</v>
      </c>
      <c r="I358" s="67" t="s">
        <v>231</v>
      </c>
      <c r="J358" s="70" t="s">
        <v>263</v>
      </c>
      <c r="K358" s="67" t="s">
        <v>2090</v>
      </c>
      <c r="L358" s="71" t="s">
        <v>95</v>
      </c>
      <c r="M358" s="72" t="s">
        <v>2091</v>
      </c>
      <c r="N358" s="73">
        <v>45890</v>
      </c>
      <c r="O358" s="74">
        <v>45891</v>
      </c>
      <c r="P358" s="75" t="s">
        <v>97</v>
      </c>
      <c r="Q358" s="76" t="s">
        <v>97</v>
      </c>
      <c r="R358" s="64" t="s">
        <v>98</v>
      </c>
      <c r="S358" s="77" t="s">
        <v>2092</v>
      </c>
      <c r="T358" s="74" t="s">
        <v>100</v>
      </c>
      <c r="U358" s="64" t="s">
        <v>2093</v>
      </c>
      <c r="V358" s="70" t="s">
        <v>162</v>
      </c>
      <c r="W358" s="74" t="s">
        <v>103</v>
      </c>
      <c r="X358" s="68" t="s">
        <v>268</v>
      </c>
      <c r="Y358" s="64">
        <v>1</v>
      </c>
      <c r="Z358" s="78">
        <v>0</v>
      </c>
      <c r="AA358" s="79">
        <f>'BASE FACTURACION 2025'!$C$3</f>
        <v>122645.45276000001</v>
      </c>
      <c r="AB358" s="79">
        <f>'BASE FACTURACION 2025'!$F$3</f>
        <v>65164.677720000007</v>
      </c>
      <c r="AC358" s="79">
        <f t="shared" si="5"/>
        <v>122645.45276000001</v>
      </c>
    </row>
    <row r="359" spans="1:29" s="80" customFormat="1" ht="15" customHeight="1">
      <c r="A359" s="64" t="s">
        <v>110</v>
      </c>
      <c r="B359" s="65" t="str">
        <f>VLOOKUP(A359,'CENTRO DE COSTOS'!A:D,4,FALSE)</f>
        <v>DIEGO FERNANDO HENAO CARDONA</v>
      </c>
      <c r="C359" s="65" t="str">
        <f>VLOOKUP(A359,'CENTRO DE COSTOS'!A:D,2,FALSE)</f>
        <v>0004-0003</v>
      </c>
      <c r="D359" s="64">
        <v>52520</v>
      </c>
      <c r="E359" s="66" t="s">
        <v>2094</v>
      </c>
      <c r="F359" s="67">
        <v>81135</v>
      </c>
      <c r="G359" s="68" t="s">
        <v>90</v>
      </c>
      <c r="H359" s="69" t="s">
        <v>91</v>
      </c>
      <c r="I359" s="67" t="s">
        <v>112</v>
      </c>
      <c r="J359" s="70" t="s">
        <v>2095</v>
      </c>
      <c r="K359" s="67" t="s">
        <v>2096</v>
      </c>
      <c r="L359" s="71" t="s">
        <v>95</v>
      </c>
      <c r="M359" s="72" t="s">
        <v>2097</v>
      </c>
      <c r="N359" s="73">
        <v>45890</v>
      </c>
      <c r="O359" s="74">
        <v>45895</v>
      </c>
      <c r="P359" s="75" t="s">
        <v>97</v>
      </c>
      <c r="Q359" s="76" t="s">
        <v>97</v>
      </c>
      <c r="R359" s="64" t="s">
        <v>98</v>
      </c>
      <c r="S359" s="77" t="s">
        <v>2098</v>
      </c>
      <c r="T359" s="74" t="s">
        <v>100</v>
      </c>
      <c r="U359" s="64" t="s">
        <v>2099</v>
      </c>
      <c r="V359" s="70" t="s">
        <v>118</v>
      </c>
      <c r="W359" s="74" t="s">
        <v>119</v>
      </c>
      <c r="X359" s="68" t="s">
        <v>120</v>
      </c>
      <c r="Y359" s="64">
        <v>1</v>
      </c>
      <c r="Z359" s="78">
        <v>0</v>
      </c>
      <c r="AA359" s="79">
        <f>'BASE FACTURACION 2025'!$C$3</f>
        <v>122645.45276000001</v>
      </c>
      <c r="AB359" s="79">
        <f>'BASE FACTURACION 2025'!$F$3</f>
        <v>65164.677720000007</v>
      </c>
      <c r="AC359" s="79">
        <f t="shared" si="5"/>
        <v>122645.45276000001</v>
      </c>
    </row>
    <row r="360" spans="1:29" s="80" customFormat="1" ht="15" customHeight="1">
      <c r="A360" s="64" t="s">
        <v>135</v>
      </c>
      <c r="B360" s="65" t="str">
        <f>VLOOKUP(A360,'CENTRO DE COSTOS'!A:D,4,FALSE)</f>
        <v>JUAN SEBASTIÁN RÍOS CASTRILLÓN</v>
      </c>
      <c r="C360" s="65" t="str">
        <f>VLOOKUP(A360,'CENTRO DE COSTOS'!A:D,2,FALSE)</f>
        <v>0004-0005</v>
      </c>
      <c r="D360" s="64">
        <v>5086</v>
      </c>
      <c r="E360" s="66" t="s">
        <v>2100</v>
      </c>
      <c r="F360" s="67">
        <v>81138</v>
      </c>
      <c r="G360" s="68" t="s">
        <v>90</v>
      </c>
      <c r="H360" s="69" t="s">
        <v>91</v>
      </c>
      <c r="I360" s="67" t="s">
        <v>138</v>
      </c>
      <c r="J360" s="70" t="s">
        <v>2101</v>
      </c>
      <c r="K360" s="67" t="s">
        <v>2102</v>
      </c>
      <c r="L360" s="71" t="s">
        <v>95</v>
      </c>
      <c r="M360" s="72" t="s">
        <v>2103</v>
      </c>
      <c r="N360" s="73">
        <v>45890</v>
      </c>
      <c r="O360" s="74">
        <v>45894</v>
      </c>
      <c r="P360" s="75" t="s">
        <v>97</v>
      </c>
      <c r="Q360" s="76" t="s">
        <v>97</v>
      </c>
      <c r="R360" s="64" t="s">
        <v>98</v>
      </c>
      <c r="S360" s="77" t="s">
        <v>2104</v>
      </c>
      <c r="T360" s="74" t="s">
        <v>100</v>
      </c>
      <c r="U360" s="64" t="s">
        <v>2105</v>
      </c>
      <c r="V360" s="70" t="s">
        <v>162</v>
      </c>
      <c r="W360" s="74" t="s">
        <v>103</v>
      </c>
      <c r="X360" s="68" t="s">
        <v>196</v>
      </c>
      <c r="Y360" s="64">
        <v>1</v>
      </c>
      <c r="Z360" s="78">
        <v>0</v>
      </c>
      <c r="AA360" s="79">
        <f>'BASE FACTURACION 2025'!$C$3</f>
        <v>122645.45276000001</v>
      </c>
      <c r="AB360" s="79">
        <f>'BASE FACTURACION 2025'!$F$3</f>
        <v>65164.677720000007</v>
      </c>
      <c r="AC360" s="79">
        <f t="shared" si="5"/>
        <v>122645.45276000001</v>
      </c>
    </row>
    <row r="361" spans="1:29" s="80" customFormat="1" ht="15" customHeight="1">
      <c r="A361" s="64" t="s">
        <v>261</v>
      </c>
      <c r="B361" s="65" t="str">
        <f>VLOOKUP(A361,'CENTRO DE COSTOS'!A:D,4,FALSE)</f>
        <v>JOSE MAURICIO HERNANDEZ ROJAS</v>
      </c>
      <c r="C361" s="65" t="str">
        <f>VLOOKUP(A361,'CENTRO DE COSTOS'!A:D,2,FALSE)</f>
        <v>0004-0001</v>
      </c>
      <c r="D361" s="64">
        <v>13001</v>
      </c>
      <c r="E361" s="66" t="s">
        <v>2106</v>
      </c>
      <c r="F361" s="67">
        <v>81125</v>
      </c>
      <c r="G361" s="68" t="s">
        <v>90</v>
      </c>
      <c r="H361" s="69" t="s">
        <v>91</v>
      </c>
      <c r="I361" s="67" t="s">
        <v>231</v>
      </c>
      <c r="J361" s="70" t="s">
        <v>261</v>
      </c>
      <c r="K361" s="67" t="s">
        <v>2107</v>
      </c>
      <c r="L361" s="71" t="s">
        <v>95</v>
      </c>
      <c r="M361" s="72" t="s">
        <v>2108</v>
      </c>
      <c r="N361" s="73">
        <v>45890</v>
      </c>
      <c r="O361" s="74">
        <v>45894</v>
      </c>
      <c r="P361" s="75" t="s">
        <v>97</v>
      </c>
      <c r="Q361" s="76" t="s">
        <v>97</v>
      </c>
      <c r="R361" s="64" t="s">
        <v>98</v>
      </c>
      <c r="S361" s="77" t="s">
        <v>2109</v>
      </c>
      <c r="T361" s="74" t="s">
        <v>100</v>
      </c>
      <c r="U361" s="64" t="s">
        <v>2110</v>
      </c>
      <c r="V361" s="70" t="s">
        <v>133</v>
      </c>
      <c r="W361" s="74" t="s">
        <v>103</v>
      </c>
      <c r="X361" s="68" t="s">
        <v>373</v>
      </c>
      <c r="Y361" s="64">
        <v>1</v>
      </c>
      <c r="Z361" s="78">
        <v>0</v>
      </c>
      <c r="AA361" s="79">
        <f>'BASE FACTURACION 2025'!$C$3</f>
        <v>122645.45276000001</v>
      </c>
      <c r="AB361" s="79">
        <f>'BASE FACTURACION 2025'!$F$3</f>
        <v>65164.677720000007</v>
      </c>
      <c r="AC361" s="79">
        <f t="shared" si="5"/>
        <v>122645.45276000001</v>
      </c>
    </row>
    <row r="362" spans="1:29" s="80" customFormat="1" ht="15" customHeight="1">
      <c r="A362" s="64" t="s">
        <v>135</v>
      </c>
      <c r="B362" s="65" t="str">
        <f>VLOOKUP(A362,'CENTRO DE COSTOS'!A:D,4,FALSE)</f>
        <v>JUAN SEBASTIÁN RÍOS CASTRILLÓN</v>
      </c>
      <c r="C362" s="65" t="str">
        <f>VLOOKUP(A362,'CENTRO DE COSTOS'!A:D,2,FALSE)</f>
        <v>0004-0005</v>
      </c>
      <c r="D362" s="64">
        <v>5697</v>
      </c>
      <c r="E362" s="66" t="s">
        <v>2111</v>
      </c>
      <c r="F362" s="67">
        <v>81160</v>
      </c>
      <c r="G362" s="68" t="s">
        <v>90</v>
      </c>
      <c r="H362" s="69" t="s">
        <v>91</v>
      </c>
      <c r="I362" s="67" t="s">
        <v>138</v>
      </c>
      <c r="J362" s="70" t="s">
        <v>2112</v>
      </c>
      <c r="K362" s="67" t="s">
        <v>2113</v>
      </c>
      <c r="L362" s="71" t="s">
        <v>95</v>
      </c>
      <c r="M362" s="72" t="s">
        <v>2114</v>
      </c>
      <c r="N362" s="73">
        <v>45890</v>
      </c>
      <c r="O362" s="74">
        <v>45894</v>
      </c>
      <c r="P362" s="75" t="s">
        <v>97</v>
      </c>
      <c r="Q362" s="76" t="s">
        <v>97</v>
      </c>
      <c r="R362" s="64" t="s">
        <v>98</v>
      </c>
      <c r="S362" s="77" t="s">
        <v>2115</v>
      </c>
      <c r="T362" s="74" t="s">
        <v>100</v>
      </c>
      <c r="U362" s="64" t="s">
        <v>2116</v>
      </c>
      <c r="V362" s="70" t="s">
        <v>162</v>
      </c>
      <c r="W362" s="74" t="s">
        <v>103</v>
      </c>
      <c r="X362" s="68" t="s">
        <v>2117</v>
      </c>
      <c r="Y362" s="64">
        <v>1</v>
      </c>
      <c r="Z362" s="78">
        <v>0</v>
      </c>
      <c r="AA362" s="79">
        <f>'BASE FACTURACION 2025'!$C$3</f>
        <v>122645.45276000001</v>
      </c>
      <c r="AB362" s="79">
        <f>'BASE FACTURACION 2025'!$F$3</f>
        <v>65164.677720000007</v>
      </c>
      <c r="AC362" s="79">
        <f t="shared" si="5"/>
        <v>122645.45276000001</v>
      </c>
    </row>
    <row r="363" spans="1:29" s="80" customFormat="1" ht="15" customHeight="1">
      <c r="A363" s="64" t="s">
        <v>399</v>
      </c>
      <c r="B363" s="65" t="str">
        <f>VLOOKUP(A363,'CENTRO DE COSTOS'!A:D,4,FALSE)</f>
        <v>DIEGO FERNANDO HENAO CARDONA</v>
      </c>
      <c r="C363" s="65" t="str">
        <f>VLOOKUP(A363,'CENTRO DE COSTOS'!A:D,2,FALSE)</f>
        <v>0004-0002</v>
      </c>
      <c r="D363" s="64">
        <v>17001</v>
      </c>
      <c r="E363" s="66" t="s">
        <v>2118</v>
      </c>
      <c r="F363" s="67">
        <v>81142</v>
      </c>
      <c r="G363" s="68" t="s">
        <v>90</v>
      </c>
      <c r="H363" s="69" t="s">
        <v>91</v>
      </c>
      <c r="I363" s="67" t="s">
        <v>401</v>
      </c>
      <c r="J363" s="70" t="s">
        <v>399</v>
      </c>
      <c r="K363" s="67" t="s">
        <v>2119</v>
      </c>
      <c r="L363" s="71" t="s">
        <v>95</v>
      </c>
      <c r="M363" s="72" t="s">
        <v>2120</v>
      </c>
      <c r="N363" s="73">
        <v>45890</v>
      </c>
      <c r="O363" s="74">
        <v>45891</v>
      </c>
      <c r="P363" s="75" t="s">
        <v>97</v>
      </c>
      <c r="Q363" s="76" t="s">
        <v>97</v>
      </c>
      <c r="R363" s="64" t="s">
        <v>98</v>
      </c>
      <c r="S363" s="77" t="s">
        <v>2121</v>
      </c>
      <c r="T363" s="74" t="s">
        <v>100</v>
      </c>
      <c r="U363" s="64" t="s">
        <v>2122</v>
      </c>
      <c r="V363" s="70" t="s">
        <v>133</v>
      </c>
      <c r="W363" s="74" t="s">
        <v>103</v>
      </c>
      <c r="X363" s="68" t="s">
        <v>406</v>
      </c>
      <c r="Y363" s="64">
        <v>1</v>
      </c>
      <c r="Z363" s="78">
        <v>0</v>
      </c>
      <c r="AA363" s="79">
        <f>'BASE FACTURACION 2025'!$C$3</f>
        <v>122645.45276000001</v>
      </c>
      <c r="AB363" s="79">
        <f>'BASE FACTURACION 2025'!$F$3</f>
        <v>65164.677720000007</v>
      </c>
      <c r="AC363" s="79">
        <f t="shared" si="5"/>
        <v>122645.45276000001</v>
      </c>
    </row>
    <row r="364" spans="1:29" s="80" customFormat="1" ht="15" customHeight="1">
      <c r="A364" s="64" t="s">
        <v>391</v>
      </c>
      <c r="B364" s="65" t="str">
        <f>VLOOKUP(A364,'CENTRO DE COSTOS'!A:D,4,FALSE)</f>
        <v>WILLIAM ASDRUBAL ROZO ROZO</v>
      </c>
      <c r="C364" s="65" t="str">
        <f>VLOOKUP(A364,'CENTRO DE COSTOS'!A:D,2,FALSE)</f>
        <v>0004-0004</v>
      </c>
      <c r="D364" s="64">
        <v>25053</v>
      </c>
      <c r="E364" s="66" t="s">
        <v>2123</v>
      </c>
      <c r="F364" s="67">
        <v>81137</v>
      </c>
      <c r="G364" s="68" t="s">
        <v>90</v>
      </c>
      <c r="H364" s="69" t="s">
        <v>91</v>
      </c>
      <c r="I364" s="67" t="s">
        <v>393</v>
      </c>
      <c r="J364" s="70" t="s">
        <v>2124</v>
      </c>
      <c r="K364" s="67" t="s">
        <v>2125</v>
      </c>
      <c r="L364" s="71" t="s">
        <v>95</v>
      </c>
      <c r="M364" s="72" t="s">
        <v>2126</v>
      </c>
      <c r="N364" s="73">
        <v>45890</v>
      </c>
      <c r="O364" s="74">
        <v>45894</v>
      </c>
      <c r="P364" s="75" t="s">
        <v>97</v>
      </c>
      <c r="Q364" s="76" t="s">
        <v>97</v>
      </c>
      <c r="R364" s="64" t="s">
        <v>98</v>
      </c>
      <c r="S364" s="77" t="s">
        <v>2127</v>
      </c>
      <c r="T364" s="74" t="s">
        <v>100</v>
      </c>
      <c r="U364" s="64" t="s">
        <v>2128</v>
      </c>
      <c r="V364" s="70" t="s">
        <v>162</v>
      </c>
      <c r="W364" s="74" t="s">
        <v>103</v>
      </c>
      <c r="X364" s="68" t="s">
        <v>771</v>
      </c>
      <c r="Y364" s="64">
        <v>1</v>
      </c>
      <c r="Z364" s="78">
        <v>0</v>
      </c>
      <c r="AA364" s="79">
        <f>'BASE FACTURACION 2025'!$C$3</f>
        <v>122645.45276000001</v>
      </c>
      <c r="AB364" s="79">
        <f>'BASE FACTURACION 2025'!$F$3</f>
        <v>65164.677720000007</v>
      </c>
      <c r="AC364" s="79">
        <f t="shared" si="5"/>
        <v>122645.45276000001</v>
      </c>
    </row>
    <row r="365" spans="1:29" s="80" customFormat="1" ht="15" customHeight="1">
      <c r="A365" s="64" t="s">
        <v>399</v>
      </c>
      <c r="B365" s="65" t="str">
        <f>VLOOKUP(A365,'CENTRO DE COSTOS'!A:D,4,FALSE)</f>
        <v>DIEGO FERNANDO HENAO CARDONA</v>
      </c>
      <c r="C365" s="65" t="str">
        <f>VLOOKUP(A365,'CENTRO DE COSTOS'!A:D,2,FALSE)</f>
        <v>0004-0002</v>
      </c>
      <c r="D365" s="64">
        <v>17174</v>
      </c>
      <c r="E365" s="66" t="s">
        <v>2129</v>
      </c>
      <c r="F365" s="67">
        <v>81128</v>
      </c>
      <c r="G365" s="68" t="s">
        <v>90</v>
      </c>
      <c r="H365" s="69" t="s">
        <v>182</v>
      </c>
      <c r="I365" s="67" t="s">
        <v>401</v>
      </c>
      <c r="J365" s="70" t="s">
        <v>2130</v>
      </c>
      <c r="K365" s="67" t="s">
        <v>2131</v>
      </c>
      <c r="L365" s="71" t="s">
        <v>95</v>
      </c>
      <c r="M365" s="72" t="s">
        <v>2132</v>
      </c>
      <c r="N365" s="73">
        <v>45890</v>
      </c>
      <c r="O365" s="74">
        <v>45891</v>
      </c>
      <c r="P365" s="75" t="s">
        <v>97</v>
      </c>
      <c r="Q365" s="76" t="s">
        <v>97</v>
      </c>
      <c r="R365" s="64" t="s">
        <v>98</v>
      </c>
      <c r="S365" s="77" t="s">
        <v>2133</v>
      </c>
      <c r="T365" s="74" t="s">
        <v>100</v>
      </c>
      <c r="U365" s="64" t="s">
        <v>2134</v>
      </c>
      <c r="V365" s="70" t="s">
        <v>162</v>
      </c>
      <c r="W365" s="74" t="s">
        <v>103</v>
      </c>
      <c r="X365" s="68" t="s">
        <v>469</v>
      </c>
      <c r="Y365" s="64">
        <v>1</v>
      </c>
      <c r="Z365" s="78">
        <v>0</v>
      </c>
      <c r="AA365" s="79">
        <f>'BASE FACTURACION 2025'!$C$3</f>
        <v>122645.45276000001</v>
      </c>
      <c r="AB365" s="79">
        <f>'BASE FACTURACION 2025'!$F$3</f>
        <v>65164.677720000007</v>
      </c>
      <c r="AC365" s="79">
        <f t="shared" si="5"/>
        <v>122645.45276000001</v>
      </c>
    </row>
    <row r="366" spans="1:29" s="80" customFormat="1" ht="15" customHeight="1">
      <c r="A366" s="64" t="s">
        <v>220</v>
      </c>
      <c r="B366" s="65" t="str">
        <f>VLOOKUP(A366,'CENTRO DE COSTOS'!A:D,4,FALSE)</f>
        <v>KEVIN ALEXIS CORZO BUSTOS</v>
      </c>
      <c r="C366" s="65" t="str">
        <f>VLOOKUP(A366,'CENTRO DE COSTOS'!A:D,2,FALSE)</f>
        <v>0004-0007</v>
      </c>
      <c r="D366" s="64">
        <v>50223</v>
      </c>
      <c r="E366" s="66" t="s">
        <v>2135</v>
      </c>
      <c r="F366" s="67">
        <v>81132</v>
      </c>
      <c r="G366" s="68" t="s">
        <v>90</v>
      </c>
      <c r="H366" s="69" t="s">
        <v>91</v>
      </c>
      <c r="I366" s="67" t="s">
        <v>222</v>
      </c>
      <c r="J366" s="70" t="s">
        <v>906</v>
      </c>
      <c r="K366" s="67" t="s">
        <v>2136</v>
      </c>
      <c r="L366" s="71" t="s">
        <v>95</v>
      </c>
      <c r="M366" s="72" t="s">
        <v>2137</v>
      </c>
      <c r="N366" s="73">
        <v>45890</v>
      </c>
      <c r="O366" s="74">
        <v>45894</v>
      </c>
      <c r="P366" s="75" t="s">
        <v>97</v>
      </c>
      <c r="Q366" s="76" t="s">
        <v>97</v>
      </c>
      <c r="R366" s="64" t="s">
        <v>98</v>
      </c>
      <c r="S366" s="77" t="s">
        <v>2138</v>
      </c>
      <c r="T366" s="74" t="s">
        <v>100</v>
      </c>
      <c r="U366" s="64" t="s">
        <v>2139</v>
      </c>
      <c r="V366" s="70" t="s">
        <v>162</v>
      </c>
      <c r="W366" s="74" t="s">
        <v>103</v>
      </c>
      <c r="X366" s="68" t="s">
        <v>228</v>
      </c>
      <c r="Y366" s="64">
        <v>1</v>
      </c>
      <c r="Z366" s="78">
        <v>0</v>
      </c>
      <c r="AA366" s="79">
        <f>'BASE FACTURACION 2025'!$C$3</f>
        <v>122645.45276000001</v>
      </c>
      <c r="AB366" s="79">
        <f>'BASE FACTURACION 2025'!$F$3</f>
        <v>65164.677720000007</v>
      </c>
      <c r="AC366" s="79">
        <f t="shared" si="5"/>
        <v>122645.45276000001</v>
      </c>
    </row>
    <row r="367" spans="1:29" s="80" customFormat="1" ht="15" customHeight="1">
      <c r="A367" s="64" t="s">
        <v>399</v>
      </c>
      <c r="B367" s="65" t="str">
        <f>VLOOKUP(A367,'CENTRO DE COSTOS'!A:D,4,FALSE)</f>
        <v>DIEGO FERNANDO HENAO CARDONA</v>
      </c>
      <c r="C367" s="65" t="str">
        <f>VLOOKUP(A367,'CENTRO DE COSTOS'!A:D,2,FALSE)</f>
        <v>0004-0002</v>
      </c>
      <c r="D367" s="64">
        <v>17001</v>
      </c>
      <c r="E367" s="66" t="s">
        <v>2140</v>
      </c>
      <c r="F367" s="67">
        <v>81144</v>
      </c>
      <c r="G367" s="68" t="s">
        <v>90</v>
      </c>
      <c r="H367" s="69" t="s">
        <v>91</v>
      </c>
      <c r="I367" s="67" t="s">
        <v>401</v>
      </c>
      <c r="J367" s="70" t="s">
        <v>399</v>
      </c>
      <c r="K367" s="67" t="s">
        <v>2141</v>
      </c>
      <c r="L367" s="71" t="s">
        <v>95</v>
      </c>
      <c r="M367" s="72" t="s">
        <v>2142</v>
      </c>
      <c r="N367" s="73">
        <v>45890</v>
      </c>
      <c r="O367" s="74">
        <v>45894</v>
      </c>
      <c r="P367" s="75" t="s">
        <v>97</v>
      </c>
      <c r="Q367" s="76" t="s">
        <v>97</v>
      </c>
      <c r="R367" s="64" t="s">
        <v>98</v>
      </c>
      <c r="S367" s="77" t="s">
        <v>2143</v>
      </c>
      <c r="T367" s="74" t="s">
        <v>100</v>
      </c>
      <c r="U367" s="64" t="s">
        <v>2144</v>
      </c>
      <c r="V367" s="70" t="s">
        <v>133</v>
      </c>
      <c r="W367" s="74" t="s">
        <v>103</v>
      </c>
      <c r="X367" s="68" t="s">
        <v>420</v>
      </c>
      <c r="Y367" s="64">
        <v>1</v>
      </c>
      <c r="Z367" s="78">
        <v>0</v>
      </c>
      <c r="AA367" s="79">
        <f>'BASE FACTURACION 2025'!$C$3</f>
        <v>122645.45276000001</v>
      </c>
      <c r="AB367" s="79">
        <f>'BASE FACTURACION 2025'!$F$3</f>
        <v>65164.677720000007</v>
      </c>
      <c r="AC367" s="79">
        <f t="shared" si="5"/>
        <v>122645.45276000001</v>
      </c>
    </row>
    <row r="368" spans="1:29" s="80" customFormat="1" ht="15" customHeight="1">
      <c r="A368" s="64" t="s">
        <v>180</v>
      </c>
      <c r="B368" s="65" t="str">
        <f>VLOOKUP(A368,'CENTRO DE COSTOS'!A:D,4,FALSE)</f>
        <v>DIEGO FERNANDO HENAO CARDONA</v>
      </c>
      <c r="C368" s="65" t="str">
        <f>VLOOKUP(A368,'CENTRO DE COSTOS'!A:D,2,FALSE)</f>
        <v>0004-0003</v>
      </c>
      <c r="D368" s="64">
        <v>19573</v>
      </c>
      <c r="E368" s="66" t="s">
        <v>2145</v>
      </c>
      <c r="F368" s="67">
        <v>81153</v>
      </c>
      <c r="G368" s="68" t="s">
        <v>90</v>
      </c>
      <c r="H368" s="69" t="s">
        <v>91</v>
      </c>
      <c r="I368" s="67" t="s">
        <v>183</v>
      </c>
      <c r="J368" s="70" t="s">
        <v>2146</v>
      </c>
      <c r="K368" s="67" t="s">
        <v>2147</v>
      </c>
      <c r="L368" s="71" t="s">
        <v>95</v>
      </c>
      <c r="M368" s="72" t="s">
        <v>2148</v>
      </c>
      <c r="N368" s="73">
        <v>45890</v>
      </c>
      <c r="O368" s="74">
        <v>45891</v>
      </c>
      <c r="P368" s="75" t="s">
        <v>97</v>
      </c>
      <c r="Q368" s="76" t="s">
        <v>97</v>
      </c>
      <c r="R368" s="64" t="s">
        <v>98</v>
      </c>
      <c r="S368" s="77" t="s">
        <v>2149</v>
      </c>
      <c r="T368" s="74" t="s">
        <v>100</v>
      </c>
      <c r="U368" s="64" t="s">
        <v>2150</v>
      </c>
      <c r="V368" s="70" t="s">
        <v>162</v>
      </c>
      <c r="W368" s="74" t="s">
        <v>103</v>
      </c>
      <c r="X368" s="68" t="s">
        <v>190</v>
      </c>
      <c r="Y368" s="64">
        <v>1</v>
      </c>
      <c r="Z368" s="78">
        <v>0</v>
      </c>
      <c r="AA368" s="79">
        <f>'BASE FACTURACION 2025'!$C$3</f>
        <v>122645.45276000001</v>
      </c>
      <c r="AB368" s="79">
        <f>'BASE FACTURACION 2025'!$F$3</f>
        <v>65164.677720000007</v>
      </c>
      <c r="AC368" s="79">
        <f t="shared" si="5"/>
        <v>122645.45276000001</v>
      </c>
    </row>
    <row r="369" spans="1:29" s="80" customFormat="1" ht="15" customHeight="1">
      <c r="A369" s="64" t="s">
        <v>391</v>
      </c>
      <c r="B369" s="65" t="str">
        <f>VLOOKUP(A369,'CENTRO DE COSTOS'!A:D,4,FALSE)</f>
        <v>WILLIAM ASDRUBAL ROZO ROZO</v>
      </c>
      <c r="C369" s="65" t="str">
        <f>VLOOKUP(A369,'CENTRO DE COSTOS'!A:D,2,FALSE)</f>
        <v>0004-0004</v>
      </c>
      <c r="D369" s="64">
        <v>25899</v>
      </c>
      <c r="E369" s="66" t="s">
        <v>2151</v>
      </c>
      <c r="F369" s="67">
        <v>81163</v>
      </c>
      <c r="G369" s="68" t="s">
        <v>90</v>
      </c>
      <c r="H369" s="69" t="s">
        <v>91</v>
      </c>
      <c r="I369" s="67" t="s">
        <v>393</v>
      </c>
      <c r="J369" s="70" t="s">
        <v>912</v>
      </c>
      <c r="K369" s="67" t="s">
        <v>2152</v>
      </c>
      <c r="L369" s="71" t="s">
        <v>95</v>
      </c>
      <c r="M369" s="72" t="s">
        <v>2153</v>
      </c>
      <c r="N369" s="73">
        <v>45890</v>
      </c>
      <c r="O369" s="74">
        <v>45891</v>
      </c>
      <c r="P369" s="75" t="s">
        <v>97</v>
      </c>
      <c r="Q369" s="76" t="s">
        <v>97</v>
      </c>
      <c r="R369" s="64" t="s">
        <v>98</v>
      </c>
      <c r="S369" s="77" t="s">
        <v>2154</v>
      </c>
      <c r="T369" s="74" t="s">
        <v>100</v>
      </c>
      <c r="U369" s="64" t="s">
        <v>2155</v>
      </c>
      <c r="V369" s="70" t="s">
        <v>162</v>
      </c>
      <c r="W369" s="74" t="s">
        <v>103</v>
      </c>
      <c r="X369" s="68" t="s">
        <v>917</v>
      </c>
      <c r="Y369" s="64">
        <v>1</v>
      </c>
      <c r="Z369" s="78">
        <v>0</v>
      </c>
      <c r="AA369" s="79">
        <f>'BASE FACTURACION 2025'!$C$3</f>
        <v>122645.45276000001</v>
      </c>
      <c r="AB369" s="79">
        <f>'BASE FACTURACION 2025'!$F$3</f>
        <v>65164.677720000007</v>
      </c>
      <c r="AC369" s="79">
        <f t="shared" si="5"/>
        <v>122645.45276000001</v>
      </c>
    </row>
    <row r="370" spans="1:29" s="80" customFormat="1" ht="15" customHeight="1">
      <c r="A370" s="64" t="s">
        <v>339</v>
      </c>
      <c r="B370" s="65" t="str">
        <f>VLOOKUP(A370,'CENTRO DE COSTOS'!A:D,4,FALSE)</f>
        <v>JOSE MAURICIO HERNANDEZ ROJAS</v>
      </c>
      <c r="C370" s="65" t="str">
        <f>VLOOKUP(A370,'CENTRO DE COSTOS'!A:D,2,FALSE)</f>
        <v>0004-0001</v>
      </c>
      <c r="D370" s="64">
        <v>23580</v>
      </c>
      <c r="E370" s="66" t="s">
        <v>2156</v>
      </c>
      <c r="F370" s="67">
        <v>81152</v>
      </c>
      <c r="G370" s="68" t="s">
        <v>90</v>
      </c>
      <c r="H370" s="69" t="s">
        <v>91</v>
      </c>
      <c r="I370" s="67" t="s">
        <v>341</v>
      </c>
      <c r="J370" s="70" t="s">
        <v>1110</v>
      </c>
      <c r="K370" s="67" t="s">
        <v>2157</v>
      </c>
      <c r="L370" s="71" t="s">
        <v>95</v>
      </c>
      <c r="M370" s="72" t="s">
        <v>2158</v>
      </c>
      <c r="N370" s="73">
        <v>45890</v>
      </c>
      <c r="O370" s="74">
        <v>45896</v>
      </c>
      <c r="P370" s="75" t="s">
        <v>97</v>
      </c>
      <c r="Q370" s="76" t="s">
        <v>97</v>
      </c>
      <c r="R370" s="64" t="s">
        <v>98</v>
      </c>
      <c r="S370" s="77" t="s">
        <v>2159</v>
      </c>
      <c r="T370" s="74" t="s">
        <v>100</v>
      </c>
      <c r="U370" s="64" t="s">
        <v>2160</v>
      </c>
      <c r="V370" s="70" t="s">
        <v>102</v>
      </c>
      <c r="W370" s="74" t="s">
        <v>103</v>
      </c>
      <c r="X370" s="68" t="s">
        <v>2161</v>
      </c>
      <c r="Y370" s="64">
        <v>1</v>
      </c>
      <c r="Z370" s="78">
        <v>0</v>
      </c>
      <c r="AA370" s="79">
        <f>'BASE FACTURACION 2025'!$C$3</f>
        <v>122645.45276000001</v>
      </c>
      <c r="AB370" s="79">
        <f>'BASE FACTURACION 2025'!$F$3</f>
        <v>65164.677720000007</v>
      </c>
      <c r="AC370" s="79">
        <f t="shared" si="5"/>
        <v>122645.45276000001</v>
      </c>
    </row>
    <row r="371" spans="1:29" s="80" customFormat="1" ht="15" customHeight="1">
      <c r="A371" s="64" t="s">
        <v>391</v>
      </c>
      <c r="B371" s="65" t="str">
        <f>VLOOKUP(A371,'CENTRO DE COSTOS'!A:D,4,FALSE)</f>
        <v>WILLIAM ASDRUBAL ROZO ROZO</v>
      </c>
      <c r="C371" s="65" t="str">
        <f>VLOOKUP(A371,'CENTRO DE COSTOS'!A:D,2,FALSE)</f>
        <v>0004-0004</v>
      </c>
      <c r="D371" s="64">
        <v>25175</v>
      </c>
      <c r="E371" s="66" t="s">
        <v>2162</v>
      </c>
      <c r="F371" s="67">
        <v>81127</v>
      </c>
      <c r="G371" s="68" t="s">
        <v>90</v>
      </c>
      <c r="H371" s="69" t="s">
        <v>91</v>
      </c>
      <c r="I371" s="67" t="s">
        <v>393</v>
      </c>
      <c r="J371" s="70" t="s">
        <v>1805</v>
      </c>
      <c r="K371" s="67" t="s">
        <v>2163</v>
      </c>
      <c r="L371" s="71" t="s">
        <v>95</v>
      </c>
      <c r="M371" s="72" t="s">
        <v>2164</v>
      </c>
      <c r="N371" s="73">
        <v>45890</v>
      </c>
      <c r="O371" s="74">
        <v>45891</v>
      </c>
      <c r="P371" s="75" t="s">
        <v>97</v>
      </c>
      <c r="Q371" s="76" t="s">
        <v>97</v>
      </c>
      <c r="R371" s="64" t="s">
        <v>98</v>
      </c>
      <c r="S371" s="77" t="s">
        <v>2165</v>
      </c>
      <c r="T371" s="74" t="s">
        <v>100</v>
      </c>
      <c r="U371" s="64" t="s">
        <v>2166</v>
      </c>
      <c r="V371" s="70" t="s">
        <v>162</v>
      </c>
      <c r="W371" s="74" t="s">
        <v>103</v>
      </c>
      <c r="X371" s="68" t="s">
        <v>917</v>
      </c>
      <c r="Y371" s="64">
        <v>1</v>
      </c>
      <c r="Z371" s="78">
        <v>0</v>
      </c>
      <c r="AA371" s="79">
        <f>'BASE FACTURACION 2025'!$C$3</f>
        <v>122645.45276000001</v>
      </c>
      <c r="AB371" s="79">
        <f>'BASE FACTURACION 2025'!$F$3</f>
        <v>65164.677720000007</v>
      </c>
      <c r="AC371" s="79">
        <f t="shared" si="5"/>
        <v>122645.45276000001</v>
      </c>
    </row>
    <row r="372" spans="1:29" s="80" customFormat="1" ht="15" customHeight="1">
      <c r="A372" s="64" t="s">
        <v>261</v>
      </c>
      <c r="B372" s="65" t="str">
        <f>VLOOKUP(A372,'CENTRO DE COSTOS'!A:D,4,FALSE)</f>
        <v>JOSE MAURICIO HERNANDEZ ROJAS</v>
      </c>
      <c r="C372" s="65" t="str">
        <f>VLOOKUP(A372,'CENTRO DE COSTOS'!A:D,2,FALSE)</f>
        <v>0004-0001</v>
      </c>
      <c r="D372" s="64">
        <v>13052</v>
      </c>
      <c r="E372" s="66" t="s">
        <v>2167</v>
      </c>
      <c r="F372" s="67">
        <v>81120</v>
      </c>
      <c r="G372" s="68" t="s">
        <v>90</v>
      </c>
      <c r="H372" s="69" t="s">
        <v>91</v>
      </c>
      <c r="I372" s="67" t="s">
        <v>231</v>
      </c>
      <c r="J372" s="70" t="s">
        <v>2168</v>
      </c>
      <c r="K372" s="67" t="s">
        <v>2169</v>
      </c>
      <c r="L372" s="71" t="s">
        <v>95</v>
      </c>
      <c r="M372" s="72" t="s">
        <v>2170</v>
      </c>
      <c r="N372" s="73">
        <v>45890</v>
      </c>
      <c r="O372" s="74">
        <v>45894</v>
      </c>
      <c r="P372" s="75" t="s">
        <v>97</v>
      </c>
      <c r="Q372" s="76" t="s">
        <v>97</v>
      </c>
      <c r="R372" s="64" t="s">
        <v>98</v>
      </c>
      <c r="S372" s="77" t="s">
        <v>2171</v>
      </c>
      <c r="T372" s="74" t="s">
        <v>100</v>
      </c>
      <c r="U372" s="64" t="s">
        <v>2172</v>
      </c>
      <c r="V372" s="70" t="s">
        <v>162</v>
      </c>
      <c r="W372" s="74" t="s">
        <v>103</v>
      </c>
      <c r="X372" s="68" t="s">
        <v>268</v>
      </c>
      <c r="Y372" s="64">
        <v>1</v>
      </c>
      <c r="Z372" s="78">
        <v>0</v>
      </c>
      <c r="AA372" s="79">
        <f>'BASE FACTURACION 2025'!$C$3</f>
        <v>122645.45276000001</v>
      </c>
      <c r="AB372" s="79">
        <f>'BASE FACTURACION 2025'!$F$3</f>
        <v>65164.677720000007</v>
      </c>
      <c r="AC372" s="79">
        <f t="shared" si="5"/>
        <v>122645.45276000001</v>
      </c>
    </row>
    <row r="373" spans="1:29" s="80" customFormat="1" ht="15" customHeight="1">
      <c r="A373" s="64" t="s">
        <v>261</v>
      </c>
      <c r="B373" s="65" t="str">
        <f>VLOOKUP(A373,'CENTRO DE COSTOS'!A:D,4,FALSE)</f>
        <v>JOSE MAURICIO HERNANDEZ ROJAS</v>
      </c>
      <c r="C373" s="65" t="str">
        <f>VLOOKUP(A373,'CENTRO DE COSTOS'!A:D,2,FALSE)</f>
        <v>0004-0001</v>
      </c>
      <c r="D373" s="64">
        <v>13001</v>
      </c>
      <c r="E373" s="66" t="s">
        <v>2173</v>
      </c>
      <c r="F373" s="67">
        <v>81126</v>
      </c>
      <c r="G373" s="68" t="s">
        <v>90</v>
      </c>
      <c r="H373" s="69" t="s">
        <v>182</v>
      </c>
      <c r="I373" s="67" t="s">
        <v>231</v>
      </c>
      <c r="J373" s="70" t="s">
        <v>261</v>
      </c>
      <c r="K373" s="67" t="s">
        <v>2174</v>
      </c>
      <c r="L373" s="71" t="s">
        <v>95</v>
      </c>
      <c r="M373" s="72" t="s">
        <v>2175</v>
      </c>
      <c r="N373" s="73">
        <v>45890</v>
      </c>
      <c r="O373" s="74">
        <v>45891</v>
      </c>
      <c r="P373" s="75" t="s">
        <v>97</v>
      </c>
      <c r="Q373" s="76" t="s">
        <v>97</v>
      </c>
      <c r="R373" s="64" t="s">
        <v>98</v>
      </c>
      <c r="S373" s="77" t="s">
        <v>2176</v>
      </c>
      <c r="T373" s="74" t="s">
        <v>100</v>
      </c>
      <c r="U373" s="64" t="s">
        <v>2177</v>
      </c>
      <c r="V373" s="70" t="s">
        <v>133</v>
      </c>
      <c r="W373" s="74" t="s">
        <v>103</v>
      </c>
      <c r="X373" s="68" t="s">
        <v>373</v>
      </c>
      <c r="Y373" s="64">
        <v>1</v>
      </c>
      <c r="Z373" s="78">
        <v>0</v>
      </c>
      <c r="AA373" s="79">
        <f>'BASE FACTURACION 2025'!$C$3</f>
        <v>122645.45276000001</v>
      </c>
      <c r="AB373" s="79">
        <f>'BASE FACTURACION 2025'!$F$3</f>
        <v>65164.677720000007</v>
      </c>
      <c r="AC373" s="79">
        <f t="shared" si="5"/>
        <v>122645.45276000001</v>
      </c>
    </row>
    <row r="374" spans="1:29" s="80" customFormat="1" ht="15" customHeight="1">
      <c r="A374" s="64" t="s">
        <v>229</v>
      </c>
      <c r="B374" s="65" t="str">
        <f>VLOOKUP(A374,'CENTRO DE COSTOS'!A:D,4,FALSE)</f>
        <v>MIGUEL JULIÁN HERNÁNDEZ GUARÍN</v>
      </c>
      <c r="C374" s="65" t="str">
        <f>VLOOKUP(A374,'CENTRO DE COSTOS'!A:D,2,FALSE)</f>
        <v>0004-0008</v>
      </c>
      <c r="D374" s="64">
        <v>68276</v>
      </c>
      <c r="E374" s="66" t="s">
        <v>2178</v>
      </c>
      <c r="F374" s="67">
        <v>81134</v>
      </c>
      <c r="G374" s="68" t="s">
        <v>90</v>
      </c>
      <c r="H374" s="69" t="s">
        <v>91</v>
      </c>
      <c r="I374" s="67" t="s">
        <v>714</v>
      </c>
      <c r="J374" s="70" t="s">
        <v>840</v>
      </c>
      <c r="K374" s="67" t="s">
        <v>2179</v>
      </c>
      <c r="L374" s="71" t="s">
        <v>95</v>
      </c>
      <c r="M374" s="72" t="s">
        <v>2180</v>
      </c>
      <c r="N374" s="73">
        <v>45890</v>
      </c>
      <c r="O374" s="74">
        <v>45891</v>
      </c>
      <c r="P374" s="75" t="s">
        <v>97</v>
      </c>
      <c r="Q374" s="76" t="s">
        <v>97</v>
      </c>
      <c r="R374" s="64" t="s">
        <v>98</v>
      </c>
      <c r="S374" s="77" t="s">
        <v>2181</v>
      </c>
      <c r="T374" s="74" t="s">
        <v>100</v>
      </c>
      <c r="U374" s="64" t="s">
        <v>2182</v>
      </c>
      <c r="V374" s="70" t="s">
        <v>133</v>
      </c>
      <c r="W374" s="74" t="s">
        <v>103</v>
      </c>
      <c r="X374" s="68" t="s">
        <v>838</v>
      </c>
      <c r="Y374" s="64">
        <v>1</v>
      </c>
      <c r="Z374" s="78">
        <v>0</v>
      </c>
      <c r="AA374" s="79">
        <f>'BASE FACTURACION 2025'!$C$3</f>
        <v>122645.45276000001</v>
      </c>
      <c r="AB374" s="79">
        <f>'BASE FACTURACION 2025'!$F$3</f>
        <v>65164.677720000007</v>
      </c>
      <c r="AC374" s="79">
        <f t="shared" si="5"/>
        <v>122645.45276000001</v>
      </c>
    </row>
    <row r="375" spans="1:29" s="80" customFormat="1" ht="15" customHeight="1">
      <c r="A375" s="64" t="s">
        <v>229</v>
      </c>
      <c r="B375" s="65" t="str">
        <f>VLOOKUP(A375,'CENTRO DE COSTOS'!A:D,4,FALSE)</f>
        <v>MIGUEL JULIÁN HERNÁNDEZ GUARÍN</v>
      </c>
      <c r="C375" s="65" t="str">
        <f>VLOOKUP(A375,'CENTRO DE COSTOS'!A:D,2,FALSE)</f>
        <v>0004-0008</v>
      </c>
      <c r="D375" s="64">
        <v>20710</v>
      </c>
      <c r="E375" s="66" t="s">
        <v>2183</v>
      </c>
      <c r="F375" s="67">
        <v>81155</v>
      </c>
      <c r="G375" s="68" t="s">
        <v>90</v>
      </c>
      <c r="H375" s="69" t="s">
        <v>91</v>
      </c>
      <c r="I375" s="67" t="s">
        <v>361</v>
      </c>
      <c r="J375" s="70" t="s">
        <v>2184</v>
      </c>
      <c r="K375" s="67" t="s">
        <v>2185</v>
      </c>
      <c r="L375" s="71" t="s">
        <v>95</v>
      </c>
      <c r="M375" s="72" t="s">
        <v>2186</v>
      </c>
      <c r="N375" s="73">
        <v>45890</v>
      </c>
      <c r="O375" s="74">
        <v>45891</v>
      </c>
      <c r="P375" s="75" t="s">
        <v>97</v>
      </c>
      <c r="Q375" s="76" t="s">
        <v>97</v>
      </c>
      <c r="R375" s="64" t="s">
        <v>98</v>
      </c>
      <c r="S375" s="77" t="s">
        <v>2187</v>
      </c>
      <c r="T375" s="74" t="s">
        <v>100</v>
      </c>
      <c r="U375" s="64" t="s">
        <v>2188</v>
      </c>
      <c r="V375" s="70" t="s">
        <v>189</v>
      </c>
      <c r="W375" s="74" t="s">
        <v>103</v>
      </c>
      <c r="X375" s="68" t="s">
        <v>904</v>
      </c>
      <c r="Y375" s="64">
        <v>1</v>
      </c>
      <c r="Z375" s="78">
        <v>0</v>
      </c>
      <c r="AA375" s="79">
        <f>'BASE FACTURACION 2025'!$C$3</f>
        <v>122645.45276000001</v>
      </c>
      <c r="AB375" s="79">
        <f>'BASE FACTURACION 2025'!$F$3</f>
        <v>65164.677720000007</v>
      </c>
      <c r="AC375" s="79">
        <f t="shared" si="5"/>
        <v>122645.45276000001</v>
      </c>
    </row>
    <row r="376" spans="1:29" s="80" customFormat="1" ht="15" customHeight="1">
      <c r="A376" s="64" t="s">
        <v>413</v>
      </c>
      <c r="B376" s="65" t="str">
        <f>VLOOKUP(A376,'CENTRO DE COSTOS'!A:D,4,FALSE)</f>
        <v>DIEGO FERNANDO HENAO CARDONA</v>
      </c>
      <c r="C376" s="65" t="str">
        <f>VLOOKUP(A376,'CENTRO DE COSTOS'!A:D,2,FALSE)</f>
        <v>0004-0002</v>
      </c>
      <c r="D376" s="64">
        <v>66318</v>
      </c>
      <c r="E376" s="66" t="s">
        <v>2189</v>
      </c>
      <c r="F376" s="67">
        <v>81139</v>
      </c>
      <c r="G376" s="68" t="s">
        <v>90</v>
      </c>
      <c r="H376" s="69" t="s">
        <v>91</v>
      </c>
      <c r="I376" s="67" t="s">
        <v>531</v>
      </c>
      <c r="J376" s="70" t="s">
        <v>2190</v>
      </c>
      <c r="K376" s="67" t="s">
        <v>2191</v>
      </c>
      <c r="L376" s="71" t="s">
        <v>95</v>
      </c>
      <c r="M376" s="72" t="s">
        <v>2192</v>
      </c>
      <c r="N376" s="73">
        <v>45890</v>
      </c>
      <c r="O376" s="74">
        <v>45898</v>
      </c>
      <c r="P376" s="75" t="s">
        <v>97</v>
      </c>
      <c r="Q376" s="76" t="s">
        <v>97</v>
      </c>
      <c r="R376" s="64" t="s">
        <v>98</v>
      </c>
      <c r="S376" s="77" t="s">
        <v>2193</v>
      </c>
      <c r="T376" s="74" t="s">
        <v>100</v>
      </c>
      <c r="U376" s="64" t="s">
        <v>2194</v>
      </c>
      <c r="V376" s="70" t="s">
        <v>162</v>
      </c>
      <c r="W376" s="74" t="s">
        <v>103</v>
      </c>
      <c r="X376" s="68" t="s">
        <v>469</v>
      </c>
      <c r="Y376" s="64">
        <v>1</v>
      </c>
      <c r="Z376" s="78">
        <v>0</v>
      </c>
      <c r="AA376" s="79">
        <f>'BASE FACTURACION 2025'!$C$3</f>
        <v>122645.45276000001</v>
      </c>
      <c r="AB376" s="79">
        <f>'BASE FACTURACION 2025'!$F$3</f>
        <v>65164.677720000007</v>
      </c>
      <c r="AC376" s="79">
        <f t="shared" si="5"/>
        <v>122645.45276000001</v>
      </c>
    </row>
    <row r="377" spans="1:29" s="80" customFormat="1" ht="15" customHeight="1">
      <c r="A377" s="64" t="s">
        <v>391</v>
      </c>
      <c r="B377" s="65" t="str">
        <f>VLOOKUP(A377,'CENTRO DE COSTOS'!A:D,4,FALSE)</f>
        <v>WILLIAM ASDRUBAL ROZO ROZO</v>
      </c>
      <c r="C377" s="65" t="str">
        <f>VLOOKUP(A377,'CENTRO DE COSTOS'!A:D,2,FALSE)</f>
        <v>0004-0004</v>
      </c>
      <c r="D377" s="64">
        <v>25326</v>
      </c>
      <c r="E377" s="66" t="s">
        <v>2195</v>
      </c>
      <c r="F377" s="67">
        <v>81158</v>
      </c>
      <c r="G377" s="68" t="s">
        <v>90</v>
      </c>
      <c r="H377" s="69" t="s">
        <v>91</v>
      </c>
      <c r="I377" s="67" t="s">
        <v>393</v>
      </c>
      <c r="J377" s="70" t="s">
        <v>2196</v>
      </c>
      <c r="K377" s="67" t="s">
        <v>2197</v>
      </c>
      <c r="L377" s="71" t="s">
        <v>95</v>
      </c>
      <c r="M377" s="72" t="s">
        <v>2198</v>
      </c>
      <c r="N377" s="73">
        <v>45890</v>
      </c>
      <c r="O377" s="74">
        <v>45894</v>
      </c>
      <c r="P377" s="75" t="s">
        <v>97</v>
      </c>
      <c r="Q377" s="76" t="s">
        <v>97</v>
      </c>
      <c r="R377" s="64" t="s">
        <v>98</v>
      </c>
      <c r="S377" s="77" t="s">
        <v>2199</v>
      </c>
      <c r="T377" s="74" t="s">
        <v>100</v>
      </c>
      <c r="U377" s="64" t="s">
        <v>2200</v>
      </c>
      <c r="V377" s="70" t="s">
        <v>162</v>
      </c>
      <c r="W377" s="74" t="s">
        <v>103</v>
      </c>
      <c r="X377" s="68" t="s">
        <v>776</v>
      </c>
      <c r="Y377" s="64">
        <v>1</v>
      </c>
      <c r="Z377" s="78">
        <v>0</v>
      </c>
      <c r="AA377" s="79">
        <f>'BASE FACTURACION 2025'!$C$3</f>
        <v>122645.45276000001</v>
      </c>
      <c r="AB377" s="79">
        <f>'BASE FACTURACION 2025'!$F$3</f>
        <v>65164.677720000007</v>
      </c>
      <c r="AC377" s="79">
        <f t="shared" si="5"/>
        <v>122645.45276000001</v>
      </c>
    </row>
    <row r="378" spans="1:29" s="80" customFormat="1" ht="15" customHeight="1">
      <c r="A378" s="64" t="s">
        <v>391</v>
      </c>
      <c r="B378" s="65" t="str">
        <f>VLOOKUP(A378,'CENTRO DE COSTOS'!A:D,4,FALSE)</f>
        <v>WILLIAM ASDRUBAL ROZO ROZO</v>
      </c>
      <c r="C378" s="65" t="str">
        <f>VLOOKUP(A378,'CENTRO DE COSTOS'!A:D,2,FALSE)</f>
        <v>0004-0004</v>
      </c>
      <c r="D378" s="64">
        <v>25286</v>
      </c>
      <c r="E378" s="66" t="s">
        <v>2201</v>
      </c>
      <c r="F378" s="67">
        <v>81136</v>
      </c>
      <c r="G378" s="68" t="s">
        <v>90</v>
      </c>
      <c r="H378" s="69" t="s">
        <v>91</v>
      </c>
      <c r="I378" s="67" t="s">
        <v>393</v>
      </c>
      <c r="J378" s="70" t="s">
        <v>1900</v>
      </c>
      <c r="K378" s="67" t="s">
        <v>2202</v>
      </c>
      <c r="L378" s="71" t="s">
        <v>95</v>
      </c>
      <c r="M378" s="72" t="s">
        <v>2203</v>
      </c>
      <c r="N378" s="73">
        <v>45890</v>
      </c>
      <c r="O378" s="74">
        <v>45891</v>
      </c>
      <c r="P378" s="75" t="s">
        <v>97</v>
      </c>
      <c r="Q378" s="76" t="s">
        <v>97</v>
      </c>
      <c r="R378" s="64" t="s">
        <v>98</v>
      </c>
      <c r="S378" s="77" t="s">
        <v>2204</v>
      </c>
      <c r="T378" s="74" t="s">
        <v>100</v>
      </c>
      <c r="U378" s="64" t="s">
        <v>2205</v>
      </c>
      <c r="V378" s="70" t="s">
        <v>162</v>
      </c>
      <c r="W378" s="74" t="s">
        <v>103</v>
      </c>
      <c r="X378" s="68" t="s">
        <v>463</v>
      </c>
      <c r="Y378" s="64">
        <v>1</v>
      </c>
      <c r="Z378" s="78">
        <v>0</v>
      </c>
      <c r="AA378" s="79">
        <f>'BASE FACTURACION 2025'!$C$3</f>
        <v>122645.45276000001</v>
      </c>
      <c r="AB378" s="79">
        <f>'BASE FACTURACION 2025'!$F$3</f>
        <v>65164.677720000007</v>
      </c>
      <c r="AC378" s="79">
        <f t="shared" si="5"/>
        <v>122645.45276000001</v>
      </c>
    </row>
    <row r="379" spans="1:29" s="80" customFormat="1" ht="15" customHeight="1">
      <c r="A379" s="64" t="s">
        <v>399</v>
      </c>
      <c r="B379" s="65" t="str">
        <f>VLOOKUP(A379,'CENTRO DE COSTOS'!A:D,4,FALSE)</f>
        <v>DIEGO FERNANDO HENAO CARDONA</v>
      </c>
      <c r="C379" s="65" t="str">
        <f>VLOOKUP(A379,'CENTRO DE COSTOS'!A:D,2,FALSE)</f>
        <v>0004-0002</v>
      </c>
      <c r="D379" s="64">
        <v>17001</v>
      </c>
      <c r="E379" s="66" t="s">
        <v>2206</v>
      </c>
      <c r="F379" s="67">
        <v>81143</v>
      </c>
      <c r="G379" s="68" t="s">
        <v>90</v>
      </c>
      <c r="H379" s="69" t="s">
        <v>91</v>
      </c>
      <c r="I379" s="67" t="s">
        <v>401</v>
      </c>
      <c r="J379" s="70" t="s">
        <v>399</v>
      </c>
      <c r="K379" s="67" t="s">
        <v>2207</v>
      </c>
      <c r="L379" s="71" t="s">
        <v>95</v>
      </c>
      <c r="M379" s="72" t="s">
        <v>2208</v>
      </c>
      <c r="N379" s="73">
        <v>45890</v>
      </c>
      <c r="O379" s="74">
        <v>45894</v>
      </c>
      <c r="P379" s="75" t="s">
        <v>97</v>
      </c>
      <c r="Q379" s="76" t="s">
        <v>97</v>
      </c>
      <c r="R379" s="64" t="s">
        <v>98</v>
      </c>
      <c r="S379" s="77" t="s">
        <v>2209</v>
      </c>
      <c r="T379" s="74" t="s">
        <v>100</v>
      </c>
      <c r="U379" s="64" t="s">
        <v>2210</v>
      </c>
      <c r="V379" s="70" t="s">
        <v>133</v>
      </c>
      <c r="W379" s="74" t="s">
        <v>103</v>
      </c>
      <c r="X379" s="68" t="s">
        <v>406</v>
      </c>
      <c r="Y379" s="64">
        <v>1</v>
      </c>
      <c r="Z379" s="78">
        <v>0</v>
      </c>
      <c r="AA379" s="79">
        <f>'BASE FACTURACION 2025'!$C$3</f>
        <v>122645.45276000001</v>
      </c>
      <c r="AB379" s="79">
        <f>'BASE FACTURACION 2025'!$F$3</f>
        <v>65164.677720000007</v>
      </c>
      <c r="AC379" s="79">
        <f t="shared" si="5"/>
        <v>122645.45276000001</v>
      </c>
    </row>
    <row r="380" spans="1:29" s="80" customFormat="1" ht="15" customHeight="1">
      <c r="A380" s="64" t="s">
        <v>180</v>
      </c>
      <c r="B380" s="65" t="str">
        <f>VLOOKUP(A380,'CENTRO DE COSTOS'!A:D,4,FALSE)</f>
        <v>DIEGO FERNANDO HENAO CARDONA</v>
      </c>
      <c r="C380" s="65" t="str">
        <f>VLOOKUP(A380,'CENTRO DE COSTOS'!A:D,2,FALSE)</f>
        <v>0004-0003</v>
      </c>
      <c r="D380" s="64">
        <v>19001</v>
      </c>
      <c r="E380" s="66" t="s">
        <v>2211</v>
      </c>
      <c r="F380" s="67">
        <v>81150</v>
      </c>
      <c r="G380" s="68" t="s">
        <v>90</v>
      </c>
      <c r="H380" s="69" t="s">
        <v>91</v>
      </c>
      <c r="I380" s="67" t="s">
        <v>183</v>
      </c>
      <c r="J380" s="70" t="s">
        <v>1249</v>
      </c>
      <c r="K380" s="67" t="s">
        <v>2212</v>
      </c>
      <c r="L380" s="71" t="s">
        <v>95</v>
      </c>
      <c r="M380" s="72" t="s">
        <v>2213</v>
      </c>
      <c r="N380" s="73">
        <v>45890</v>
      </c>
      <c r="O380" s="74">
        <v>45894</v>
      </c>
      <c r="P380" s="75" t="s">
        <v>97</v>
      </c>
      <c r="Q380" s="76" t="s">
        <v>97</v>
      </c>
      <c r="R380" s="64" t="s">
        <v>98</v>
      </c>
      <c r="S380" s="77" t="s">
        <v>2214</v>
      </c>
      <c r="T380" s="74" t="s">
        <v>100</v>
      </c>
      <c r="U380" s="64" t="s">
        <v>2215</v>
      </c>
      <c r="V380" s="70" t="s">
        <v>189</v>
      </c>
      <c r="W380" s="74" t="s">
        <v>103</v>
      </c>
      <c r="X380" s="68" t="s">
        <v>260</v>
      </c>
      <c r="Y380" s="64">
        <v>1</v>
      </c>
      <c r="Z380" s="78">
        <v>0</v>
      </c>
      <c r="AA380" s="79">
        <f>'BASE FACTURACION 2025'!$C$3</f>
        <v>122645.45276000001</v>
      </c>
      <c r="AB380" s="79">
        <f>'BASE FACTURACION 2025'!$F$3</f>
        <v>65164.677720000007</v>
      </c>
      <c r="AC380" s="79">
        <f t="shared" si="5"/>
        <v>122645.45276000001</v>
      </c>
    </row>
    <row r="381" spans="1:29" s="80" customFormat="1" ht="15" customHeight="1">
      <c r="A381" s="64" t="s">
        <v>391</v>
      </c>
      <c r="B381" s="65" t="str">
        <f>VLOOKUP(A381,'CENTRO DE COSTOS'!A:D,4,FALSE)</f>
        <v>WILLIAM ASDRUBAL ROZO ROZO</v>
      </c>
      <c r="C381" s="65" t="str">
        <f>VLOOKUP(A381,'CENTRO DE COSTOS'!A:D,2,FALSE)</f>
        <v>0004-0004</v>
      </c>
      <c r="D381" s="64">
        <v>25386</v>
      </c>
      <c r="E381" s="66" t="s">
        <v>2216</v>
      </c>
      <c r="F381" s="67">
        <v>81141</v>
      </c>
      <c r="G381" s="68" t="s">
        <v>90</v>
      </c>
      <c r="H381" s="69" t="s">
        <v>91</v>
      </c>
      <c r="I381" s="67" t="s">
        <v>393</v>
      </c>
      <c r="J381" s="70" t="s">
        <v>2217</v>
      </c>
      <c r="K381" s="67" t="s">
        <v>2218</v>
      </c>
      <c r="L381" s="71" t="s">
        <v>95</v>
      </c>
      <c r="M381" s="72" t="s">
        <v>2219</v>
      </c>
      <c r="N381" s="73">
        <v>45890</v>
      </c>
      <c r="O381" s="74">
        <v>45891</v>
      </c>
      <c r="P381" s="75" t="s">
        <v>97</v>
      </c>
      <c r="Q381" s="76" t="s">
        <v>97</v>
      </c>
      <c r="R381" s="64" t="s">
        <v>98</v>
      </c>
      <c r="S381" s="77" t="s">
        <v>2220</v>
      </c>
      <c r="T381" s="74" t="s">
        <v>100</v>
      </c>
      <c r="U381" s="64" t="s">
        <v>2221</v>
      </c>
      <c r="V381" s="70" t="s">
        <v>162</v>
      </c>
      <c r="W381" s="74" t="s">
        <v>103</v>
      </c>
      <c r="X381" s="68" t="s">
        <v>781</v>
      </c>
      <c r="Y381" s="64">
        <v>1</v>
      </c>
      <c r="Z381" s="78">
        <v>0</v>
      </c>
      <c r="AA381" s="79">
        <f>'BASE FACTURACION 2025'!$C$3</f>
        <v>122645.45276000001</v>
      </c>
      <c r="AB381" s="79">
        <f>'BASE FACTURACION 2025'!$F$3</f>
        <v>65164.677720000007</v>
      </c>
      <c r="AC381" s="79">
        <f t="shared" si="5"/>
        <v>122645.45276000001</v>
      </c>
    </row>
    <row r="382" spans="1:29" s="80" customFormat="1" ht="15" customHeight="1">
      <c r="A382" s="64" t="s">
        <v>555</v>
      </c>
      <c r="B382" s="65" t="str">
        <f>VLOOKUP(A382,'CENTRO DE COSTOS'!A:D,4,FALSE)</f>
        <v>JUAN SEBASTIÁN RÍOS CASTRILLÓN</v>
      </c>
      <c r="C382" s="65" t="str">
        <f>VLOOKUP(A382,'CENTRO DE COSTOS'!A:D,2,FALSE)</f>
        <v>0004-0005</v>
      </c>
      <c r="D382" s="64">
        <v>5147</v>
      </c>
      <c r="E382" s="66" t="s">
        <v>2222</v>
      </c>
      <c r="F382" s="67">
        <v>81130</v>
      </c>
      <c r="G382" s="68" t="s">
        <v>90</v>
      </c>
      <c r="H382" s="69" t="s">
        <v>91</v>
      </c>
      <c r="I382" s="67" t="s">
        <v>138</v>
      </c>
      <c r="J382" s="70" t="s">
        <v>2223</v>
      </c>
      <c r="K382" s="67" t="s">
        <v>2224</v>
      </c>
      <c r="L382" s="71" t="s">
        <v>95</v>
      </c>
      <c r="M382" s="72" t="s">
        <v>2225</v>
      </c>
      <c r="N382" s="73">
        <v>45890</v>
      </c>
      <c r="O382" s="74">
        <v>45891</v>
      </c>
      <c r="P382" s="75" t="s">
        <v>97</v>
      </c>
      <c r="Q382" s="76" t="s">
        <v>97</v>
      </c>
      <c r="R382" s="64" t="s">
        <v>98</v>
      </c>
      <c r="S382" s="77" t="s">
        <v>2226</v>
      </c>
      <c r="T382" s="74" t="s">
        <v>100</v>
      </c>
      <c r="U382" s="64" t="s">
        <v>2227</v>
      </c>
      <c r="V382" s="70" t="s">
        <v>133</v>
      </c>
      <c r="W382" s="74" t="s">
        <v>103</v>
      </c>
      <c r="X382" s="68" t="s">
        <v>299</v>
      </c>
      <c r="Y382" s="64">
        <v>1</v>
      </c>
      <c r="Z382" s="78">
        <v>0</v>
      </c>
      <c r="AA382" s="79">
        <f>'BASE FACTURACION 2025'!$C$3</f>
        <v>122645.45276000001</v>
      </c>
      <c r="AB382" s="79">
        <f>'BASE FACTURACION 2025'!$F$3</f>
        <v>65164.677720000007</v>
      </c>
      <c r="AC382" s="79">
        <f t="shared" si="5"/>
        <v>122645.45276000001</v>
      </c>
    </row>
    <row r="383" spans="1:29" s="80" customFormat="1" ht="15" customHeight="1">
      <c r="A383" s="64" t="s">
        <v>555</v>
      </c>
      <c r="B383" s="65" t="str">
        <f>VLOOKUP(A383,'CENTRO DE COSTOS'!A:D,4,FALSE)</f>
        <v>JUAN SEBASTIÁN RÍOS CASTRILLÓN</v>
      </c>
      <c r="C383" s="65" t="str">
        <f>VLOOKUP(A383,'CENTRO DE COSTOS'!A:D,2,FALSE)</f>
        <v>0004-0005</v>
      </c>
      <c r="D383" s="64">
        <v>5045</v>
      </c>
      <c r="E383" s="66" t="s">
        <v>2228</v>
      </c>
      <c r="F383" s="67">
        <v>81129</v>
      </c>
      <c r="G383" s="68" t="s">
        <v>90</v>
      </c>
      <c r="H383" s="69" t="s">
        <v>182</v>
      </c>
      <c r="I383" s="67" t="s">
        <v>138</v>
      </c>
      <c r="J383" s="70" t="s">
        <v>555</v>
      </c>
      <c r="K383" s="67" t="s">
        <v>2229</v>
      </c>
      <c r="L383" s="71" t="s">
        <v>95</v>
      </c>
      <c r="M383" s="72" t="s">
        <v>2230</v>
      </c>
      <c r="N383" s="73">
        <v>45890</v>
      </c>
      <c r="O383" s="74">
        <v>45891</v>
      </c>
      <c r="P383" s="75" t="s">
        <v>97</v>
      </c>
      <c r="Q383" s="76" t="s">
        <v>97</v>
      </c>
      <c r="R383" s="64" t="s">
        <v>98</v>
      </c>
      <c r="S383" s="77" t="s">
        <v>2231</v>
      </c>
      <c r="T383" s="74" t="s">
        <v>100</v>
      </c>
      <c r="U383" s="64" t="s">
        <v>2232</v>
      </c>
      <c r="V383" s="70" t="s">
        <v>133</v>
      </c>
      <c r="W383" s="74" t="s">
        <v>103</v>
      </c>
      <c r="X383" s="68" t="s">
        <v>562</v>
      </c>
      <c r="Y383" s="64">
        <v>1</v>
      </c>
      <c r="Z383" s="78">
        <v>0</v>
      </c>
      <c r="AA383" s="79">
        <f>'BASE FACTURACION 2025'!$C$3</f>
        <v>122645.45276000001</v>
      </c>
      <c r="AB383" s="79">
        <f>'BASE FACTURACION 2025'!$F$3</f>
        <v>65164.677720000007</v>
      </c>
      <c r="AC383" s="79">
        <f t="shared" si="5"/>
        <v>122645.45276000001</v>
      </c>
    </row>
    <row r="384" spans="1:29" s="80" customFormat="1" ht="15" customHeight="1">
      <c r="A384" s="64" t="s">
        <v>180</v>
      </c>
      <c r="B384" s="65" t="str">
        <f>VLOOKUP(A384,'CENTRO DE COSTOS'!A:D,4,FALSE)</f>
        <v>DIEGO FERNANDO HENAO CARDONA</v>
      </c>
      <c r="C384" s="65" t="str">
        <f>VLOOKUP(A384,'CENTRO DE COSTOS'!A:D,2,FALSE)</f>
        <v>0004-0003</v>
      </c>
      <c r="D384" s="64">
        <v>19001</v>
      </c>
      <c r="E384" s="66" t="s">
        <v>2233</v>
      </c>
      <c r="F384" s="67">
        <v>81151</v>
      </c>
      <c r="G384" s="68" t="s">
        <v>90</v>
      </c>
      <c r="H384" s="69" t="s">
        <v>91</v>
      </c>
      <c r="I384" s="67" t="s">
        <v>183</v>
      </c>
      <c r="J384" s="70" t="s">
        <v>1249</v>
      </c>
      <c r="K384" s="67" t="s">
        <v>2234</v>
      </c>
      <c r="L384" s="71" t="s">
        <v>95</v>
      </c>
      <c r="M384" s="72" t="s">
        <v>2235</v>
      </c>
      <c r="N384" s="73">
        <v>45890</v>
      </c>
      <c r="O384" s="74">
        <v>45894</v>
      </c>
      <c r="P384" s="75" t="s">
        <v>97</v>
      </c>
      <c r="Q384" s="76" t="s">
        <v>97</v>
      </c>
      <c r="R384" s="64" t="s">
        <v>98</v>
      </c>
      <c r="S384" s="77" t="s">
        <v>2236</v>
      </c>
      <c r="T384" s="74" t="s">
        <v>100</v>
      </c>
      <c r="U384" s="64" t="s">
        <v>2237</v>
      </c>
      <c r="V384" s="70" t="s">
        <v>189</v>
      </c>
      <c r="W384" s="74" t="s">
        <v>103</v>
      </c>
      <c r="X384" s="68" t="s">
        <v>260</v>
      </c>
      <c r="Y384" s="64">
        <v>1</v>
      </c>
      <c r="Z384" s="78">
        <v>0</v>
      </c>
      <c r="AA384" s="79">
        <f>'BASE FACTURACION 2025'!$C$3</f>
        <v>122645.45276000001</v>
      </c>
      <c r="AB384" s="79">
        <f>'BASE FACTURACION 2025'!$F$3</f>
        <v>65164.677720000007</v>
      </c>
      <c r="AC384" s="79">
        <f t="shared" si="5"/>
        <v>122645.45276000001</v>
      </c>
    </row>
    <row r="385" spans="1:29" s="80" customFormat="1" ht="15" customHeight="1">
      <c r="A385" s="64" t="s">
        <v>399</v>
      </c>
      <c r="B385" s="65" t="str">
        <f>VLOOKUP(A385,'CENTRO DE COSTOS'!A:D,4,FALSE)</f>
        <v>DIEGO FERNANDO HENAO CARDONA</v>
      </c>
      <c r="C385" s="65" t="str">
        <f>VLOOKUP(A385,'CENTRO DE COSTOS'!A:D,2,FALSE)</f>
        <v>0004-0002</v>
      </c>
      <c r="D385" s="64">
        <v>17001</v>
      </c>
      <c r="E385" s="66" t="s">
        <v>2238</v>
      </c>
      <c r="F385" s="67">
        <v>81145</v>
      </c>
      <c r="G385" s="68" t="s">
        <v>90</v>
      </c>
      <c r="H385" s="69" t="s">
        <v>91</v>
      </c>
      <c r="I385" s="67" t="s">
        <v>401</v>
      </c>
      <c r="J385" s="70" t="s">
        <v>399</v>
      </c>
      <c r="K385" s="67" t="s">
        <v>2239</v>
      </c>
      <c r="L385" s="71" t="s">
        <v>95</v>
      </c>
      <c r="M385" s="72" t="s">
        <v>2240</v>
      </c>
      <c r="N385" s="73">
        <v>45890</v>
      </c>
      <c r="O385" s="74">
        <v>45894</v>
      </c>
      <c r="P385" s="75" t="s">
        <v>97</v>
      </c>
      <c r="Q385" s="76" t="s">
        <v>97</v>
      </c>
      <c r="R385" s="64" t="s">
        <v>98</v>
      </c>
      <c r="S385" s="77" t="s">
        <v>2241</v>
      </c>
      <c r="T385" s="74" t="s">
        <v>100</v>
      </c>
      <c r="U385" s="64" t="s">
        <v>2242</v>
      </c>
      <c r="V385" s="70" t="s">
        <v>133</v>
      </c>
      <c r="W385" s="74" t="s">
        <v>103</v>
      </c>
      <c r="X385" s="68" t="s">
        <v>420</v>
      </c>
      <c r="Y385" s="64">
        <v>1</v>
      </c>
      <c r="Z385" s="78">
        <v>0</v>
      </c>
      <c r="AA385" s="79">
        <f>'BASE FACTURACION 2025'!$C$3</f>
        <v>122645.45276000001</v>
      </c>
      <c r="AB385" s="79">
        <f>'BASE FACTURACION 2025'!$F$3</f>
        <v>65164.677720000007</v>
      </c>
      <c r="AC385" s="79">
        <f t="shared" si="5"/>
        <v>122645.45276000001</v>
      </c>
    </row>
    <row r="386" spans="1:29" s="80" customFormat="1" ht="15" customHeight="1">
      <c r="A386" s="64" t="s">
        <v>110</v>
      </c>
      <c r="B386" s="65" t="str">
        <f>VLOOKUP(A386,'CENTRO DE COSTOS'!A:D,4,FALSE)</f>
        <v>DIEGO FERNANDO HENAO CARDONA</v>
      </c>
      <c r="C386" s="65" t="str">
        <f>VLOOKUP(A386,'CENTRO DE COSTOS'!A:D,2,FALSE)</f>
        <v>0004-0003</v>
      </c>
      <c r="D386" s="64">
        <v>52356</v>
      </c>
      <c r="E386" s="66" t="s">
        <v>2243</v>
      </c>
      <c r="F386" s="67">
        <v>81140</v>
      </c>
      <c r="G386" s="68" t="s">
        <v>90</v>
      </c>
      <c r="H386" s="69" t="s">
        <v>91</v>
      </c>
      <c r="I386" s="67" t="s">
        <v>112</v>
      </c>
      <c r="J386" s="70" t="s">
        <v>2244</v>
      </c>
      <c r="K386" s="67" t="s">
        <v>2245</v>
      </c>
      <c r="L386" s="71" t="s">
        <v>95</v>
      </c>
      <c r="M386" s="72" t="s">
        <v>2246</v>
      </c>
      <c r="N386" s="73">
        <v>45890</v>
      </c>
      <c r="O386" s="74">
        <v>45891</v>
      </c>
      <c r="P386" s="75" t="s">
        <v>97</v>
      </c>
      <c r="Q386" s="76" t="s">
        <v>97</v>
      </c>
      <c r="R386" s="64" t="s">
        <v>98</v>
      </c>
      <c r="S386" s="77" t="s">
        <v>2247</v>
      </c>
      <c r="T386" s="74" t="s">
        <v>100</v>
      </c>
      <c r="U386" s="64" t="s">
        <v>2248</v>
      </c>
      <c r="V386" s="70" t="s">
        <v>162</v>
      </c>
      <c r="W386" s="74" t="s">
        <v>103</v>
      </c>
      <c r="X386" s="68" t="s">
        <v>120</v>
      </c>
      <c r="Y386" s="64">
        <v>1</v>
      </c>
      <c r="Z386" s="78">
        <v>0</v>
      </c>
      <c r="AA386" s="79">
        <f>'BASE FACTURACION 2025'!$C$3</f>
        <v>122645.45276000001</v>
      </c>
      <c r="AB386" s="79">
        <f>'BASE FACTURACION 2025'!$F$3</f>
        <v>65164.677720000007</v>
      </c>
      <c r="AC386" s="79">
        <f t="shared" si="5"/>
        <v>122645.45276000001</v>
      </c>
    </row>
    <row r="387" spans="1:29" s="80" customFormat="1" ht="15" customHeight="1">
      <c r="A387" s="64" t="s">
        <v>180</v>
      </c>
      <c r="B387" s="65" t="str">
        <f>VLOOKUP(A387,'CENTRO DE COSTOS'!A:D,4,FALSE)</f>
        <v>DIEGO FERNANDO HENAO CARDONA</v>
      </c>
      <c r="C387" s="65" t="str">
        <f>VLOOKUP(A387,'CENTRO DE COSTOS'!A:D,2,FALSE)</f>
        <v>0004-0003</v>
      </c>
      <c r="D387" s="64">
        <v>19698</v>
      </c>
      <c r="E387" s="66" t="s">
        <v>2249</v>
      </c>
      <c r="F387" s="67">
        <v>81157</v>
      </c>
      <c r="G387" s="68" t="s">
        <v>90</v>
      </c>
      <c r="H387" s="69" t="s">
        <v>91</v>
      </c>
      <c r="I387" s="67" t="s">
        <v>183</v>
      </c>
      <c r="J387" s="70" t="s">
        <v>2250</v>
      </c>
      <c r="K387" s="67" t="s">
        <v>2251</v>
      </c>
      <c r="L387" s="71" t="s">
        <v>95</v>
      </c>
      <c r="M387" s="72" t="s">
        <v>2252</v>
      </c>
      <c r="N387" s="73">
        <v>45890</v>
      </c>
      <c r="O387" s="74">
        <v>45891</v>
      </c>
      <c r="P387" s="75" t="s">
        <v>97</v>
      </c>
      <c r="Q387" s="76" t="s">
        <v>97</v>
      </c>
      <c r="R387" s="64" t="s">
        <v>98</v>
      </c>
      <c r="S387" s="77" t="s">
        <v>2253</v>
      </c>
      <c r="T387" s="74" t="s">
        <v>100</v>
      </c>
      <c r="U387" s="64" t="s">
        <v>2254</v>
      </c>
      <c r="V387" s="70" t="s">
        <v>162</v>
      </c>
      <c r="W387" s="74" t="s">
        <v>103</v>
      </c>
      <c r="X387" s="68" t="s">
        <v>450</v>
      </c>
      <c r="Y387" s="64">
        <v>1</v>
      </c>
      <c r="Z387" s="78">
        <v>0</v>
      </c>
      <c r="AA387" s="79">
        <f>'BASE FACTURACION 2025'!$C$3</f>
        <v>122645.45276000001</v>
      </c>
      <c r="AB387" s="79">
        <f>'BASE FACTURACION 2025'!$F$3</f>
        <v>65164.677720000007</v>
      </c>
      <c r="AC387" s="79">
        <f t="shared" ref="AC387:AC450" si="6">AA387*Y387+AB387*Z387</f>
        <v>122645.45276000001</v>
      </c>
    </row>
    <row r="388" spans="1:29" s="80" customFormat="1" ht="15" customHeight="1">
      <c r="A388" s="64" t="s">
        <v>135</v>
      </c>
      <c r="B388" s="65" t="str">
        <f>VLOOKUP(A388,'CENTRO DE COSTOS'!A:D,4,FALSE)</f>
        <v>JUAN SEBASTIÁN RÍOS CASTRILLÓN</v>
      </c>
      <c r="C388" s="65" t="str">
        <f>VLOOKUP(A388,'CENTRO DE COSTOS'!A:D,2,FALSE)</f>
        <v>0004-0005</v>
      </c>
      <c r="D388" s="64">
        <v>5789</v>
      </c>
      <c r="E388" s="66" t="s">
        <v>2255</v>
      </c>
      <c r="F388" s="67">
        <v>81156</v>
      </c>
      <c r="G388" s="68" t="s">
        <v>90</v>
      </c>
      <c r="H388" s="69" t="s">
        <v>182</v>
      </c>
      <c r="I388" s="67" t="s">
        <v>138</v>
      </c>
      <c r="J388" s="70" t="s">
        <v>1912</v>
      </c>
      <c r="K388" s="67" t="s">
        <v>2256</v>
      </c>
      <c r="L388" s="71" t="s">
        <v>95</v>
      </c>
      <c r="M388" s="72" t="s">
        <v>2257</v>
      </c>
      <c r="N388" s="73">
        <v>45890</v>
      </c>
      <c r="O388" s="74">
        <v>45891</v>
      </c>
      <c r="P388" s="75" t="s">
        <v>97</v>
      </c>
      <c r="Q388" s="76" t="s">
        <v>97</v>
      </c>
      <c r="R388" s="64" t="s">
        <v>98</v>
      </c>
      <c r="S388" s="77" t="s">
        <v>2258</v>
      </c>
      <c r="T388" s="74" t="s">
        <v>100</v>
      </c>
      <c r="U388" s="64" t="s">
        <v>2259</v>
      </c>
      <c r="V388" s="70" t="s">
        <v>189</v>
      </c>
      <c r="W388" s="74" t="s">
        <v>103</v>
      </c>
      <c r="X388" s="68" t="s">
        <v>196</v>
      </c>
      <c r="Y388" s="64">
        <v>1</v>
      </c>
      <c r="Z388" s="78">
        <v>0</v>
      </c>
      <c r="AA388" s="79">
        <f>'BASE FACTURACION 2025'!$C$3</f>
        <v>122645.45276000001</v>
      </c>
      <c r="AB388" s="79">
        <f>'BASE FACTURACION 2025'!$F$3</f>
        <v>65164.677720000007</v>
      </c>
      <c r="AC388" s="79">
        <f t="shared" si="6"/>
        <v>122645.45276000001</v>
      </c>
    </row>
    <row r="389" spans="1:29" s="80" customFormat="1" ht="15" customHeight="1">
      <c r="A389" s="64" t="s">
        <v>391</v>
      </c>
      <c r="B389" s="65" t="str">
        <f>VLOOKUP(A389,'CENTRO DE COSTOS'!A:D,4,FALSE)</f>
        <v>WILLIAM ASDRUBAL ROZO ROZO</v>
      </c>
      <c r="C389" s="65" t="str">
        <f>VLOOKUP(A389,'CENTRO DE COSTOS'!A:D,2,FALSE)</f>
        <v>0004-0004</v>
      </c>
      <c r="D389" s="64">
        <v>11001</v>
      </c>
      <c r="E389" s="66" t="s">
        <v>2260</v>
      </c>
      <c r="F389" s="67">
        <v>81121</v>
      </c>
      <c r="G389" s="68" t="s">
        <v>90</v>
      </c>
      <c r="H389" s="69" t="s">
        <v>91</v>
      </c>
      <c r="I389" s="67" t="s">
        <v>393</v>
      </c>
      <c r="J389" s="70" t="s">
        <v>391</v>
      </c>
      <c r="K389" s="67" t="s">
        <v>2261</v>
      </c>
      <c r="L389" s="71" t="s">
        <v>95</v>
      </c>
      <c r="M389" s="72" t="s">
        <v>2262</v>
      </c>
      <c r="N389" s="73">
        <v>45890</v>
      </c>
      <c r="O389" s="74">
        <v>45891</v>
      </c>
      <c r="P389" s="75" t="s">
        <v>97</v>
      </c>
      <c r="Q389" s="76" t="s">
        <v>97</v>
      </c>
      <c r="R389" s="64" t="s">
        <v>98</v>
      </c>
      <c r="S389" s="77" t="s">
        <v>2263</v>
      </c>
      <c r="T389" s="74" t="s">
        <v>100</v>
      </c>
      <c r="U389" s="64" t="s">
        <v>2264</v>
      </c>
      <c r="V389" s="70" t="s">
        <v>133</v>
      </c>
      <c r="W389" s="74" t="s">
        <v>103</v>
      </c>
      <c r="X389" s="68" t="s">
        <v>776</v>
      </c>
      <c r="Y389" s="64">
        <v>1</v>
      </c>
      <c r="Z389" s="78">
        <v>0</v>
      </c>
      <c r="AA389" s="79">
        <f>'BASE FACTURACION 2025'!$C$3</f>
        <v>122645.45276000001</v>
      </c>
      <c r="AB389" s="79">
        <f>'BASE FACTURACION 2025'!$F$3</f>
        <v>65164.677720000007</v>
      </c>
      <c r="AC389" s="79">
        <f t="shared" si="6"/>
        <v>122645.45276000001</v>
      </c>
    </row>
    <row r="390" spans="1:29" s="80" customFormat="1" ht="15" customHeight="1">
      <c r="A390" s="64" t="s">
        <v>391</v>
      </c>
      <c r="B390" s="65" t="str">
        <f>VLOOKUP(A390,'CENTRO DE COSTOS'!A:D,4,FALSE)</f>
        <v>WILLIAM ASDRUBAL ROZO ROZO</v>
      </c>
      <c r="C390" s="65" t="str">
        <f>VLOOKUP(A390,'CENTRO DE COSTOS'!A:D,2,FALSE)</f>
        <v>0004-0004</v>
      </c>
      <c r="D390" s="64">
        <v>11001</v>
      </c>
      <c r="E390" s="66" t="s">
        <v>2265</v>
      </c>
      <c r="F390" s="67">
        <v>81122</v>
      </c>
      <c r="G390" s="68" t="s">
        <v>90</v>
      </c>
      <c r="H390" s="69" t="s">
        <v>91</v>
      </c>
      <c r="I390" s="67" t="s">
        <v>393</v>
      </c>
      <c r="J390" s="70" t="s">
        <v>391</v>
      </c>
      <c r="K390" s="67" t="s">
        <v>2266</v>
      </c>
      <c r="L390" s="71" t="s">
        <v>95</v>
      </c>
      <c r="M390" s="72" t="s">
        <v>2267</v>
      </c>
      <c r="N390" s="73">
        <v>45890</v>
      </c>
      <c r="O390" s="74">
        <v>45894</v>
      </c>
      <c r="P390" s="75" t="s">
        <v>97</v>
      </c>
      <c r="Q390" s="76" t="s">
        <v>97</v>
      </c>
      <c r="R390" s="64" t="s">
        <v>98</v>
      </c>
      <c r="S390" s="77" t="s">
        <v>2268</v>
      </c>
      <c r="T390" s="74" t="s">
        <v>100</v>
      </c>
      <c r="U390" s="64" t="s">
        <v>2269</v>
      </c>
      <c r="V390" s="70" t="s">
        <v>133</v>
      </c>
      <c r="W390" s="74" t="s">
        <v>103</v>
      </c>
      <c r="X390" s="68" t="s">
        <v>463</v>
      </c>
      <c r="Y390" s="64">
        <v>1</v>
      </c>
      <c r="Z390" s="78">
        <v>0</v>
      </c>
      <c r="AA390" s="79">
        <f>'BASE FACTURACION 2025'!$C$3</f>
        <v>122645.45276000001</v>
      </c>
      <c r="AB390" s="79">
        <f>'BASE FACTURACION 2025'!$F$3</f>
        <v>65164.677720000007</v>
      </c>
      <c r="AC390" s="79">
        <f t="shared" si="6"/>
        <v>122645.45276000001</v>
      </c>
    </row>
    <row r="391" spans="1:29" s="80" customFormat="1" ht="15" customHeight="1">
      <c r="A391" s="64" t="s">
        <v>135</v>
      </c>
      <c r="B391" s="65" t="str">
        <f>VLOOKUP(A391,'CENTRO DE COSTOS'!A:D,4,FALSE)</f>
        <v>JUAN SEBASTIÁN RÍOS CASTRILLÓN</v>
      </c>
      <c r="C391" s="65" t="str">
        <f>VLOOKUP(A391,'CENTRO DE COSTOS'!A:D,2,FALSE)</f>
        <v>0004-0005</v>
      </c>
      <c r="D391" s="64">
        <v>5001</v>
      </c>
      <c r="E391" s="66" t="s">
        <v>2270</v>
      </c>
      <c r="F391" s="67">
        <v>81162</v>
      </c>
      <c r="G391" s="68" t="s">
        <v>90</v>
      </c>
      <c r="H391" s="69" t="s">
        <v>91</v>
      </c>
      <c r="I391" s="67" t="s">
        <v>138</v>
      </c>
      <c r="J391" s="70" t="s">
        <v>135</v>
      </c>
      <c r="K391" s="67" t="s">
        <v>2271</v>
      </c>
      <c r="L391" s="71" t="s">
        <v>95</v>
      </c>
      <c r="M391" s="72" t="s">
        <v>2272</v>
      </c>
      <c r="N391" s="73">
        <v>45890</v>
      </c>
      <c r="O391" s="74">
        <v>45894</v>
      </c>
      <c r="P391" s="75" t="s">
        <v>97</v>
      </c>
      <c r="Q391" s="76" t="s">
        <v>97</v>
      </c>
      <c r="R391" s="64" t="s">
        <v>98</v>
      </c>
      <c r="S391" s="77" t="s">
        <v>2273</v>
      </c>
      <c r="T391" s="74" t="s">
        <v>100</v>
      </c>
      <c r="U391" s="64" t="s">
        <v>2274</v>
      </c>
      <c r="V391" s="70" t="s">
        <v>133</v>
      </c>
      <c r="W391" s="74" t="s">
        <v>103</v>
      </c>
      <c r="X391" s="68" t="s">
        <v>412</v>
      </c>
      <c r="Y391" s="64">
        <v>1</v>
      </c>
      <c r="Z391" s="78">
        <v>0</v>
      </c>
      <c r="AA391" s="79">
        <f>'BASE FACTURACION 2025'!$C$3</f>
        <v>122645.45276000001</v>
      </c>
      <c r="AB391" s="79">
        <f>'BASE FACTURACION 2025'!$F$3</f>
        <v>65164.677720000007</v>
      </c>
      <c r="AC391" s="79">
        <f t="shared" si="6"/>
        <v>122645.45276000001</v>
      </c>
    </row>
    <row r="392" spans="1:29" s="80" customFormat="1" ht="15" customHeight="1">
      <c r="A392" s="64" t="s">
        <v>135</v>
      </c>
      <c r="B392" s="65" t="str">
        <f>VLOOKUP(A392,'CENTRO DE COSTOS'!A:D,4,FALSE)</f>
        <v>JUAN SEBASTIÁN RÍOS CASTRILLÓN</v>
      </c>
      <c r="C392" s="65" t="str">
        <f>VLOOKUP(A392,'CENTRO DE COSTOS'!A:D,2,FALSE)</f>
        <v>0004-0005</v>
      </c>
      <c r="D392" s="64">
        <v>27361</v>
      </c>
      <c r="E392" s="66" t="s">
        <v>2275</v>
      </c>
      <c r="F392" s="67">
        <v>81147</v>
      </c>
      <c r="G392" s="68" t="s">
        <v>90</v>
      </c>
      <c r="H392" s="69" t="s">
        <v>91</v>
      </c>
      <c r="I392" s="67" t="s">
        <v>1267</v>
      </c>
      <c r="J392" s="70" t="s">
        <v>2276</v>
      </c>
      <c r="K392" s="67" t="s">
        <v>2277</v>
      </c>
      <c r="L392" s="71" t="s">
        <v>95</v>
      </c>
      <c r="M392" s="72" t="s">
        <v>2278</v>
      </c>
      <c r="N392" s="73">
        <v>45890</v>
      </c>
      <c r="O392" s="74">
        <v>45898</v>
      </c>
      <c r="P392" s="75" t="s">
        <v>97</v>
      </c>
      <c r="Q392" s="76" t="s">
        <v>97</v>
      </c>
      <c r="R392" s="64" t="s">
        <v>98</v>
      </c>
      <c r="S392" s="77" t="s">
        <v>2279</v>
      </c>
      <c r="T392" s="74" t="s">
        <v>100</v>
      </c>
      <c r="U392" s="64" t="s">
        <v>2280</v>
      </c>
      <c r="V392" s="70" t="s">
        <v>118</v>
      </c>
      <c r="W392" s="74" t="s">
        <v>1273</v>
      </c>
      <c r="X392" s="68" t="s">
        <v>1274</v>
      </c>
      <c r="Y392" s="64">
        <v>1</v>
      </c>
      <c r="Z392" s="78">
        <v>0</v>
      </c>
      <c r="AA392" s="79">
        <f>'BASE FACTURACION 2025'!$C$3</f>
        <v>122645.45276000001</v>
      </c>
      <c r="AB392" s="79">
        <f>'BASE FACTURACION 2025'!$F$3</f>
        <v>65164.677720000007</v>
      </c>
      <c r="AC392" s="79">
        <f t="shared" si="6"/>
        <v>122645.45276000001</v>
      </c>
    </row>
    <row r="393" spans="1:29" s="80" customFormat="1" ht="15" customHeight="1">
      <c r="A393" s="64" t="s">
        <v>391</v>
      </c>
      <c r="B393" s="65" t="str">
        <f>VLOOKUP(A393,'CENTRO DE COSTOS'!A:D,4,FALSE)</f>
        <v>WILLIAM ASDRUBAL ROZO ROZO</v>
      </c>
      <c r="C393" s="65" t="str">
        <f>VLOOKUP(A393,'CENTRO DE COSTOS'!A:D,2,FALSE)</f>
        <v>0004-0004</v>
      </c>
      <c r="D393" s="64">
        <v>11001</v>
      </c>
      <c r="E393" s="66" t="s">
        <v>2281</v>
      </c>
      <c r="F393" s="67">
        <v>81123</v>
      </c>
      <c r="G393" s="68" t="s">
        <v>90</v>
      </c>
      <c r="H393" s="69" t="s">
        <v>91</v>
      </c>
      <c r="I393" s="67" t="s">
        <v>393</v>
      </c>
      <c r="J393" s="70" t="s">
        <v>391</v>
      </c>
      <c r="K393" s="67" t="s">
        <v>2282</v>
      </c>
      <c r="L393" s="71" t="s">
        <v>95</v>
      </c>
      <c r="M393" s="72" t="s">
        <v>2283</v>
      </c>
      <c r="N393" s="73">
        <v>45890</v>
      </c>
      <c r="O393" s="74">
        <v>45894</v>
      </c>
      <c r="P393" s="75" t="s">
        <v>97</v>
      </c>
      <c r="Q393" s="76" t="s">
        <v>97</v>
      </c>
      <c r="R393" s="64" t="s">
        <v>98</v>
      </c>
      <c r="S393" s="77" t="s">
        <v>2284</v>
      </c>
      <c r="T393" s="74" t="s">
        <v>100</v>
      </c>
      <c r="U393" s="64" t="s">
        <v>2285</v>
      </c>
      <c r="V393" s="70" t="s">
        <v>133</v>
      </c>
      <c r="W393" s="74" t="s">
        <v>103</v>
      </c>
      <c r="X393" s="68" t="s">
        <v>524</v>
      </c>
      <c r="Y393" s="64">
        <v>1</v>
      </c>
      <c r="Z393" s="78">
        <v>0</v>
      </c>
      <c r="AA393" s="79">
        <f>'BASE FACTURACION 2025'!$C$3</f>
        <v>122645.45276000001</v>
      </c>
      <c r="AB393" s="79">
        <f>'BASE FACTURACION 2025'!$F$3</f>
        <v>65164.677720000007</v>
      </c>
      <c r="AC393" s="79">
        <f t="shared" si="6"/>
        <v>122645.45276000001</v>
      </c>
    </row>
    <row r="394" spans="1:29" s="80" customFormat="1" ht="15" customHeight="1">
      <c r="A394" s="64" t="s">
        <v>220</v>
      </c>
      <c r="B394" s="65" t="str">
        <f>VLOOKUP(A394,'CENTRO DE COSTOS'!A:D,4,FALSE)</f>
        <v>KEVIN ALEXIS CORZO BUSTOS</v>
      </c>
      <c r="C394" s="65" t="str">
        <f>VLOOKUP(A394,'CENTRO DE COSTOS'!A:D,2,FALSE)</f>
        <v>0004-0007</v>
      </c>
      <c r="D394" s="64">
        <v>50001</v>
      </c>
      <c r="E394" s="66" t="s">
        <v>2286</v>
      </c>
      <c r="F394" s="67">
        <v>81161</v>
      </c>
      <c r="G394" s="68" t="s">
        <v>90</v>
      </c>
      <c r="H394" s="69" t="s">
        <v>91</v>
      </c>
      <c r="I394" s="67" t="s">
        <v>222</v>
      </c>
      <c r="J394" s="70" t="s">
        <v>220</v>
      </c>
      <c r="K394" s="67" t="s">
        <v>2287</v>
      </c>
      <c r="L394" s="71" t="s">
        <v>95</v>
      </c>
      <c r="M394" s="72" t="s">
        <v>2288</v>
      </c>
      <c r="N394" s="73">
        <v>45890</v>
      </c>
      <c r="O394" s="74">
        <v>45891</v>
      </c>
      <c r="P394" s="75" t="s">
        <v>97</v>
      </c>
      <c r="Q394" s="76" t="s">
        <v>97</v>
      </c>
      <c r="R394" s="64" t="s">
        <v>98</v>
      </c>
      <c r="S394" s="77" t="s">
        <v>2289</v>
      </c>
      <c r="T394" s="74" t="s">
        <v>100</v>
      </c>
      <c r="U394" s="64" t="s">
        <v>2290</v>
      </c>
      <c r="V394" s="70" t="s">
        <v>133</v>
      </c>
      <c r="W394" s="74" t="s">
        <v>103</v>
      </c>
      <c r="X394" s="68" t="s">
        <v>228</v>
      </c>
      <c r="Y394" s="64">
        <v>1</v>
      </c>
      <c r="Z394" s="78">
        <v>0</v>
      </c>
      <c r="AA394" s="79">
        <f>'BASE FACTURACION 2025'!$C$3</f>
        <v>122645.45276000001</v>
      </c>
      <c r="AB394" s="79">
        <f>'BASE FACTURACION 2025'!$F$3</f>
        <v>65164.677720000007</v>
      </c>
      <c r="AC394" s="79">
        <f t="shared" si="6"/>
        <v>122645.45276000001</v>
      </c>
    </row>
    <row r="395" spans="1:29" s="80" customFormat="1" ht="15" customHeight="1">
      <c r="A395" s="64" t="s">
        <v>180</v>
      </c>
      <c r="B395" s="65" t="str">
        <f>VLOOKUP(A395,'CENTRO DE COSTOS'!A:D,4,FALSE)</f>
        <v>DIEGO FERNANDO HENAO CARDONA</v>
      </c>
      <c r="C395" s="65" t="str">
        <f>VLOOKUP(A395,'CENTRO DE COSTOS'!A:D,2,FALSE)</f>
        <v>0004-0003</v>
      </c>
      <c r="D395" s="64">
        <v>76001</v>
      </c>
      <c r="E395" s="66" t="s">
        <v>2291</v>
      </c>
      <c r="F395" s="67">
        <v>81124</v>
      </c>
      <c r="G395" s="68" t="s">
        <v>90</v>
      </c>
      <c r="H395" s="69" t="s">
        <v>91</v>
      </c>
      <c r="I395" s="67" t="s">
        <v>380</v>
      </c>
      <c r="J395" s="70" t="s">
        <v>180</v>
      </c>
      <c r="K395" s="67" t="s">
        <v>2292</v>
      </c>
      <c r="L395" s="71" t="s">
        <v>95</v>
      </c>
      <c r="M395" s="72" t="s">
        <v>2293</v>
      </c>
      <c r="N395" s="73">
        <v>45890</v>
      </c>
      <c r="O395" s="74">
        <v>45891</v>
      </c>
      <c r="P395" s="75" t="s">
        <v>97</v>
      </c>
      <c r="Q395" s="76" t="s">
        <v>97</v>
      </c>
      <c r="R395" s="64" t="s">
        <v>98</v>
      </c>
      <c r="S395" s="77" t="s">
        <v>2294</v>
      </c>
      <c r="T395" s="74" t="s">
        <v>100</v>
      </c>
      <c r="U395" s="64" t="s">
        <v>2295</v>
      </c>
      <c r="V395" s="70" t="s">
        <v>133</v>
      </c>
      <c r="W395" s="74" t="s">
        <v>103</v>
      </c>
      <c r="X395" s="68" t="s">
        <v>1221</v>
      </c>
      <c r="Y395" s="64">
        <v>1</v>
      </c>
      <c r="Z395" s="78">
        <v>0</v>
      </c>
      <c r="AA395" s="79">
        <f>'BASE FACTURACION 2025'!$C$3</f>
        <v>122645.45276000001</v>
      </c>
      <c r="AB395" s="79">
        <f>'BASE FACTURACION 2025'!$F$3</f>
        <v>65164.677720000007</v>
      </c>
      <c r="AC395" s="79">
        <f t="shared" si="6"/>
        <v>122645.45276000001</v>
      </c>
    </row>
    <row r="396" spans="1:29" s="80" customFormat="1" ht="15" customHeight="1">
      <c r="A396" s="64" t="s">
        <v>413</v>
      </c>
      <c r="B396" s="65" t="str">
        <f>VLOOKUP(A396,'CENTRO DE COSTOS'!A:D,4,FALSE)</f>
        <v>DIEGO FERNANDO HENAO CARDONA</v>
      </c>
      <c r="C396" s="65" t="str">
        <f>VLOOKUP(A396,'CENTRO DE COSTOS'!A:D,2,FALSE)</f>
        <v>0004-0002</v>
      </c>
      <c r="D396" s="64">
        <v>66001</v>
      </c>
      <c r="E396" s="66" t="s">
        <v>2296</v>
      </c>
      <c r="F396" s="67">
        <v>81149</v>
      </c>
      <c r="G396" s="68" t="s">
        <v>90</v>
      </c>
      <c r="H396" s="69" t="s">
        <v>91</v>
      </c>
      <c r="I396" s="67" t="s">
        <v>531</v>
      </c>
      <c r="J396" s="70" t="s">
        <v>413</v>
      </c>
      <c r="K396" s="67" t="s">
        <v>2297</v>
      </c>
      <c r="L396" s="71" t="s">
        <v>95</v>
      </c>
      <c r="M396" s="72" t="s">
        <v>2298</v>
      </c>
      <c r="N396" s="73">
        <v>45890</v>
      </c>
      <c r="O396" s="74">
        <v>45891</v>
      </c>
      <c r="P396" s="75" t="s">
        <v>97</v>
      </c>
      <c r="Q396" s="76" t="s">
        <v>97</v>
      </c>
      <c r="R396" s="64" t="s">
        <v>98</v>
      </c>
      <c r="S396" s="77" t="s">
        <v>2299</v>
      </c>
      <c r="T396" s="74" t="s">
        <v>100</v>
      </c>
      <c r="U396" s="64" t="s">
        <v>2300</v>
      </c>
      <c r="V396" s="70" t="s">
        <v>133</v>
      </c>
      <c r="W396" s="74" t="s">
        <v>103</v>
      </c>
      <c r="X396" s="68" t="s">
        <v>420</v>
      </c>
      <c r="Y396" s="64">
        <v>1</v>
      </c>
      <c r="Z396" s="78">
        <v>0</v>
      </c>
      <c r="AA396" s="79">
        <f>'BASE FACTURACION 2025'!$C$3</f>
        <v>122645.45276000001</v>
      </c>
      <c r="AB396" s="79">
        <f>'BASE FACTURACION 2025'!$F$3</f>
        <v>65164.677720000007</v>
      </c>
      <c r="AC396" s="79">
        <f t="shared" si="6"/>
        <v>122645.45276000001</v>
      </c>
    </row>
    <row r="397" spans="1:29" s="80" customFormat="1" ht="15" customHeight="1">
      <c r="A397" s="64" t="s">
        <v>339</v>
      </c>
      <c r="B397" s="65" t="str">
        <f>VLOOKUP(A397,'CENTRO DE COSTOS'!A:D,4,FALSE)</f>
        <v>JOSE MAURICIO HERNANDEZ ROJAS</v>
      </c>
      <c r="C397" s="65" t="str">
        <f>VLOOKUP(A397,'CENTRO DE COSTOS'!A:D,2,FALSE)</f>
        <v>0004-0001</v>
      </c>
      <c r="D397" s="64">
        <v>23672</v>
      </c>
      <c r="E397" s="66" t="s">
        <v>2301</v>
      </c>
      <c r="F397" s="67">
        <v>80913</v>
      </c>
      <c r="G397" s="68" t="s">
        <v>90</v>
      </c>
      <c r="H397" s="69" t="s">
        <v>1122</v>
      </c>
      <c r="I397" s="67" t="s">
        <v>341</v>
      </c>
      <c r="J397" s="70" t="s">
        <v>2302</v>
      </c>
      <c r="K397" s="67" t="s">
        <v>2303</v>
      </c>
      <c r="L397" s="71" t="s">
        <v>95</v>
      </c>
      <c r="M397" s="72" t="s">
        <v>2304</v>
      </c>
      <c r="N397" s="73">
        <v>45890</v>
      </c>
      <c r="O397" s="74">
        <v>45894</v>
      </c>
      <c r="P397" s="75" t="s">
        <v>97</v>
      </c>
      <c r="Q397" s="76" t="s">
        <v>97</v>
      </c>
      <c r="R397" s="64" t="s">
        <v>98</v>
      </c>
      <c r="S397" s="77" t="s">
        <v>2305</v>
      </c>
      <c r="T397" s="74" t="s">
        <v>100</v>
      </c>
      <c r="U397" s="64" t="s">
        <v>2306</v>
      </c>
      <c r="V397" s="70" t="s">
        <v>162</v>
      </c>
      <c r="W397" s="74" t="s">
        <v>103</v>
      </c>
      <c r="X397" s="68" t="s">
        <v>616</v>
      </c>
      <c r="Y397" s="64">
        <v>1</v>
      </c>
      <c r="Z397" s="78">
        <v>0</v>
      </c>
      <c r="AA397" s="79">
        <f>'BASE FACTURACION 2025'!$C$3</f>
        <v>122645.45276000001</v>
      </c>
      <c r="AB397" s="79">
        <f>'BASE FACTURACION 2025'!$F$3</f>
        <v>65164.677720000007</v>
      </c>
      <c r="AC397" s="79">
        <f t="shared" si="6"/>
        <v>122645.45276000001</v>
      </c>
    </row>
    <row r="398" spans="1:29" s="80" customFormat="1" ht="15" customHeight="1">
      <c r="A398" s="64" t="s">
        <v>126</v>
      </c>
      <c r="B398" s="65" t="str">
        <f>VLOOKUP(A398,'CENTRO DE COSTOS'!A:D,4,FALSE)</f>
        <v>KEVIN ALEXIS CORZO BUSTOS</v>
      </c>
      <c r="C398" s="65" t="str">
        <f>VLOOKUP(A398,'CENTRO DE COSTOS'!A:D,2,FALSE)</f>
        <v>0004-0007</v>
      </c>
      <c r="D398" s="64">
        <v>85250</v>
      </c>
      <c r="E398" s="66" t="s">
        <v>2307</v>
      </c>
      <c r="F398" s="67">
        <v>80906</v>
      </c>
      <c r="G398" s="68" t="s">
        <v>90</v>
      </c>
      <c r="H398" s="69" t="s">
        <v>1122</v>
      </c>
      <c r="I398" s="67" t="s">
        <v>128</v>
      </c>
      <c r="J398" s="70" t="s">
        <v>863</v>
      </c>
      <c r="K398" s="67" t="s">
        <v>2308</v>
      </c>
      <c r="L398" s="71" t="s">
        <v>95</v>
      </c>
      <c r="M398" s="72" t="s">
        <v>2309</v>
      </c>
      <c r="N398" s="73">
        <v>45890</v>
      </c>
      <c r="O398" s="74">
        <v>45891</v>
      </c>
      <c r="P398" s="75" t="s">
        <v>97</v>
      </c>
      <c r="Q398" s="76" t="s">
        <v>97</v>
      </c>
      <c r="R398" s="64" t="s">
        <v>98</v>
      </c>
      <c r="S398" s="77" t="s">
        <v>2310</v>
      </c>
      <c r="T398" s="74" t="s">
        <v>100</v>
      </c>
      <c r="U398" s="64" t="s">
        <v>2311</v>
      </c>
      <c r="V398" s="70" t="s">
        <v>162</v>
      </c>
      <c r="W398" s="74" t="s">
        <v>103</v>
      </c>
      <c r="X398" s="68" t="s">
        <v>134</v>
      </c>
      <c r="Y398" s="64">
        <v>1</v>
      </c>
      <c r="Z398" s="78">
        <v>0</v>
      </c>
      <c r="AA398" s="79">
        <f>'BASE FACTURACION 2025'!$C$3</f>
        <v>122645.45276000001</v>
      </c>
      <c r="AB398" s="79">
        <f>'BASE FACTURACION 2025'!$F$3</f>
        <v>65164.677720000007</v>
      </c>
      <c r="AC398" s="79">
        <f t="shared" si="6"/>
        <v>122645.45276000001</v>
      </c>
    </row>
    <row r="399" spans="1:29" s="80" customFormat="1" ht="15" customHeight="1">
      <c r="A399" s="64" t="s">
        <v>88</v>
      </c>
      <c r="B399" s="65" t="str">
        <f>VLOOKUP(A399,'CENTRO DE COSTOS'!A:D,4,FALSE)</f>
        <v>KEVIN ALEXIS CORZO BUSTOS</v>
      </c>
      <c r="C399" s="65" t="str">
        <f>VLOOKUP(A399,'CENTRO DE COSTOS'!A:D,2,FALSE)</f>
        <v>0004-0007</v>
      </c>
      <c r="D399" s="64">
        <v>41001</v>
      </c>
      <c r="E399" s="66" t="s">
        <v>2312</v>
      </c>
      <c r="F399" s="67">
        <v>81170</v>
      </c>
      <c r="G399" s="68" t="s">
        <v>90</v>
      </c>
      <c r="H399" s="69" t="s">
        <v>91</v>
      </c>
      <c r="I399" s="67" t="s">
        <v>173</v>
      </c>
      <c r="J399" s="70" t="s">
        <v>88</v>
      </c>
      <c r="K399" s="67" t="s">
        <v>2313</v>
      </c>
      <c r="L399" s="71" t="s">
        <v>95</v>
      </c>
      <c r="M399" s="72" t="s">
        <v>2314</v>
      </c>
      <c r="N399" s="73">
        <v>45894</v>
      </c>
      <c r="O399" s="74">
        <v>45895</v>
      </c>
      <c r="P399" s="75" t="s">
        <v>97</v>
      </c>
      <c r="Q399" s="76" t="s">
        <v>97</v>
      </c>
      <c r="R399" s="64" t="s">
        <v>98</v>
      </c>
      <c r="S399" s="77" t="s">
        <v>2315</v>
      </c>
      <c r="T399" s="74" t="s">
        <v>100</v>
      </c>
      <c r="U399" s="64" t="s">
        <v>2316</v>
      </c>
      <c r="V399" s="70" t="s">
        <v>133</v>
      </c>
      <c r="W399" s="74" t="s">
        <v>103</v>
      </c>
      <c r="X399" s="68" t="s">
        <v>104</v>
      </c>
      <c r="Y399" s="64">
        <v>1</v>
      </c>
      <c r="Z399" s="78">
        <v>0</v>
      </c>
      <c r="AA399" s="79">
        <f>'BASE FACTURACION 2025'!$C$3</f>
        <v>122645.45276000001</v>
      </c>
      <c r="AB399" s="79">
        <f>'BASE FACTURACION 2025'!$F$3</f>
        <v>65164.677720000007</v>
      </c>
      <c r="AC399" s="79">
        <f t="shared" si="6"/>
        <v>122645.45276000001</v>
      </c>
    </row>
    <row r="400" spans="1:29" s="80" customFormat="1" ht="15" customHeight="1">
      <c r="A400" s="64" t="s">
        <v>229</v>
      </c>
      <c r="B400" s="65" t="str">
        <f>VLOOKUP(A400,'CENTRO DE COSTOS'!A:D,4,FALSE)</f>
        <v>MIGUEL JULIÁN HERNÁNDEZ GUARÍN</v>
      </c>
      <c r="C400" s="65" t="str">
        <f>VLOOKUP(A400,'CENTRO DE COSTOS'!A:D,2,FALSE)</f>
        <v>0004-0008</v>
      </c>
      <c r="D400" s="64">
        <v>68276</v>
      </c>
      <c r="E400" s="66" t="s">
        <v>2317</v>
      </c>
      <c r="F400" s="67">
        <v>81168</v>
      </c>
      <c r="G400" s="68" t="s">
        <v>90</v>
      </c>
      <c r="H400" s="69" t="s">
        <v>91</v>
      </c>
      <c r="I400" s="67" t="s">
        <v>714</v>
      </c>
      <c r="J400" s="70" t="s">
        <v>840</v>
      </c>
      <c r="K400" s="67" t="s">
        <v>2318</v>
      </c>
      <c r="L400" s="71" t="s">
        <v>95</v>
      </c>
      <c r="M400" s="72" t="s">
        <v>2319</v>
      </c>
      <c r="N400" s="73">
        <v>45894</v>
      </c>
      <c r="O400" s="74">
        <v>45895</v>
      </c>
      <c r="P400" s="75" t="s">
        <v>97</v>
      </c>
      <c r="Q400" s="76" t="s">
        <v>97</v>
      </c>
      <c r="R400" s="64" t="s">
        <v>98</v>
      </c>
      <c r="S400" s="77" t="s">
        <v>2320</v>
      </c>
      <c r="T400" s="74" t="s">
        <v>100</v>
      </c>
      <c r="U400" s="64" t="s">
        <v>2321</v>
      </c>
      <c r="V400" s="70" t="s">
        <v>133</v>
      </c>
      <c r="W400" s="74" t="s">
        <v>103</v>
      </c>
      <c r="X400" s="68" t="s">
        <v>838</v>
      </c>
      <c r="Y400" s="64">
        <v>1</v>
      </c>
      <c r="Z400" s="78">
        <v>0</v>
      </c>
      <c r="AA400" s="79">
        <f>'BASE FACTURACION 2025'!$C$3</f>
        <v>122645.45276000001</v>
      </c>
      <c r="AB400" s="79">
        <f>'BASE FACTURACION 2025'!$F$3</f>
        <v>65164.677720000007</v>
      </c>
      <c r="AC400" s="79">
        <f t="shared" si="6"/>
        <v>122645.45276000001</v>
      </c>
    </row>
    <row r="401" spans="1:29" s="80" customFormat="1" ht="15" customHeight="1">
      <c r="A401" s="64" t="s">
        <v>359</v>
      </c>
      <c r="B401" s="65" t="str">
        <f>VLOOKUP(A401,'CENTRO DE COSTOS'!A:D,4,FALSE)</f>
        <v>JOSE MAURICIO HERNANDEZ ROJAS</v>
      </c>
      <c r="C401" s="65" t="str">
        <f>VLOOKUP(A401,'CENTRO DE COSTOS'!A:D,2,FALSE)</f>
        <v>0004-0001</v>
      </c>
      <c r="D401" s="64">
        <v>20001</v>
      </c>
      <c r="E401" s="66" t="s">
        <v>2322</v>
      </c>
      <c r="F401" s="67">
        <v>81179</v>
      </c>
      <c r="G401" s="68" t="s">
        <v>90</v>
      </c>
      <c r="H401" s="69" t="s">
        <v>91</v>
      </c>
      <c r="I401" s="67" t="s">
        <v>361</v>
      </c>
      <c r="J401" s="70" t="s">
        <v>359</v>
      </c>
      <c r="K401" s="67" t="s">
        <v>2323</v>
      </c>
      <c r="L401" s="71" t="s">
        <v>95</v>
      </c>
      <c r="M401" s="72" t="s">
        <v>2324</v>
      </c>
      <c r="N401" s="73">
        <v>45894</v>
      </c>
      <c r="O401" s="74">
        <v>45895</v>
      </c>
      <c r="P401" s="75" t="s">
        <v>97</v>
      </c>
      <c r="Q401" s="76" t="s">
        <v>97</v>
      </c>
      <c r="R401" s="64" t="s">
        <v>98</v>
      </c>
      <c r="S401" s="77" t="s">
        <v>2325</v>
      </c>
      <c r="T401" s="74" t="s">
        <v>100</v>
      </c>
      <c r="U401" s="64" t="s">
        <v>2326</v>
      </c>
      <c r="V401" s="70" t="s">
        <v>133</v>
      </c>
      <c r="W401" s="74" t="s">
        <v>103</v>
      </c>
      <c r="X401" s="68" t="s">
        <v>873</v>
      </c>
      <c r="Y401" s="64">
        <v>1</v>
      </c>
      <c r="Z401" s="78">
        <v>0</v>
      </c>
      <c r="AA401" s="79">
        <f>'BASE FACTURACION 2025'!$C$3</f>
        <v>122645.45276000001</v>
      </c>
      <c r="AB401" s="79">
        <f>'BASE FACTURACION 2025'!$F$3</f>
        <v>65164.677720000007</v>
      </c>
      <c r="AC401" s="79">
        <f t="shared" si="6"/>
        <v>122645.45276000001</v>
      </c>
    </row>
    <row r="402" spans="1:29" s="80" customFormat="1" ht="15" customHeight="1">
      <c r="A402" s="64" t="s">
        <v>163</v>
      </c>
      <c r="B402" s="65" t="str">
        <f>VLOOKUP(A402,'CENTRO DE COSTOS'!A:D,4,FALSE)</f>
        <v>MIGUEL JULIÁN HERNÁNDEZ GUARÍN</v>
      </c>
      <c r="C402" s="65" t="str">
        <f>VLOOKUP(A402,'CENTRO DE COSTOS'!A:D,2,FALSE)</f>
        <v>0004-0008</v>
      </c>
      <c r="D402" s="64">
        <v>15837</v>
      </c>
      <c r="E402" s="66" t="s">
        <v>2327</v>
      </c>
      <c r="F402" s="67">
        <v>81175</v>
      </c>
      <c r="G402" s="68" t="s">
        <v>90</v>
      </c>
      <c r="H402" s="69" t="s">
        <v>91</v>
      </c>
      <c r="I402" s="67" t="s">
        <v>165</v>
      </c>
      <c r="J402" s="70" t="s">
        <v>2328</v>
      </c>
      <c r="K402" s="67" t="s">
        <v>2329</v>
      </c>
      <c r="L402" s="71" t="s">
        <v>95</v>
      </c>
      <c r="M402" s="72" t="s">
        <v>2330</v>
      </c>
      <c r="N402" s="73">
        <v>45894</v>
      </c>
      <c r="O402" s="74">
        <v>45895</v>
      </c>
      <c r="P402" s="75" t="s">
        <v>97</v>
      </c>
      <c r="Q402" s="76" t="s">
        <v>97</v>
      </c>
      <c r="R402" s="64" t="s">
        <v>98</v>
      </c>
      <c r="S402" s="77" t="s">
        <v>2331</v>
      </c>
      <c r="T402" s="74" t="s">
        <v>100</v>
      </c>
      <c r="U402" s="64" t="s">
        <v>2332</v>
      </c>
      <c r="V402" s="70" t="s">
        <v>162</v>
      </c>
      <c r="W402" s="74" t="s">
        <v>103</v>
      </c>
      <c r="X402" s="68" t="s">
        <v>1036</v>
      </c>
      <c r="Y402" s="64">
        <v>1</v>
      </c>
      <c r="Z402" s="78">
        <v>0</v>
      </c>
      <c r="AA402" s="79">
        <f>'BASE FACTURACION 2025'!$C$3</f>
        <v>122645.45276000001</v>
      </c>
      <c r="AB402" s="79">
        <f>'BASE FACTURACION 2025'!$F$3</f>
        <v>65164.677720000007</v>
      </c>
      <c r="AC402" s="79">
        <f t="shared" si="6"/>
        <v>122645.45276000001</v>
      </c>
    </row>
    <row r="403" spans="1:29" s="80" customFormat="1" ht="15" customHeight="1">
      <c r="A403" s="64" t="s">
        <v>359</v>
      </c>
      <c r="B403" s="65" t="str">
        <f>VLOOKUP(A403,'CENTRO DE COSTOS'!A:D,4,FALSE)</f>
        <v>JOSE MAURICIO HERNANDEZ ROJAS</v>
      </c>
      <c r="C403" s="65" t="str">
        <f>VLOOKUP(A403,'CENTRO DE COSTOS'!A:D,2,FALSE)</f>
        <v>0004-0001</v>
      </c>
      <c r="D403" s="64">
        <v>20750</v>
      </c>
      <c r="E403" s="66" t="s">
        <v>2333</v>
      </c>
      <c r="F403" s="67">
        <v>81174</v>
      </c>
      <c r="G403" s="68" t="s">
        <v>90</v>
      </c>
      <c r="H403" s="69" t="s">
        <v>91</v>
      </c>
      <c r="I403" s="67" t="s">
        <v>361</v>
      </c>
      <c r="J403" s="70" t="s">
        <v>2334</v>
      </c>
      <c r="K403" s="67" t="s">
        <v>2335</v>
      </c>
      <c r="L403" s="71" t="s">
        <v>95</v>
      </c>
      <c r="M403" s="72" t="s">
        <v>2336</v>
      </c>
      <c r="N403" s="73">
        <v>45894</v>
      </c>
      <c r="O403" s="74">
        <v>45896</v>
      </c>
      <c r="P403" s="75" t="s">
        <v>97</v>
      </c>
      <c r="Q403" s="76" t="s">
        <v>97</v>
      </c>
      <c r="R403" s="64" t="s">
        <v>98</v>
      </c>
      <c r="S403" s="77" t="s">
        <v>2337</v>
      </c>
      <c r="T403" s="74" t="s">
        <v>100</v>
      </c>
      <c r="U403" s="64" t="s">
        <v>2338</v>
      </c>
      <c r="V403" s="70" t="s">
        <v>162</v>
      </c>
      <c r="W403" s="74" t="s">
        <v>103</v>
      </c>
      <c r="X403" s="68" t="s">
        <v>367</v>
      </c>
      <c r="Y403" s="64">
        <v>1</v>
      </c>
      <c r="Z403" s="78">
        <v>0</v>
      </c>
      <c r="AA403" s="79">
        <f>'BASE FACTURACION 2025'!$C$3</f>
        <v>122645.45276000001</v>
      </c>
      <c r="AB403" s="79">
        <f>'BASE FACTURACION 2025'!$F$3</f>
        <v>65164.677720000007</v>
      </c>
      <c r="AC403" s="79">
        <f t="shared" si="6"/>
        <v>122645.45276000001</v>
      </c>
    </row>
    <row r="404" spans="1:29" s="80" customFormat="1" ht="15" customHeight="1">
      <c r="A404" s="64" t="s">
        <v>229</v>
      </c>
      <c r="B404" s="65" t="str">
        <f>VLOOKUP(A404,'CENTRO DE COSTOS'!A:D,4,FALSE)</f>
        <v>MIGUEL JULIÁN HERNÁNDEZ GUARÍN</v>
      </c>
      <c r="C404" s="65" t="str">
        <f>VLOOKUP(A404,'CENTRO DE COSTOS'!A:D,2,FALSE)</f>
        <v>0004-0008</v>
      </c>
      <c r="D404" s="64">
        <v>68547</v>
      </c>
      <c r="E404" s="66" t="s">
        <v>2339</v>
      </c>
      <c r="F404" s="67">
        <v>81172</v>
      </c>
      <c r="G404" s="68" t="s">
        <v>90</v>
      </c>
      <c r="H404" s="69" t="s">
        <v>91</v>
      </c>
      <c r="I404" s="67" t="s">
        <v>714</v>
      </c>
      <c r="J404" s="70" t="s">
        <v>738</v>
      </c>
      <c r="K404" s="67" t="s">
        <v>2340</v>
      </c>
      <c r="L404" s="71" t="s">
        <v>95</v>
      </c>
      <c r="M404" s="72" t="s">
        <v>2341</v>
      </c>
      <c r="N404" s="73">
        <v>45894</v>
      </c>
      <c r="O404" s="74">
        <v>45895</v>
      </c>
      <c r="P404" s="75" t="s">
        <v>97</v>
      </c>
      <c r="Q404" s="76" t="s">
        <v>97</v>
      </c>
      <c r="R404" s="64" t="s">
        <v>98</v>
      </c>
      <c r="S404" s="77" t="s">
        <v>2342</v>
      </c>
      <c r="T404" s="74" t="s">
        <v>100</v>
      </c>
      <c r="U404" s="64" t="s">
        <v>2343</v>
      </c>
      <c r="V404" s="70" t="s">
        <v>162</v>
      </c>
      <c r="W404" s="74" t="s">
        <v>103</v>
      </c>
      <c r="X404" s="68" t="s">
        <v>238</v>
      </c>
      <c r="Y404" s="64">
        <v>1</v>
      </c>
      <c r="Z404" s="78">
        <v>0</v>
      </c>
      <c r="AA404" s="79">
        <f>'BASE FACTURACION 2025'!$C$3</f>
        <v>122645.45276000001</v>
      </c>
      <c r="AB404" s="79">
        <f>'BASE FACTURACION 2025'!$F$3</f>
        <v>65164.677720000007</v>
      </c>
      <c r="AC404" s="79">
        <f t="shared" si="6"/>
        <v>122645.45276000001</v>
      </c>
    </row>
    <row r="405" spans="1:29" s="80" customFormat="1" ht="15" customHeight="1">
      <c r="A405" s="64" t="s">
        <v>331</v>
      </c>
      <c r="B405" s="65" t="str">
        <f>VLOOKUP(A405,'CENTRO DE COSTOS'!A:D,4,FALSE)</f>
        <v>JOSE MAURICIO HERNANDEZ ROJAS</v>
      </c>
      <c r="C405" s="65" t="str">
        <f>VLOOKUP(A405,'CENTRO DE COSTOS'!A:D,2,FALSE)</f>
        <v>0004-0001</v>
      </c>
      <c r="D405" s="64">
        <v>70124</v>
      </c>
      <c r="E405" s="66" t="s">
        <v>2344</v>
      </c>
      <c r="F405" s="67">
        <v>81165</v>
      </c>
      <c r="G405" s="68" t="s">
        <v>90</v>
      </c>
      <c r="H405" s="69" t="s">
        <v>91</v>
      </c>
      <c r="I405" s="67" t="s">
        <v>333</v>
      </c>
      <c r="J405" s="70" t="s">
        <v>2345</v>
      </c>
      <c r="K405" s="67" t="s">
        <v>2346</v>
      </c>
      <c r="L405" s="71" t="s">
        <v>95</v>
      </c>
      <c r="M405" s="72" t="s">
        <v>2347</v>
      </c>
      <c r="N405" s="73">
        <v>45894</v>
      </c>
      <c r="O405" s="74">
        <v>45895</v>
      </c>
      <c r="P405" s="75" t="s">
        <v>97</v>
      </c>
      <c r="Q405" s="76" t="s">
        <v>97</v>
      </c>
      <c r="R405" s="64" t="s">
        <v>98</v>
      </c>
      <c r="S405" s="77" t="s">
        <v>2348</v>
      </c>
      <c r="T405" s="74" t="s">
        <v>100</v>
      </c>
      <c r="U405" s="64" t="s">
        <v>2349</v>
      </c>
      <c r="V405" s="70" t="s">
        <v>102</v>
      </c>
      <c r="W405" s="74" t="s">
        <v>103</v>
      </c>
      <c r="X405" s="68" t="s">
        <v>1737</v>
      </c>
      <c r="Y405" s="64">
        <v>1</v>
      </c>
      <c r="Z405" s="78">
        <v>0</v>
      </c>
      <c r="AA405" s="79">
        <f>'BASE FACTURACION 2025'!$C$3</f>
        <v>122645.45276000001</v>
      </c>
      <c r="AB405" s="79">
        <f>'BASE FACTURACION 2025'!$F$3</f>
        <v>65164.677720000007</v>
      </c>
      <c r="AC405" s="79">
        <f t="shared" si="6"/>
        <v>122645.45276000001</v>
      </c>
    </row>
    <row r="406" spans="1:29" s="80" customFormat="1" ht="15" customHeight="1">
      <c r="A406" s="64" t="s">
        <v>1574</v>
      </c>
      <c r="B406" s="65" t="str">
        <f>VLOOKUP(A406,'CENTRO DE COSTOS'!A:D,4,FALSE)</f>
        <v>JOSE MAURICIO HERNANDEZ ROJAS</v>
      </c>
      <c r="C406" s="65" t="str">
        <f>VLOOKUP(A406,'CENTRO DE COSTOS'!A:D,2,FALSE)</f>
        <v>0004-0001</v>
      </c>
      <c r="D406" s="64">
        <v>47798</v>
      </c>
      <c r="E406" s="66" t="s">
        <v>2350</v>
      </c>
      <c r="F406" s="67">
        <v>81177</v>
      </c>
      <c r="G406" s="68" t="s">
        <v>90</v>
      </c>
      <c r="H406" s="69" t="s">
        <v>91</v>
      </c>
      <c r="I406" s="67" t="s">
        <v>1716</v>
      </c>
      <c r="J406" s="70" t="s">
        <v>2351</v>
      </c>
      <c r="K406" s="67" t="s">
        <v>2352</v>
      </c>
      <c r="L406" s="71" t="s">
        <v>95</v>
      </c>
      <c r="M406" s="72" t="s">
        <v>2353</v>
      </c>
      <c r="N406" s="73">
        <v>45894</v>
      </c>
      <c r="O406" s="74">
        <v>45895</v>
      </c>
      <c r="P406" s="75" t="s">
        <v>97</v>
      </c>
      <c r="Q406" s="76" t="s">
        <v>97</v>
      </c>
      <c r="R406" s="64" t="s">
        <v>98</v>
      </c>
      <c r="S406" s="77" t="s">
        <v>2354</v>
      </c>
      <c r="T406" s="74" t="s">
        <v>100</v>
      </c>
      <c r="U406" s="64" t="s">
        <v>2355</v>
      </c>
      <c r="V406" s="70" t="s">
        <v>102</v>
      </c>
      <c r="W406" s="74" t="s">
        <v>103</v>
      </c>
      <c r="X406" s="68" t="s">
        <v>1600</v>
      </c>
      <c r="Y406" s="64">
        <v>1</v>
      </c>
      <c r="Z406" s="78">
        <v>0</v>
      </c>
      <c r="AA406" s="79">
        <f>'BASE FACTURACION 2025'!$C$3</f>
        <v>122645.45276000001</v>
      </c>
      <c r="AB406" s="79">
        <f>'BASE FACTURACION 2025'!$F$3</f>
        <v>65164.677720000007</v>
      </c>
      <c r="AC406" s="79">
        <f t="shared" si="6"/>
        <v>122645.45276000001</v>
      </c>
    </row>
    <row r="407" spans="1:29" s="80" customFormat="1" ht="15" customHeight="1">
      <c r="A407" s="64" t="s">
        <v>220</v>
      </c>
      <c r="B407" s="65" t="str">
        <f>VLOOKUP(A407,'CENTRO DE COSTOS'!A:D,4,FALSE)</f>
        <v>KEVIN ALEXIS CORZO BUSTOS</v>
      </c>
      <c r="C407" s="65" t="str">
        <f>VLOOKUP(A407,'CENTRO DE COSTOS'!A:D,2,FALSE)</f>
        <v>0004-0007</v>
      </c>
      <c r="D407" s="64">
        <v>50270</v>
      </c>
      <c r="E407" s="66" t="s">
        <v>2356</v>
      </c>
      <c r="F407" s="67">
        <v>81167</v>
      </c>
      <c r="G407" s="68" t="s">
        <v>90</v>
      </c>
      <c r="H407" s="69" t="s">
        <v>91</v>
      </c>
      <c r="I407" s="67" t="s">
        <v>222</v>
      </c>
      <c r="J407" s="70" t="s">
        <v>2357</v>
      </c>
      <c r="K407" s="67" t="s">
        <v>2358</v>
      </c>
      <c r="L407" s="71" t="s">
        <v>95</v>
      </c>
      <c r="M407" s="72" t="s">
        <v>2359</v>
      </c>
      <c r="N407" s="73">
        <v>45894</v>
      </c>
      <c r="O407" s="74">
        <v>45895</v>
      </c>
      <c r="P407" s="75" t="s">
        <v>97</v>
      </c>
      <c r="Q407" s="76" t="s">
        <v>97</v>
      </c>
      <c r="R407" s="64" t="s">
        <v>98</v>
      </c>
      <c r="S407" s="77" t="s">
        <v>2360</v>
      </c>
      <c r="T407" s="74" t="s">
        <v>100</v>
      </c>
      <c r="U407" s="64" t="s">
        <v>2361</v>
      </c>
      <c r="V407" s="70" t="s">
        <v>162</v>
      </c>
      <c r="W407" s="74" t="s">
        <v>103</v>
      </c>
      <c r="X407" s="68" t="s">
        <v>293</v>
      </c>
      <c r="Y407" s="64">
        <v>1</v>
      </c>
      <c r="Z407" s="78">
        <v>0</v>
      </c>
      <c r="AA407" s="79">
        <f>'BASE FACTURACION 2025'!$C$3</f>
        <v>122645.45276000001</v>
      </c>
      <c r="AB407" s="79">
        <f>'BASE FACTURACION 2025'!$F$3</f>
        <v>65164.677720000007</v>
      </c>
      <c r="AC407" s="79">
        <f t="shared" si="6"/>
        <v>122645.45276000001</v>
      </c>
    </row>
    <row r="408" spans="1:29" s="80" customFormat="1" ht="15" customHeight="1">
      <c r="A408" s="64" t="s">
        <v>339</v>
      </c>
      <c r="B408" s="65" t="str">
        <f>VLOOKUP(A408,'CENTRO DE COSTOS'!A:D,4,FALSE)</f>
        <v>JOSE MAURICIO HERNANDEZ ROJAS</v>
      </c>
      <c r="C408" s="65" t="str">
        <f>VLOOKUP(A408,'CENTRO DE COSTOS'!A:D,2,FALSE)</f>
        <v>0004-0001</v>
      </c>
      <c r="D408" s="64">
        <v>23090</v>
      </c>
      <c r="E408" s="66" t="s">
        <v>2362</v>
      </c>
      <c r="F408" s="67">
        <v>81166</v>
      </c>
      <c r="G408" s="68" t="s">
        <v>90</v>
      </c>
      <c r="H408" s="69" t="s">
        <v>91</v>
      </c>
      <c r="I408" s="67" t="s">
        <v>341</v>
      </c>
      <c r="J408" s="70" t="s">
        <v>2363</v>
      </c>
      <c r="K408" s="67" t="s">
        <v>2364</v>
      </c>
      <c r="L408" s="71" t="s">
        <v>95</v>
      </c>
      <c r="M408" s="72" t="s">
        <v>2365</v>
      </c>
      <c r="N408" s="73">
        <v>45894</v>
      </c>
      <c r="O408" s="74">
        <v>45896</v>
      </c>
      <c r="P408" s="75" t="s">
        <v>97</v>
      </c>
      <c r="Q408" s="76" t="s">
        <v>97</v>
      </c>
      <c r="R408" s="64" t="s">
        <v>98</v>
      </c>
      <c r="S408" s="77" t="s">
        <v>2366</v>
      </c>
      <c r="T408" s="74" t="s">
        <v>100</v>
      </c>
      <c r="U408" s="64" t="s">
        <v>2367</v>
      </c>
      <c r="V408" s="70" t="s">
        <v>162</v>
      </c>
      <c r="W408" s="74" t="s">
        <v>103</v>
      </c>
      <c r="X408" s="68" t="s">
        <v>1821</v>
      </c>
      <c r="Y408" s="64">
        <v>1</v>
      </c>
      <c r="Z408" s="78">
        <v>0</v>
      </c>
      <c r="AA408" s="79">
        <f>'BASE FACTURACION 2025'!$C$3</f>
        <v>122645.45276000001</v>
      </c>
      <c r="AB408" s="79">
        <f>'BASE FACTURACION 2025'!$F$3</f>
        <v>65164.677720000007</v>
      </c>
      <c r="AC408" s="79">
        <f t="shared" si="6"/>
        <v>122645.45276000001</v>
      </c>
    </row>
    <row r="409" spans="1:29" s="80" customFormat="1" ht="15" customHeight="1">
      <c r="A409" s="64" t="s">
        <v>163</v>
      </c>
      <c r="B409" s="65" t="str">
        <f>VLOOKUP(A409,'CENTRO DE COSTOS'!A:D,4,FALSE)</f>
        <v>MIGUEL JULIÁN HERNÁNDEZ GUARÍN</v>
      </c>
      <c r="C409" s="65" t="str">
        <f>VLOOKUP(A409,'CENTRO DE COSTOS'!A:D,2,FALSE)</f>
        <v>0004-0008</v>
      </c>
      <c r="D409" s="64">
        <v>15276</v>
      </c>
      <c r="E409" s="66" t="s">
        <v>2368</v>
      </c>
      <c r="F409" s="67">
        <v>81178</v>
      </c>
      <c r="G409" s="68" t="s">
        <v>90</v>
      </c>
      <c r="H409" s="69" t="s">
        <v>91</v>
      </c>
      <c r="I409" s="67" t="s">
        <v>165</v>
      </c>
      <c r="J409" s="70" t="s">
        <v>2369</v>
      </c>
      <c r="K409" s="67" t="s">
        <v>2370</v>
      </c>
      <c r="L409" s="71" t="s">
        <v>95</v>
      </c>
      <c r="M409" s="72" t="s">
        <v>2371</v>
      </c>
      <c r="N409" s="73">
        <v>45894</v>
      </c>
      <c r="O409" s="74">
        <v>45896</v>
      </c>
      <c r="P409" s="75" t="s">
        <v>97</v>
      </c>
      <c r="Q409" s="76" t="s">
        <v>97</v>
      </c>
      <c r="R409" s="64" t="s">
        <v>98</v>
      </c>
      <c r="S409" s="77" t="s">
        <v>2372</v>
      </c>
      <c r="T409" s="74" t="s">
        <v>100</v>
      </c>
      <c r="U409" s="64" t="s">
        <v>2373</v>
      </c>
      <c r="V409" s="70" t="s">
        <v>162</v>
      </c>
      <c r="W409" s="74" t="s">
        <v>103</v>
      </c>
      <c r="X409" s="68" t="s">
        <v>1311</v>
      </c>
      <c r="Y409" s="64">
        <v>1</v>
      </c>
      <c r="Z409" s="78">
        <v>0</v>
      </c>
      <c r="AA409" s="79">
        <f>'BASE FACTURACION 2025'!$C$3</f>
        <v>122645.45276000001</v>
      </c>
      <c r="AB409" s="79">
        <f>'BASE FACTURACION 2025'!$F$3</f>
        <v>65164.677720000007</v>
      </c>
      <c r="AC409" s="79">
        <f t="shared" si="6"/>
        <v>122645.45276000001</v>
      </c>
    </row>
    <row r="410" spans="1:29" s="80" customFormat="1" ht="15" customHeight="1">
      <c r="A410" s="64" t="s">
        <v>331</v>
      </c>
      <c r="B410" s="65" t="str">
        <f>VLOOKUP(A410,'CENTRO DE COSTOS'!A:D,4,FALSE)</f>
        <v>JOSE MAURICIO HERNANDEZ ROJAS</v>
      </c>
      <c r="C410" s="65" t="str">
        <f>VLOOKUP(A410,'CENTRO DE COSTOS'!A:D,2,FALSE)</f>
        <v>0004-0001</v>
      </c>
      <c r="D410" s="64">
        <v>70708</v>
      </c>
      <c r="E410" s="66" t="s">
        <v>2374</v>
      </c>
      <c r="F410" s="67">
        <v>81176</v>
      </c>
      <c r="G410" s="68" t="s">
        <v>90</v>
      </c>
      <c r="H410" s="69" t="s">
        <v>91</v>
      </c>
      <c r="I410" s="67" t="s">
        <v>333</v>
      </c>
      <c r="J410" s="70" t="s">
        <v>611</v>
      </c>
      <c r="K410" s="67" t="s">
        <v>2375</v>
      </c>
      <c r="L410" s="71" t="s">
        <v>95</v>
      </c>
      <c r="M410" s="72" t="s">
        <v>2376</v>
      </c>
      <c r="N410" s="73">
        <v>45894</v>
      </c>
      <c r="O410" s="74">
        <v>45895</v>
      </c>
      <c r="P410" s="75" t="s">
        <v>97</v>
      </c>
      <c r="Q410" s="76" t="s">
        <v>97</v>
      </c>
      <c r="R410" s="64" t="s">
        <v>98</v>
      </c>
      <c r="S410" s="77" t="s">
        <v>2377</v>
      </c>
      <c r="T410" s="74" t="s">
        <v>100</v>
      </c>
      <c r="U410" s="64" t="s">
        <v>2378</v>
      </c>
      <c r="V410" s="70" t="s">
        <v>189</v>
      </c>
      <c r="W410" s="74" t="s">
        <v>103</v>
      </c>
      <c r="X410" s="68" t="s">
        <v>338</v>
      </c>
      <c r="Y410" s="64">
        <v>1</v>
      </c>
      <c r="Z410" s="78">
        <v>0</v>
      </c>
      <c r="AA410" s="79">
        <f>'BASE FACTURACION 2025'!$C$3</f>
        <v>122645.45276000001</v>
      </c>
      <c r="AB410" s="79">
        <f>'BASE FACTURACION 2025'!$F$3</f>
        <v>65164.677720000007</v>
      </c>
      <c r="AC410" s="79">
        <f t="shared" si="6"/>
        <v>122645.45276000001</v>
      </c>
    </row>
    <row r="411" spans="1:29" s="80" customFormat="1" ht="15" customHeight="1">
      <c r="A411" s="64" t="s">
        <v>220</v>
      </c>
      <c r="B411" s="65" t="str">
        <f>VLOOKUP(A411,'CENTRO DE COSTOS'!A:D,4,FALSE)</f>
        <v>KEVIN ALEXIS CORZO BUSTOS</v>
      </c>
      <c r="C411" s="65" t="str">
        <f>VLOOKUP(A411,'CENTRO DE COSTOS'!A:D,2,FALSE)</f>
        <v>0004-0007</v>
      </c>
      <c r="D411" s="64">
        <v>50287</v>
      </c>
      <c r="E411" s="66" t="s">
        <v>2379</v>
      </c>
      <c r="F411" s="67">
        <v>81169</v>
      </c>
      <c r="G411" s="68" t="s">
        <v>90</v>
      </c>
      <c r="H411" s="69" t="s">
        <v>91</v>
      </c>
      <c r="I411" s="67" t="s">
        <v>222</v>
      </c>
      <c r="J411" s="70" t="s">
        <v>2380</v>
      </c>
      <c r="K411" s="67" t="s">
        <v>2381</v>
      </c>
      <c r="L411" s="71" t="s">
        <v>95</v>
      </c>
      <c r="M411" s="72" t="s">
        <v>2382</v>
      </c>
      <c r="N411" s="73">
        <v>45894</v>
      </c>
      <c r="O411" s="74">
        <v>45896</v>
      </c>
      <c r="P411" s="75" t="s">
        <v>97</v>
      </c>
      <c r="Q411" s="76" t="s">
        <v>97</v>
      </c>
      <c r="R411" s="64" t="s">
        <v>98</v>
      </c>
      <c r="S411" s="77" t="s">
        <v>2383</v>
      </c>
      <c r="T411" s="74" t="s">
        <v>100</v>
      </c>
      <c r="U411" s="64" t="s">
        <v>2384</v>
      </c>
      <c r="V411" s="70" t="s">
        <v>189</v>
      </c>
      <c r="W411" s="74" t="s">
        <v>103</v>
      </c>
      <c r="X411" s="68" t="s">
        <v>831</v>
      </c>
      <c r="Y411" s="64">
        <v>1</v>
      </c>
      <c r="Z411" s="78">
        <v>0</v>
      </c>
      <c r="AA411" s="79">
        <f>'BASE FACTURACION 2025'!$C$3</f>
        <v>122645.45276000001</v>
      </c>
      <c r="AB411" s="79">
        <f>'BASE FACTURACION 2025'!$F$3</f>
        <v>65164.677720000007</v>
      </c>
      <c r="AC411" s="79">
        <f t="shared" si="6"/>
        <v>122645.45276000001</v>
      </c>
    </row>
    <row r="412" spans="1:29" s="80" customFormat="1" ht="15" customHeight="1">
      <c r="A412" s="64" t="s">
        <v>220</v>
      </c>
      <c r="B412" s="65" t="str">
        <f>VLOOKUP(A412,'CENTRO DE COSTOS'!A:D,4,FALSE)</f>
        <v>KEVIN ALEXIS CORZO BUSTOS</v>
      </c>
      <c r="C412" s="65" t="str">
        <f>VLOOKUP(A412,'CENTRO DE COSTOS'!A:D,2,FALSE)</f>
        <v>0004-0007</v>
      </c>
      <c r="D412" s="64">
        <v>50577</v>
      </c>
      <c r="E412" s="66" t="s">
        <v>2385</v>
      </c>
      <c r="F412" s="67">
        <v>81173</v>
      </c>
      <c r="G412" s="68" t="s">
        <v>90</v>
      </c>
      <c r="H412" s="69" t="s">
        <v>91</v>
      </c>
      <c r="I412" s="67" t="s">
        <v>222</v>
      </c>
      <c r="J412" s="70" t="s">
        <v>2386</v>
      </c>
      <c r="K412" s="67" t="s">
        <v>2387</v>
      </c>
      <c r="L412" s="71" t="s">
        <v>95</v>
      </c>
      <c r="M412" s="72" t="s">
        <v>2388</v>
      </c>
      <c r="N412" s="73">
        <v>45894</v>
      </c>
      <c r="O412" s="74">
        <v>45896</v>
      </c>
      <c r="P412" s="75" t="s">
        <v>97</v>
      </c>
      <c r="Q412" s="76" t="s">
        <v>97</v>
      </c>
      <c r="R412" s="64" t="s">
        <v>98</v>
      </c>
      <c r="S412" s="77" t="s">
        <v>2389</v>
      </c>
      <c r="T412" s="74" t="s">
        <v>100</v>
      </c>
      <c r="U412" s="64" t="s">
        <v>2390</v>
      </c>
      <c r="V412" s="70" t="s">
        <v>189</v>
      </c>
      <c r="W412" s="74" t="s">
        <v>103</v>
      </c>
      <c r="X412" s="68" t="s">
        <v>831</v>
      </c>
      <c r="Y412" s="64">
        <v>1</v>
      </c>
      <c r="Z412" s="78">
        <v>0</v>
      </c>
      <c r="AA412" s="79">
        <f>'BASE FACTURACION 2025'!$C$3</f>
        <v>122645.45276000001</v>
      </c>
      <c r="AB412" s="79">
        <f>'BASE FACTURACION 2025'!$F$3</f>
        <v>65164.677720000007</v>
      </c>
      <c r="AC412" s="79">
        <f t="shared" si="6"/>
        <v>122645.45276000001</v>
      </c>
    </row>
    <row r="413" spans="1:29" s="80" customFormat="1" ht="15" customHeight="1">
      <c r="A413" s="64" t="s">
        <v>163</v>
      </c>
      <c r="B413" s="65" t="str">
        <f>VLOOKUP(A413,'CENTRO DE COSTOS'!A:D,4,FALSE)</f>
        <v>MIGUEL JULIÁN HERNÁNDEZ GUARÍN</v>
      </c>
      <c r="C413" s="65" t="str">
        <f>VLOOKUP(A413,'CENTRO DE COSTOS'!A:D,2,FALSE)</f>
        <v>0004-0008</v>
      </c>
      <c r="D413" s="64">
        <v>15516</v>
      </c>
      <c r="E413" s="66" t="s">
        <v>2391</v>
      </c>
      <c r="F413" s="67">
        <v>81171</v>
      </c>
      <c r="G413" s="68" t="s">
        <v>90</v>
      </c>
      <c r="H413" s="69" t="s">
        <v>91</v>
      </c>
      <c r="I413" s="67" t="s">
        <v>165</v>
      </c>
      <c r="J413" s="70" t="s">
        <v>2392</v>
      </c>
      <c r="K413" s="67" t="s">
        <v>2393</v>
      </c>
      <c r="L413" s="71" t="s">
        <v>95</v>
      </c>
      <c r="M413" s="72" t="s">
        <v>2394</v>
      </c>
      <c r="N413" s="73">
        <v>45894</v>
      </c>
      <c r="O413" s="74">
        <v>45896</v>
      </c>
      <c r="P413" s="75" t="s">
        <v>97</v>
      </c>
      <c r="Q413" s="76" t="s">
        <v>97</v>
      </c>
      <c r="R413" s="64" t="s">
        <v>98</v>
      </c>
      <c r="S413" s="77" t="s">
        <v>2395</v>
      </c>
      <c r="T413" s="74" t="s">
        <v>100</v>
      </c>
      <c r="U413" s="64" t="s">
        <v>2396</v>
      </c>
      <c r="V413" s="70" t="s">
        <v>162</v>
      </c>
      <c r="W413" s="74" t="s">
        <v>103</v>
      </c>
      <c r="X413" s="68" t="s">
        <v>171</v>
      </c>
      <c r="Y413" s="64">
        <v>1</v>
      </c>
      <c r="Z413" s="78">
        <v>0</v>
      </c>
      <c r="AA413" s="79">
        <f>'BASE FACTURACION 2025'!$C$3</f>
        <v>122645.45276000001</v>
      </c>
      <c r="AB413" s="79">
        <f>'BASE FACTURACION 2025'!$F$3</f>
        <v>65164.677720000007</v>
      </c>
      <c r="AC413" s="79">
        <f t="shared" si="6"/>
        <v>122645.45276000001</v>
      </c>
    </row>
    <row r="414" spans="1:29" s="80" customFormat="1" ht="15" customHeight="1">
      <c r="A414" s="64" t="s">
        <v>180</v>
      </c>
      <c r="B414" s="65" t="str">
        <f>VLOOKUP(A414,'CENTRO DE COSTOS'!A:D,4,FALSE)</f>
        <v>DIEGO FERNANDO HENAO CARDONA</v>
      </c>
      <c r="C414" s="65" t="str">
        <f>VLOOKUP(A414,'CENTRO DE COSTOS'!A:D,2,FALSE)</f>
        <v>0004-0003</v>
      </c>
      <c r="D414" s="64">
        <v>76001</v>
      </c>
      <c r="E414" s="66" t="s">
        <v>2397</v>
      </c>
      <c r="F414" s="67">
        <v>81060</v>
      </c>
      <c r="G414" s="68" t="s">
        <v>90</v>
      </c>
      <c r="H414" s="69" t="s">
        <v>1122</v>
      </c>
      <c r="I414" s="67" t="s">
        <v>380</v>
      </c>
      <c r="J414" s="70" t="s">
        <v>180</v>
      </c>
      <c r="K414" s="67" t="s">
        <v>2398</v>
      </c>
      <c r="L414" s="71" t="s">
        <v>95</v>
      </c>
      <c r="M414" s="72" t="s">
        <v>2399</v>
      </c>
      <c r="N414" s="73">
        <v>45894</v>
      </c>
      <c r="O414" s="74">
        <v>45895</v>
      </c>
      <c r="P414" s="75" t="s">
        <v>97</v>
      </c>
      <c r="Q414" s="76" t="s">
        <v>97</v>
      </c>
      <c r="R414" s="64" t="s">
        <v>98</v>
      </c>
      <c r="S414" s="77" t="s">
        <v>2400</v>
      </c>
      <c r="T414" s="74" t="s">
        <v>100</v>
      </c>
      <c r="U414" s="64" t="s">
        <v>2401</v>
      </c>
      <c r="V414" s="70" t="s">
        <v>133</v>
      </c>
      <c r="W414" s="74" t="s">
        <v>103</v>
      </c>
      <c r="X414" s="68" t="s">
        <v>1221</v>
      </c>
      <c r="Y414" s="64">
        <v>1</v>
      </c>
      <c r="Z414" s="78">
        <v>0</v>
      </c>
      <c r="AA414" s="79">
        <f>'BASE FACTURACION 2025'!$C$3</f>
        <v>122645.45276000001</v>
      </c>
      <c r="AB414" s="79">
        <f>'BASE FACTURACION 2025'!$F$3</f>
        <v>65164.677720000007</v>
      </c>
      <c r="AC414" s="79">
        <f t="shared" si="6"/>
        <v>122645.45276000001</v>
      </c>
    </row>
    <row r="415" spans="1:29" s="80" customFormat="1" ht="15" customHeight="1">
      <c r="A415" s="64" t="s">
        <v>180</v>
      </c>
      <c r="B415" s="65" t="str">
        <f>VLOOKUP(A415,'CENTRO DE COSTOS'!A:D,4,FALSE)</f>
        <v>DIEGO FERNANDO HENAO CARDONA</v>
      </c>
      <c r="C415" s="65" t="str">
        <f>VLOOKUP(A415,'CENTRO DE COSTOS'!A:D,2,FALSE)</f>
        <v>0004-0003</v>
      </c>
      <c r="D415" s="64">
        <v>76520</v>
      </c>
      <c r="E415" s="66" t="s">
        <v>2402</v>
      </c>
      <c r="F415" s="67">
        <v>81090</v>
      </c>
      <c r="G415" s="68" t="s">
        <v>90</v>
      </c>
      <c r="H415" s="69" t="s">
        <v>1122</v>
      </c>
      <c r="I415" s="67" t="s">
        <v>380</v>
      </c>
      <c r="J415" s="70" t="s">
        <v>1282</v>
      </c>
      <c r="K415" s="67" t="s">
        <v>2403</v>
      </c>
      <c r="L415" s="71" t="s">
        <v>95</v>
      </c>
      <c r="M415" s="72" t="s">
        <v>2404</v>
      </c>
      <c r="N415" s="73">
        <v>45894</v>
      </c>
      <c r="O415" s="74">
        <v>45895</v>
      </c>
      <c r="P415" s="75" t="s">
        <v>97</v>
      </c>
      <c r="Q415" s="76" t="s">
        <v>97</v>
      </c>
      <c r="R415" s="64" t="s">
        <v>98</v>
      </c>
      <c r="S415" s="77" t="s">
        <v>2405</v>
      </c>
      <c r="T415" s="74" t="s">
        <v>100</v>
      </c>
      <c r="U415" s="64" t="s">
        <v>2406</v>
      </c>
      <c r="V415" s="70" t="s">
        <v>133</v>
      </c>
      <c r="W415" s="74" t="s">
        <v>103</v>
      </c>
      <c r="X415" s="68" t="s">
        <v>450</v>
      </c>
      <c r="Y415" s="64">
        <v>1</v>
      </c>
      <c r="Z415" s="78">
        <v>0</v>
      </c>
      <c r="AA415" s="79">
        <f>'BASE FACTURACION 2025'!$C$3</f>
        <v>122645.45276000001</v>
      </c>
      <c r="AB415" s="79">
        <f>'BASE FACTURACION 2025'!$F$3</f>
        <v>65164.677720000007</v>
      </c>
      <c r="AC415" s="79">
        <f t="shared" si="6"/>
        <v>122645.45276000001</v>
      </c>
    </row>
    <row r="416" spans="1:29" s="80" customFormat="1" ht="15" customHeight="1">
      <c r="A416" s="64" t="s">
        <v>245</v>
      </c>
      <c r="B416" s="65" t="str">
        <f>VLOOKUP(A416,'CENTRO DE COSTOS'!A:D,4,FALSE)</f>
        <v>MIGUEL JULIÁN HERNÁNDEZ GUARÍN</v>
      </c>
      <c r="C416" s="65" t="str">
        <f>VLOOKUP(A416,'CENTRO DE COSTOS'!A:D,2,FALSE)</f>
        <v>0004-0008</v>
      </c>
      <c r="D416" s="64">
        <v>54313</v>
      </c>
      <c r="E416" s="66" t="s">
        <v>2407</v>
      </c>
      <c r="F416" s="67">
        <v>81205</v>
      </c>
      <c r="G416" s="68" t="s">
        <v>90</v>
      </c>
      <c r="H416" s="69" t="s">
        <v>91</v>
      </c>
      <c r="I416" s="67" t="s">
        <v>247</v>
      </c>
      <c r="J416" s="70" t="s">
        <v>2408</v>
      </c>
      <c r="K416" s="67" t="s">
        <v>2409</v>
      </c>
      <c r="L416" s="71" t="s">
        <v>95</v>
      </c>
      <c r="M416" s="72" t="s">
        <v>2410</v>
      </c>
      <c r="N416" s="73">
        <v>45896</v>
      </c>
      <c r="O416" s="74">
        <v>45898</v>
      </c>
      <c r="P416" s="75" t="s">
        <v>97</v>
      </c>
      <c r="Q416" s="76" t="s">
        <v>97</v>
      </c>
      <c r="R416" s="64" t="s">
        <v>98</v>
      </c>
      <c r="S416" s="77" t="s">
        <v>2411</v>
      </c>
      <c r="T416" s="74" t="s">
        <v>100</v>
      </c>
      <c r="U416" s="64" t="s">
        <v>2412</v>
      </c>
      <c r="V416" s="70" t="s">
        <v>162</v>
      </c>
      <c r="W416" s="74" t="s">
        <v>103</v>
      </c>
      <c r="X416" s="68" t="s">
        <v>352</v>
      </c>
      <c r="Y416" s="64">
        <v>1</v>
      </c>
      <c r="Z416" s="78">
        <v>0</v>
      </c>
      <c r="AA416" s="79">
        <f>'BASE FACTURACION 2025'!$C$3</f>
        <v>122645.45276000001</v>
      </c>
      <c r="AB416" s="79">
        <f>'BASE FACTURACION 2025'!$F$3</f>
        <v>65164.677720000007</v>
      </c>
      <c r="AC416" s="79">
        <f t="shared" si="6"/>
        <v>122645.45276000001</v>
      </c>
    </row>
    <row r="417" spans="1:29" s="80" customFormat="1" ht="15" customHeight="1">
      <c r="A417" s="64" t="s">
        <v>1574</v>
      </c>
      <c r="B417" s="65" t="str">
        <f>VLOOKUP(A417,'CENTRO DE COSTOS'!A:D,4,FALSE)</f>
        <v>JOSE MAURICIO HERNANDEZ ROJAS</v>
      </c>
      <c r="C417" s="65" t="str">
        <f>VLOOKUP(A417,'CENTRO DE COSTOS'!A:D,2,FALSE)</f>
        <v>0004-0001</v>
      </c>
      <c r="D417" s="64">
        <v>47030</v>
      </c>
      <c r="E417" s="66" t="s">
        <v>2413</v>
      </c>
      <c r="F417" s="67">
        <v>81182</v>
      </c>
      <c r="G417" s="68" t="s">
        <v>90</v>
      </c>
      <c r="H417" s="69" t="s">
        <v>91</v>
      </c>
      <c r="I417" s="67" t="s">
        <v>1716</v>
      </c>
      <c r="J417" s="70" t="s">
        <v>2414</v>
      </c>
      <c r="K417" s="67" t="s">
        <v>2415</v>
      </c>
      <c r="L417" s="71" t="s">
        <v>95</v>
      </c>
      <c r="M417" s="72" t="s">
        <v>2416</v>
      </c>
      <c r="N417" s="73">
        <v>45896</v>
      </c>
      <c r="O417" s="74">
        <v>45897</v>
      </c>
      <c r="P417" s="75" t="s">
        <v>97</v>
      </c>
      <c r="Q417" s="76" t="s">
        <v>97</v>
      </c>
      <c r="R417" s="64" t="s">
        <v>98</v>
      </c>
      <c r="S417" s="77" t="s">
        <v>2417</v>
      </c>
      <c r="T417" s="74" t="s">
        <v>100</v>
      </c>
      <c r="U417" s="64" t="s">
        <v>2418</v>
      </c>
      <c r="V417" s="70" t="s">
        <v>102</v>
      </c>
      <c r="W417" s="74" t="s">
        <v>103</v>
      </c>
      <c r="X417" s="68" t="s">
        <v>1594</v>
      </c>
      <c r="Y417" s="64">
        <v>1</v>
      </c>
      <c r="Z417" s="78">
        <v>0</v>
      </c>
      <c r="AA417" s="79">
        <f>'BASE FACTURACION 2025'!$C$3</f>
        <v>122645.45276000001</v>
      </c>
      <c r="AB417" s="79">
        <f>'BASE FACTURACION 2025'!$F$3</f>
        <v>65164.677720000007</v>
      </c>
      <c r="AC417" s="79">
        <f t="shared" si="6"/>
        <v>122645.45276000001</v>
      </c>
    </row>
    <row r="418" spans="1:29" s="80" customFormat="1" ht="15" customHeight="1">
      <c r="A418" s="64" t="s">
        <v>88</v>
      </c>
      <c r="B418" s="65" t="str">
        <f>VLOOKUP(A418,'CENTRO DE COSTOS'!A:D,4,FALSE)</f>
        <v>KEVIN ALEXIS CORZO BUSTOS</v>
      </c>
      <c r="C418" s="65" t="str">
        <f>VLOOKUP(A418,'CENTRO DE COSTOS'!A:D,2,FALSE)</f>
        <v>0004-0007</v>
      </c>
      <c r="D418" s="64">
        <v>41298</v>
      </c>
      <c r="E418" s="66" t="s">
        <v>2419</v>
      </c>
      <c r="F418" s="67">
        <v>81204</v>
      </c>
      <c r="G418" s="68" t="s">
        <v>90</v>
      </c>
      <c r="H418" s="69" t="s">
        <v>91</v>
      </c>
      <c r="I418" s="67" t="s">
        <v>173</v>
      </c>
      <c r="J418" s="70" t="s">
        <v>1570</v>
      </c>
      <c r="K418" s="67" t="s">
        <v>2420</v>
      </c>
      <c r="L418" s="71" t="s">
        <v>95</v>
      </c>
      <c r="M418" s="72" t="s">
        <v>2421</v>
      </c>
      <c r="N418" s="73">
        <v>45896</v>
      </c>
      <c r="O418" s="74">
        <v>45897</v>
      </c>
      <c r="P418" s="75" t="s">
        <v>97</v>
      </c>
      <c r="Q418" s="76" t="s">
        <v>97</v>
      </c>
      <c r="R418" s="64" t="s">
        <v>98</v>
      </c>
      <c r="S418" s="77" t="s">
        <v>2422</v>
      </c>
      <c r="T418" s="74" t="s">
        <v>100</v>
      </c>
      <c r="U418" s="64" t="s">
        <v>2423</v>
      </c>
      <c r="V418" s="70" t="s">
        <v>189</v>
      </c>
      <c r="W418" s="74" t="s">
        <v>103</v>
      </c>
      <c r="X418" s="68" t="s">
        <v>275</v>
      </c>
      <c r="Y418" s="64">
        <v>1</v>
      </c>
      <c r="Z418" s="78">
        <v>0</v>
      </c>
      <c r="AA418" s="79">
        <f>'BASE FACTURACION 2025'!$C$3</f>
        <v>122645.45276000001</v>
      </c>
      <c r="AB418" s="79">
        <f>'BASE FACTURACION 2025'!$F$3</f>
        <v>65164.677720000007</v>
      </c>
      <c r="AC418" s="79">
        <f t="shared" si="6"/>
        <v>122645.45276000001</v>
      </c>
    </row>
    <row r="419" spans="1:29" s="80" customFormat="1" ht="15" customHeight="1">
      <c r="A419" s="64" t="s">
        <v>622</v>
      </c>
      <c r="B419" s="65" t="str">
        <f>VLOOKUP(A419,'CENTRO DE COSTOS'!A:D,4,FALSE)</f>
        <v>KEVIN ALEXIS CORZO BUSTOS</v>
      </c>
      <c r="C419" s="65" t="str">
        <f>VLOOKUP(A419,'CENTRO DE COSTOS'!A:D,2,FALSE)</f>
        <v>0004-0007</v>
      </c>
      <c r="D419" s="64">
        <v>73319</v>
      </c>
      <c r="E419" s="66" t="s">
        <v>2424</v>
      </c>
      <c r="F419" s="67">
        <v>81206</v>
      </c>
      <c r="G419" s="68" t="s">
        <v>90</v>
      </c>
      <c r="H419" s="69" t="s">
        <v>91</v>
      </c>
      <c r="I419" s="67" t="s">
        <v>624</v>
      </c>
      <c r="J419" s="70" t="s">
        <v>2425</v>
      </c>
      <c r="K419" s="67" t="s">
        <v>2426</v>
      </c>
      <c r="L419" s="71" t="s">
        <v>95</v>
      </c>
      <c r="M419" s="72" t="s">
        <v>2427</v>
      </c>
      <c r="N419" s="73">
        <v>45896</v>
      </c>
      <c r="O419" s="74">
        <v>45897</v>
      </c>
      <c r="P419" s="75" t="s">
        <v>97</v>
      </c>
      <c r="Q419" s="76" t="s">
        <v>97</v>
      </c>
      <c r="R419" s="64" t="s">
        <v>98</v>
      </c>
      <c r="S419" s="77" t="s">
        <v>2428</v>
      </c>
      <c r="T419" s="74" t="s">
        <v>100</v>
      </c>
      <c r="U419" s="64" t="s">
        <v>2429</v>
      </c>
      <c r="V419" s="70" t="s">
        <v>162</v>
      </c>
      <c r="W419" s="74" t="s">
        <v>103</v>
      </c>
      <c r="X419" s="68" t="s">
        <v>856</v>
      </c>
      <c r="Y419" s="64">
        <v>1</v>
      </c>
      <c r="Z419" s="78">
        <v>0</v>
      </c>
      <c r="AA419" s="79">
        <f>'BASE FACTURACION 2025'!$C$3</f>
        <v>122645.45276000001</v>
      </c>
      <c r="AB419" s="79">
        <f>'BASE FACTURACION 2025'!$F$3</f>
        <v>65164.677720000007</v>
      </c>
      <c r="AC419" s="79">
        <f t="shared" si="6"/>
        <v>122645.45276000001</v>
      </c>
    </row>
    <row r="420" spans="1:29" s="80" customFormat="1" ht="15" customHeight="1">
      <c r="A420" s="64" t="s">
        <v>163</v>
      </c>
      <c r="B420" s="65" t="str">
        <f>VLOOKUP(A420,'CENTRO DE COSTOS'!A:D,4,FALSE)</f>
        <v>MIGUEL JULIÁN HERNÁNDEZ GUARÍN</v>
      </c>
      <c r="C420" s="65" t="str">
        <f>VLOOKUP(A420,'CENTRO DE COSTOS'!A:D,2,FALSE)</f>
        <v>0004-0008</v>
      </c>
      <c r="D420" s="64">
        <v>68271</v>
      </c>
      <c r="E420" s="66" t="s">
        <v>2430</v>
      </c>
      <c r="F420" s="67">
        <v>81202</v>
      </c>
      <c r="G420" s="68" t="s">
        <v>90</v>
      </c>
      <c r="H420" s="69" t="s">
        <v>91</v>
      </c>
      <c r="I420" s="67" t="s">
        <v>714</v>
      </c>
      <c r="J420" s="70" t="s">
        <v>2431</v>
      </c>
      <c r="K420" s="67" t="s">
        <v>2432</v>
      </c>
      <c r="L420" s="71" t="s">
        <v>95</v>
      </c>
      <c r="M420" s="72" t="s">
        <v>2433</v>
      </c>
      <c r="N420" s="73">
        <v>45896</v>
      </c>
      <c r="O420" s="74">
        <v>45898</v>
      </c>
      <c r="P420" s="75" t="s">
        <v>97</v>
      </c>
      <c r="Q420" s="76" t="s">
        <v>97</v>
      </c>
      <c r="R420" s="64" t="s">
        <v>98</v>
      </c>
      <c r="S420" s="77" t="s">
        <v>2434</v>
      </c>
      <c r="T420" s="74" t="s">
        <v>100</v>
      </c>
      <c r="U420" s="64" t="s">
        <v>2435</v>
      </c>
      <c r="V420" s="70" t="s">
        <v>102</v>
      </c>
      <c r="W420" s="74" t="s">
        <v>103</v>
      </c>
      <c r="X420" s="68" t="s">
        <v>171</v>
      </c>
      <c r="Y420" s="64">
        <v>1</v>
      </c>
      <c r="Z420" s="78">
        <v>0</v>
      </c>
      <c r="AA420" s="79">
        <f>'BASE FACTURACION 2025'!$C$3</f>
        <v>122645.45276000001</v>
      </c>
      <c r="AB420" s="79">
        <f>'BASE FACTURACION 2025'!$F$3</f>
        <v>65164.677720000007</v>
      </c>
      <c r="AC420" s="79">
        <f t="shared" si="6"/>
        <v>122645.45276000001</v>
      </c>
    </row>
    <row r="421" spans="1:29" s="80" customFormat="1" ht="15" customHeight="1">
      <c r="A421" s="64" t="s">
        <v>391</v>
      </c>
      <c r="B421" s="65" t="str">
        <f>VLOOKUP(A421,'CENTRO DE COSTOS'!A:D,4,FALSE)</f>
        <v>WILLIAM ASDRUBAL ROZO ROZO</v>
      </c>
      <c r="C421" s="65" t="str">
        <f>VLOOKUP(A421,'CENTRO DE COSTOS'!A:D,2,FALSE)</f>
        <v>0004-0004</v>
      </c>
      <c r="D421" s="64">
        <v>25200</v>
      </c>
      <c r="E421" s="66" t="s">
        <v>2436</v>
      </c>
      <c r="F421" s="67">
        <v>81207</v>
      </c>
      <c r="G421" s="68" t="s">
        <v>90</v>
      </c>
      <c r="H421" s="69" t="s">
        <v>91</v>
      </c>
      <c r="I421" s="67" t="s">
        <v>393</v>
      </c>
      <c r="J421" s="70" t="s">
        <v>2437</v>
      </c>
      <c r="K421" s="67" t="s">
        <v>2438</v>
      </c>
      <c r="L421" s="71" t="s">
        <v>95</v>
      </c>
      <c r="M421" s="72" t="s">
        <v>2439</v>
      </c>
      <c r="N421" s="73">
        <v>45896</v>
      </c>
      <c r="O421" s="74">
        <v>45897</v>
      </c>
      <c r="P421" s="75" t="s">
        <v>97</v>
      </c>
      <c r="Q421" s="76" t="s">
        <v>97</v>
      </c>
      <c r="R421" s="64" t="s">
        <v>98</v>
      </c>
      <c r="S421" s="77" t="s">
        <v>2440</v>
      </c>
      <c r="T421" s="74" t="s">
        <v>100</v>
      </c>
      <c r="U421" s="64" t="s">
        <v>2441</v>
      </c>
      <c r="V421" s="70" t="s">
        <v>162</v>
      </c>
      <c r="W421" s="74" t="s">
        <v>103</v>
      </c>
      <c r="X421" s="68" t="s">
        <v>431</v>
      </c>
      <c r="Y421" s="64">
        <v>1</v>
      </c>
      <c r="Z421" s="78">
        <v>0</v>
      </c>
      <c r="AA421" s="79">
        <f>'BASE FACTURACION 2025'!$C$3</f>
        <v>122645.45276000001</v>
      </c>
      <c r="AB421" s="79">
        <f>'BASE FACTURACION 2025'!$F$3</f>
        <v>65164.677720000007</v>
      </c>
      <c r="AC421" s="79">
        <f t="shared" si="6"/>
        <v>122645.45276000001</v>
      </c>
    </row>
    <row r="422" spans="1:29" s="80" customFormat="1" ht="15" customHeight="1">
      <c r="A422" s="64" t="s">
        <v>391</v>
      </c>
      <c r="B422" s="65" t="str">
        <f>VLOOKUP(A422,'CENTRO DE COSTOS'!A:D,4,FALSE)</f>
        <v>WILLIAM ASDRUBAL ROZO ROZO</v>
      </c>
      <c r="C422" s="65" t="str">
        <f>VLOOKUP(A422,'CENTRO DE COSTOS'!A:D,2,FALSE)</f>
        <v>0004-0004</v>
      </c>
      <c r="D422" s="64">
        <v>25430</v>
      </c>
      <c r="E422" s="66" t="s">
        <v>2442</v>
      </c>
      <c r="F422" s="67">
        <v>81210</v>
      </c>
      <c r="G422" s="68" t="s">
        <v>90</v>
      </c>
      <c r="H422" s="69" t="s">
        <v>91</v>
      </c>
      <c r="I422" s="67" t="s">
        <v>393</v>
      </c>
      <c r="J422" s="70" t="s">
        <v>2443</v>
      </c>
      <c r="K422" s="67" t="s">
        <v>2444</v>
      </c>
      <c r="L422" s="71" t="s">
        <v>95</v>
      </c>
      <c r="M422" s="72" t="s">
        <v>2445</v>
      </c>
      <c r="N422" s="73">
        <v>45896</v>
      </c>
      <c r="O422" s="74">
        <v>45897</v>
      </c>
      <c r="P422" s="75" t="s">
        <v>97</v>
      </c>
      <c r="Q422" s="76" t="s">
        <v>97</v>
      </c>
      <c r="R422" s="64" t="s">
        <v>98</v>
      </c>
      <c r="S422" s="77" t="s">
        <v>2446</v>
      </c>
      <c r="T422" s="74" t="s">
        <v>100</v>
      </c>
      <c r="U422" s="64" t="s">
        <v>2447</v>
      </c>
      <c r="V422" s="70" t="s">
        <v>162</v>
      </c>
      <c r="W422" s="74" t="s">
        <v>103</v>
      </c>
      <c r="X422" s="68" t="s">
        <v>463</v>
      </c>
      <c r="Y422" s="64">
        <v>1</v>
      </c>
      <c r="Z422" s="78">
        <v>0</v>
      </c>
      <c r="AA422" s="79">
        <f>'BASE FACTURACION 2025'!$C$3</f>
        <v>122645.45276000001</v>
      </c>
      <c r="AB422" s="79">
        <f>'BASE FACTURACION 2025'!$F$3</f>
        <v>65164.677720000007</v>
      </c>
      <c r="AC422" s="79">
        <f t="shared" si="6"/>
        <v>122645.45276000001</v>
      </c>
    </row>
    <row r="423" spans="1:29" s="80" customFormat="1" ht="15" customHeight="1">
      <c r="A423" s="64" t="s">
        <v>391</v>
      </c>
      <c r="B423" s="65" t="str">
        <f>VLOOKUP(A423,'CENTRO DE COSTOS'!A:D,4,FALSE)</f>
        <v>WILLIAM ASDRUBAL ROZO ROZO</v>
      </c>
      <c r="C423" s="65" t="str">
        <f>VLOOKUP(A423,'CENTRO DE COSTOS'!A:D,2,FALSE)</f>
        <v>0004-0004</v>
      </c>
      <c r="D423" s="64">
        <v>11001</v>
      </c>
      <c r="E423" s="66" t="s">
        <v>2448</v>
      </c>
      <c r="F423" s="67">
        <v>81187</v>
      </c>
      <c r="G423" s="68" t="s">
        <v>90</v>
      </c>
      <c r="H423" s="69" t="s">
        <v>182</v>
      </c>
      <c r="I423" s="67" t="s">
        <v>393</v>
      </c>
      <c r="J423" s="70" t="s">
        <v>391</v>
      </c>
      <c r="K423" s="67" t="s">
        <v>2449</v>
      </c>
      <c r="L423" s="71" t="s">
        <v>95</v>
      </c>
      <c r="M423" s="72" t="s">
        <v>2450</v>
      </c>
      <c r="N423" s="73">
        <v>45896</v>
      </c>
      <c r="O423" s="74">
        <v>45898</v>
      </c>
      <c r="P423" s="75" t="s">
        <v>97</v>
      </c>
      <c r="Q423" s="76" t="s">
        <v>97</v>
      </c>
      <c r="R423" s="64" t="s">
        <v>98</v>
      </c>
      <c r="S423" s="77" t="s">
        <v>2451</v>
      </c>
      <c r="T423" s="74" t="s">
        <v>100</v>
      </c>
      <c r="U423" s="64" t="s">
        <v>2452</v>
      </c>
      <c r="V423" s="70" t="s">
        <v>133</v>
      </c>
      <c r="W423" s="74" t="s">
        <v>103</v>
      </c>
      <c r="X423" s="68" t="s">
        <v>917</v>
      </c>
      <c r="Y423" s="64">
        <v>1</v>
      </c>
      <c r="Z423" s="78">
        <v>0</v>
      </c>
      <c r="AA423" s="79">
        <f>'BASE FACTURACION 2025'!$C$3</f>
        <v>122645.45276000001</v>
      </c>
      <c r="AB423" s="79">
        <f>'BASE FACTURACION 2025'!$F$3</f>
        <v>65164.677720000007</v>
      </c>
      <c r="AC423" s="79">
        <f t="shared" si="6"/>
        <v>122645.45276000001</v>
      </c>
    </row>
    <row r="424" spans="1:29" s="80" customFormat="1" ht="15" customHeight="1">
      <c r="A424" s="64" t="s">
        <v>391</v>
      </c>
      <c r="B424" s="65" t="str">
        <f>VLOOKUP(A424,'CENTRO DE COSTOS'!A:D,4,FALSE)</f>
        <v>WILLIAM ASDRUBAL ROZO ROZO</v>
      </c>
      <c r="C424" s="65" t="str">
        <f>VLOOKUP(A424,'CENTRO DE COSTOS'!A:D,2,FALSE)</f>
        <v>0004-0004</v>
      </c>
      <c r="D424" s="64">
        <v>25290</v>
      </c>
      <c r="E424" s="66" t="s">
        <v>2453</v>
      </c>
      <c r="F424" s="67">
        <v>81203</v>
      </c>
      <c r="G424" s="68" t="s">
        <v>90</v>
      </c>
      <c r="H424" s="69" t="s">
        <v>91</v>
      </c>
      <c r="I424" s="67" t="s">
        <v>393</v>
      </c>
      <c r="J424" s="70" t="s">
        <v>1755</v>
      </c>
      <c r="K424" s="67" t="s">
        <v>2454</v>
      </c>
      <c r="L424" s="71" t="s">
        <v>95</v>
      </c>
      <c r="M424" s="72" t="s">
        <v>2455</v>
      </c>
      <c r="N424" s="73">
        <v>45896</v>
      </c>
      <c r="O424" s="74">
        <v>45898</v>
      </c>
      <c r="P424" s="75" t="s">
        <v>97</v>
      </c>
      <c r="Q424" s="76" t="s">
        <v>97</v>
      </c>
      <c r="R424" s="64" t="s">
        <v>98</v>
      </c>
      <c r="S424" s="77" t="s">
        <v>2456</v>
      </c>
      <c r="T424" s="74" t="s">
        <v>100</v>
      </c>
      <c r="U424" s="64" t="s">
        <v>2457</v>
      </c>
      <c r="V424" s="70" t="s">
        <v>162</v>
      </c>
      <c r="W424" s="74" t="s">
        <v>103</v>
      </c>
      <c r="X424" s="68" t="s">
        <v>776</v>
      </c>
      <c r="Y424" s="64">
        <v>1</v>
      </c>
      <c r="Z424" s="78">
        <v>0</v>
      </c>
      <c r="AA424" s="79">
        <f>'BASE FACTURACION 2025'!$C$3</f>
        <v>122645.45276000001</v>
      </c>
      <c r="AB424" s="79">
        <f>'BASE FACTURACION 2025'!$F$3</f>
        <v>65164.677720000007</v>
      </c>
      <c r="AC424" s="79">
        <f t="shared" si="6"/>
        <v>122645.45276000001</v>
      </c>
    </row>
    <row r="425" spans="1:29" s="80" customFormat="1" ht="15" customHeight="1">
      <c r="A425" s="64" t="s">
        <v>399</v>
      </c>
      <c r="B425" s="65" t="str">
        <f>VLOOKUP(A425,'CENTRO DE COSTOS'!A:D,4,FALSE)</f>
        <v>DIEGO FERNANDO HENAO CARDONA</v>
      </c>
      <c r="C425" s="65" t="str">
        <f>VLOOKUP(A425,'CENTRO DE COSTOS'!A:D,2,FALSE)</f>
        <v>0004-0002</v>
      </c>
      <c r="D425" s="64">
        <v>17616</v>
      </c>
      <c r="E425" s="66" t="s">
        <v>2458</v>
      </c>
      <c r="F425" s="67">
        <v>81240</v>
      </c>
      <c r="G425" s="68" t="s">
        <v>90</v>
      </c>
      <c r="H425" s="69" t="s">
        <v>91</v>
      </c>
      <c r="I425" s="67" t="s">
        <v>401</v>
      </c>
      <c r="J425" s="70" t="s">
        <v>531</v>
      </c>
      <c r="K425" s="67" t="s">
        <v>2459</v>
      </c>
      <c r="L425" s="71" t="s">
        <v>95</v>
      </c>
      <c r="M425" s="72" t="s">
        <v>2460</v>
      </c>
      <c r="N425" s="73">
        <v>45896</v>
      </c>
      <c r="O425" s="74">
        <v>45897</v>
      </c>
      <c r="P425" s="75" t="s">
        <v>97</v>
      </c>
      <c r="Q425" s="76" t="s">
        <v>97</v>
      </c>
      <c r="R425" s="64" t="s">
        <v>98</v>
      </c>
      <c r="S425" s="77" t="s">
        <v>2461</v>
      </c>
      <c r="T425" s="74" t="s">
        <v>100</v>
      </c>
      <c r="U425" s="64" t="s">
        <v>2462</v>
      </c>
      <c r="V425" s="70" t="s">
        <v>162</v>
      </c>
      <c r="W425" s="74" t="s">
        <v>103</v>
      </c>
      <c r="X425" s="68" t="s">
        <v>406</v>
      </c>
      <c r="Y425" s="64">
        <v>1</v>
      </c>
      <c r="Z425" s="78">
        <v>0</v>
      </c>
      <c r="AA425" s="79">
        <f>'BASE FACTURACION 2025'!$C$3</f>
        <v>122645.45276000001</v>
      </c>
      <c r="AB425" s="79">
        <f>'BASE FACTURACION 2025'!$F$3</f>
        <v>65164.677720000007</v>
      </c>
      <c r="AC425" s="79">
        <f t="shared" si="6"/>
        <v>122645.45276000001</v>
      </c>
    </row>
    <row r="426" spans="1:29" s="80" customFormat="1" ht="15" customHeight="1">
      <c r="A426" s="64" t="s">
        <v>163</v>
      </c>
      <c r="B426" s="65" t="str">
        <f>VLOOKUP(A426,'CENTRO DE COSTOS'!A:D,4,FALSE)</f>
        <v>MIGUEL JULIÁN HERNÁNDEZ GUARÍN</v>
      </c>
      <c r="C426" s="65" t="str">
        <f>VLOOKUP(A426,'CENTRO DE COSTOS'!A:D,2,FALSE)</f>
        <v>0004-0008</v>
      </c>
      <c r="D426" s="64">
        <v>15835</v>
      </c>
      <c r="E426" s="66" t="s">
        <v>2463</v>
      </c>
      <c r="F426" s="67">
        <v>81250</v>
      </c>
      <c r="G426" s="68" t="s">
        <v>90</v>
      </c>
      <c r="H426" s="69" t="s">
        <v>91</v>
      </c>
      <c r="I426" s="67" t="s">
        <v>165</v>
      </c>
      <c r="J426" s="70" t="s">
        <v>2464</v>
      </c>
      <c r="K426" s="67" t="s">
        <v>2465</v>
      </c>
      <c r="L426" s="71" t="s">
        <v>95</v>
      </c>
      <c r="M426" s="72" t="s">
        <v>2466</v>
      </c>
      <c r="N426" s="73">
        <v>45896</v>
      </c>
      <c r="O426" s="74">
        <v>45897</v>
      </c>
      <c r="P426" s="75" t="s">
        <v>97</v>
      </c>
      <c r="Q426" s="76" t="s">
        <v>97</v>
      </c>
      <c r="R426" s="64" t="s">
        <v>98</v>
      </c>
      <c r="S426" s="77" t="s">
        <v>2467</v>
      </c>
      <c r="T426" s="74" t="s">
        <v>100</v>
      </c>
      <c r="U426" s="64" t="s">
        <v>2468</v>
      </c>
      <c r="V426" s="70" t="s">
        <v>162</v>
      </c>
      <c r="W426" s="74" t="s">
        <v>103</v>
      </c>
      <c r="X426" s="68" t="s">
        <v>1036</v>
      </c>
      <c r="Y426" s="64">
        <v>1</v>
      </c>
      <c r="Z426" s="78">
        <v>0</v>
      </c>
      <c r="AA426" s="79">
        <f>'BASE FACTURACION 2025'!$C$3</f>
        <v>122645.45276000001</v>
      </c>
      <c r="AB426" s="79">
        <f>'BASE FACTURACION 2025'!$F$3</f>
        <v>65164.677720000007</v>
      </c>
      <c r="AC426" s="79">
        <f t="shared" si="6"/>
        <v>122645.45276000001</v>
      </c>
    </row>
    <row r="427" spans="1:29" s="80" customFormat="1" ht="15" customHeight="1">
      <c r="A427" s="64" t="s">
        <v>110</v>
      </c>
      <c r="B427" s="65" t="str">
        <f>VLOOKUP(A427,'CENTRO DE COSTOS'!A:D,4,FALSE)</f>
        <v>DIEGO FERNANDO HENAO CARDONA</v>
      </c>
      <c r="C427" s="65" t="str">
        <f>VLOOKUP(A427,'CENTRO DE COSTOS'!A:D,2,FALSE)</f>
        <v>0004-0003</v>
      </c>
      <c r="D427" s="64">
        <v>52256</v>
      </c>
      <c r="E427" s="66" t="s">
        <v>2469</v>
      </c>
      <c r="F427" s="67">
        <v>81200</v>
      </c>
      <c r="G427" s="68" t="s">
        <v>90</v>
      </c>
      <c r="H427" s="69" t="s">
        <v>91</v>
      </c>
      <c r="I427" s="67" t="s">
        <v>112</v>
      </c>
      <c r="J427" s="70" t="s">
        <v>2470</v>
      </c>
      <c r="K427" s="67" t="s">
        <v>2471</v>
      </c>
      <c r="L427" s="71" t="s">
        <v>95</v>
      </c>
      <c r="M427" s="72" t="s">
        <v>2472</v>
      </c>
      <c r="N427" s="73">
        <v>45896</v>
      </c>
      <c r="O427" s="74">
        <v>45898</v>
      </c>
      <c r="P427" s="75" t="s">
        <v>97</v>
      </c>
      <c r="Q427" s="76" t="s">
        <v>97</v>
      </c>
      <c r="R427" s="64" t="s">
        <v>98</v>
      </c>
      <c r="S427" s="77" t="s">
        <v>2473</v>
      </c>
      <c r="T427" s="74" t="s">
        <v>100</v>
      </c>
      <c r="U427" s="64" t="s">
        <v>2474</v>
      </c>
      <c r="V427" s="70" t="s">
        <v>162</v>
      </c>
      <c r="W427" s="74" t="s">
        <v>103</v>
      </c>
      <c r="X427" s="68" t="s">
        <v>1682</v>
      </c>
      <c r="Y427" s="64">
        <v>1</v>
      </c>
      <c r="Z427" s="78">
        <v>0</v>
      </c>
      <c r="AA427" s="79">
        <f>'BASE FACTURACION 2025'!$C$3</f>
        <v>122645.45276000001</v>
      </c>
      <c r="AB427" s="79">
        <f>'BASE FACTURACION 2025'!$F$3</f>
        <v>65164.677720000007</v>
      </c>
      <c r="AC427" s="79">
        <f t="shared" si="6"/>
        <v>122645.45276000001</v>
      </c>
    </row>
    <row r="428" spans="1:29" s="80" customFormat="1" ht="15" customHeight="1">
      <c r="A428" s="64" t="s">
        <v>391</v>
      </c>
      <c r="B428" s="65" t="str">
        <f>VLOOKUP(A428,'CENTRO DE COSTOS'!A:D,4,FALSE)</f>
        <v>WILLIAM ASDRUBAL ROZO ROZO</v>
      </c>
      <c r="C428" s="65" t="str">
        <f>VLOOKUP(A428,'CENTRO DE COSTOS'!A:D,2,FALSE)</f>
        <v>0004-0004</v>
      </c>
      <c r="D428" s="64">
        <v>25279</v>
      </c>
      <c r="E428" s="66" t="s">
        <v>2475</v>
      </c>
      <c r="F428" s="67">
        <v>81209</v>
      </c>
      <c r="G428" s="68" t="s">
        <v>90</v>
      </c>
      <c r="H428" s="69" t="s">
        <v>91</v>
      </c>
      <c r="I428" s="67" t="s">
        <v>393</v>
      </c>
      <c r="J428" s="70" t="s">
        <v>2476</v>
      </c>
      <c r="K428" s="67" t="s">
        <v>2477</v>
      </c>
      <c r="L428" s="71" t="s">
        <v>95</v>
      </c>
      <c r="M428" s="72" t="s">
        <v>2478</v>
      </c>
      <c r="N428" s="73">
        <v>45896</v>
      </c>
      <c r="O428" s="74">
        <v>45897</v>
      </c>
      <c r="P428" s="75" t="s">
        <v>97</v>
      </c>
      <c r="Q428" s="76" t="s">
        <v>97</v>
      </c>
      <c r="R428" s="64" t="s">
        <v>98</v>
      </c>
      <c r="S428" s="77" t="s">
        <v>2479</v>
      </c>
      <c r="T428" s="74" t="s">
        <v>100</v>
      </c>
      <c r="U428" s="64" t="s">
        <v>2480</v>
      </c>
      <c r="V428" s="70" t="s">
        <v>162</v>
      </c>
      <c r="W428" s="74" t="s">
        <v>103</v>
      </c>
      <c r="X428" s="68" t="s">
        <v>524</v>
      </c>
      <c r="Y428" s="64">
        <v>1</v>
      </c>
      <c r="Z428" s="78">
        <v>0</v>
      </c>
      <c r="AA428" s="79">
        <f>'BASE FACTURACION 2025'!$C$3</f>
        <v>122645.45276000001</v>
      </c>
      <c r="AB428" s="79">
        <f>'BASE FACTURACION 2025'!$F$3</f>
        <v>65164.677720000007</v>
      </c>
      <c r="AC428" s="79">
        <f t="shared" si="6"/>
        <v>122645.45276000001</v>
      </c>
    </row>
    <row r="429" spans="1:29" s="80" customFormat="1" ht="15" customHeight="1">
      <c r="A429" s="64" t="s">
        <v>413</v>
      </c>
      <c r="B429" s="65" t="str">
        <f>VLOOKUP(A429,'CENTRO DE COSTOS'!A:D,4,FALSE)</f>
        <v>DIEGO FERNANDO HENAO CARDONA</v>
      </c>
      <c r="C429" s="65" t="str">
        <f>VLOOKUP(A429,'CENTRO DE COSTOS'!A:D,2,FALSE)</f>
        <v>0004-0002</v>
      </c>
      <c r="D429" s="64">
        <v>76100</v>
      </c>
      <c r="E429" s="66" t="s">
        <v>2481</v>
      </c>
      <c r="F429" s="67">
        <v>81192</v>
      </c>
      <c r="G429" s="68" t="s">
        <v>90</v>
      </c>
      <c r="H429" s="69" t="s">
        <v>91</v>
      </c>
      <c r="I429" s="67" t="s">
        <v>380</v>
      </c>
      <c r="J429" s="70" t="s">
        <v>231</v>
      </c>
      <c r="K429" s="67" t="s">
        <v>2482</v>
      </c>
      <c r="L429" s="71" t="s">
        <v>95</v>
      </c>
      <c r="M429" s="72" t="s">
        <v>2483</v>
      </c>
      <c r="N429" s="73">
        <v>45896</v>
      </c>
      <c r="O429" s="74">
        <v>45898</v>
      </c>
      <c r="P429" s="75" t="s">
        <v>97</v>
      </c>
      <c r="Q429" s="76" t="s">
        <v>97</v>
      </c>
      <c r="R429" s="64" t="s">
        <v>98</v>
      </c>
      <c r="S429" s="77" t="s">
        <v>2484</v>
      </c>
      <c r="T429" s="74" t="s">
        <v>100</v>
      </c>
      <c r="U429" s="64" t="s">
        <v>2485</v>
      </c>
      <c r="V429" s="70" t="s">
        <v>162</v>
      </c>
      <c r="W429" s="74" t="s">
        <v>103</v>
      </c>
      <c r="X429" s="68" t="s">
        <v>190</v>
      </c>
      <c r="Y429" s="64">
        <v>1</v>
      </c>
      <c r="Z429" s="78">
        <v>0</v>
      </c>
      <c r="AA429" s="79">
        <f>'BASE FACTURACION 2025'!$C$3</f>
        <v>122645.45276000001</v>
      </c>
      <c r="AB429" s="79">
        <f>'BASE FACTURACION 2025'!$F$3</f>
        <v>65164.677720000007</v>
      </c>
      <c r="AC429" s="79">
        <f t="shared" si="6"/>
        <v>122645.45276000001</v>
      </c>
    </row>
    <row r="430" spans="1:29" s="80" customFormat="1" ht="15" customHeight="1">
      <c r="A430" s="64" t="s">
        <v>135</v>
      </c>
      <c r="B430" s="65" t="str">
        <f>VLOOKUP(A430,'CENTRO DE COSTOS'!A:D,4,FALSE)</f>
        <v>JUAN SEBASTIÁN RÍOS CASTRILLÓN</v>
      </c>
      <c r="C430" s="65" t="str">
        <f>VLOOKUP(A430,'CENTRO DE COSTOS'!A:D,2,FALSE)</f>
        <v>0004-0005</v>
      </c>
      <c r="D430" s="64">
        <v>5212</v>
      </c>
      <c r="E430" s="66" t="s">
        <v>2486</v>
      </c>
      <c r="F430" s="67">
        <v>81199</v>
      </c>
      <c r="G430" s="68" t="s">
        <v>90</v>
      </c>
      <c r="H430" s="69" t="s">
        <v>182</v>
      </c>
      <c r="I430" s="67" t="s">
        <v>138</v>
      </c>
      <c r="J430" s="70" t="s">
        <v>2487</v>
      </c>
      <c r="K430" s="67" t="s">
        <v>2488</v>
      </c>
      <c r="L430" s="71" t="s">
        <v>95</v>
      </c>
      <c r="M430" s="72" t="s">
        <v>2489</v>
      </c>
      <c r="N430" s="73">
        <v>45896</v>
      </c>
      <c r="O430" s="74">
        <v>45898</v>
      </c>
      <c r="P430" s="75" t="s">
        <v>97</v>
      </c>
      <c r="Q430" s="76" t="s">
        <v>97</v>
      </c>
      <c r="R430" s="64" t="s">
        <v>98</v>
      </c>
      <c r="S430" s="77" t="s">
        <v>2490</v>
      </c>
      <c r="T430" s="74" t="s">
        <v>100</v>
      </c>
      <c r="U430" s="64" t="s">
        <v>2491</v>
      </c>
      <c r="V430" s="70" t="s">
        <v>133</v>
      </c>
      <c r="W430" s="74" t="s">
        <v>103</v>
      </c>
      <c r="X430" s="68" t="s">
        <v>196</v>
      </c>
      <c r="Y430" s="64">
        <v>1</v>
      </c>
      <c r="Z430" s="78">
        <v>0</v>
      </c>
      <c r="AA430" s="79">
        <f>'BASE FACTURACION 2025'!$C$3</f>
        <v>122645.45276000001</v>
      </c>
      <c r="AB430" s="79">
        <f>'BASE FACTURACION 2025'!$F$3</f>
        <v>65164.677720000007</v>
      </c>
      <c r="AC430" s="79">
        <f t="shared" si="6"/>
        <v>122645.45276000001</v>
      </c>
    </row>
    <row r="431" spans="1:29" s="80" customFormat="1" ht="15" customHeight="1">
      <c r="A431" s="64" t="s">
        <v>413</v>
      </c>
      <c r="B431" s="65" t="str">
        <f>VLOOKUP(A431,'CENTRO DE COSTOS'!A:D,4,FALSE)</f>
        <v>DIEGO FERNANDO HENAO CARDONA</v>
      </c>
      <c r="C431" s="65" t="str">
        <f>VLOOKUP(A431,'CENTRO DE COSTOS'!A:D,2,FALSE)</f>
        <v>0004-0002</v>
      </c>
      <c r="D431" s="64">
        <v>63001</v>
      </c>
      <c r="E431" s="66" t="s">
        <v>2492</v>
      </c>
      <c r="F431" s="67">
        <v>81184</v>
      </c>
      <c r="G431" s="68" t="s">
        <v>90</v>
      </c>
      <c r="H431" s="69" t="s">
        <v>91</v>
      </c>
      <c r="I431" s="67" t="s">
        <v>506</v>
      </c>
      <c r="J431" s="70" t="s">
        <v>507</v>
      </c>
      <c r="K431" s="67" t="s">
        <v>2493</v>
      </c>
      <c r="L431" s="71" t="s">
        <v>95</v>
      </c>
      <c r="M431" s="72" t="s">
        <v>2494</v>
      </c>
      <c r="N431" s="73">
        <v>45896</v>
      </c>
      <c r="O431" s="74">
        <v>45897</v>
      </c>
      <c r="P431" s="75" t="s">
        <v>97</v>
      </c>
      <c r="Q431" s="76" t="s">
        <v>97</v>
      </c>
      <c r="R431" s="64" t="s">
        <v>98</v>
      </c>
      <c r="S431" s="77" t="s">
        <v>2495</v>
      </c>
      <c r="T431" s="74" t="s">
        <v>100</v>
      </c>
      <c r="U431" s="64" t="s">
        <v>2496</v>
      </c>
      <c r="V431" s="70" t="s">
        <v>162</v>
      </c>
      <c r="W431" s="74" t="s">
        <v>103</v>
      </c>
      <c r="X431" s="68" t="s">
        <v>512</v>
      </c>
      <c r="Y431" s="64">
        <v>1</v>
      </c>
      <c r="Z431" s="78">
        <v>0</v>
      </c>
      <c r="AA431" s="79">
        <f>'BASE FACTURACION 2025'!$C$3</f>
        <v>122645.45276000001</v>
      </c>
      <c r="AB431" s="79">
        <f>'BASE FACTURACION 2025'!$F$3</f>
        <v>65164.677720000007</v>
      </c>
      <c r="AC431" s="79">
        <f t="shared" si="6"/>
        <v>122645.45276000001</v>
      </c>
    </row>
    <row r="432" spans="1:29" s="80" customFormat="1" ht="15" customHeight="1">
      <c r="A432" s="64" t="s">
        <v>180</v>
      </c>
      <c r="B432" s="65" t="str">
        <f>VLOOKUP(A432,'CENTRO DE COSTOS'!A:D,4,FALSE)</f>
        <v>DIEGO FERNANDO HENAO CARDONA</v>
      </c>
      <c r="C432" s="65" t="str">
        <f>VLOOKUP(A432,'CENTRO DE COSTOS'!A:D,2,FALSE)</f>
        <v>0004-0003</v>
      </c>
      <c r="D432" s="64">
        <v>76520</v>
      </c>
      <c r="E432" s="66" t="s">
        <v>2497</v>
      </c>
      <c r="F432" s="67">
        <v>81213</v>
      </c>
      <c r="G432" s="68" t="s">
        <v>90</v>
      </c>
      <c r="H432" s="69" t="s">
        <v>91</v>
      </c>
      <c r="I432" s="67" t="s">
        <v>380</v>
      </c>
      <c r="J432" s="70" t="s">
        <v>1282</v>
      </c>
      <c r="K432" s="67" t="s">
        <v>2498</v>
      </c>
      <c r="L432" s="71" t="s">
        <v>95</v>
      </c>
      <c r="M432" s="72" t="s">
        <v>2499</v>
      </c>
      <c r="N432" s="73">
        <v>45896</v>
      </c>
      <c r="O432" s="74">
        <v>45897</v>
      </c>
      <c r="P432" s="75" t="s">
        <v>97</v>
      </c>
      <c r="Q432" s="76" t="s">
        <v>97</v>
      </c>
      <c r="R432" s="64" t="s">
        <v>98</v>
      </c>
      <c r="S432" s="77" t="s">
        <v>2500</v>
      </c>
      <c r="T432" s="74" t="s">
        <v>100</v>
      </c>
      <c r="U432" s="64" t="s">
        <v>2501</v>
      </c>
      <c r="V432" s="70" t="s">
        <v>133</v>
      </c>
      <c r="W432" s="74" t="s">
        <v>103</v>
      </c>
      <c r="X432" s="68" t="s">
        <v>456</v>
      </c>
      <c r="Y432" s="64">
        <v>1</v>
      </c>
      <c r="Z432" s="78">
        <v>0</v>
      </c>
      <c r="AA432" s="79">
        <f>'BASE FACTURACION 2025'!$C$3</f>
        <v>122645.45276000001</v>
      </c>
      <c r="AB432" s="79">
        <f>'BASE FACTURACION 2025'!$F$3</f>
        <v>65164.677720000007</v>
      </c>
      <c r="AC432" s="79">
        <f t="shared" si="6"/>
        <v>122645.45276000001</v>
      </c>
    </row>
    <row r="433" spans="1:29" s="80" customFormat="1" ht="15" customHeight="1">
      <c r="A433" s="64" t="s">
        <v>180</v>
      </c>
      <c r="B433" s="65" t="str">
        <f>VLOOKUP(A433,'CENTRO DE COSTOS'!A:D,4,FALSE)</f>
        <v>DIEGO FERNANDO HENAO CARDONA</v>
      </c>
      <c r="C433" s="65" t="str">
        <f>VLOOKUP(A433,'CENTRO DE COSTOS'!A:D,2,FALSE)</f>
        <v>0004-0003</v>
      </c>
      <c r="D433" s="64">
        <v>76001</v>
      </c>
      <c r="E433" s="66" t="s">
        <v>2502</v>
      </c>
      <c r="F433" s="67">
        <v>81193</v>
      </c>
      <c r="G433" s="68" t="s">
        <v>90</v>
      </c>
      <c r="H433" s="69" t="s">
        <v>91</v>
      </c>
      <c r="I433" s="67" t="s">
        <v>380</v>
      </c>
      <c r="J433" s="70" t="s">
        <v>180</v>
      </c>
      <c r="K433" s="67" t="s">
        <v>2503</v>
      </c>
      <c r="L433" s="71" t="s">
        <v>95</v>
      </c>
      <c r="M433" s="72" t="s">
        <v>2504</v>
      </c>
      <c r="N433" s="73">
        <v>45896</v>
      </c>
      <c r="O433" s="74">
        <v>45897</v>
      </c>
      <c r="P433" s="75" t="s">
        <v>97</v>
      </c>
      <c r="Q433" s="76" t="s">
        <v>97</v>
      </c>
      <c r="R433" s="64" t="s">
        <v>98</v>
      </c>
      <c r="S433" s="77" t="s">
        <v>2505</v>
      </c>
      <c r="T433" s="74" t="s">
        <v>100</v>
      </c>
      <c r="U433" s="64" t="s">
        <v>2506</v>
      </c>
      <c r="V433" s="70" t="s">
        <v>133</v>
      </c>
      <c r="W433" s="74" t="s">
        <v>103</v>
      </c>
      <c r="X433" s="68" t="s">
        <v>450</v>
      </c>
      <c r="Y433" s="64">
        <v>1</v>
      </c>
      <c r="Z433" s="78">
        <v>0</v>
      </c>
      <c r="AA433" s="79">
        <f>'BASE FACTURACION 2025'!$C$3</f>
        <v>122645.45276000001</v>
      </c>
      <c r="AB433" s="79">
        <f>'BASE FACTURACION 2025'!$F$3</f>
        <v>65164.677720000007</v>
      </c>
      <c r="AC433" s="79">
        <f t="shared" si="6"/>
        <v>122645.45276000001</v>
      </c>
    </row>
    <row r="434" spans="1:29" s="80" customFormat="1" ht="15" customHeight="1">
      <c r="A434" s="64" t="s">
        <v>391</v>
      </c>
      <c r="B434" s="65" t="str">
        <f>VLOOKUP(A434,'CENTRO DE COSTOS'!A:D,4,FALSE)</f>
        <v>WILLIAM ASDRUBAL ROZO ROZO</v>
      </c>
      <c r="C434" s="65" t="str">
        <f>VLOOKUP(A434,'CENTRO DE COSTOS'!A:D,2,FALSE)</f>
        <v>0004-0004</v>
      </c>
      <c r="D434" s="64">
        <v>11001</v>
      </c>
      <c r="E434" s="66" t="s">
        <v>2507</v>
      </c>
      <c r="F434" s="67">
        <v>81190</v>
      </c>
      <c r="G434" s="68" t="s">
        <v>90</v>
      </c>
      <c r="H434" s="69" t="s">
        <v>91</v>
      </c>
      <c r="I434" s="67" t="s">
        <v>393</v>
      </c>
      <c r="J434" s="70" t="s">
        <v>391</v>
      </c>
      <c r="K434" s="67" t="s">
        <v>2508</v>
      </c>
      <c r="L434" s="71" t="s">
        <v>95</v>
      </c>
      <c r="M434" s="72" t="s">
        <v>2509</v>
      </c>
      <c r="N434" s="73">
        <v>45896</v>
      </c>
      <c r="O434" s="74">
        <v>45897</v>
      </c>
      <c r="P434" s="75" t="s">
        <v>97</v>
      </c>
      <c r="Q434" s="76" t="s">
        <v>97</v>
      </c>
      <c r="R434" s="64" t="s">
        <v>98</v>
      </c>
      <c r="S434" s="77" t="s">
        <v>2510</v>
      </c>
      <c r="T434" s="74" t="s">
        <v>100</v>
      </c>
      <c r="U434" s="64" t="s">
        <v>2511</v>
      </c>
      <c r="V434" s="70" t="s">
        <v>133</v>
      </c>
      <c r="W434" s="74" t="s">
        <v>103</v>
      </c>
      <c r="X434" s="68" t="s">
        <v>776</v>
      </c>
      <c r="Y434" s="64">
        <v>1</v>
      </c>
      <c r="Z434" s="78">
        <v>0</v>
      </c>
      <c r="AA434" s="79">
        <f>'BASE FACTURACION 2025'!$C$3</f>
        <v>122645.45276000001</v>
      </c>
      <c r="AB434" s="79">
        <f>'BASE FACTURACION 2025'!$F$3</f>
        <v>65164.677720000007</v>
      </c>
      <c r="AC434" s="79">
        <f t="shared" si="6"/>
        <v>122645.45276000001</v>
      </c>
    </row>
    <row r="435" spans="1:29" s="80" customFormat="1" ht="15" customHeight="1">
      <c r="A435" s="64" t="s">
        <v>391</v>
      </c>
      <c r="B435" s="65" t="str">
        <f>VLOOKUP(A435,'CENTRO DE COSTOS'!A:D,4,FALSE)</f>
        <v>WILLIAM ASDRUBAL ROZO ROZO</v>
      </c>
      <c r="C435" s="65" t="str">
        <f>VLOOKUP(A435,'CENTRO DE COSTOS'!A:D,2,FALSE)</f>
        <v>0004-0004</v>
      </c>
      <c r="D435" s="64">
        <v>11001</v>
      </c>
      <c r="E435" s="66" t="s">
        <v>2512</v>
      </c>
      <c r="F435" s="67">
        <v>81191</v>
      </c>
      <c r="G435" s="68" t="s">
        <v>90</v>
      </c>
      <c r="H435" s="69" t="s">
        <v>91</v>
      </c>
      <c r="I435" s="67" t="s">
        <v>393</v>
      </c>
      <c r="J435" s="70" t="s">
        <v>391</v>
      </c>
      <c r="K435" s="67" t="s">
        <v>2513</v>
      </c>
      <c r="L435" s="71" t="s">
        <v>95</v>
      </c>
      <c r="M435" s="72" t="s">
        <v>2514</v>
      </c>
      <c r="N435" s="73">
        <v>45896</v>
      </c>
      <c r="O435" s="74">
        <v>45897</v>
      </c>
      <c r="P435" s="75" t="s">
        <v>97</v>
      </c>
      <c r="Q435" s="76" t="s">
        <v>97</v>
      </c>
      <c r="R435" s="64" t="s">
        <v>98</v>
      </c>
      <c r="S435" s="77" t="s">
        <v>2515</v>
      </c>
      <c r="T435" s="74" t="s">
        <v>100</v>
      </c>
      <c r="U435" s="64" t="s">
        <v>2516</v>
      </c>
      <c r="V435" s="70" t="s">
        <v>133</v>
      </c>
      <c r="W435" s="74" t="s">
        <v>103</v>
      </c>
      <c r="X435" s="68" t="s">
        <v>1974</v>
      </c>
      <c r="Y435" s="64">
        <v>1</v>
      </c>
      <c r="Z435" s="78">
        <v>0</v>
      </c>
      <c r="AA435" s="79">
        <f>'BASE FACTURACION 2025'!$C$3</f>
        <v>122645.45276000001</v>
      </c>
      <c r="AB435" s="79">
        <f>'BASE FACTURACION 2025'!$F$3</f>
        <v>65164.677720000007</v>
      </c>
      <c r="AC435" s="79">
        <f t="shared" si="6"/>
        <v>122645.45276000001</v>
      </c>
    </row>
    <row r="436" spans="1:29" s="80" customFormat="1" ht="15" customHeight="1">
      <c r="A436" s="64" t="s">
        <v>88</v>
      </c>
      <c r="B436" s="65" t="str">
        <f>VLOOKUP(A436,'CENTRO DE COSTOS'!A:D,4,FALSE)</f>
        <v>KEVIN ALEXIS CORZO BUSTOS</v>
      </c>
      <c r="C436" s="65" t="str">
        <f>VLOOKUP(A436,'CENTRO DE COSTOS'!A:D,2,FALSE)</f>
        <v>0004-0007</v>
      </c>
      <c r="D436" s="64">
        <v>18001</v>
      </c>
      <c r="E436" s="66" t="s">
        <v>2517</v>
      </c>
      <c r="F436" s="67">
        <v>81201</v>
      </c>
      <c r="G436" s="68" t="s">
        <v>90</v>
      </c>
      <c r="H436" s="69" t="s">
        <v>91</v>
      </c>
      <c r="I436" s="67" t="s">
        <v>92</v>
      </c>
      <c r="J436" s="70" t="s">
        <v>93</v>
      </c>
      <c r="K436" s="67" t="s">
        <v>2518</v>
      </c>
      <c r="L436" s="71" t="s">
        <v>95</v>
      </c>
      <c r="M436" s="72" t="s">
        <v>2519</v>
      </c>
      <c r="N436" s="73">
        <v>45896</v>
      </c>
      <c r="O436" s="74">
        <v>45897</v>
      </c>
      <c r="P436" s="75" t="s">
        <v>97</v>
      </c>
      <c r="Q436" s="76" t="s">
        <v>97</v>
      </c>
      <c r="R436" s="64" t="s">
        <v>98</v>
      </c>
      <c r="S436" s="77" t="s">
        <v>2520</v>
      </c>
      <c r="T436" s="74" t="s">
        <v>100</v>
      </c>
      <c r="U436" s="64" t="s">
        <v>2521</v>
      </c>
      <c r="V436" s="70" t="s">
        <v>102</v>
      </c>
      <c r="W436" s="74" t="s">
        <v>103</v>
      </c>
      <c r="X436" s="68" t="s">
        <v>104</v>
      </c>
      <c r="Y436" s="64">
        <v>1</v>
      </c>
      <c r="Z436" s="78">
        <v>0</v>
      </c>
      <c r="AA436" s="79">
        <f>'BASE FACTURACION 2025'!$C$3</f>
        <v>122645.45276000001</v>
      </c>
      <c r="AB436" s="79">
        <f>'BASE FACTURACION 2025'!$F$3</f>
        <v>65164.677720000007</v>
      </c>
      <c r="AC436" s="79">
        <f t="shared" si="6"/>
        <v>122645.45276000001</v>
      </c>
    </row>
    <row r="437" spans="1:29" s="80" customFormat="1" ht="15" customHeight="1">
      <c r="A437" s="64" t="s">
        <v>305</v>
      </c>
      <c r="B437" s="65" t="str">
        <f>VLOOKUP(A437,'CENTRO DE COSTOS'!A:D,4,FALSE)</f>
        <v>JOSE MAURICIO HERNANDEZ ROJAS</v>
      </c>
      <c r="C437" s="65" t="str">
        <f>VLOOKUP(A437,'CENTRO DE COSTOS'!A:D,2,FALSE)</f>
        <v>0004-0001</v>
      </c>
      <c r="D437" s="64">
        <v>8638</v>
      </c>
      <c r="E437" s="66" t="s">
        <v>2522</v>
      </c>
      <c r="F437" s="67">
        <v>81245</v>
      </c>
      <c r="G437" s="68" t="s">
        <v>90</v>
      </c>
      <c r="H437" s="69" t="s">
        <v>91</v>
      </c>
      <c r="I437" s="67" t="s">
        <v>307</v>
      </c>
      <c r="J437" s="70" t="s">
        <v>2523</v>
      </c>
      <c r="K437" s="67" t="s">
        <v>2524</v>
      </c>
      <c r="L437" s="71" t="s">
        <v>95</v>
      </c>
      <c r="M437" s="72" t="s">
        <v>2525</v>
      </c>
      <c r="N437" s="73">
        <v>45896</v>
      </c>
      <c r="O437" s="74">
        <v>45897</v>
      </c>
      <c r="P437" s="75" t="s">
        <v>97</v>
      </c>
      <c r="Q437" s="76" t="s">
        <v>97</v>
      </c>
      <c r="R437" s="64" t="s">
        <v>98</v>
      </c>
      <c r="S437" s="77" t="s">
        <v>2526</v>
      </c>
      <c r="T437" s="74" t="s">
        <v>100</v>
      </c>
      <c r="U437" s="64" t="s">
        <v>2527</v>
      </c>
      <c r="V437" s="70" t="s">
        <v>162</v>
      </c>
      <c r="W437" s="74" t="s">
        <v>103</v>
      </c>
      <c r="X437" s="68" t="s">
        <v>981</v>
      </c>
      <c r="Y437" s="64">
        <v>1</v>
      </c>
      <c r="Z437" s="78">
        <v>0</v>
      </c>
      <c r="AA437" s="79">
        <f>'BASE FACTURACION 2025'!$C$3</f>
        <v>122645.45276000001</v>
      </c>
      <c r="AB437" s="79">
        <f>'BASE FACTURACION 2025'!$F$3</f>
        <v>65164.677720000007</v>
      </c>
      <c r="AC437" s="79">
        <f t="shared" si="6"/>
        <v>122645.45276000001</v>
      </c>
    </row>
    <row r="438" spans="1:29" s="80" customFormat="1" ht="15" customHeight="1">
      <c r="A438" s="64" t="s">
        <v>229</v>
      </c>
      <c r="B438" s="65" t="str">
        <f>VLOOKUP(A438,'CENTRO DE COSTOS'!A:D,4,FALSE)</f>
        <v>MIGUEL JULIÁN HERNÁNDEZ GUARÍN</v>
      </c>
      <c r="C438" s="65" t="str">
        <f>VLOOKUP(A438,'CENTRO DE COSTOS'!A:D,2,FALSE)</f>
        <v>0004-0008</v>
      </c>
      <c r="D438" s="64">
        <v>68679</v>
      </c>
      <c r="E438" s="66" t="s">
        <v>2528</v>
      </c>
      <c r="F438" s="67">
        <v>81248</v>
      </c>
      <c r="G438" s="68" t="s">
        <v>90</v>
      </c>
      <c r="H438" s="69" t="s">
        <v>91</v>
      </c>
      <c r="I438" s="67" t="s">
        <v>714</v>
      </c>
      <c r="J438" s="70" t="s">
        <v>2529</v>
      </c>
      <c r="K438" s="67" t="s">
        <v>2530</v>
      </c>
      <c r="L438" s="71" t="s">
        <v>95</v>
      </c>
      <c r="M438" s="72" t="s">
        <v>2531</v>
      </c>
      <c r="N438" s="73">
        <v>45896</v>
      </c>
      <c r="O438" s="74">
        <v>45897</v>
      </c>
      <c r="P438" s="75" t="s">
        <v>97</v>
      </c>
      <c r="Q438" s="76" t="s">
        <v>97</v>
      </c>
      <c r="R438" s="64" t="s">
        <v>98</v>
      </c>
      <c r="S438" s="77" t="s">
        <v>2532</v>
      </c>
      <c r="T438" s="74" t="s">
        <v>100</v>
      </c>
      <c r="U438" s="64" t="s">
        <v>2533</v>
      </c>
      <c r="V438" s="70" t="s">
        <v>162</v>
      </c>
      <c r="W438" s="74" t="s">
        <v>103</v>
      </c>
      <c r="X438" s="68" t="s">
        <v>904</v>
      </c>
      <c r="Y438" s="64">
        <v>1</v>
      </c>
      <c r="Z438" s="78">
        <v>0</v>
      </c>
      <c r="AA438" s="79">
        <f>'BASE FACTURACION 2025'!$C$3</f>
        <v>122645.45276000001</v>
      </c>
      <c r="AB438" s="79">
        <f>'BASE FACTURACION 2025'!$F$3</f>
        <v>65164.677720000007</v>
      </c>
      <c r="AC438" s="79">
        <f t="shared" si="6"/>
        <v>122645.45276000001</v>
      </c>
    </row>
    <row r="439" spans="1:29" s="80" customFormat="1" ht="15" customHeight="1">
      <c r="A439" s="64" t="s">
        <v>180</v>
      </c>
      <c r="B439" s="65" t="str">
        <f>VLOOKUP(A439,'CENTRO DE COSTOS'!A:D,4,FALSE)</f>
        <v>DIEGO FERNANDO HENAO CARDONA</v>
      </c>
      <c r="C439" s="65" t="str">
        <f>VLOOKUP(A439,'CENTRO DE COSTOS'!A:D,2,FALSE)</f>
        <v>0004-0003</v>
      </c>
      <c r="D439" s="64">
        <v>76001</v>
      </c>
      <c r="E439" s="66" t="s">
        <v>2534</v>
      </c>
      <c r="F439" s="67">
        <v>81196</v>
      </c>
      <c r="G439" s="68" t="s">
        <v>90</v>
      </c>
      <c r="H439" s="69" t="s">
        <v>91</v>
      </c>
      <c r="I439" s="67" t="s">
        <v>380</v>
      </c>
      <c r="J439" s="70" t="s">
        <v>180</v>
      </c>
      <c r="K439" s="67" t="s">
        <v>2535</v>
      </c>
      <c r="L439" s="71" t="s">
        <v>95</v>
      </c>
      <c r="M439" s="72" t="s">
        <v>2536</v>
      </c>
      <c r="N439" s="73">
        <v>45896</v>
      </c>
      <c r="O439" s="74">
        <v>45897</v>
      </c>
      <c r="P439" s="75" t="s">
        <v>97</v>
      </c>
      <c r="Q439" s="76" t="s">
        <v>97</v>
      </c>
      <c r="R439" s="64" t="s">
        <v>98</v>
      </c>
      <c r="S439" s="77" t="s">
        <v>2537</v>
      </c>
      <c r="T439" s="74" t="s">
        <v>100</v>
      </c>
      <c r="U439" s="64" t="s">
        <v>2538</v>
      </c>
      <c r="V439" s="70" t="s">
        <v>133</v>
      </c>
      <c r="W439" s="74" t="s">
        <v>103</v>
      </c>
      <c r="X439" s="68" t="s">
        <v>438</v>
      </c>
      <c r="Y439" s="64">
        <v>1</v>
      </c>
      <c r="Z439" s="78">
        <v>0</v>
      </c>
      <c r="AA439" s="79">
        <f>'BASE FACTURACION 2025'!$C$3</f>
        <v>122645.45276000001</v>
      </c>
      <c r="AB439" s="79">
        <f>'BASE FACTURACION 2025'!$F$3</f>
        <v>65164.677720000007</v>
      </c>
      <c r="AC439" s="79">
        <f t="shared" si="6"/>
        <v>122645.45276000001</v>
      </c>
    </row>
    <row r="440" spans="1:29" s="80" customFormat="1" ht="15" customHeight="1">
      <c r="A440" s="64" t="s">
        <v>399</v>
      </c>
      <c r="B440" s="65" t="str">
        <f>VLOOKUP(A440,'CENTRO DE COSTOS'!A:D,4,FALSE)</f>
        <v>DIEGO FERNANDO HENAO CARDONA</v>
      </c>
      <c r="C440" s="65" t="str">
        <f>VLOOKUP(A440,'CENTRO DE COSTOS'!A:D,2,FALSE)</f>
        <v>0004-0002</v>
      </c>
      <c r="D440" s="64">
        <v>17174</v>
      </c>
      <c r="E440" s="66" t="s">
        <v>2539</v>
      </c>
      <c r="F440" s="67">
        <v>81198</v>
      </c>
      <c r="G440" s="68" t="s">
        <v>90</v>
      </c>
      <c r="H440" s="69" t="s">
        <v>91</v>
      </c>
      <c r="I440" s="67" t="s">
        <v>401</v>
      </c>
      <c r="J440" s="70" t="s">
        <v>2130</v>
      </c>
      <c r="K440" s="67" t="s">
        <v>2540</v>
      </c>
      <c r="L440" s="71" t="s">
        <v>95</v>
      </c>
      <c r="M440" s="72" t="s">
        <v>2541</v>
      </c>
      <c r="N440" s="73">
        <v>45896</v>
      </c>
      <c r="O440" s="74">
        <v>45897</v>
      </c>
      <c r="P440" s="75" t="s">
        <v>97</v>
      </c>
      <c r="Q440" s="76" t="s">
        <v>97</v>
      </c>
      <c r="R440" s="64" t="s">
        <v>98</v>
      </c>
      <c r="S440" s="77" t="s">
        <v>2542</v>
      </c>
      <c r="T440" s="74" t="s">
        <v>100</v>
      </c>
      <c r="U440" s="64" t="s">
        <v>2543</v>
      </c>
      <c r="V440" s="70" t="s">
        <v>162</v>
      </c>
      <c r="W440" s="74" t="s">
        <v>103</v>
      </c>
      <c r="X440" s="68" t="s">
        <v>420</v>
      </c>
      <c r="Y440" s="64">
        <v>1</v>
      </c>
      <c r="Z440" s="78">
        <v>0</v>
      </c>
      <c r="AA440" s="79">
        <f>'BASE FACTURACION 2025'!$C$3</f>
        <v>122645.45276000001</v>
      </c>
      <c r="AB440" s="79">
        <f>'BASE FACTURACION 2025'!$F$3</f>
        <v>65164.677720000007</v>
      </c>
      <c r="AC440" s="79">
        <f t="shared" si="6"/>
        <v>122645.45276000001</v>
      </c>
    </row>
    <row r="441" spans="1:29" s="80" customFormat="1" ht="15" customHeight="1">
      <c r="A441" s="64" t="s">
        <v>180</v>
      </c>
      <c r="B441" s="65" t="str">
        <f>VLOOKUP(A441,'CENTRO DE COSTOS'!A:D,4,FALSE)</f>
        <v>DIEGO FERNANDO HENAO CARDONA</v>
      </c>
      <c r="C441" s="65" t="str">
        <f>VLOOKUP(A441,'CENTRO DE COSTOS'!A:D,2,FALSE)</f>
        <v>0004-0003</v>
      </c>
      <c r="D441" s="64">
        <v>76001</v>
      </c>
      <c r="E441" s="66" t="s">
        <v>2544</v>
      </c>
      <c r="F441" s="67">
        <v>81197</v>
      </c>
      <c r="G441" s="68" t="s">
        <v>90</v>
      </c>
      <c r="H441" s="69" t="s">
        <v>91</v>
      </c>
      <c r="I441" s="67" t="s">
        <v>380</v>
      </c>
      <c r="J441" s="70" t="s">
        <v>180</v>
      </c>
      <c r="K441" s="67" t="s">
        <v>2545</v>
      </c>
      <c r="L441" s="71" t="s">
        <v>95</v>
      </c>
      <c r="M441" s="72" t="s">
        <v>2546</v>
      </c>
      <c r="N441" s="73">
        <v>45896</v>
      </c>
      <c r="O441" s="74">
        <v>45897</v>
      </c>
      <c r="P441" s="75" t="s">
        <v>97</v>
      </c>
      <c r="Q441" s="76" t="s">
        <v>97</v>
      </c>
      <c r="R441" s="64" t="s">
        <v>98</v>
      </c>
      <c r="S441" s="77" t="s">
        <v>2547</v>
      </c>
      <c r="T441" s="74" t="s">
        <v>100</v>
      </c>
      <c r="U441" s="64" t="s">
        <v>2548</v>
      </c>
      <c r="V441" s="70" t="s">
        <v>133</v>
      </c>
      <c r="W441" s="74" t="s">
        <v>103</v>
      </c>
      <c r="X441" s="68" t="s">
        <v>450</v>
      </c>
      <c r="Y441" s="64">
        <v>1</v>
      </c>
      <c r="Z441" s="78">
        <v>0</v>
      </c>
      <c r="AA441" s="79">
        <f>'BASE FACTURACION 2025'!$C$3</f>
        <v>122645.45276000001</v>
      </c>
      <c r="AB441" s="79">
        <f>'BASE FACTURACION 2025'!$F$3</f>
        <v>65164.677720000007</v>
      </c>
      <c r="AC441" s="79">
        <f t="shared" si="6"/>
        <v>122645.45276000001</v>
      </c>
    </row>
    <row r="442" spans="1:29" s="80" customFormat="1" ht="15" customHeight="1">
      <c r="A442" s="64" t="s">
        <v>391</v>
      </c>
      <c r="B442" s="65" t="str">
        <f>VLOOKUP(A442,'CENTRO DE COSTOS'!A:D,4,FALSE)</f>
        <v>WILLIAM ASDRUBAL ROZO ROZO</v>
      </c>
      <c r="C442" s="65" t="str">
        <f>VLOOKUP(A442,'CENTRO DE COSTOS'!A:D,2,FALSE)</f>
        <v>0004-0004</v>
      </c>
      <c r="D442" s="64">
        <v>25035</v>
      </c>
      <c r="E442" s="66" t="s">
        <v>2549</v>
      </c>
      <c r="F442" s="67">
        <v>81183</v>
      </c>
      <c r="G442" s="68" t="s">
        <v>90</v>
      </c>
      <c r="H442" s="69" t="s">
        <v>91</v>
      </c>
      <c r="I442" s="67" t="s">
        <v>393</v>
      </c>
      <c r="J442" s="70" t="s">
        <v>458</v>
      </c>
      <c r="K442" s="67" t="s">
        <v>2550</v>
      </c>
      <c r="L442" s="71" t="s">
        <v>95</v>
      </c>
      <c r="M442" s="72" t="s">
        <v>2551</v>
      </c>
      <c r="N442" s="73">
        <v>45896</v>
      </c>
      <c r="O442" s="74">
        <v>45898</v>
      </c>
      <c r="P442" s="75" t="s">
        <v>97</v>
      </c>
      <c r="Q442" s="76" t="s">
        <v>97</v>
      </c>
      <c r="R442" s="64" t="s">
        <v>98</v>
      </c>
      <c r="S442" s="77" t="s">
        <v>2552</v>
      </c>
      <c r="T442" s="74" t="s">
        <v>100</v>
      </c>
      <c r="U442" s="64" t="s">
        <v>2553</v>
      </c>
      <c r="V442" s="70" t="s">
        <v>162</v>
      </c>
      <c r="W442" s="74" t="s">
        <v>103</v>
      </c>
      <c r="X442" s="68" t="s">
        <v>463</v>
      </c>
      <c r="Y442" s="64">
        <v>1</v>
      </c>
      <c r="Z442" s="78">
        <v>0</v>
      </c>
      <c r="AA442" s="79">
        <f>'BASE FACTURACION 2025'!$C$3</f>
        <v>122645.45276000001</v>
      </c>
      <c r="AB442" s="79">
        <f>'BASE FACTURACION 2025'!$F$3</f>
        <v>65164.677720000007</v>
      </c>
      <c r="AC442" s="79">
        <f t="shared" si="6"/>
        <v>122645.45276000001</v>
      </c>
    </row>
    <row r="443" spans="1:29" s="80" customFormat="1" ht="15" customHeight="1">
      <c r="A443" s="64" t="s">
        <v>359</v>
      </c>
      <c r="B443" s="65" t="str">
        <f>VLOOKUP(A443,'CENTRO DE COSTOS'!A:D,4,FALSE)</f>
        <v>JOSE MAURICIO HERNANDEZ ROJAS</v>
      </c>
      <c r="C443" s="65" t="str">
        <f>VLOOKUP(A443,'CENTRO DE COSTOS'!A:D,2,FALSE)</f>
        <v>0004-0001</v>
      </c>
      <c r="D443" s="64">
        <v>20045</v>
      </c>
      <c r="E443" s="66" t="s">
        <v>2554</v>
      </c>
      <c r="F443" s="67">
        <v>81186</v>
      </c>
      <c r="G443" s="68" t="s">
        <v>90</v>
      </c>
      <c r="H443" s="69" t="s">
        <v>91</v>
      </c>
      <c r="I443" s="67" t="s">
        <v>361</v>
      </c>
      <c r="J443" s="70" t="s">
        <v>2555</v>
      </c>
      <c r="K443" s="67" t="s">
        <v>2556</v>
      </c>
      <c r="L443" s="71" t="s">
        <v>95</v>
      </c>
      <c r="M443" s="72" t="s">
        <v>2557</v>
      </c>
      <c r="N443" s="73">
        <v>45896</v>
      </c>
      <c r="O443" s="74">
        <v>45897</v>
      </c>
      <c r="P443" s="75" t="s">
        <v>97</v>
      </c>
      <c r="Q443" s="76" t="s">
        <v>97</v>
      </c>
      <c r="R443" s="64" t="s">
        <v>98</v>
      </c>
      <c r="S443" s="77" t="s">
        <v>2558</v>
      </c>
      <c r="T443" s="74" t="s">
        <v>100</v>
      </c>
      <c r="U443" s="64" t="s">
        <v>2559</v>
      </c>
      <c r="V443" s="70" t="s">
        <v>162</v>
      </c>
      <c r="W443" s="74" t="s">
        <v>103</v>
      </c>
      <c r="X443" s="68" t="s">
        <v>367</v>
      </c>
      <c r="Y443" s="64">
        <v>1</v>
      </c>
      <c r="Z443" s="78">
        <v>0</v>
      </c>
      <c r="AA443" s="79">
        <f>'BASE FACTURACION 2025'!$C$3</f>
        <v>122645.45276000001</v>
      </c>
      <c r="AB443" s="79">
        <f>'BASE FACTURACION 2025'!$F$3</f>
        <v>65164.677720000007</v>
      </c>
      <c r="AC443" s="79">
        <f t="shared" si="6"/>
        <v>122645.45276000001</v>
      </c>
    </row>
    <row r="444" spans="1:29" s="80" customFormat="1" ht="15" customHeight="1">
      <c r="A444" s="64" t="s">
        <v>220</v>
      </c>
      <c r="B444" s="65" t="str">
        <f>VLOOKUP(A444,'CENTRO DE COSTOS'!A:D,4,FALSE)</f>
        <v>KEVIN ALEXIS CORZO BUSTOS</v>
      </c>
      <c r="C444" s="65" t="str">
        <f>VLOOKUP(A444,'CENTRO DE COSTOS'!A:D,2,FALSE)</f>
        <v>0004-0007</v>
      </c>
      <c r="D444" s="64">
        <v>50680</v>
      </c>
      <c r="E444" s="66" t="s">
        <v>2560</v>
      </c>
      <c r="F444" s="67">
        <v>81246</v>
      </c>
      <c r="G444" s="68" t="s">
        <v>90</v>
      </c>
      <c r="H444" s="69" t="s">
        <v>91</v>
      </c>
      <c r="I444" s="67" t="s">
        <v>222</v>
      </c>
      <c r="J444" s="70" t="s">
        <v>2561</v>
      </c>
      <c r="K444" s="67" t="s">
        <v>2562</v>
      </c>
      <c r="L444" s="71" t="s">
        <v>95</v>
      </c>
      <c r="M444" s="72" t="s">
        <v>2563</v>
      </c>
      <c r="N444" s="73">
        <v>45896</v>
      </c>
      <c r="O444" s="74">
        <v>45898</v>
      </c>
      <c r="P444" s="75" t="s">
        <v>97</v>
      </c>
      <c r="Q444" s="76" t="s">
        <v>97</v>
      </c>
      <c r="R444" s="64" t="s">
        <v>98</v>
      </c>
      <c r="S444" s="77" t="s">
        <v>2564</v>
      </c>
      <c r="T444" s="74" t="s">
        <v>100</v>
      </c>
      <c r="U444" s="64" t="s">
        <v>2565</v>
      </c>
      <c r="V444" s="70" t="s">
        <v>162</v>
      </c>
      <c r="W444" s="74" t="s">
        <v>103</v>
      </c>
      <c r="X444" s="68" t="s">
        <v>831</v>
      </c>
      <c r="Y444" s="64">
        <v>1</v>
      </c>
      <c r="Z444" s="78">
        <v>0</v>
      </c>
      <c r="AA444" s="79">
        <f>'BASE FACTURACION 2025'!$C$3</f>
        <v>122645.45276000001</v>
      </c>
      <c r="AB444" s="79">
        <f>'BASE FACTURACION 2025'!$F$3</f>
        <v>65164.677720000007</v>
      </c>
      <c r="AC444" s="79">
        <f t="shared" si="6"/>
        <v>122645.45276000001</v>
      </c>
    </row>
    <row r="445" spans="1:29" s="80" customFormat="1" ht="15" customHeight="1">
      <c r="A445" s="64" t="s">
        <v>180</v>
      </c>
      <c r="B445" s="65" t="str">
        <f>VLOOKUP(A445,'CENTRO DE COSTOS'!A:D,4,FALSE)</f>
        <v>DIEGO FERNANDO HENAO CARDONA</v>
      </c>
      <c r="C445" s="65" t="str">
        <f>VLOOKUP(A445,'CENTRO DE COSTOS'!A:D,2,FALSE)</f>
        <v>0004-0003</v>
      </c>
      <c r="D445" s="64">
        <v>76001</v>
      </c>
      <c r="E445" s="66" t="s">
        <v>2566</v>
      </c>
      <c r="F445" s="67">
        <v>81194</v>
      </c>
      <c r="G445" s="68" t="s">
        <v>90</v>
      </c>
      <c r="H445" s="69" t="s">
        <v>182</v>
      </c>
      <c r="I445" s="67" t="s">
        <v>380</v>
      </c>
      <c r="J445" s="70" t="s">
        <v>180</v>
      </c>
      <c r="K445" s="67" t="s">
        <v>2567</v>
      </c>
      <c r="L445" s="71" t="s">
        <v>95</v>
      </c>
      <c r="M445" s="72" t="s">
        <v>2568</v>
      </c>
      <c r="N445" s="73">
        <v>45896</v>
      </c>
      <c r="O445" s="74">
        <v>45897</v>
      </c>
      <c r="P445" s="75" t="s">
        <v>97</v>
      </c>
      <c r="Q445" s="76" t="s">
        <v>97</v>
      </c>
      <c r="R445" s="64" t="s">
        <v>98</v>
      </c>
      <c r="S445" s="77" t="s">
        <v>2569</v>
      </c>
      <c r="T445" s="74" t="s">
        <v>100</v>
      </c>
      <c r="U445" s="64" t="s">
        <v>2570</v>
      </c>
      <c r="V445" s="70" t="s">
        <v>133</v>
      </c>
      <c r="W445" s="74" t="s">
        <v>103</v>
      </c>
      <c r="X445" s="68" t="s">
        <v>438</v>
      </c>
      <c r="Y445" s="64">
        <v>1</v>
      </c>
      <c r="Z445" s="78">
        <v>0</v>
      </c>
      <c r="AA445" s="79">
        <f>'BASE FACTURACION 2025'!$C$3</f>
        <v>122645.45276000001</v>
      </c>
      <c r="AB445" s="79">
        <f>'BASE FACTURACION 2025'!$F$3</f>
        <v>65164.677720000007</v>
      </c>
      <c r="AC445" s="79">
        <f t="shared" si="6"/>
        <v>122645.45276000001</v>
      </c>
    </row>
    <row r="446" spans="1:29" s="80" customFormat="1" ht="15" customHeight="1">
      <c r="A446" s="64" t="s">
        <v>391</v>
      </c>
      <c r="B446" s="65" t="str">
        <f>VLOOKUP(A446,'CENTRO DE COSTOS'!A:D,4,FALSE)</f>
        <v>WILLIAM ASDRUBAL ROZO ROZO</v>
      </c>
      <c r="C446" s="65" t="str">
        <f>VLOOKUP(A446,'CENTRO DE COSTOS'!A:D,2,FALSE)</f>
        <v>0004-0004</v>
      </c>
      <c r="D446" s="64">
        <v>11001</v>
      </c>
      <c r="E446" s="66" t="s">
        <v>2571</v>
      </c>
      <c r="F446" s="67">
        <v>81188</v>
      </c>
      <c r="G446" s="68" t="s">
        <v>90</v>
      </c>
      <c r="H446" s="69" t="s">
        <v>91</v>
      </c>
      <c r="I446" s="67" t="s">
        <v>393</v>
      </c>
      <c r="J446" s="70" t="s">
        <v>391</v>
      </c>
      <c r="K446" s="67" t="s">
        <v>2572</v>
      </c>
      <c r="L446" s="71" t="s">
        <v>95</v>
      </c>
      <c r="M446" s="72" t="s">
        <v>2573</v>
      </c>
      <c r="N446" s="73">
        <v>45896</v>
      </c>
      <c r="O446" s="74">
        <v>45897</v>
      </c>
      <c r="P446" s="75" t="s">
        <v>97</v>
      </c>
      <c r="Q446" s="76" t="s">
        <v>97</v>
      </c>
      <c r="R446" s="64" t="s">
        <v>98</v>
      </c>
      <c r="S446" s="77" t="s">
        <v>2574</v>
      </c>
      <c r="T446" s="74" t="s">
        <v>100</v>
      </c>
      <c r="U446" s="64" t="s">
        <v>2575</v>
      </c>
      <c r="V446" s="70" t="s">
        <v>133</v>
      </c>
      <c r="W446" s="74" t="s">
        <v>103</v>
      </c>
      <c r="X446" s="68" t="s">
        <v>771</v>
      </c>
      <c r="Y446" s="64">
        <v>1</v>
      </c>
      <c r="Z446" s="78">
        <v>0</v>
      </c>
      <c r="AA446" s="79">
        <f>'BASE FACTURACION 2025'!$C$3</f>
        <v>122645.45276000001</v>
      </c>
      <c r="AB446" s="79">
        <f>'BASE FACTURACION 2025'!$F$3</f>
        <v>65164.677720000007</v>
      </c>
      <c r="AC446" s="79">
        <f t="shared" si="6"/>
        <v>122645.45276000001</v>
      </c>
    </row>
    <row r="447" spans="1:29" s="80" customFormat="1" ht="15" customHeight="1">
      <c r="A447" s="64" t="s">
        <v>413</v>
      </c>
      <c r="B447" s="65" t="str">
        <f>VLOOKUP(A447,'CENTRO DE COSTOS'!A:D,4,FALSE)</f>
        <v>DIEGO FERNANDO HENAO CARDONA</v>
      </c>
      <c r="C447" s="65" t="str">
        <f>VLOOKUP(A447,'CENTRO DE COSTOS'!A:D,2,FALSE)</f>
        <v>0004-0002</v>
      </c>
      <c r="D447" s="64">
        <v>66001</v>
      </c>
      <c r="E447" s="66" t="s">
        <v>2576</v>
      </c>
      <c r="F447" s="67">
        <v>81243</v>
      </c>
      <c r="G447" s="68" t="s">
        <v>90</v>
      </c>
      <c r="H447" s="69" t="s">
        <v>91</v>
      </c>
      <c r="I447" s="67" t="s">
        <v>531</v>
      </c>
      <c r="J447" s="70" t="s">
        <v>413</v>
      </c>
      <c r="K447" s="67" t="s">
        <v>2577</v>
      </c>
      <c r="L447" s="71" t="s">
        <v>95</v>
      </c>
      <c r="M447" s="72" t="s">
        <v>2578</v>
      </c>
      <c r="N447" s="73">
        <v>45896</v>
      </c>
      <c r="O447" s="74">
        <v>45897</v>
      </c>
      <c r="P447" s="75" t="s">
        <v>97</v>
      </c>
      <c r="Q447" s="76" t="s">
        <v>97</v>
      </c>
      <c r="R447" s="64" t="s">
        <v>98</v>
      </c>
      <c r="S447" s="77" t="s">
        <v>2579</v>
      </c>
      <c r="T447" s="74" t="s">
        <v>100</v>
      </c>
      <c r="U447" s="64" t="s">
        <v>2580</v>
      </c>
      <c r="V447" s="70" t="s">
        <v>133</v>
      </c>
      <c r="W447" s="74" t="s">
        <v>103</v>
      </c>
      <c r="X447" s="68" t="s">
        <v>469</v>
      </c>
      <c r="Y447" s="64">
        <v>1</v>
      </c>
      <c r="Z447" s="78">
        <v>0</v>
      </c>
      <c r="AA447" s="79">
        <f>'BASE FACTURACION 2025'!$C$3</f>
        <v>122645.45276000001</v>
      </c>
      <c r="AB447" s="79">
        <f>'BASE FACTURACION 2025'!$F$3</f>
        <v>65164.677720000007</v>
      </c>
      <c r="AC447" s="79">
        <f t="shared" si="6"/>
        <v>122645.45276000001</v>
      </c>
    </row>
    <row r="448" spans="1:29" s="80" customFormat="1" ht="15" customHeight="1">
      <c r="A448" s="64" t="s">
        <v>220</v>
      </c>
      <c r="B448" s="65" t="str">
        <f>VLOOKUP(A448,'CENTRO DE COSTOS'!A:D,4,FALSE)</f>
        <v>KEVIN ALEXIS CORZO BUSTOS</v>
      </c>
      <c r="C448" s="65" t="str">
        <f>VLOOKUP(A448,'CENTRO DE COSTOS'!A:D,2,FALSE)</f>
        <v>0004-0007</v>
      </c>
      <c r="D448" s="64">
        <v>50006</v>
      </c>
      <c r="E448" s="66" t="s">
        <v>2581</v>
      </c>
      <c r="F448" s="67">
        <v>81180</v>
      </c>
      <c r="G448" s="68" t="s">
        <v>90</v>
      </c>
      <c r="H448" s="69" t="s">
        <v>91</v>
      </c>
      <c r="I448" s="67" t="s">
        <v>222</v>
      </c>
      <c r="J448" s="70" t="s">
        <v>826</v>
      </c>
      <c r="K448" s="67" t="s">
        <v>2582</v>
      </c>
      <c r="L448" s="71" t="s">
        <v>95</v>
      </c>
      <c r="M448" s="72" t="s">
        <v>2583</v>
      </c>
      <c r="N448" s="73">
        <v>45896</v>
      </c>
      <c r="O448" s="74">
        <v>45897</v>
      </c>
      <c r="P448" s="75" t="s">
        <v>97</v>
      </c>
      <c r="Q448" s="76" t="s">
        <v>97</v>
      </c>
      <c r="R448" s="64" t="s">
        <v>98</v>
      </c>
      <c r="S448" s="77" t="s">
        <v>2584</v>
      </c>
      <c r="T448" s="74" t="s">
        <v>100</v>
      </c>
      <c r="U448" s="64" t="s">
        <v>2585</v>
      </c>
      <c r="V448" s="70" t="s">
        <v>162</v>
      </c>
      <c r="W448" s="74" t="s">
        <v>103</v>
      </c>
      <c r="X448" s="68" t="s">
        <v>228</v>
      </c>
      <c r="Y448" s="64">
        <v>1</v>
      </c>
      <c r="Z448" s="78">
        <v>0</v>
      </c>
      <c r="AA448" s="79">
        <f>'BASE FACTURACION 2025'!$C$3</f>
        <v>122645.45276000001</v>
      </c>
      <c r="AB448" s="79">
        <f>'BASE FACTURACION 2025'!$F$3</f>
        <v>65164.677720000007</v>
      </c>
      <c r="AC448" s="79">
        <f t="shared" si="6"/>
        <v>122645.45276000001</v>
      </c>
    </row>
    <row r="449" spans="1:29" s="80" customFormat="1" ht="15" customHeight="1">
      <c r="A449" s="64" t="s">
        <v>88</v>
      </c>
      <c r="B449" s="65" t="str">
        <f>VLOOKUP(A449,'CENTRO DE COSTOS'!A:D,4,FALSE)</f>
        <v>KEVIN ALEXIS CORZO BUSTOS</v>
      </c>
      <c r="C449" s="65" t="str">
        <f>VLOOKUP(A449,'CENTRO DE COSTOS'!A:D,2,FALSE)</f>
        <v>0004-0007</v>
      </c>
      <c r="D449" s="64">
        <v>41016</v>
      </c>
      <c r="E449" s="66" t="s">
        <v>2586</v>
      </c>
      <c r="F449" s="67">
        <v>81181</v>
      </c>
      <c r="G449" s="68" t="s">
        <v>90</v>
      </c>
      <c r="H449" s="69" t="s">
        <v>91</v>
      </c>
      <c r="I449" s="67" t="s">
        <v>173</v>
      </c>
      <c r="J449" s="70" t="s">
        <v>1565</v>
      </c>
      <c r="K449" s="67" t="s">
        <v>2587</v>
      </c>
      <c r="L449" s="71" t="s">
        <v>95</v>
      </c>
      <c r="M449" s="72" t="s">
        <v>2588</v>
      </c>
      <c r="N449" s="73">
        <v>45896</v>
      </c>
      <c r="O449" s="74">
        <v>45897</v>
      </c>
      <c r="P449" s="75" t="s">
        <v>97</v>
      </c>
      <c r="Q449" s="76" t="s">
        <v>97</v>
      </c>
      <c r="R449" s="64" t="s">
        <v>98</v>
      </c>
      <c r="S449" s="77" t="s">
        <v>2589</v>
      </c>
      <c r="T449" s="74" t="s">
        <v>100</v>
      </c>
      <c r="U449" s="64" t="s">
        <v>2590</v>
      </c>
      <c r="V449" s="70" t="s">
        <v>162</v>
      </c>
      <c r="W449" s="74" t="s">
        <v>103</v>
      </c>
      <c r="X449" s="68" t="s">
        <v>179</v>
      </c>
      <c r="Y449" s="64">
        <v>1</v>
      </c>
      <c r="Z449" s="78">
        <v>0</v>
      </c>
      <c r="AA449" s="79">
        <f>'BASE FACTURACION 2025'!$C$3</f>
        <v>122645.45276000001</v>
      </c>
      <c r="AB449" s="79">
        <f>'BASE FACTURACION 2025'!$F$3</f>
        <v>65164.677720000007</v>
      </c>
      <c r="AC449" s="79">
        <f t="shared" si="6"/>
        <v>122645.45276000001</v>
      </c>
    </row>
    <row r="450" spans="1:29" s="80" customFormat="1" ht="15" customHeight="1">
      <c r="A450" s="64" t="s">
        <v>180</v>
      </c>
      <c r="B450" s="65" t="str">
        <f>VLOOKUP(A450,'CENTRO DE COSTOS'!A:D,4,FALSE)</f>
        <v>DIEGO FERNANDO HENAO CARDONA</v>
      </c>
      <c r="C450" s="65" t="str">
        <f>VLOOKUP(A450,'CENTRO DE COSTOS'!A:D,2,FALSE)</f>
        <v>0004-0003</v>
      </c>
      <c r="D450" s="64">
        <v>76606</v>
      </c>
      <c r="E450" s="66" t="s">
        <v>2591</v>
      </c>
      <c r="F450" s="67">
        <v>81244</v>
      </c>
      <c r="G450" s="68" t="s">
        <v>90</v>
      </c>
      <c r="H450" s="69" t="s">
        <v>91</v>
      </c>
      <c r="I450" s="67" t="s">
        <v>380</v>
      </c>
      <c r="J450" s="70" t="s">
        <v>514</v>
      </c>
      <c r="K450" s="67" t="s">
        <v>2592</v>
      </c>
      <c r="L450" s="71" t="s">
        <v>95</v>
      </c>
      <c r="M450" s="72" t="s">
        <v>2593</v>
      </c>
      <c r="N450" s="73">
        <v>45896</v>
      </c>
      <c r="O450" s="74">
        <v>45898</v>
      </c>
      <c r="P450" s="75" t="s">
        <v>97</v>
      </c>
      <c r="Q450" s="76" t="s">
        <v>97</v>
      </c>
      <c r="R450" s="64" t="s">
        <v>98</v>
      </c>
      <c r="S450" s="77" t="s">
        <v>2594</v>
      </c>
      <c r="T450" s="74" t="s">
        <v>100</v>
      </c>
      <c r="U450" s="64" t="s">
        <v>2595</v>
      </c>
      <c r="V450" s="70" t="s">
        <v>162</v>
      </c>
      <c r="W450" s="74" t="s">
        <v>103</v>
      </c>
      <c r="X450" s="68" t="s">
        <v>1221</v>
      </c>
      <c r="Y450" s="64">
        <v>1</v>
      </c>
      <c r="Z450" s="78">
        <v>0</v>
      </c>
      <c r="AA450" s="79">
        <f>'BASE FACTURACION 2025'!$C$3</f>
        <v>122645.45276000001</v>
      </c>
      <c r="AB450" s="79">
        <f>'BASE FACTURACION 2025'!$F$3</f>
        <v>65164.677720000007</v>
      </c>
      <c r="AC450" s="79">
        <f t="shared" si="6"/>
        <v>122645.45276000001</v>
      </c>
    </row>
    <row r="451" spans="1:29" s="80" customFormat="1" ht="15" customHeight="1">
      <c r="A451" s="64" t="s">
        <v>135</v>
      </c>
      <c r="B451" s="65" t="str">
        <f>VLOOKUP(A451,'CENTRO DE COSTOS'!A:D,4,FALSE)</f>
        <v>JUAN SEBASTIÁN RÍOS CASTRILLÓN</v>
      </c>
      <c r="C451" s="65" t="str">
        <f>VLOOKUP(A451,'CENTRO DE COSTOS'!A:D,2,FALSE)</f>
        <v>0004-0005</v>
      </c>
      <c r="D451" s="64">
        <v>5380</v>
      </c>
      <c r="E451" s="66" t="s">
        <v>2596</v>
      </c>
      <c r="F451" s="67">
        <v>81253</v>
      </c>
      <c r="G451" s="68" t="s">
        <v>90</v>
      </c>
      <c r="H451" s="69" t="s">
        <v>91</v>
      </c>
      <c r="I451" s="67" t="s">
        <v>138</v>
      </c>
      <c r="J451" s="70" t="s">
        <v>2597</v>
      </c>
      <c r="K451" s="67" t="s">
        <v>2598</v>
      </c>
      <c r="L451" s="71" t="s">
        <v>95</v>
      </c>
      <c r="M451" s="72" t="s">
        <v>2599</v>
      </c>
      <c r="N451" s="73">
        <v>45896</v>
      </c>
      <c r="O451" s="74">
        <v>45896</v>
      </c>
      <c r="P451" s="75" t="s">
        <v>97</v>
      </c>
      <c r="Q451" s="76" t="s">
        <v>97</v>
      </c>
      <c r="R451" s="64" t="s">
        <v>98</v>
      </c>
      <c r="S451" s="77" t="s">
        <v>2600</v>
      </c>
      <c r="T451" s="74" t="s">
        <v>100</v>
      </c>
      <c r="U451" s="64" t="s">
        <v>2601</v>
      </c>
      <c r="V451" s="70" t="s">
        <v>133</v>
      </c>
      <c r="W451" s="74" t="s">
        <v>103</v>
      </c>
      <c r="X451" s="68" t="s">
        <v>1208</v>
      </c>
      <c r="Y451" s="64">
        <v>1</v>
      </c>
      <c r="Z451" s="78">
        <v>0</v>
      </c>
      <c r="AA451" s="79">
        <f>'BASE FACTURACION 2025'!$C$3</f>
        <v>122645.45276000001</v>
      </c>
      <c r="AB451" s="79">
        <f>'BASE FACTURACION 2025'!$F$3</f>
        <v>65164.677720000007</v>
      </c>
      <c r="AC451" s="79">
        <f t="shared" ref="AC451:AC465" si="7">AA451*Y451+AB451*Z451</f>
        <v>122645.45276000001</v>
      </c>
    </row>
    <row r="452" spans="1:29" s="80" customFormat="1" ht="15" customHeight="1">
      <c r="A452" s="64" t="s">
        <v>391</v>
      </c>
      <c r="B452" s="65" t="str">
        <f>VLOOKUP(A452,'CENTRO DE COSTOS'!A:D,4,FALSE)</f>
        <v>WILLIAM ASDRUBAL ROZO ROZO</v>
      </c>
      <c r="C452" s="65" t="str">
        <f>VLOOKUP(A452,'CENTRO DE COSTOS'!A:D,2,FALSE)</f>
        <v>0004-0004</v>
      </c>
      <c r="D452" s="64">
        <v>11001</v>
      </c>
      <c r="E452" s="66" t="s">
        <v>2602</v>
      </c>
      <c r="F452" s="67">
        <v>81189</v>
      </c>
      <c r="G452" s="68" t="s">
        <v>90</v>
      </c>
      <c r="H452" s="69" t="s">
        <v>91</v>
      </c>
      <c r="I452" s="67" t="s">
        <v>393</v>
      </c>
      <c r="J452" s="70" t="s">
        <v>391</v>
      </c>
      <c r="K452" s="67" t="s">
        <v>2603</v>
      </c>
      <c r="L452" s="71" t="s">
        <v>95</v>
      </c>
      <c r="M452" s="72" t="s">
        <v>2604</v>
      </c>
      <c r="N452" s="73">
        <v>45896</v>
      </c>
      <c r="O452" s="74">
        <v>45898</v>
      </c>
      <c r="P452" s="75" t="s">
        <v>97</v>
      </c>
      <c r="Q452" s="76" t="s">
        <v>97</v>
      </c>
      <c r="R452" s="64" t="s">
        <v>98</v>
      </c>
      <c r="S452" s="77" t="s">
        <v>2605</v>
      </c>
      <c r="T452" s="74" t="s">
        <v>100</v>
      </c>
      <c r="U452" s="64" t="s">
        <v>2606</v>
      </c>
      <c r="V452" s="70" t="s">
        <v>133</v>
      </c>
      <c r="W452" s="74" t="s">
        <v>103</v>
      </c>
      <c r="X452" s="68" t="s">
        <v>602</v>
      </c>
      <c r="Y452" s="64">
        <v>1</v>
      </c>
      <c r="Z452" s="78">
        <v>0</v>
      </c>
      <c r="AA452" s="79">
        <f>'BASE FACTURACION 2025'!$C$3</f>
        <v>122645.45276000001</v>
      </c>
      <c r="AB452" s="79">
        <f>'BASE FACTURACION 2025'!$F$3</f>
        <v>65164.677720000007</v>
      </c>
      <c r="AC452" s="79">
        <f t="shared" si="7"/>
        <v>122645.45276000001</v>
      </c>
    </row>
    <row r="453" spans="1:29" s="80" customFormat="1" ht="15" customHeight="1">
      <c r="A453" s="64" t="s">
        <v>180</v>
      </c>
      <c r="B453" s="65" t="str">
        <f>VLOOKUP(A453,'CENTRO DE COSTOS'!A:D,4,FALSE)</f>
        <v>DIEGO FERNANDO HENAO CARDONA</v>
      </c>
      <c r="C453" s="65" t="str">
        <f>VLOOKUP(A453,'CENTRO DE COSTOS'!A:D,2,FALSE)</f>
        <v>0004-0003</v>
      </c>
      <c r="D453" s="64">
        <v>76834</v>
      </c>
      <c r="E453" s="66" t="s">
        <v>2607</v>
      </c>
      <c r="F453" s="67">
        <v>81159</v>
      </c>
      <c r="G453" s="68" t="s">
        <v>90</v>
      </c>
      <c r="H453" s="69" t="s">
        <v>1122</v>
      </c>
      <c r="I453" s="67" t="s">
        <v>380</v>
      </c>
      <c r="J453" s="70" t="s">
        <v>1663</v>
      </c>
      <c r="K453" s="67" t="s">
        <v>2608</v>
      </c>
      <c r="L453" s="71" t="s">
        <v>95</v>
      </c>
      <c r="M453" s="72" t="s">
        <v>2609</v>
      </c>
      <c r="N453" s="73">
        <v>45896</v>
      </c>
      <c r="O453" s="74">
        <v>45898</v>
      </c>
      <c r="P453" s="75" t="s">
        <v>97</v>
      </c>
      <c r="Q453" s="76" t="s">
        <v>97</v>
      </c>
      <c r="R453" s="64" t="s">
        <v>98</v>
      </c>
      <c r="S453" s="77" t="s">
        <v>2610</v>
      </c>
      <c r="T453" s="74" t="s">
        <v>100</v>
      </c>
      <c r="U453" s="64" t="s">
        <v>2611</v>
      </c>
      <c r="V453" s="70" t="s">
        <v>162</v>
      </c>
      <c r="W453" s="74" t="s">
        <v>103</v>
      </c>
      <c r="X453" s="68" t="s">
        <v>450</v>
      </c>
      <c r="Y453" s="64">
        <v>1</v>
      </c>
      <c r="Z453" s="78">
        <v>0</v>
      </c>
      <c r="AA453" s="79">
        <f>'BASE FACTURACION 2025'!$C$3</f>
        <v>122645.45276000001</v>
      </c>
      <c r="AB453" s="79">
        <f>'BASE FACTURACION 2025'!$F$3</f>
        <v>65164.677720000007</v>
      </c>
      <c r="AC453" s="79">
        <f t="shared" si="7"/>
        <v>122645.45276000001</v>
      </c>
    </row>
    <row r="454" spans="1:29" s="80" customFormat="1" ht="15" customHeight="1">
      <c r="A454" s="64" t="s">
        <v>135</v>
      </c>
      <c r="B454" s="65" t="str">
        <f>VLOOKUP(A454,'CENTRO DE COSTOS'!A:D,4,FALSE)</f>
        <v>JUAN SEBASTIÁN RÍOS CASTRILLÓN</v>
      </c>
      <c r="C454" s="65" t="str">
        <f>VLOOKUP(A454,'CENTRO DE COSTOS'!A:D,2,FALSE)</f>
        <v>0004-0005</v>
      </c>
      <c r="D454" s="64">
        <v>5001</v>
      </c>
      <c r="E454" s="66" t="s">
        <v>2612</v>
      </c>
      <c r="F454" s="67">
        <v>81238</v>
      </c>
      <c r="G454" s="68" t="s">
        <v>90</v>
      </c>
      <c r="H454" s="69" t="s">
        <v>137</v>
      </c>
      <c r="I454" s="67" t="s">
        <v>138</v>
      </c>
      <c r="J454" s="70" t="s">
        <v>135</v>
      </c>
      <c r="K454" s="67" t="s">
        <v>2613</v>
      </c>
      <c r="L454" s="71" t="s">
        <v>95</v>
      </c>
      <c r="M454" s="72" t="s">
        <v>2614</v>
      </c>
      <c r="N454" s="73">
        <v>45896</v>
      </c>
      <c r="O454" s="74">
        <v>45898</v>
      </c>
      <c r="P454" s="75" t="s">
        <v>141</v>
      </c>
      <c r="Q454" s="76" t="s">
        <v>142</v>
      </c>
      <c r="R454" s="64" t="s">
        <v>98</v>
      </c>
      <c r="S454" s="77" t="s">
        <v>2615</v>
      </c>
      <c r="T454" s="74" t="s">
        <v>100</v>
      </c>
      <c r="U454" s="64" t="s">
        <v>2616</v>
      </c>
      <c r="V454" s="70" t="s">
        <v>133</v>
      </c>
      <c r="W454" s="74" t="s">
        <v>103</v>
      </c>
      <c r="X454" s="68" t="s">
        <v>150</v>
      </c>
      <c r="Y454" s="64">
        <v>1</v>
      </c>
      <c r="Z454" s="78">
        <v>0</v>
      </c>
      <c r="AA454" s="79">
        <f>'BASE FACTURACION 2025'!$C$3</f>
        <v>122645.45276000001</v>
      </c>
      <c r="AB454" s="79">
        <f>'BASE FACTURACION 2025'!$F$3</f>
        <v>65164.677720000007</v>
      </c>
      <c r="AC454" s="79">
        <f t="shared" si="7"/>
        <v>122645.45276000001</v>
      </c>
    </row>
    <row r="455" spans="1:29" s="80" customFormat="1" ht="15" customHeight="1">
      <c r="A455" s="64" t="s">
        <v>135</v>
      </c>
      <c r="B455" s="65" t="str">
        <f>VLOOKUP(A455,'CENTRO DE COSTOS'!A:D,4,FALSE)</f>
        <v>JUAN SEBASTIÁN RÍOS CASTRILLÓN</v>
      </c>
      <c r="C455" s="65" t="str">
        <f>VLOOKUP(A455,'CENTRO DE COSTOS'!A:D,2,FALSE)</f>
        <v>0004-0005</v>
      </c>
      <c r="D455" s="64">
        <v>5088</v>
      </c>
      <c r="E455" s="66" t="s">
        <v>2617</v>
      </c>
      <c r="F455" s="67">
        <v>81234</v>
      </c>
      <c r="G455" s="68" t="s">
        <v>90</v>
      </c>
      <c r="H455" s="69" t="s">
        <v>137</v>
      </c>
      <c r="I455" s="67" t="s">
        <v>138</v>
      </c>
      <c r="J455" s="70" t="s">
        <v>152</v>
      </c>
      <c r="K455" s="67" t="s">
        <v>2618</v>
      </c>
      <c r="L455" s="71" t="s">
        <v>95</v>
      </c>
      <c r="M455" s="72" t="s">
        <v>2619</v>
      </c>
      <c r="N455" s="73">
        <v>45896</v>
      </c>
      <c r="O455" s="74">
        <v>45898</v>
      </c>
      <c r="P455" s="75" t="s">
        <v>141</v>
      </c>
      <c r="Q455" s="76" t="s">
        <v>142</v>
      </c>
      <c r="R455" s="64" t="s">
        <v>98</v>
      </c>
      <c r="S455" s="77" t="s">
        <v>2615</v>
      </c>
      <c r="T455" s="74" t="s">
        <v>100</v>
      </c>
      <c r="U455" s="64" t="s">
        <v>2620</v>
      </c>
      <c r="V455" s="70" t="s">
        <v>133</v>
      </c>
      <c r="W455" s="74" t="s">
        <v>103</v>
      </c>
      <c r="X455" s="68" t="s">
        <v>196</v>
      </c>
      <c r="Y455" s="64">
        <v>1</v>
      </c>
      <c r="Z455" s="78">
        <v>0</v>
      </c>
      <c r="AA455" s="79">
        <f>'BASE FACTURACION 2025'!$C$3</f>
        <v>122645.45276000001</v>
      </c>
      <c r="AB455" s="79">
        <f>'BASE FACTURACION 2025'!$F$3</f>
        <v>65164.677720000007</v>
      </c>
      <c r="AC455" s="79">
        <f t="shared" si="7"/>
        <v>122645.45276000001</v>
      </c>
    </row>
    <row r="456" spans="1:29" s="80" customFormat="1" ht="15" customHeight="1">
      <c r="A456" s="64" t="s">
        <v>135</v>
      </c>
      <c r="B456" s="65" t="str">
        <f>VLOOKUP(A456,'CENTRO DE COSTOS'!A:D,4,FALSE)</f>
        <v>JUAN SEBASTIÁN RÍOS CASTRILLÓN</v>
      </c>
      <c r="C456" s="65" t="str">
        <f>VLOOKUP(A456,'CENTRO DE COSTOS'!A:D,2,FALSE)</f>
        <v>0004-0005</v>
      </c>
      <c r="D456" s="64">
        <v>5361</v>
      </c>
      <c r="E456" s="66" t="s">
        <v>2621</v>
      </c>
      <c r="F456" s="67">
        <v>81215</v>
      </c>
      <c r="G456" s="68" t="s">
        <v>90</v>
      </c>
      <c r="H456" s="69" t="s">
        <v>137</v>
      </c>
      <c r="I456" s="67" t="s">
        <v>138</v>
      </c>
      <c r="J456" s="70" t="s">
        <v>604</v>
      </c>
      <c r="K456" s="67" t="s">
        <v>2622</v>
      </c>
      <c r="L456" s="71" t="s">
        <v>95</v>
      </c>
      <c r="M456" s="72" t="s">
        <v>2623</v>
      </c>
      <c r="N456" s="73">
        <v>45896</v>
      </c>
      <c r="O456" s="74">
        <v>45897</v>
      </c>
      <c r="P456" s="75" t="s">
        <v>141</v>
      </c>
      <c r="Q456" s="76" t="s">
        <v>142</v>
      </c>
      <c r="R456" s="64" t="s">
        <v>98</v>
      </c>
      <c r="S456" s="77" t="s">
        <v>2624</v>
      </c>
      <c r="T456" s="74" t="s">
        <v>100</v>
      </c>
      <c r="U456" s="64" t="s">
        <v>2625</v>
      </c>
      <c r="V456" s="70" t="s">
        <v>102</v>
      </c>
      <c r="W456" s="74" t="s">
        <v>103</v>
      </c>
      <c r="X456" s="68" t="s">
        <v>299</v>
      </c>
      <c r="Y456" s="64">
        <v>1</v>
      </c>
      <c r="Z456" s="78">
        <v>0</v>
      </c>
      <c r="AA456" s="79">
        <f>'BASE FACTURACION 2025'!$C$3</f>
        <v>122645.45276000001</v>
      </c>
      <c r="AB456" s="79">
        <f>'BASE FACTURACION 2025'!$F$3</f>
        <v>65164.677720000007</v>
      </c>
      <c r="AC456" s="79">
        <f t="shared" si="7"/>
        <v>122645.45276000001</v>
      </c>
    </row>
    <row r="457" spans="1:29" s="80" customFormat="1" ht="15" customHeight="1">
      <c r="A457" s="64" t="s">
        <v>135</v>
      </c>
      <c r="B457" s="65" t="str">
        <f>VLOOKUP(A457,'CENTRO DE COSTOS'!A:D,4,FALSE)</f>
        <v>JUAN SEBASTIÁN RÍOS CASTRILLÓN</v>
      </c>
      <c r="C457" s="65" t="str">
        <f>VLOOKUP(A457,'CENTRO DE COSTOS'!A:D,2,FALSE)</f>
        <v>0004-0005</v>
      </c>
      <c r="D457" s="64">
        <v>5858</v>
      </c>
      <c r="E457" s="66" t="s">
        <v>2626</v>
      </c>
      <c r="F457" s="67">
        <v>81231</v>
      </c>
      <c r="G457" s="68" t="s">
        <v>90</v>
      </c>
      <c r="H457" s="69" t="s">
        <v>137</v>
      </c>
      <c r="I457" s="67" t="s">
        <v>138</v>
      </c>
      <c r="J457" s="70" t="s">
        <v>2627</v>
      </c>
      <c r="K457" s="67" t="s">
        <v>2628</v>
      </c>
      <c r="L457" s="71" t="s">
        <v>95</v>
      </c>
      <c r="M457" s="72" t="s">
        <v>2629</v>
      </c>
      <c r="N457" s="73">
        <v>45896</v>
      </c>
      <c r="O457" s="74">
        <v>45897</v>
      </c>
      <c r="P457" s="75" t="s">
        <v>141</v>
      </c>
      <c r="Q457" s="76" t="s">
        <v>142</v>
      </c>
      <c r="R457" s="64" t="s">
        <v>98</v>
      </c>
      <c r="S457" s="77" t="s">
        <v>2630</v>
      </c>
      <c r="T457" s="74" t="s">
        <v>100</v>
      </c>
      <c r="U457" s="64" t="s">
        <v>2631</v>
      </c>
      <c r="V457" s="70" t="s">
        <v>189</v>
      </c>
      <c r="W457" s="74" t="s">
        <v>103</v>
      </c>
      <c r="X457" s="68" t="s">
        <v>609</v>
      </c>
      <c r="Y457" s="64">
        <v>1</v>
      </c>
      <c r="Z457" s="78">
        <v>0</v>
      </c>
      <c r="AA457" s="79">
        <f>'BASE FACTURACION 2025'!$C$3</f>
        <v>122645.45276000001</v>
      </c>
      <c r="AB457" s="79">
        <f>'BASE FACTURACION 2025'!$F$3</f>
        <v>65164.677720000007</v>
      </c>
      <c r="AC457" s="79">
        <f t="shared" si="7"/>
        <v>122645.45276000001</v>
      </c>
    </row>
    <row r="458" spans="1:29" s="80" customFormat="1" ht="15" customHeight="1">
      <c r="A458" s="66" t="s">
        <v>163</v>
      </c>
      <c r="B458" s="65" t="str">
        <f>VLOOKUP(A458,'CENTRO DE COSTOS'!A:D,4,FALSE)</f>
        <v>MIGUEL JULIÁN HERNÁNDEZ GUARÍN</v>
      </c>
      <c r="C458" s="65" t="str">
        <f>VLOOKUP(A458,'CENTRO DE COSTOS'!A:D,2,FALSE)</f>
        <v>0004-0008</v>
      </c>
      <c r="D458" s="66">
        <v>15238</v>
      </c>
      <c r="E458" s="66" t="s">
        <v>2632</v>
      </c>
      <c r="F458" s="77">
        <v>81223</v>
      </c>
      <c r="G458" s="83" t="s">
        <v>90</v>
      </c>
      <c r="H458" s="77" t="s">
        <v>137</v>
      </c>
      <c r="I458" s="77" t="s">
        <v>165</v>
      </c>
      <c r="J458" s="76" t="s">
        <v>543</v>
      </c>
      <c r="K458" s="77" t="s">
        <v>2633</v>
      </c>
      <c r="L458" s="84" t="s">
        <v>95</v>
      </c>
      <c r="M458" s="72" t="s">
        <v>2634</v>
      </c>
      <c r="N458" s="85">
        <v>45896</v>
      </c>
      <c r="O458" s="86">
        <v>45897</v>
      </c>
      <c r="P458" s="75" t="s">
        <v>141</v>
      </c>
      <c r="Q458" s="76" t="s">
        <v>142</v>
      </c>
      <c r="R458" s="66" t="s">
        <v>98</v>
      </c>
      <c r="S458" s="77" t="s">
        <v>2630</v>
      </c>
      <c r="T458" s="86" t="s">
        <v>100</v>
      </c>
      <c r="U458" s="66" t="s">
        <v>2635</v>
      </c>
      <c r="V458" s="76" t="s">
        <v>162</v>
      </c>
      <c r="W458" s="86" t="s">
        <v>103</v>
      </c>
      <c r="X458" s="83" t="s">
        <v>548</v>
      </c>
      <c r="Y458" s="66">
        <v>1</v>
      </c>
      <c r="Z458" s="87">
        <v>0</v>
      </c>
      <c r="AA458" s="79">
        <f>'BASE FACTURACION 2025'!$C$3</f>
        <v>122645.45276000001</v>
      </c>
      <c r="AB458" s="79">
        <f>'BASE FACTURACION 2025'!$F$3</f>
        <v>65164.677720000007</v>
      </c>
      <c r="AC458" s="79">
        <f t="shared" si="7"/>
        <v>122645.45276000001</v>
      </c>
    </row>
    <row r="459" spans="1:29" s="80" customFormat="1" ht="15" customHeight="1">
      <c r="A459" s="66" t="s">
        <v>88</v>
      </c>
      <c r="B459" s="65" t="str">
        <f>VLOOKUP(A459,'CENTRO DE COSTOS'!A:D,4,FALSE)</f>
        <v>KEVIN ALEXIS CORZO BUSTOS</v>
      </c>
      <c r="C459" s="65" t="str">
        <f>VLOOKUP(A459,'CENTRO DE COSTOS'!A:D,2,FALSE)</f>
        <v>0004-0007</v>
      </c>
      <c r="D459" s="66">
        <v>18256</v>
      </c>
      <c r="E459" s="66" t="s">
        <v>2636</v>
      </c>
      <c r="F459" s="77">
        <v>81224</v>
      </c>
      <c r="G459" s="83" t="s">
        <v>90</v>
      </c>
      <c r="H459" s="77" t="s">
        <v>137</v>
      </c>
      <c r="I459" s="77" t="s">
        <v>92</v>
      </c>
      <c r="J459" s="76" t="s">
        <v>2637</v>
      </c>
      <c r="K459" s="77" t="s">
        <v>2638</v>
      </c>
      <c r="L459" s="84" t="s">
        <v>95</v>
      </c>
      <c r="M459" s="72" t="s">
        <v>2639</v>
      </c>
      <c r="N459" s="85">
        <v>45896</v>
      </c>
      <c r="O459" s="86">
        <v>45897</v>
      </c>
      <c r="P459" s="75" t="s">
        <v>141</v>
      </c>
      <c r="Q459" s="76" t="s">
        <v>142</v>
      </c>
      <c r="R459" s="66" t="s">
        <v>98</v>
      </c>
      <c r="S459" s="77" t="s">
        <v>2640</v>
      </c>
      <c r="T459" s="86" t="s">
        <v>100</v>
      </c>
      <c r="U459" s="66" t="s">
        <v>2641</v>
      </c>
      <c r="V459" s="76" t="s">
        <v>102</v>
      </c>
      <c r="W459" s="86" t="s">
        <v>103</v>
      </c>
      <c r="X459" s="83" t="s">
        <v>104</v>
      </c>
      <c r="Y459" s="66">
        <v>1</v>
      </c>
      <c r="Z459" s="87">
        <v>0</v>
      </c>
      <c r="AA459" s="79">
        <f>'BASE FACTURACION 2025'!$C$3</f>
        <v>122645.45276000001</v>
      </c>
      <c r="AB459" s="79">
        <f>'BASE FACTURACION 2025'!$F$3</f>
        <v>65164.677720000007</v>
      </c>
      <c r="AC459" s="79">
        <f t="shared" si="7"/>
        <v>122645.45276000001</v>
      </c>
    </row>
    <row r="460" spans="1:29" s="80" customFormat="1" ht="15" customHeight="1">
      <c r="A460" s="66" t="s">
        <v>110</v>
      </c>
      <c r="B460" s="65" t="str">
        <f>VLOOKUP(A460,'CENTRO DE COSTOS'!A:D,4,FALSE)</f>
        <v>DIEGO FERNANDO HENAO CARDONA</v>
      </c>
      <c r="C460" s="65" t="str">
        <f>VLOOKUP(A460,'CENTRO DE COSTOS'!A:D,2,FALSE)</f>
        <v>0004-0003</v>
      </c>
      <c r="D460" s="66">
        <v>52356</v>
      </c>
      <c r="E460" s="66" t="s">
        <v>2642</v>
      </c>
      <c r="F460" s="77">
        <v>81226</v>
      </c>
      <c r="G460" s="83" t="s">
        <v>90</v>
      </c>
      <c r="H460" s="77" t="s">
        <v>137</v>
      </c>
      <c r="I460" s="77" t="s">
        <v>112</v>
      </c>
      <c r="J460" s="76" t="s">
        <v>2244</v>
      </c>
      <c r="K460" s="77" t="s">
        <v>2643</v>
      </c>
      <c r="L460" s="84" t="s">
        <v>95</v>
      </c>
      <c r="M460" s="72" t="s">
        <v>2644</v>
      </c>
      <c r="N460" s="85">
        <v>45896</v>
      </c>
      <c r="O460" s="86">
        <v>45897</v>
      </c>
      <c r="P460" s="75" t="s">
        <v>141</v>
      </c>
      <c r="Q460" s="76" t="s">
        <v>142</v>
      </c>
      <c r="R460" s="66" t="s">
        <v>98</v>
      </c>
      <c r="S460" s="77" t="s">
        <v>2645</v>
      </c>
      <c r="T460" s="86" t="s">
        <v>100</v>
      </c>
      <c r="U460" s="66" t="s">
        <v>2646</v>
      </c>
      <c r="V460" s="76" t="s">
        <v>162</v>
      </c>
      <c r="W460" s="86" t="s">
        <v>103</v>
      </c>
      <c r="X460" s="83" t="s">
        <v>1682</v>
      </c>
      <c r="Y460" s="66">
        <v>1</v>
      </c>
      <c r="Z460" s="87">
        <v>0</v>
      </c>
      <c r="AA460" s="79">
        <f>'BASE FACTURACION 2025'!$C$3</f>
        <v>122645.45276000001</v>
      </c>
      <c r="AB460" s="79">
        <f>'BASE FACTURACION 2025'!$F$3</f>
        <v>65164.677720000007</v>
      </c>
      <c r="AC460" s="79">
        <f t="shared" si="7"/>
        <v>122645.45276000001</v>
      </c>
    </row>
    <row r="461" spans="1:29" s="80" customFormat="1" ht="15" customHeight="1">
      <c r="A461" s="66" t="s">
        <v>110</v>
      </c>
      <c r="B461" s="65" t="str">
        <f>VLOOKUP(A461,'CENTRO DE COSTOS'!A:D,4,FALSE)</f>
        <v>DIEGO FERNANDO HENAO CARDONA</v>
      </c>
      <c r="C461" s="65" t="str">
        <f>VLOOKUP(A461,'CENTRO DE COSTOS'!A:D,2,FALSE)</f>
        <v>0004-0003</v>
      </c>
      <c r="D461" s="66">
        <v>52838</v>
      </c>
      <c r="E461" s="66" t="s">
        <v>2647</v>
      </c>
      <c r="F461" s="77">
        <v>81233</v>
      </c>
      <c r="G461" s="83" t="s">
        <v>90</v>
      </c>
      <c r="H461" s="77" t="s">
        <v>137</v>
      </c>
      <c r="I461" s="77" t="s">
        <v>112</v>
      </c>
      <c r="J461" s="76" t="s">
        <v>2648</v>
      </c>
      <c r="K461" s="77" t="s">
        <v>2649</v>
      </c>
      <c r="L461" s="84" t="s">
        <v>95</v>
      </c>
      <c r="M461" s="72" t="s">
        <v>2650</v>
      </c>
      <c r="N461" s="85">
        <v>45896</v>
      </c>
      <c r="O461" s="86">
        <v>45897</v>
      </c>
      <c r="P461" s="75" t="s">
        <v>141</v>
      </c>
      <c r="Q461" s="76" t="s">
        <v>142</v>
      </c>
      <c r="R461" s="66" t="s">
        <v>98</v>
      </c>
      <c r="S461" s="77" t="s">
        <v>2651</v>
      </c>
      <c r="T461" s="86" t="s">
        <v>100</v>
      </c>
      <c r="U461" s="66" t="s">
        <v>2652</v>
      </c>
      <c r="V461" s="76" t="s">
        <v>162</v>
      </c>
      <c r="W461" s="86" t="s">
        <v>103</v>
      </c>
      <c r="X461" s="83" t="s">
        <v>1293</v>
      </c>
      <c r="Y461" s="66">
        <v>1</v>
      </c>
      <c r="Z461" s="87">
        <v>0</v>
      </c>
      <c r="AA461" s="79">
        <f>'BASE FACTURACION 2025'!$C$3</f>
        <v>122645.45276000001</v>
      </c>
      <c r="AB461" s="79">
        <f>'BASE FACTURACION 2025'!$F$3</f>
        <v>65164.677720000007</v>
      </c>
      <c r="AC461" s="79">
        <f t="shared" si="7"/>
        <v>122645.45276000001</v>
      </c>
    </row>
    <row r="462" spans="1:29" s="80" customFormat="1" ht="15" customHeight="1">
      <c r="A462" s="66" t="s">
        <v>413</v>
      </c>
      <c r="B462" s="65" t="str">
        <f>VLOOKUP(A462,'CENTRO DE COSTOS'!A:D,4,FALSE)</f>
        <v>DIEGO FERNANDO HENAO CARDONA</v>
      </c>
      <c r="C462" s="65" t="str">
        <f>VLOOKUP(A462,'CENTRO DE COSTOS'!A:D,2,FALSE)</f>
        <v>0004-0002</v>
      </c>
      <c r="D462" s="66">
        <v>76400</v>
      </c>
      <c r="E462" s="66" t="s">
        <v>2653</v>
      </c>
      <c r="F462" s="77">
        <v>81228</v>
      </c>
      <c r="G462" s="83" t="s">
        <v>90</v>
      </c>
      <c r="H462" s="77" t="s">
        <v>137</v>
      </c>
      <c r="I462" s="77" t="s">
        <v>380</v>
      </c>
      <c r="J462" s="76" t="s">
        <v>2654</v>
      </c>
      <c r="K462" s="77" t="s">
        <v>2655</v>
      </c>
      <c r="L462" s="84" t="s">
        <v>95</v>
      </c>
      <c r="M462" s="72" t="s">
        <v>2656</v>
      </c>
      <c r="N462" s="85">
        <v>45896</v>
      </c>
      <c r="O462" s="86">
        <v>45897</v>
      </c>
      <c r="P462" s="75" t="s">
        <v>141</v>
      </c>
      <c r="Q462" s="76" t="s">
        <v>142</v>
      </c>
      <c r="R462" s="66" t="s">
        <v>98</v>
      </c>
      <c r="S462" s="77" t="s">
        <v>2651</v>
      </c>
      <c r="T462" s="86" t="s">
        <v>100</v>
      </c>
      <c r="U462" s="66" t="s">
        <v>2657</v>
      </c>
      <c r="V462" s="76" t="s">
        <v>162</v>
      </c>
      <c r="W462" s="86" t="s">
        <v>103</v>
      </c>
      <c r="X462" s="83" t="s">
        <v>190</v>
      </c>
      <c r="Y462" s="66">
        <v>1</v>
      </c>
      <c r="Z462" s="87">
        <v>0</v>
      </c>
      <c r="AA462" s="79">
        <f>'BASE FACTURACION 2025'!$C$3</f>
        <v>122645.45276000001</v>
      </c>
      <c r="AB462" s="79">
        <f>'BASE FACTURACION 2025'!$F$3</f>
        <v>65164.677720000007</v>
      </c>
      <c r="AC462" s="79">
        <f t="shared" si="7"/>
        <v>122645.45276000001</v>
      </c>
    </row>
    <row r="463" spans="1:29" s="80" customFormat="1" ht="15" customHeight="1">
      <c r="A463" s="66" t="s">
        <v>126</v>
      </c>
      <c r="B463" s="65" t="str">
        <f>VLOOKUP(A463,'CENTRO DE COSTOS'!A:D,4,FALSE)</f>
        <v>KEVIN ALEXIS CORZO BUSTOS</v>
      </c>
      <c r="C463" s="65" t="str">
        <f>VLOOKUP(A463,'CENTRO DE COSTOS'!A:D,2,FALSE)</f>
        <v>0004-0007</v>
      </c>
      <c r="D463" s="66">
        <v>85001</v>
      </c>
      <c r="E463" s="66" t="s">
        <v>2658</v>
      </c>
      <c r="F463" s="77">
        <v>81239</v>
      </c>
      <c r="G463" s="83" t="s">
        <v>90</v>
      </c>
      <c r="H463" s="77" t="s">
        <v>137</v>
      </c>
      <c r="I463" s="77" t="s">
        <v>128</v>
      </c>
      <c r="J463" s="76" t="s">
        <v>126</v>
      </c>
      <c r="K463" s="77" t="s">
        <v>2659</v>
      </c>
      <c r="L463" s="84" t="s">
        <v>95</v>
      </c>
      <c r="M463" s="72" t="s">
        <v>2660</v>
      </c>
      <c r="N463" s="85">
        <v>45896</v>
      </c>
      <c r="O463" s="86">
        <v>45897</v>
      </c>
      <c r="P463" s="75" t="s">
        <v>141</v>
      </c>
      <c r="Q463" s="76" t="s">
        <v>142</v>
      </c>
      <c r="R463" s="66" t="s">
        <v>98</v>
      </c>
      <c r="S463" s="77" t="s">
        <v>2661</v>
      </c>
      <c r="T463" s="86" t="s">
        <v>100</v>
      </c>
      <c r="U463" s="66" t="s">
        <v>2662</v>
      </c>
      <c r="V463" s="76" t="s">
        <v>133</v>
      </c>
      <c r="W463" s="86" t="s">
        <v>103</v>
      </c>
      <c r="X463" s="83" t="s">
        <v>134</v>
      </c>
      <c r="Y463" s="66">
        <v>1</v>
      </c>
      <c r="Z463" s="87">
        <v>0</v>
      </c>
      <c r="AA463" s="79">
        <f>'BASE FACTURACION 2025'!$C$3</f>
        <v>122645.45276000001</v>
      </c>
      <c r="AB463" s="79">
        <f>'BASE FACTURACION 2025'!$F$3</f>
        <v>65164.677720000007</v>
      </c>
      <c r="AC463" s="79">
        <f t="shared" si="7"/>
        <v>122645.45276000001</v>
      </c>
    </row>
    <row r="464" spans="1:29" s="80" customFormat="1" ht="15" customHeight="1">
      <c r="A464" s="66" t="s">
        <v>126</v>
      </c>
      <c r="B464" s="65" t="str">
        <f>VLOOKUP(A464,'CENTRO DE COSTOS'!A:D,4,FALSE)</f>
        <v>KEVIN ALEXIS CORZO BUSTOS</v>
      </c>
      <c r="C464" s="65" t="str">
        <f>VLOOKUP(A464,'CENTRO DE COSTOS'!A:D,2,FALSE)</f>
        <v>0004-0007</v>
      </c>
      <c r="D464" s="66">
        <v>85010</v>
      </c>
      <c r="E464" s="66" t="s">
        <v>2663</v>
      </c>
      <c r="F464" s="77">
        <v>81214</v>
      </c>
      <c r="G464" s="83" t="s">
        <v>90</v>
      </c>
      <c r="H464" s="77" t="s">
        <v>137</v>
      </c>
      <c r="I464" s="77" t="s">
        <v>128</v>
      </c>
      <c r="J464" s="76" t="s">
        <v>1093</v>
      </c>
      <c r="K464" s="77" t="s">
        <v>2664</v>
      </c>
      <c r="L464" s="84" t="s">
        <v>95</v>
      </c>
      <c r="M464" s="72" t="s">
        <v>2665</v>
      </c>
      <c r="N464" s="85">
        <v>45896</v>
      </c>
      <c r="O464" s="86">
        <v>45897</v>
      </c>
      <c r="P464" s="75" t="s">
        <v>141</v>
      </c>
      <c r="Q464" s="76" t="s">
        <v>142</v>
      </c>
      <c r="R464" s="66" t="s">
        <v>98</v>
      </c>
      <c r="S464" s="77" t="s">
        <v>2666</v>
      </c>
      <c r="T464" s="86" t="s">
        <v>100</v>
      </c>
      <c r="U464" s="66" t="s">
        <v>2667</v>
      </c>
      <c r="V464" s="76" t="s">
        <v>162</v>
      </c>
      <c r="W464" s="86" t="s">
        <v>103</v>
      </c>
      <c r="X464" s="83" t="s">
        <v>134</v>
      </c>
      <c r="Y464" s="66">
        <v>1</v>
      </c>
      <c r="Z464" s="87">
        <v>0</v>
      </c>
      <c r="AA464" s="79">
        <f>'BASE FACTURACION 2025'!$C$3</f>
        <v>122645.45276000001</v>
      </c>
      <c r="AB464" s="79">
        <f>'BASE FACTURACION 2025'!$F$3</f>
        <v>65164.677720000007</v>
      </c>
      <c r="AC464" s="79">
        <f t="shared" si="7"/>
        <v>122645.45276000001</v>
      </c>
    </row>
    <row r="465" spans="1:29" s="80" customFormat="1" ht="15" customHeight="1">
      <c r="A465" s="66" t="s">
        <v>555</v>
      </c>
      <c r="B465" s="65" t="str">
        <f>VLOOKUP(A465,'CENTRO DE COSTOS'!A:D,4,FALSE)</f>
        <v>JUAN SEBASTIÁN RÍOS CASTRILLÓN</v>
      </c>
      <c r="C465" s="65" t="str">
        <f>VLOOKUP(A465,'CENTRO DE COSTOS'!A:D,2,FALSE)</f>
        <v>0004-0005</v>
      </c>
      <c r="D465" s="66">
        <v>5045</v>
      </c>
      <c r="E465" s="66" t="s">
        <v>2668</v>
      </c>
      <c r="F465" s="77">
        <v>81220</v>
      </c>
      <c r="G465" s="83" t="s">
        <v>90</v>
      </c>
      <c r="H465" s="77" t="s">
        <v>137</v>
      </c>
      <c r="I465" s="77" t="s">
        <v>138</v>
      </c>
      <c r="J465" s="76" t="s">
        <v>555</v>
      </c>
      <c r="K465" s="77" t="s">
        <v>2669</v>
      </c>
      <c r="L465" s="84" t="s">
        <v>95</v>
      </c>
      <c r="M465" s="72" t="s">
        <v>2670</v>
      </c>
      <c r="N465" s="85">
        <v>45896</v>
      </c>
      <c r="O465" s="86">
        <v>45897</v>
      </c>
      <c r="P465" s="75" t="s">
        <v>141</v>
      </c>
      <c r="Q465" s="76" t="s">
        <v>142</v>
      </c>
      <c r="R465" s="66" t="s">
        <v>98</v>
      </c>
      <c r="S465" s="77" t="s">
        <v>2624</v>
      </c>
      <c r="T465" s="86" t="s">
        <v>100</v>
      </c>
      <c r="U465" s="66" t="s">
        <v>2671</v>
      </c>
      <c r="V465" s="76" t="s">
        <v>133</v>
      </c>
      <c r="W465" s="86" t="s">
        <v>103</v>
      </c>
      <c r="X465" s="83" t="s">
        <v>562</v>
      </c>
      <c r="Y465" s="66">
        <v>1</v>
      </c>
      <c r="Z465" s="87">
        <v>0</v>
      </c>
      <c r="AA465" s="79">
        <f>'BASE FACTURACION 2025'!$C$3</f>
        <v>122645.45276000001</v>
      </c>
      <c r="AB465" s="79">
        <f>'BASE FACTURACION 2025'!$F$3</f>
        <v>65164.677720000007</v>
      </c>
      <c r="AC465" s="79">
        <f t="shared" si="7"/>
        <v>122645.45276000001</v>
      </c>
    </row>
    <row r="466" spans="1:29" ht="15" customHeight="1">
      <c r="E466" s="52"/>
      <c r="AC466" s="51">
        <f>SUM(AC2:AC465)</f>
        <v>56907490.080640614</v>
      </c>
    </row>
  </sheetData>
  <autoFilter ref="A1:AC466" xr:uid="{00000000-0001-0000-0200-000000000000}"/>
  <conditionalFormatting sqref="E466:E1048576">
    <cfRule type="duplicateValues" dxfId="3" priority="927"/>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W3"/>
  <sheetViews>
    <sheetView workbookViewId="0">
      <pane ySplit="1" topLeftCell="L2" activePane="bottomLeft" state="frozen"/>
      <selection pane="bottomLeft" activeCell="O32" sqref="O32"/>
    </sheetView>
  </sheetViews>
  <sheetFormatPr defaultColWidth="11.42578125" defaultRowHeight="13.9"/>
  <cols>
    <col min="1" max="3" width="11.42578125" style="5"/>
    <col min="4" max="4" width="11.7109375" style="5" bestFit="1" customWidth="1"/>
    <col min="5" max="6" width="11.5703125" style="5" bestFit="1" customWidth="1"/>
    <col min="7" max="12" width="11.42578125" style="5"/>
    <col min="13" max="13" width="12" style="5" bestFit="1" customWidth="1"/>
    <col min="14" max="14" width="13.85546875" style="5" bestFit="1" customWidth="1"/>
    <col min="15" max="15" width="13.7109375" style="5" bestFit="1" customWidth="1"/>
    <col min="16" max="16" width="13.5703125" style="5" customWidth="1"/>
    <col min="17" max="17" width="12.85546875" style="5" bestFit="1" customWidth="1"/>
    <col min="18" max="19" width="12.85546875" style="5" customWidth="1"/>
    <col min="20" max="20" width="26.42578125" style="5" customWidth="1"/>
    <col min="21" max="28" width="11.42578125" style="5"/>
    <col min="29" max="29" width="11.5703125" style="5" bestFit="1" customWidth="1"/>
    <col min="30" max="31" width="11.5703125" style="15" bestFit="1" customWidth="1"/>
    <col min="32" max="33" width="11.42578125" style="5"/>
    <col min="34" max="38" width="11.5703125" style="5" bestFit="1" customWidth="1"/>
    <col min="39" max="43" width="11.42578125" style="5"/>
    <col min="44" max="47" width="11.5703125" style="5" bestFit="1" customWidth="1"/>
    <col min="48" max="16384" width="11.42578125" style="5"/>
  </cols>
  <sheetData>
    <row r="1" spans="1:49" ht="40.9">
      <c r="A1" s="22" t="s">
        <v>2672</v>
      </c>
      <c r="B1" s="22" t="s">
        <v>42</v>
      </c>
      <c r="C1" s="23" t="s">
        <v>43</v>
      </c>
      <c r="D1" s="22" t="s">
        <v>2673</v>
      </c>
      <c r="E1" s="22" t="s">
        <v>2674</v>
      </c>
      <c r="F1" s="22" t="s">
        <v>2675</v>
      </c>
      <c r="G1" s="22" t="s">
        <v>2676</v>
      </c>
      <c r="H1" s="22" t="s">
        <v>2677</v>
      </c>
      <c r="I1" s="22" t="s">
        <v>2678</v>
      </c>
      <c r="J1" s="22" t="s">
        <v>2679</v>
      </c>
      <c r="K1" s="22" t="s">
        <v>2680</v>
      </c>
      <c r="L1" s="22" t="s">
        <v>71</v>
      </c>
      <c r="M1" s="22" t="s">
        <v>2681</v>
      </c>
      <c r="N1" s="22" t="s">
        <v>2682</v>
      </c>
      <c r="O1" s="22" t="s">
        <v>2683</v>
      </c>
      <c r="P1" s="24" t="s">
        <v>2684</v>
      </c>
      <c r="Q1" s="24" t="s">
        <v>2685</v>
      </c>
      <c r="R1" s="24" t="s">
        <v>2686</v>
      </c>
      <c r="S1" s="24" t="s">
        <v>2687</v>
      </c>
      <c r="T1" s="24" t="s">
        <v>2688</v>
      </c>
      <c r="U1" s="22" t="s">
        <v>76</v>
      </c>
      <c r="V1" s="22" t="s">
        <v>2689</v>
      </c>
      <c r="W1" s="22" t="s">
        <v>2690</v>
      </c>
      <c r="X1" s="22" t="s">
        <v>2691</v>
      </c>
      <c r="Y1" s="22" t="s">
        <v>2692</v>
      </c>
      <c r="Z1" s="22" t="s">
        <v>2693</v>
      </c>
      <c r="AA1" s="22" t="s">
        <v>2694</v>
      </c>
      <c r="AB1" s="22" t="s">
        <v>2695</v>
      </c>
      <c r="AC1" s="22" t="s">
        <v>2696</v>
      </c>
      <c r="AD1" s="22" t="s">
        <v>2697</v>
      </c>
      <c r="AE1" s="22" t="s">
        <v>2698</v>
      </c>
      <c r="AF1" s="22" t="s">
        <v>2699</v>
      </c>
      <c r="AG1" s="22" t="s">
        <v>2700</v>
      </c>
      <c r="AH1" s="22" t="s">
        <v>2701</v>
      </c>
      <c r="AI1" s="22" t="s">
        <v>2702</v>
      </c>
      <c r="AJ1" s="22" t="s">
        <v>2703</v>
      </c>
      <c r="AK1" s="22" t="s">
        <v>2704</v>
      </c>
      <c r="AL1" s="22" t="s">
        <v>2705</v>
      </c>
      <c r="AM1" s="25" t="s">
        <v>2706</v>
      </c>
      <c r="AN1" s="25" t="s">
        <v>2707</v>
      </c>
      <c r="AO1" s="25" t="s">
        <v>2708</v>
      </c>
      <c r="AP1" s="22" t="s">
        <v>2709</v>
      </c>
      <c r="AQ1" s="22" t="s">
        <v>2710</v>
      </c>
      <c r="AR1" s="22" t="s">
        <v>2711</v>
      </c>
      <c r="AS1" s="25" t="s">
        <v>2712</v>
      </c>
      <c r="AT1" s="25" t="s">
        <v>2713</v>
      </c>
      <c r="AU1" s="25" t="s">
        <v>2714</v>
      </c>
      <c r="AV1" s="26" t="s">
        <v>2715</v>
      </c>
      <c r="AW1" s="26" t="s">
        <v>2716</v>
      </c>
    </row>
    <row r="2" spans="1:49">
      <c r="A2" s="7"/>
      <c r="B2" s="2" t="e">
        <f>VLOOKUP(A2,'CENTRO DE COSTOS'!A:D,4,FALSE)</f>
        <v>#N/A</v>
      </c>
      <c r="C2" s="3" t="e">
        <f>VLOOKUP(A2,'CENTRO DE COSTOS'!A:D,2,FALSE)</f>
        <v>#N/A</v>
      </c>
      <c r="D2" s="7"/>
      <c r="E2" s="7"/>
      <c r="F2" s="7"/>
      <c r="G2" s="12"/>
      <c r="H2" s="12"/>
      <c r="I2" s="12"/>
      <c r="J2" s="12"/>
      <c r="K2" s="12"/>
      <c r="L2" s="12"/>
      <c r="M2" s="12"/>
      <c r="N2" s="12"/>
      <c r="O2" s="12"/>
      <c r="P2" s="12"/>
      <c r="Q2" s="12"/>
      <c r="R2" s="12"/>
      <c r="S2" s="12"/>
      <c r="T2" s="3"/>
      <c r="U2" s="13"/>
      <c r="V2" s="3"/>
      <c r="W2" s="13"/>
      <c r="X2" s="13"/>
      <c r="Y2" s="3"/>
      <c r="Z2" s="13"/>
      <c r="AA2" s="13"/>
      <c r="AB2" s="7"/>
      <c r="AC2" s="7"/>
      <c r="AD2" s="7"/>
      <c r="AE2" s="7"/>
      <c r="AF2" s="13"/>
      <c r="AG2" s="7"/>
      <c r="AH2" s="7"/>
      <c r="AI2" s="7"/>
      <c r="AJ2" s="3"/>
      <c r="AK2" s="3"/>
      <c r="AL2" s="3"/>
      <c r="AM2" s="7"/>
      <c r="AN2" s="3"/>
      <c r="AO2" s="3"/>
      <c r="AP2" s="3"/>
      <c r="AQ2" s="3"/>
      <c r="AR2" s="7"/>
      <c r="AS2" s="3"/>
      <c r="AT2" s="3"/>
      <c r="AU2" s="3"/>
      <c r="AV2" s="21">
        <f>IF(Z2="SOPORTE_TELEFÓNICO",'BASE FACTURACION 2025'!$E$3,IF(AP2="TIPO I",'BASE FACTURACION 2025'!$D$3,IF(AP2="TIPO II",'BASE FACTURACION 2025'!$D$4,IF(AP2="TIPO III",'BASE FACTURACION 2025'!$D$5,'BASE FACTURACION 2025'!$D$6))))</f>
        <v>609719.56967999996</v>
      </c>
      <c r="AW2" s="14">
        <f>IF(Z2="SOPORTE_TELEFÓNICO",'BASE FACTURACION 2025'!$E$3,AR2*AV2)</f>
        <v>0</v>
      </c>
    </row>
    <row r="3" spans="1:49">
      <c r="AD3" s="5"/>
      <c r="AE3" s="5"/>
      <c r="AV3" s="15"/>
      <c r="AW3" s="4">
        <f>SUM(AW2:AW2)</f>
        <v>0</v>
      </c>
    </row>
  </sheetData>
  <conditionalFormatting sqref="D2:E2">
    <cfRule type="duplicateValues" dxfId="2" priority="925"/>
  </conditionalFormatting>
  <conditionalFormatting sqref="E1">
    <cfRule type="duplicateValues" dxfId="1" priority="1"/>
    <cfRule type="duplicateValues" dxfId="0"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C9C-A805-45A8-877F-A3CF81B662D8}">
  <dimension ref="A1:D23"/>
  <sheetViews>
    <sheetView workbookViewId="0">
      <selection activeCell="D10" sqref="D10"/>
    </sheetView>
  </sheetViews>
  <sheetFormatPr defaultColWidth="11.42578125" defaultRowHeight="14.45"/>
  <cols>
    <col min="1" max="1" width="15.28515625" style="9" bestFit="1" customWidth="1"/>
    <col min="2" max="2" width="18.28515625" style="9" bestFit="1" customWidth="1"/>
    <col min="3" max="3" width="30.28515625" style="9" bestFit="1" customWidth="1"/>
    <col min="4" max="4" width="34.140625" style="9" bestFit="1" customWidth="1"/>
    <col min="5" max="16384" width="11.42578125" style="9"/>
  </cols>
  <sheetData>
    <row r="1" spans="1:4">
      <c r="A1" s="8" t="s">
        <v>68</v>
      </c>
      <c r="B1" s="8" t="s">
        <v>2717</v>
      </c>
      <c r="C1" s="8" t="s">
        <v>2718</v>
      </c>
      <c r="D1" s="8" t="s">
        <v>42</v>
      </c>
    </row>
    <row r="2" spans="1:4">
      <c r="A2" s="27" t="s">
        <v>555</v>
      </c>
      <c r="B2" s="28" t="s">
        <v>53</v>
      </c>
      <c r="C2" s="28" t="s">
        <v>2719</v>
      </c>
      <c r="D2" s="28" t="s">
        <v>52</v>
      </c>
    </row>
    <row r="3" spans="1:4">
      <c r="A3" s="29" t="s">
        <v>305</v>
      </c>
      <c r="B3" s="30" t="s">
        <v>51</v>
      </c>
      <c r="C3" s="30" t="s">
        <v>2720</v>
      </c>
      <c r="D3" s="30" t="s">
        <v>50</v>
      </c>
    </row>
    <row r="4" spans="1:4">
      <c r="A4" s="29" t="s">
        <v>391</v>
      </c>
      <c r="B4" s="30" t="s">
        <v>59</v>
      </c>
      <c r="C4" s="30" t="s">
        <v>2721</v>
      </c>
      <c r="D4" s="30" t="s">
        <v>58</v>
      </c>
    </row>
    <row r="5" spans="1:4">
      <c r="A5" s="29" t="s">
        <v>229</v>
      </c>
      <c r="B5" s="30" t="s">
        <v>57</v>
      </c>
      <c r="C5" s="30" t="s">
        <v>2722</v>
      </c>
      <c r="D5" s="30" t="s">
        <v>56</v>
      </c>
    </row>
    <row r="6" spans="1:4">
      <c r="A6" s="29" t="s">
        <v>180</v>
      </c>
      <c r="B6" s="30" t="s">
        <v>49</v>
      </c>
      <c r="C6" s="30" t="s">
        <v>2723</v>
      </c>
      <c r="D6" s="30" t="s">
        <v>47</v>
      </c>
    </row>
    <row r="7" spans="1:4">
      <c r="A7" s="29" t="s">
        <v>261</v>
      </c>
      <c r="B7" s="30" t="s">
        <v>51</v>
      </c>
      <c r="C7" s="30" t="s">
        <v>2720</v>
      </c>
      <c r="D7" s="30" t="s">
        <v>50</v>
      </c>
    </row>
    <row r="8" spans="1:4">
      <c r="A8" s="29" t="s">
        <v>245</v>
      </c>
      <c r="B8" s="30" t="s">
        <v>57</v>
      </c>
      <c r="C8" s="30" t="s">
        <v>2722</v>
      </c>
      <c r="D8" s="30" t="s">
        <v>56</v>
      </c>
    </row>
    <row r="9" spans="1:4">
      <c r="A9" s="29" t="s">
        <v>93</v>
      </c>
      <c r="B9" s="30" t="s">
        <v>55</v>
      </c>
      <c r="C9" s="30" t="s">
        <v>2724</v>
      </c>
      <c r="D9" s="30" t="s">
        <v>54</v>
      </c>
    </row>
    <row r="10" spans="1:4">
      <c r="A10" s="29" t="s">
        <v>622</v>
      </c>
      <c r="B10" s="30" t="s">
        <v>55</v>
      </c>
      <c r="C10" s="30" t="s">
        <v>2724</v>
      </c>
      <c r="D10" s="30" t="s">
        <v>54</v>
      </c>
    </row>
    <row r="11" spans="1:4">
      <c r="A11" s="29" t="s">
        <v>399</v>
      </c>
      <c r="B11" s="30" t="s">
        <v>48</v>
      </c>
      <c r="C11" s="30" t="s">
        <v>2725</v>
      </c>
      <c r="D11" s="30" t="s">
        <v>47</v>
      </c>
    </row>
    <row r="12" spans="1:4">
      <c r="A12" s="29" t="s">
        <v>135</v>
      </c>
      <c r="B12" s="30" t="s">
        <v>53</v>
      </c>
      <c r="C12" s="30" t="s">
        <v>2719</v>
      </c>
      <c r="D12" s="30" t="s">
        <v>52</v>
      </c>
    </row>
    <row r="13" spans="1:4">
      <c r="A13" s="29" t="s">
        <v>339</v>
      </c>
      <c r="B13" s="30" t="s">
        <v>51</v>
      </c>
      <c r="C13" s="30" t="s">
        <v>2720</v>
      </c>
      <c r="D13" s="30" t="s">
        <v>50</v>
      </c>
    </row>
    <row r="14" spans="1:4">
      <c r="A14" s="29" t="s">
        <v>88</v>
      </c>
      <c r="B14" s="30" t="s">
        <v>55</v>
      </c>
      <c r="C14" s="30" t="s">
        <v>2724</v>
      </c>
      <c r="D14" s="30" t="s">
        <v>54</v>
      </c>
    </row>
    <row r="15" spans="1:4">
      <c r="A15" s="29" t="s">
        <v>110</v>
      </c>
      <c r="B15" s="30" t="s">
        <v>49</v>
      </c>
      <c r="C15" s="30" t="s">
        <v>2723</v>
      </c>
      <c r="D15" s="30" t="s">
        <v>47</v>
      </c>
    </row>
    <row r="16" spans="1:4">
      <c r="A16" s="29" t="s">
        <v>413</v>
      </c>
      <c r="B16" s="30" t="s">
        <v>48</v>
      </c>
      <c r="C16" s="30" t="s">
        <v>2725</v>
      </c>
      <c r="D16" s="30" t="s">
        <v>47</v>
      </c>
    </row>
    <row r="17" spans="1:4">
      <c r="A17" s="29" t="s">
        <v>1249</v>
      </c>
      <c r="B17" s="30" t="s">
        <v>49</v>
      </c>
      <c r="C17" s="30" t="s">
        <v>2723</v>
      </c>
      <c r="D17" s="30" t="s">
        <v>47</v>
      </c>
    </row>
    <row r="18" spans="1:4">
      <c r="A18" s="29" t="s">
        <v>1574</v>
      </c>
      <c r="B18" s="30" t="s">
        <v>51</v>
      </c>
      <c r="C18" s="30" t="s">
        <v>2720</v>
      </c>
      <c r="D18" s="30" t="s">
        <v>50</v>
      </c>
    </row>
    <row r="19" spans="1:4">
      <c r="A19" s="29" t="s">
        <v>331</v>
      </c>
      <c r="B19" s="30" t="s">
        <v>51</v>
      </c>
      <c r="C19" s="30" t="s">
        <v>2720</v>
      </c>
      <c r="D19" s="30" t="s">
        <v>50</v>
      </c>
    </row>
    <row r="20" spans="1:4">
      <c r="A20" s="29" t="s">
        <v>163</v>
      </c>
      <c r="B20" s="30" t="s">
        <v>57</v>
      </c>
      <c r="C20" s="30" t="s">
        <v>2722</v>
      </c>
      <c r="D20" s="30" t="s">
        <v>56</v>
      </c>
    </row>
    <row r="21" spans="1:4">
      <c r="A21" s="29" t="s">
        <v>359</v>
      </c>
      <c r="B21" s="30" t="s">
        <v>51</v>
      </c>
      <c r="C21" s="30" t="s">
        <v>2720</v>
      </c>
      <c r="D21" s="30" t="s">
        <v>50</v>
      </c>
    </row>
    <row r="22" spans="1:4">
      <c r="A22" s="29" t="s">
        <v>220</v>
      </c>
      <c r="B22" s="30" t="s">
        <v>55</v>
      </c>
      <c r="C22" s="30" t="s">
        <v>2724</v>
      </c>
      <c r="D22" s="30" t="s">
        <v>54</v>
      </c>
    </row>
    <row r="23" spans="1:4">
      <c r="A23" s="29" t="s">
        <v>126</v>
      </c>
      <c r="B23" s="30" t="s">
        <v>55</v>
      </c>
      <c r="C23" s="30" t="s">
        <v>2724</v>
      </c>
      <c r="D23" s="30" t="s">
        <v>54</v>
      </c>
    </row>
  </sheetData>
  <autoFilter ref="A1:D23" xr:uid="{79339C9C-A805-45A8-877F-A3CF81B662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E8857A-D0E4-4F36-8093-392D04EC116C}"/>
</file>

<file path=customXml/itemProps2.xml><?xml version="1.0" encoding="utf-8"?>
<ds:datastoreItem xmlns:ds="http://schemas.openxmlformats.org/officeDocument/2006/customXml" ds:itemID="{27D3E133-E66B-4019-BF5A-AE710931E548}"/>
</file>

<file path=customXml/itemProps3.xml><?xml version="1.0" encoding="utf-8"?>
<ds:datastoreItem xmlns:ds="http://schemas.openxmlformats.org/officeDocument/2006/customXml" ds:itemID="{9FAB9B27-227A-451A-AE06-A5E35C0EA4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Tatiana Edelmira Garcia Chavarria</cp:lastModifiedBy>
  <cp:revision/>
  <dcterms:created xsi:type="dcterms:W3CDTF">2014-05-14T15:22:20Z</dcterms:created>
  <dcterms:modified xsi:type="dcterms:W3CDTF">2025-09-09T02:17:49Z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